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rinks" sheetId="2" state="visible" r:id="rId4"/>
    <sheet name="Daily Entry" sheetId="3" state="visible" r:id="rId5"/>
    <sheet name="Daily Cash" sheetId="4" state="visible" r:id="rId6"/>
    <sheet name="Control Report" sheetId="5" state="visible" r:id="rId7"/>
    <sheet name="Dashboard" sheetId="6" state="visible" r:id="rId8"/>
  </sheets>
  <definedNames>
    <definedName function="false" hidden="false" localSheetId="4" name="_xlnm.Print_Area" vbProcedure="false">'Control Report'!$A$1:$O$51</definedName>
    <definedName function="false" hidden="true" localSheetId="3" name="_xlnm._FilterDatabase" vbProcedure="false">'Daily Cash'!$A$3:$P$403</definedName>
    <definedName function="false" hidden="true" localSheetId="2" name="_xlnm._FilterDatabase" vbProcedure="false">'Daily Entry'!$A$4:$T$2003</definedName>
    <definedName function="false" hidden="true" localSheetId="1" name="_xlnm._FilterDatabase" vbProcedure="false">Drinks!$A$3:$G$53</definedName>
    <definedName function="false" hidden="false" name="DrinkList" vbProcedure="false">Drinks!$A$4:$A$53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Buying price for a FULL CRATE. The per-unit price divides it by bottles per crate. Rows shaded yellow have figures that do not add up - hover the drink name.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4" authorId="0">
      <text>
        <r>
          <rPr>
            <sz val="10"/>
            <rFont val="Arial"/>
            <family val="2"/>
          </rPr>
          <t xml:space="preserve">Supply = Crates Sent to Bar x Units per Crate. If you sent loose bottles instead of full crates, type the real number straight over this formula.</t>
        </r>
      </text>
    </comment>
    <comment ref="S4" authorId="0">
      <text>
        <r>
          <rPr>
            <sz val="10"/>
            <rFont val="Arial"/>
            <family val="2"/>
          </rPr>
          <t xml:space="preserve">Compares today's Opening Qty against yesterday's Closing Qty for the same drink. CHECK in red means stock went missing overnight or a count was mistyped.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Balance Sales = Sales + Recovered - Damaged - Expenses - Shortage - Debt. This is the cash the bar tender should actually hand over.</t>
        </r>
      </text>
    </comment>
    <comment ref="M3" authorId="0">
      <text>
        <r>
          <rPr>
            <sz val="10"/>
            <rFont val="Arial"/>
            <family val="2"/>
          </rPr>
          <t xml:space="preserve">Net Profit = Gross Profit - Damaged - Expenses - Shortage. Debt is NOT deducted: it is money still owed to you, not money lost.</t>
        </r>
      </text>
    </comment>
  </commentList>
</comments>
</file>

<file path=xl/sharedStrings.xml><?xml version="1.0" encoding="utf-8"?>
<sst xmlns="http://schemas.openxmlformats.org/spreadsheetml/2006/main" count="220" uniqueCount="173">
  <si>
    <t xml:space="preserve">BAR CONTROL SYSTEM</t>
  </si>
  <si>
    <t xml:space="preserve">A spreadsheet version of your Control Report — warehouse, bar (snack), sales, and business trend.</t>
  </si>
  <si>
    <t xml:space="preserve">DAILY ROUTINE</t>
  </si>
  <si>
    <t xml:space="preserve">Every closing</t>
  </si>
  <si>
    <t xml:space="preserve">Go to Daily Entry. Add one row per drink for that date. Type warehouse opening/purchase/crates sent, bar opening qty and the bar closing count. Sold qty, sales and profit calculate themselves.</t>
  </si>
  <si>
    <t xml:space="preserve">Then</t>
  </si>
  <si>
    <t xml:space="preserve">Go to Daily Cash, add that date, and type expenses, damages, shortage and debt. Balance Sales is the cash the bar tender should hand over.</t>
  </si>
  <si>
    <t xml:space="preserve">To print</t>
  </si>
  <si>
    <t xml:space="preserve">Open Control Report, change the yellow date at the top, and print. It is the same layout as your paper form, signature lines included.</t>
  </si>
  <si>
    <t xml:space="preserve">THE SHEETS</t>
  </si>
  <si>
    <t xml:space="preserve">Drinks</t>
  </si>
  <si>
    <t xml:space="preserve">Master list: units per crate, buying price per crate, selling price per unit. Everything reads from here.</t>
  </si>
  <si>
    <t xml:space="preserve">Daily Entry</t>
  </si>
  <si>
    <t xml:space="preserve">The engine. One row per drink per day. 2,000 rows.</t>
  </si>
  <si>
    <t xml:space="preserve">Daily Cash</t>
  </si>
  <si>
    <t xml:space="preserve">Your Control Sheet of Business Trend, one row per day.</t>
  </si>
  <si>
    <t xml:space="preserve">Control Report</t>
  </si>
  <si>
    <t xml:space="preserve">Printable form for any single date.</t>
  </si>
  <si>
    <t xml:space="preserve">Dashboard</t>
  </si>
  <si>
    <t xml:space="preserve">Any date range: sales, profit, deductions, and which drinks actually make you money.</t>
  </si>
  <si>
    <t xml:space="preserve">THE FORMULAS BEHIND IT</t>
  </si>
  <si>
    <t xml:space="preserve">Warehouse closing</t>
  </si>
  <si>
    <t xml:space="preserve">Opening Crates + Purchase - Crates Sent to Bar</t>
  </si>
  <si>
    <t xml:space="preserve">Bar supply</t>
  </si>
  <si>
    <t xml:space="preserve">Crates Sent to Bar x Units per Crate (type over it if you sent loose bottles)</t>
  </si>
  <si>
    <t xml:space="preserve">Sold</t>
  </si>
  <si>
    <t xml:space="preserve">Bar Opening + Supply - Bar Closing count</t>
  </si>
  <si>
    <t xml:space="preserve">Sales amount</t>
  </si>
  <si>
    <t xml:space="preserve">Sold x Selling Price per unit</t>
  </si>
  <si>
    <t xml:space="preserve">Balance sales</t>
  </si>
  <si>
    <t xml:space="preserve">Sales + Recovered - Damaged - Expenses - Shortage - Debt</t>
  </si>
  <si>
    <t xml:space="preserve">Net profit</t>
  </si>
  <si>
    <t xml:space="preserve">Gross Profit - Damaged - Expenses - Shortage</t>
  </si>
  <si>
    <t xml:space="preserve">PRICES</t>
  </si>
  <si>
    <t xml:space="preserve">Source</t>
  </si>
  <si>
    <t xml:space="preserve">Buying prices and crate sizes come from your Magazine Rate list of 31 products. Every margin is positive and between 13 and 58 percent.</t>
  </si>
  <si>
    <t xml:space="preserve">Selling prices</t>
  </si>
  <si>
    <t xml:space="preserve">Carried over from the 22 August control report. Confirm them: only Big Guinness, Big Smooth and Heineken are at 1,500, Supper Mount and Reaktor at 500, everything else at 1,000.</t>
  </si>
  <si>
    <t xml:space="preserve">Thinnest margin</t>
  </si>
  <si>
    <t xml:space="preserve">Small Smooth at 133 a bottle (13 percent), because a crate holds 15. Worth a second look.</t>
  </si>
  <si>
    <t xml:space="preserve">Best margin</t>
  </si>
  <si>
    <t xml:space="preserve">Top Tonic at 583 a bottle (58 percent), then Supper Mount at 258 on a 500 sale.</t>
  </si>
  <si>
    <t xml:space="preserve">WHAT I FOUND IN YOUR 22 AUGUST SHEET</t>
  </si>
  <si>
    <t xml:space="preserve">Warehouse double-count</t>
  </si>
  <si>
    <t xml:space="preserve">Mutzig, Castle Beer and Isenbeck each show crates purchased AND still sitting in warehouse closing, yet the same crates appear as bar supply (72, 60, 60 units). The crates cannot be in both places. In this workbook I entered them as sent to the bar, so warehouse closing is 0.</t>
  </si>
  <si>
    <t xml:space="preserve">Castle Beer row</t>
  </si>
  <si>
    <t xml:space="preserve">The row reads 14 sold / 14,000, but 16 + 60 - 57 = 19 sold = 19,000. Your own column total of 272,500 only works if it is 19,000 — so the 14 is a slip of the pen, not a stock loss. This workbook uses 19,000 and ties to your 272,500 exactly.</t>
  </si>
  <si>
    <t xml:space="preserve">Castle Milk amount</t>
  </si>
  <si>
    <t xml:space="preserve">4 crates closing x 5,500 = 22,000, but the sheet shows 34,000.</t>
  </si>
  <si>
    <t xml:space="preserve">Carry-over check</t>
  </si>
  <si>
    <t xml:space="preserve">Daily Entry column S compares each day's opening against the previous day's closing and turns red on a mismatch. That is your shortage detector.</t>
  </si>
  <si>
    <t xml:space="preserve">HOUSEKEEPING</t>
  </si>
  <si>
    <t xml:space="preserve">Currency</t>
  </si>
  <si>
    <t xml:space="preserve">Whole numbers, no decimals, matching your sheet. Format &gt; Cells &gt; Currency to add FCFA.</t>
  </si>
  <si>
    <t xml:space="preserve">Grey rows</t>
  </si>
  <si>
    <t xml:space="preserve">The 22 August data is pre-loaded as a worked example. Delete those rows once you are comfortable.</t>
  </si>
  <si>
    <t xml:space="preserve">Backup</t>
  </si>
  <si>
    <t xml:space="preserve">Save a dated copy every week.</t>
  </si>
  <si>
    <t xml:space="preserve">DRINKS MASTER LIST</t>
  </si>
  <si>
    <t xml:space="preserve">Every other sheet reads from here. Blue = you type. Check every Buying Price and Units per Crate before you rely on the profit figures.</t>
  </si>
  <si>
    <t xml:space="preserve">Drink</t>
  </si>
  <si>
    <t xml:space="preserve">Units per Crate</t>
  </si>
  <si>
    <t xml:space="preserve">Buying Price (per crate)</t>
  </si>
  <si>
    <t xml:space="preserve">Buying Price (per unit)</t>
  </si>
  <si>
    <t xml:space="preserve">Selling Price (per unit)</t>
  </si>
  <si>
    <t xml:space="preserve">Profit per Unit</t>
  </si>
  <si>
    <t xml:space="preserve">Margin %</t>
  </si>
  <si>
    <t xml:space="preserve">Doppel</t>
  </si>
  <si>
    <t xml:space="preserve">Mutzig</t>
  </si>
  <si>
    <t xml:space="preserve">Export</t>
  </si>
  <si>
    <t xml:space="preserve">Castel Beer</t>
  </si>
  <si>
    <t xml:space="preserve">Castel Milk</t>
  </si>
  <si>
    <t xml:space="preserve">Beaufort Light</t>
  </si>
  <si>
    <t xml:space="preserve">Beaufort Lager</t>
  </si>
  <si>
    <t xml:space="preserve">World Cola</t>
  </si>
  <si>
    <t xml:space="preserve">Sprite</t>
  </si>
  <si>
    <t xml:space="preserve">Isenbeck</t>
  </si>
  <si>
    <t xml:space="preserve">Booster Cola</t>
  </si>
  <si>
    <t xml:space="preserve">Booster Gin</t>
  </si>
  <si>
    <t xml:space="preserve">Booster Mango</t>
  </si>
  <si>
    <t xml:space="preserve">Big Guinness</t>
  </si>
  <si>
    <t xml:space="preserve">Big Smooth</t>
  </si>
  <si>
    <t xml:space="preserve">Small Smooth</t>
  </si>
  <si>
    <t xml:space="preserve">Small Guinness</t>
  </si>
  <si>
    <t xml:space="preserve">Smirnoff Ice</t>
  </si>
  <si>
    <t xml:space="preserve">Malta Guinness</t>
  </si>
  <si>
    <t xml:space="preserve">Top Tonic</t>
  </si>
  <si>
    <t xml:space="preserve">Chill</t>
  </si>
  <si>
    <t xml:space="preserve">Van Pur</t>
  </si>
  <si>
    <t xml:space="preserve">Bavaria</t>
  </si>
  <si>
    <t xml:space="preserve">Power Malta</t>
  </si>
  <si>
    <t xml:space="preserve">Heineken</t>
  </si>
  <si>
    <t xml:space="preserve">Orangina</t>
  </si>
  <si>
    <t xml:space="preserve">D'jino</t>
  </si>
  <si>
    <t xml:space="preserve">Vimto</t>
  </si>
  <si>
    <t xml:space="preserve">Top</t>
  </si>
  <si>
    <t xml:space="preserve">Supper Mount</t>
  </si>
  <si>
    <t xml:space="preserve">Reaktor</t>
  </si>
  <si>
    <t xml:space="preserve">DAILY ENTRY — one row per drink, per day</t>
  </si>
  <si>
    <t xml:space="preserve">Type the BLUE columns only: Date, Drink, warehouse opening/purchase/crates sent, bar opening, and bar closing count. Everything else calculates.</t>
  </si>
  <si>
    <t xml:space="preserve">STOCK AT WAREHOUSE (crates / pallets)</t>
  </si>
  <si>
    <t xml:space="preserve">STOCK AT BAR (SNACK) — units</t>
  </si>
  <si>
    <t xml:space="preserve">Buy Price /Unit</t>
  </si>
  <si>
    <t xml:space="preserve">CONTROL SHEET OF BUSINESS TREND — one row per day</t>
  </si>
  <si>
    <t xml:space="preserve">Sales, cost and profit come from Daily Entry. You only type the date and the deductions.</t>
  </si>
  <si>
    <t xml:space="preserve">Date</t>
  </si>
  <si>
    <t xml:space="preserve">Sales</t>
  </si>
  <si>
    <t xml:space="preserve">Recovered</t>
  </si>
  <si>
    <t xml:space="preserve">Damaged</t>
  </si>
  <si>
    <t xml:space="preserve">Expenses</t>
  </si>
  <si>
    <t xml:space="preserve">Expense Description</t>
  </si>
  <si>
    <t xml:space="preserve">Shortage</t>
  </si>
  <si>
    <t xml:space="preserve">Debt</t>
  </si>
  <si>
    <t xml:space="preserve">Debt Description</t>
  </si>
  <si>
    <t xml:space="preserve">BALANCE SALES (cash to bank)</t>
  </si>
  <si>
    <t xml:space="preserve">Cost of Sales</t>
  </si>
  <si>
    <t xml:space="preserve">Gross Profit</t>
  </si>
  <si>
    <t xml:space="preserve">NET PROFIT</t>
  </si>
  <si>
    <t xml:space="preserve">Stock Purchased</t>
  </si>
  <si>
    <t xml:space="preserve">Warehouse Value</t>
  </si>
  <si>
    <t xml:space="preserve">Bar Stock Value</t>
  </si>
  <si>
    <t xml:space="preserve">Photocopy</t>
  </si>
  <si>
    <t xml:space="preserve">Staff</t>
  </si>
  <si>
    <t xml:space="preserve">CONTROL REPORT FOR:</t>
  </si>
  <si>
    <t xml:space="preserve">&lt;- change this date and the whole report re-fills</t>
  </si>
  <si>
    <t xml:space="preserve">STOCK AT WAREHOUSE</t>
  </si>
  <si>
    <t xml:space="preserve">OPENING STOCK AT SNACK</t>
  </si>
  <si>
    <t xml:space="preserve">TOTAL STOCK AT SNACK</t>
  </si>
  <si>
    <t xml:space="preserve">CLOSING</t>
  </si>
  <si>
    <t xml:space="preserve">SALES</t>
  </si>
  <si>
    <t xml:space="preserve">Opening Crates/Pallet</t>
  </si>
  <si>
    <t xml:space="preserve">Purchase</t>
  </si>
  <si>
    <t xml:space="preserve">Closing Crates/Pallet</t>
  </si>
  <si>
    <t xml:space="preserve">Stock Sent to Snack</t>
  </si>
  <si>
    <t xml:space="preserve">Buying Price</t>
  </si>
  <si>
    <t xml:space="preserve">Amount</t>
  </si>
  <si>
    <t xml:space="preserve">Qty</t>
  </si>
  <si>
    <t xml:space="preserve">Supply</t>
  </si>
  <si>
    <t xml:space="preserve">Closed</t>
  </si>
  <si>
    <t xml:space="preserve">Amt</t>
  </si>
  <si>
    <t xml:space="preserve">TOTAL</t>
  </si>
  <si>
    <t xml:space="preserve">CONTROL SHEET OF BUSINESS TREND</t>
  </si>
  <si>
    <t xml:space="preserve">Description</t>
  </si>
  <si>
    <t xml:space="preserve">Balance</t>
  </si>
  <si>
    <t xml:space="preserve">SIGNED</t>
  </si>
  <si>
    <t xml:space="preserve">RECOVERED</t>
  </si>
  <si>
    <t xml:space="preserve">..............................</t>
  </si>
  <si>
    <t xml:space="preserve">DAMAGED</t>
  </si>
  <si>
    <t xml:space="preserve">STORE KEEPER</t>
  </si>
  <si>
    <t xml:space="preserve">EXPENSES</t>
  </si>
  <si>
    <t xml:space="preserve">SHORTAGE</t>
  </si>
  <si>
    <t xml:space="preserve">DEBT</t>
  </si>
  <si>
    <t xml:space="preserve">BAR TENDANT</t>
  </si>
  <si>
    <t xml:space="preserve">BALANCE SALES</t>
  </si>
  <si>
    <t xml:space="preserve">GROSS PROFIT</t>
  </si>
  <si>
    <t xml:space="preserve">MANAGER</t>
  </si>
  <si>
    <t xml:space="preserve">STOCK PURCHASED</t>
  </si>
  <si>
    <t xml:space="preserve">PERIOD DASHBOARD</t>
  </si>
  <si>
    <t xml:space="preserve">Set the two yellow dates. Everything below covers that period.</t>
  </si>
  <si>
    <t xml:space="preserve">From date</t>
  </si>
  <si>
    <t xml:space="preserve">To date</t>
  </si>
  <si>
    <t xml:space="preserve">TRADING</t>
  </si>
  <si>
    <t xml:space="preserve">Gross Margin %</t>
  </si>
  <si>
    <t xml:space="preserve">DEDUCTIONS</t>
  </si>
  <si>
    <t xml:space="preserve">Debt Given Out</t>
  </si>
  <si>
    <t xml:space="preserve">BOTTOM LINE</t>
  </si>
  <si>
    <t xml:space="preserve">Cash Banked (Balance Sales)</t>
  </si>
  <si>
    <t xml:space="preserve">STOCK POSITION (on the To date)</t>
  </si>
  <si>
    <t xml:space="preserve">Warehouse Stock Value (on To date)</t>
  </si>
  <si>
    <t xml:space="preserve">Bar Stock Value (on To date)</t>
  </si>
  <si>
    <t xml:space="preserve">PERFORMANCE BY DRINK</t>
  </si>
  <si>
    <t xml:space="preserve">Qty Sold</t>
  </si>
  <si>
    <t xml:space="preserve">Share of Sales</t>
  </si>
</sst>
</file>

<file path=xl/styles.xml><?xml version="1.0" encoding="utf-8"?>
<styleSheet xmlns="http://schemas.openxmlformats.org/spreadsheetml/2006/main">
  <numFmts count="6">
    <numFmt numFmtId="164" formatCode="General"/>
    <numFmt numFmtId="165" formatCode="#,##0;\(#,##0\);\-"/>
    <numFmt numFmtId="166" formatCode="0.0%"/>
    <numFmt numFmtId="167" formatCode="dd/mm/yyyy"/>
    <numFmt numFmtId="168" formatCode="@"/>
    <numFmt numFmtId="169" formatCode="d\ mmmm\ yyyy"/>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9"/>
      <color rgb="FFFFFFFF"/>
      <name val="Arial"/>
      <family val="0"/>
      <charset val="1"/>
    </font>
    <font>
      <sz val="10"/>
      <color rgb="FF0000FF"/>
      <name val="Arial"/>
      <family val="0"/>
      <charset val="1"/>
    </font>
    <font>
      <sz val="10"/>
      <name val="Arial"/>
      <family val="2"/>
    </font>
    <font>
      <b val="true"/>
      <sz val="10"/>
      <color rgb="FF1F3864"/>
      <name val="Arial"/>
      <family val="0"/>
      <charset val="1"/>
    </font>
    <font>
      <b val="true"/>
      <sz val="13"/>
      <name val="Arial"/>
      <family val="0"/>
      <charset val="1"/>
    </font>
    <font>
      <b val="true"/>
      <sz val="13"/>
      <color rgb="FF0000FF"/>
      <name val="Arial"/>
      <family val="0"/>
      <charset val="1"/>
    </font>
    <font>
      <sz val="10"/>
      <color rgb="FF008000"/>
      <name val="Arial"/>
      <family val="0"/>
      <charset val="1"/>
    </font>
    <font>
      <b val="true"/>
      <sz val="11"/>
      <name val="Arial"/>
      <family val="0"/>
      <charset val="1"/>
    </font>
    <font>
      <b val="true"/>
      <sz val="10"/>
      <color rgb="FF0000FF"/>
      <name val="Arial"/>
      <family val="0"/>
      <charset val="1"/>
    </font>
    <font>
      <b val="true"/>
      <sz val="11"/>
      <color rgb="FFFFFFFF"/>
      <name val="Arial"/>
      <family val="0"/>
      <charset val="1"/>
    </font>
  </fonts>
  <fills count="7">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2E5F9E"/>
        <bgColor rgb="FF3366FF"/>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true" indent="0" shrinkToFit="false"/>
      <protection locked="true" hidden="false"/>
    </xf>
    <xf numFmtId="165" fontId="10" fillId="5" borderId="1" xfId="0" applyFont="true" applyBorder="true" applyAlignment="true" applyProtection="false">
      <alignment horizontal="center"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8" fontId="8" fillId="5" borderId="1" xfId="0" applyFont="true" applyBorder="true" applyAlignment="true" applyProtection="false">
      <alignment horizontal="center"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tru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5" fontId="12" fillId="2"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7" fontId="17" fillId="6" borderId="1" xfId="0" applyFont="tru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2F2F2"/>
          <bgColor rgb="FF000000"/>
        </patternFill>
      </fill>
    </dxf>
    <dxf>
      <font>
        <name val="Arial"/>
        <charset val="1"/>
        <family val="0"/>
        <b val="1"/>
        <color rgb="FF9C0006"/>
        <sz val="10"/>
      </font>
      <fill>
        <patternFill>
          <bgColor rgb="FFFFC7CE"/>
        </patternFill>
      </fill>
    </dxf>
    <dxf>
      <font>
        <name val="Arial"/>
        <charset val="1"/>
        <family val="0"/>
        <color rgb="FF006100"/>
        <sz val="10"/>
      </font>
      <fill>
        <patternFill>
          <bgColor rgb="FFC6EFCE"/>
        </patternFill>
      </fill>
    </dxf>
    <dxf>
      <fill>
        <patternFill patternType="solid">
          <fgColor rgb="FFDCE6F1"/>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0B0B0"/>
      <rgbColor rgb="FF808080"/>
      <rgbColor rgb="FF9999FF"/>
      <rgbColor rgb="FF993366"/>
      <rgbColor rgb="FFF2F2F2"/>
      <rgbColor rgb="FFDCE6F1"/>
      <rgbColor rgb="FF660066"/>
      <rgbColor rgb="FFFF8080"/>
      <rgbColor rgb="FF2E5F9E"/>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2"/>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43.5" hidden="false" customHeight="true" outlineLevel="0" collapsed="false">
      <c r="B6" s="5" t="s">
        <v>3</v>
      </c>
      <c r="C6" s="6" t="s">
        <v>4</v>
      </c>
    </row>
    <row r="7" customFormat="false" ht="43.5" hidden="false" customHeight="true" outlineLevel="0" collapsed="false">
      <c r="B7" s="5" t="s">
        <v>5</v>
      </c>
      <c r="C7" s="6" t="s">
        <v>6</v>
      </c>
    </row>
    <row r="8" customFormat="false" ht="43.5" hidden="false" customHeight="true" outlineLevel="0" collapsed="false">
      <c r="B8" s="5" t="s">
        <v>7</v>
      </c>
      <c r="C8" s="6" t="s">
        <v>8</v>
      </c>
    </row>
    <row r="10" customFormat="false" ht="15" hidden="false" customHeight="false" outlineLevel="0" collapsed="false">
      <c r="B10" s="3" t="s">
        <v>9</v>
      </c>
      <c r="C10" s="4"/>
    </row>
    <row r="11" customFormat="false" ht="30" hidden="false" customHeight="true" outlineLevel="0" collapsed="false">
      <c r="B11" s="5" t="s">
        <v>10</v>
      </c>
      <c r="C11" s="6" t="s">
        <v>11</v>
      </c>
    </row>
    <row r="12" customFormat="false" ht="30" hidden="false" customHeight="true" outlineLevel="0" collapsed="false">
      <c r="B12" s="5" t="s">
        <v>12</v>
      </c>
      <c r="C12" s="6" t="s">
        <v>13</v>
      </c>
    </row>
    <row r="13" customFormat="false" ht="30" hidden="false" customHeight="true" outlineLevel="0" collapsed="false">
      <c r="B13" s="5" t="s">
        <v>14</v>
      </c>
      <c r="C13" s="6" t="s">
        <v>15</v>
      </c>
    </row>
    <row r="14" customFormat="false" ht="30" hidden="false" customHeight="true" outlineLevel="0" collapsed="false">
      <c r="B14" s="5" t="s">
        <v>16</v>
      </c>
      <c r="C14" s="6" t="s">
        <v>17</v>
      </c>
    </row>
    <row r="15" customFormat="false" ht="30" hidden="false" customHeight="true" outlineLevel="0" collapsed="false">
      <c r="B15" s="5" t="s">
        <v>18</v>
      </c>
      <c r="C15" s="6" t="s">
        <v>19</v>
      </c>
    </row>
    <row r="17" customFormat="false" ht="15" hidden="false" customHeight="false" outlineLevel="0" collapsed="false">
      <c r="B17" s="3" t="s">
        <v>20</v>
      </c>
      <c r="C17" s="4"/>
    </row>
    <row r="18" customFormat="false" ht="30" hidden="false" customHeight="true" outlineLevel="0" collapsed="false">
      <c r="B18" s="5" t="s">
        <v>21</v>
      </c>
      <c r="C18" s="6" t="s">
        <v>22</v>
      </c>
    </row>
    <row r="19" customFormat="false" ht="30" hidden="false" customHeight="true" outlineLevel="0" collapsed="false">
      <c r="B19" s="5" t="s">
        <v>23</v>
      </c>
      <c r="C19" s="6" t="s">
        <v>24</v>
      </c>
    </row>
    <row r="20" customFormat="false" ht="30" hidden="false" customHeight="true" outlineLevel="0" collapsed="false">
      <c r="B20" s="5" t="s">
        <v>25</v>
      </c>
      <c r="C20" s="6" t="s">
        <v>26</v>
      </c>
    </row>
    <row r="21" customFormat="false" ht="30" hidden="false" customHeight="true" outlineLevel="0" collapsed="false">
      <c r="B21" s="5" t="s">
        <v>27</v>
      </c>
      <c r="C21" s="6" t="s">
        <v>28</v>
      </c>
    </row>
    <row r="22" customFormat="false" ht="30" hidden="false" customHeight="true" outlineLevel="0" collapsed="false">
      <c r="B22" s="5" t="s">
        <v>29</v>
      </c>
      <c r="C22" s="6" t="s">
        <v>30</v>
      </c>
    </row>
    <row r="23" customFormat="false" ht="30" hidden="false" customHeight="true" outlineLevel="0" collapsed="false">
      <c r="B23" s="5" t="s">
        <v>31</v>
      </c>
      <c r="C23" s="6" t="s">
        <v>32</v>
      </c>
    </row>
    <row r="25" customFormat="false" ht="15" hidden="false" customHeight="false" outlineLevel="0" collapsed="false">
      <c r="B25" s="3" t="s">
        <v>33</v>
      </c>
      <c r="C25" s="4"/>
    </row>
    <row r="26" customFormat="false" ht="43.5" hidden="false" customHeight="true" outlineLevel="0" collapsed="false">
      <c r="B26" s="5" t="s">
        <v>34</v>
      </c>
      <c r="C26" s="6" t="s">
        <v>35</v>
      </c>
    </row>
    <row r="27" customFormat="false" ht="43.5" hidden="false" customHeight="true" outlineLevel="0" collapsed="false">
      <c r="B27" s="5" t="s">
        <v>36</v>
      </c>
      <c r="C27" s="6" t="s">
        <v>37</v>
      </c>
    </row>
    <row r="28" customFormat="false" ht="30" hidden="false" customHeight="true" outlineLevel="0" collapsed="false">
      <c r="B28" s="5" t="s">
        <v>38</v>
      </c>
      <c r="C28" s="6" t="s">
        <v>39</v>
      </c>
    </row>
    <row r="29" customFormat="false" ht="30" hidden="false" customHeight="true" outlineLevel="0" collapsed="false">
      <c r="B29" s="5" t="s">
        <v>40</v>
      </c>
      <c r="C29" s="6" t="s">
        <v>41</v>
      </c>
    </row>
    <row r="31" customFormat="false" ht="15" hidden="false" customHeight="false" outlineLevel="0" collapsed="false">
      <c r="B31" s="3" t="s">
        <v>42</v>
      </c>
      <c r="C31" s="4"/>
    </row>
    <row r="32" customFormat="false" ht="43.5" hidden="false" customHeight="true" outlineLevel="0" collapsed="false">
      <c r="B32" s="5" t="s">
        <v>43</v>
      </c>
      <c r="C32" s="6" t="s">
        <v>44</v>
      </c>
    </row>
    <row r="33" customFormat="false" ht="43.5" hidden="false" customHeight="true" outlineLevel="0" collapsed="false">
      <c r="B33" s="5" t="s">
        <v>45</v>
      </c>
      <c r="C33" s="6" t="s">
        <v>46</v>
      </c>
    </row>
    <row r="34" customFormat="false" ht="30" hidden="false" customHeight="true" outlineLevel="0" collapsed="false">
      <c r="B34" s="5" t="s">
        <v>47</v>
      </c>
      <c r="C34" s="6" t="s">
        <v>48</v>
      </c>
    </row>
    <row r="35" customFormat="false" ht="43.5" hidden="false" customHeight="true" outlineLevel="0" collapsed="false">
      <c r="B35" s="5" t="s">
        <v>49</v>
      </c>
      <c r="C35" s="6" t="s">
        <v>50</v>
      </c>
    </row>
    <row r="37" customFormat="false" ht="15" hidden="false" customHeight="false" outlineLevel="0" collapsed="false">
      <c r="B37" s="3" t="s">
        <v>51</v>
      </c>
      <c r="C37" s="4"/>
    </row>
    <row r="38" customFormat="false" ht="30" hidden="false" customHeight="true" outlineLevel="0" collapsed="false">
      <c r="B38" s="5" t="s">
        <v>52</v>
      </c>
      <c r="C38" s="6" t="s">
        <v>53</v>
      </c>
    </row>
    <row r="39" customFormat="false" ht="30" hidden="false" customHeight="true" outlineLevel="0" collapsed="false">
      <c r="B39" s="5" t="s">
        <v>54</v>
      </c>
      <c r="C39" s="6" t="s">
        <v>55</v>
      </c>
    </row>
    <row r="40" customFormat="false" ht="30" hidden="false" customHeight="true" outlineLevel="0" collapsed="false">
      <c r="B40" s="5" t="s">
        <v>56</v>
      </c>
      <c r="C40" s="6"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16"/>
    <col collapsed="false" customWidth="true" hidden="false" outlineLevel="0" max="5" min="4" style="0" width="15"/>
    <col collapsed="false" customWidth="true" hidden="false" outlineLevel="0" max="6" min="6" style="0" width="13"/>
    <col collapsed="false" customWidth="true" hidden="false" outlineLevel="0" max="7" min="7" style="0" width="10"/>
  </cols>
  <sheetData>
    <row r="1" customFormat="false" ht="17.35" hidden="false" customHeight="false" outlineLevel="0" collapsed="false">
      <c r="A1" s="1" t="s">
        <v>58</v>
      </c>
    </row>
    <row r="2" customFormat="false" ht="15" hidden="false" customHeight="false" outlineLevel="0" collapsed="false">
      <c r="A2" s="2" t="s">
        <v>59</v>
      </c>
    </row>
    <row r="3" customFormat="false" ht="33.75" hidden="false" customHeight="true" outlineLevel="0" collapsed="false">
      <c r="A3" s="7" t="s">
        <v>60</v>
      </c>
      <c r="B3" s="7" t="s">
        <v>61</v>
      </c>
      <c r="C3" s="7" t="s">
        <v>62</v>
      </c>
      <c r="D3" s="7" t="s">
        <v>63</v>
      </c>
      <c r="E3" s="7" t="s">
        <v>64</v>
      </c>
      <c r="F3" s="7" t="s">
        <v>65</v>
      </c>
      <c r="G3" s="7" t="s">
        <v>66</v>
      </c>
    </row>
    <row r="4" customFormat="false" ht="15" hidden="false" customHeight="false" outlineLevel="0" collapsed="false">
      <c r="A4" s="8" t="s">
        <v>67</v>
      </c>
      <c r="B4" s="9" t="n">
        <v>12</v>
      </c>
      <c r="C4" s="9" t="n">
        <v>8500</v>
      </c>
      <c r="D4" s="10" t="n">
        <f aca="false">IF(OR($A4="",$B4=0),"",$C4/$B4)</f>
        <v>708.333333333333</v>
      </c>
      <c r="E4" s="9" t="n">
        <v>1000</v>
      </c>
      <c r="F4" s="10" t="n">
        <f aca="false">IF($A4="","",$E4-$D4)</f>
        <v>291.666666666667</v>
      </c>
      <c r="G4" s="11" t="n">
        <f aca="false">IF(OR($A4="",$E4=0),"",($E4-$D4)/$E4)</f>
        <v>0.291666666666667</v>
      </c>
    </row>
    <row r="5" customFormat="false" ht="15" hidden="false" customHeight="false" outlineLevel="0" collapsed="false">
      <c r="A5" s="8" t="s">
        <v>68</v>
      </c>
      <c r="B5" s="9" t="n">
        <v>12</v>
      </c>
      <c r="C5" s="9" t="n">
        <v>8500</v>
      </c>
      <c r="D5" s="10" t="n">
        <f aca="false">IF(OR($A5="",$B5=0),"",$C5/$B5)</f>
        <v>708.333333333333</v>
      </c>
      <c r="E5" s="9" t="n">
        <v>1000</v>
      </c>
      <c r="F5" s="10" t="n">
        <f aca="false">IF($A5="","",$E5-$D5)</f>
        <v>291.666666666667</v>
      </c>
      <c r="G5" s="11" t="n">
        <f aca="false">IF(OR($A5="",$E5=0),"",($E5-$D5)/$E5)</f>
        <v>0.291666666666667</v>
      </c>
    </row>
    <row r="6" customFormat="false" ht="15" hidden="false" customHeight="false" outlineLevel="0" collapsed="false">
      <c r="A6" s="8" t="s">
        <v>69</v>
      </c>
      <c r="B6" s="9" t="n">
        <v>12</v>
      </c>
      <c r="C6" s="9" t="n">
        <v>8500</v>
      </c>
      <c r="D6" s="10" t="n">
        <f aca="false">IF(OR($A6="",$B6=0),"",$C6/$B6)</f>
        <v>708.333333333333</v>
      </c>
      <c r="E6" s="9" t="n">
        <v>1000</v>
      </c>
      <c r="F6" s="10" t="n">
        <f aca="false">IF($A6="","",$E6-$D6)</f>
        <v>291.666666666667</v>
      </c>
      <c r="G6" s="11" t="n">
        <f aca="false">IF(OR($A6="",$E6=0),"",($E6-$D6)/$E6)</f>
        <v>0.291666666666667</v>
      </c>
    </row>
    <row r="7" customFormat="false" ht="15" hidden="false" customHeight="false" outlineLevel="0" collapsed="false">
      <c r="A7" s="8" t="s">
        <v>70</v>
      </c>
      <c r="B7" s="9" t="n">
        <v>12</v>
      </c>
      <c r="C7" s="9" t="n">
        <v>8500</v>
      </c>
      <c r="D7" s="10" t="n">
        <f aca="false">IF(OR($A7="",$B7=0),"",$C7/$B7)</f>
        <v>708.333333333333</v>
      </c>
      <c r="E7" s="9" t="n">
        <v>1000</v>
      </c>
      <c r="F7" s="10" t="n">
        <f aca="false">IF($A7="","",$E7-$D7)</f>
        <v>291.666666666667</v>
      </c>
      <c r="G7" s="11" t="n">
        <f aca="false">IF(OR($A7="",$E7=0),"",($E7-$D7)/$E7)</f>
        <v>0.291666666666667</v>
      </c>
    </row>
    <row r="8" customFormat="false" ht="15" hidden="false" customHeight="false" outlineLevel="0" collapsed="false">
      <c r="A8" s="8" t="s">
        <v>71</v>
      </c>
      <c r="B8" s="9" t="n">
        <v>12</v>
      </c>
      <c r="C8" s="9" t="n">
        <v>8500</v>
      </c>
      <c r="D8" s="10" t="n">
        <f aca="false">IF(OR($A8="",$B8=0),"",$C8/$B8)</f>
        <v>708.333333333333</v>
      </c>
      <c r="E8" s="9" t="n">
        <v>1000</v>
      </c>
      <c r="F8" s="10" t="n">
        <f aca="false">IF($A8="","",$E8-$D8)</f>
        <v>291.666666666667</v>
      </c>
      <c r="G8" s="11" t="n">
        <f aca="false">IF(OR($A8="",$E8=0),"",($E8-$D8)/$E8)</f>
        <v>0.291666666666667</v>
      </c>
    </row>
    <row r="9" customFormat="false" ht="15" hidden="false" customHeight="false" outlineLevel="0" collapsed="false">
      <c r="A9" s="8" t="s">
        <v>72</v>
      </c>
      <c r="B9" s="9" t="n">
        <v>12</v>
      </c>
      <c r="C9" s="9" t="n">
        <v>8500</v>
      </c>
      <c r="D9" s="10" t="n">
        <f aca="false">IF(OR($A9="",$B9=0),"",$C9/$B9)</f>
        <v>708.333333333333</v>
      </c>
      <c r="E9" s="9" t="n">
        <v>1000</v>
      </c>
      <c r="F9" s="10" t="n">
        <f aca="false">IF($A9="","",$E9-$D9)</f>
        <v>291.666666666667</v>
      </c>
      <c r="G9" s="11" t="n">
        <f aca="false">IF(OR($A9="",$E9=0),"",($E9-$D9)/$E9)</f>
        <v>0.291666666666667</v>
      </c>
    </row>
    <row r="10" customFormat="false" ht="15" hidden="false" customHeight="false" outlineLevel="0" collapsed="false">
      <c r="A10" s="8" t="s">
        <v>73</v>
      </c>
      <c r="B10" s="9" t="n">
        <v>12</v>
      </c>
      <c r="C10" s="9" t="n">
        <v>8500</v>
      </c>
      <c r="D10" s="10" t="n">
        <f aca="false">IF(OR($A10="",$B10=0),"",$C10/$B10)</f>
        <v>708.333333333333</v>
      </c>
      <c r="E10" s="9" t="n">
        <v>1000</v>
      </c>
      <c r="F10" s="10" t="n">
        <f aca="false">IF($A10="","",$E10-$D10)</f>
        <v>291.666666666667</v>
      </c>
      <c r="G10" s="11" t="n">
        <f aca="false">IF(OR($A10="",$E10=0),"",($E10-$D10)/$E10)</f>
        <v>0.291666666666667</v>
      </c>
    </row>
    <row r="11" customFormat="false" ht="15" hidden="false" customHeight="false" outlineLevel="0" collapsed="false">
      <c r="A11" s="8" t="s">
        <v>74</v>
      </c>
      <c r="B11" s="9" t="n">
        <v>6</v>
      </c>
      <c r="C11" s="9" t="n">
        <v>4000</v>
      </c>
      <c r="D11" s="10" t="n">
        <f aca="false">IF(OR($A11="",$B11=0),"",$C11/$B11)</f>
        <v>666.666666666667</v>
      </c>
      <c r="E11" s="9" t="n">
        <v>1000</v>
      </c>
      <c r="F11" s="10" t="n">
        <f aca="false">IF($A11="","",$E11-$D11)</f>
        <v>333.333333333333</v>
      </c>
      <c r="G11" s="11" t="n">
        <f aca="false">IF(OR($A11="",$E11=0),"",($E11-$D11)/$E11)</f>
        <v>0.333333333333333</v>
      </c>
    </row>
    <row r="12" customFormat="false" ht="15" hidden="false" customHeight="false" outlineLevel="0" collapsed="false">
      <c r="A12" s="8" t="s">
        <v>75</v>
      </c>
      <c r="B12" s="9" t="n">
        <v>6</v>
      </c>
      <c r="C12" s="9" t="n">
        <v>4000</v>
      </c>
      <c r="D12" s="10" t="n">
        <f aca="false">IF(OR($A12="",$B12=0),"",$C12/$B12)</f>
        <v>666.666666666667</v>
      </c>
      <c r="E12" s="9" t="n">
        <v>1000</v>
      </c>
      <c r="F12" s="10" t="n">
        <f aca="false">IF($A12="","",$E12-$D12)</f>
        <v>333.333333333333</v>
      </c>
      <c r="G12" s="11" t="n">
        <f aca="false">IF(OR($A12="",$E12=0),"",($E12-$D12)/$E12)</f>
        <v>0.333333333333333</v>
      </c>
    </row>
    <row r="13" customFormat="false" ht="15" hidden="false" customHeight="false" outlineLevel="0" collapsed="false">
      <c r="A13" s="8" t="s">
        <v>76</v>
      </c>
      <c r="B13" s="9" t="n">
        <v>12</v>
      </c>
      <c r="C13" s="9" t="n">
        <v>9500</v>
      </c>
      <c r="D13" s="10" t="n">
        <f aca="false">IF(OR($A13="",$B13=0),"",$C13/$B13)</f>
        <v>791.666666666667</v>
      </c>
      <c r="E13" s="9" t="n">
        <v>1000</v>
      </c>
      <c r="F13" s="10" t="n">
        <f aca="false">IF($A13="","",$E13-$D13)</f>
        <v>208.333333333333</v>
      </c>
      <c r="G13" s="11" t="n">
        <f aca="false">IF(OR($A13="",$E13=0),"",($E13-$D13)/$E13)</f>
        <v>0.208333333333333</v>
      </c>
    </row>
    <row r="14" customFormat="false" ht="15" hidden="false" customHeight="false" outlineLevel="0" collapsed="false">
      <c r="A14" s="8" t="s">
        <v>77</v>
      </c>
      <c r="B14" s="9" t="n">
        <v>12</v>
      </c>
      <c r="C14" s="9" t="n">
        <v>8500</v>
      </c>
      <c r="D14" s="10" t="n">
        <f aca="false">IF(OR($A14="",$B14=0),"",$C14/$B14)</f>
        <v>708.333333333333</v>
      </c>
      <c r="E14" s="9" t="n">
        <v>1000</v>
      </c>
      <c r="F14" s="10" t="n">
        <f aca="false">IF($A14="","",$E14-$D14)</f>
        <v>291.666666666667</v>
      </c>
      <c r="G14" s="11" t="n">
        <f aca="false">IF(OR($A14="",$E14=0),"",($E14-$D14)/$E14)</f>
        <v>0.291666666666667</v>
      </c>
    </row>
    <row r="15" customFormat="false" ht="15" hidden="false" customHeight="false" outlineLevel="0" collapsed="false">
      <c r="A15" s="8" t="s">
        <v>78</v>
      </c>
      <c r="B15" s="9" t="n">
        <v>12</v>
      </c>
      <c r="C15" s="9" t="n">
        <v>8500</v>
      </c>
      <c r="D15" s="10" t="n">
        <f aca="false">IF(OR($A15="",$B15=0),"",$C15/$B15)</f>
        <v>708.333333333333</v>
      </c>
      <c r="E15" s="9" t="n">
        <v>1000</v>
      </c>
      <c r="F15" s="10" t="n">
        <f aca="false">IF($A15="","",$E15-$D15)</f>
        <v>291.666666666667</v>
      </c>
      <c r="G15" s="11" t="n">
        <f aca="false">IF(OR($A15="",$E15=0),"",($E15-$D15)/$E15)</f>
        <v>0.291666666666667</v>
      </c>
    </row>
    <row r="16" customFormat="false" ht="15" hidden="false" customHeight="false" outlineLevel="0" collapsed="false">
      <c r="A16" s="8" t="s">
        <v>79</v>
      </c>
      <c r="B16" s="9" t="n">
        <v>12</v>
      </c>
      <c r="C16" s="9" t="n">
        <v>8500</v>
      </c>
      <c r="D16" s="10" t="n">
        <f aca="false">IF(OR($A16="",$B16=0),"",$C16/$B16)</f>
        <v>708.333333333333</v>
      </c>
      <c r="E16" s="9" t="n">
        <v>1000</v>
      </c>
      <c r="F16" s="10" t="n">
        <f aca="false">IF($A16="","",$E16-$D16)</f>
        <v>291.666666666667</v>
      </c>
      <c r="G16" s="11" t="n">
        <f aca="false">IF(OR($A16="",$E16=0),"",($E16-$D16)/$E16)</f>
        <v>0.291666666666667</v>
      </c>
    </row>
    <row r="17" customFormat="false" ht="15" hidden="false" customHeight="false" outlineLevel="0" collapsed="false">
      <c r="A17" s="8" t="s">
        <v>80</v>
      </c>
      <c r="B17" s="9" t="n">
        <v>12</v>
      </c>
      <c r="C17" s="9" t="n">
        <v>14000</v>
      </c>
      <c r="D17" s="10" t="n">
        <f aca="false">IF(OR($A17="",$B17=0),"",$C17/$B17)</f>
        <v>1166.66666666667</v>
      </c>
      <c r="E17" s="9" t="n">
        <v>1500</v>
      </c>
      <c r="F17" s="10" t="n">
        <f aca="false">IF($A17="","",$E17-$D17)</f>
        <v>333.333333333333</v>
      </c>
      <c r="G17" s="11" t="n">
        <f aca="false">IF(OR($A17="",$E17=0),"",($E17-$D17)/$E17)</f>
        <v>0.222222222222222</v>
      </c>
    </row>
    <row r="18" customFormat="false" ht="15" hidden="false" customHeight="false" outlineLevel="0" collapsed="false">
      <c r="A18" s="8" t="s">
        <v>81</v>
      </c>
      <c r="B18" s="9" t="n">
        <v>12</v>
      </c>
      <c r="C18" s="9" t="n">
        <v>14000</v>
      </c>
      <c r="D18" s="10" t="n">
        <f aca="false">IF(OR($A18="",$B18=0),"",$C18/$B18)</f>
        <v>1166.66666666667</v>
      </c>
      <c r="E18" s="9" t="n">
        <v>1500</v>
      </c>
      <c r="F18" s="10" t="n">
        <f aca="false">IF($A18="","",$E18-$D18)</f>
        <v>333.333333333333</v>
      </c>
      <c r="G18" s="11" t="n">
        <f aca="false">IF(OR($A18="",$E18=0),"",($E18-$D18)/$E18)</f>
        <v>0.222222222222222</v>
      </c>
    </row>
    <row r="19" customFormat="false" ht="15" hidden="false" customHeight="false" outlineLevel="0" collapsed="false">
      <c r="A19" s="8" t="s">
        <v>82</v>
      </c>
      <c r="B19" s="9" t="n">
        <v>15</v>
      </c>
      <c r="C19" s="9" t="n">
        <v>13000</v>
      </c>
      <c r="D19" s="10" t="n">
        <f aca="false">IF(OR($A19="",$B19=0),"",$C19/$B19)</f>
        <v>866.666666666667</v>
      </c>
      <c r="E19" s="9" t="n">
        <v>1000</v>
      </c>
      <c r="F19" s="10" t="n">
        <f aca="false">IF($A19="","",$E19-$D19)</f>
        <v>133.333333333333</v>
      </c>
      <c r="G19" s="11" t="n">
        <f aca="false">IF(OR($A19="",$E19=0),"",($E19-$D19)/$E19)</f>
        <v>0.133333333333333</v>
      </c>
    </row>
    <row r="20" customFormat="false" ht="15" hidden="false" customHeight="false" outlineLevel="0" collapsed="false">
      <c r="A20" s="8" t="s">
        <v>83</v>
      </c>
      <c r="B20" s="9" t="n">
        <v>24</v>
      </c>
      <c r="C20" s="9" t="n">
        <v>17000</v>
      </c>
      <c r="D20" s="10" t="n">
        <f aca="false">IF(OR($A20="",$B20=0),"",$C20/$B20)</f>
        <v>708.333333333333</v>
      </c>
      <c r="E20" s="9" t="n">
        <v>1000</v>
      </c>
      <c r="F20" s="10" t="n">
        <f aca="false">IF($A20="","",$E20-$D20)</f>
        <v>291.666666666667</v>
      </c>
      <c r="G20" s="11" t="n">
        <f aca="false">IF(OR($A20="",$E20=0),"",($E20-$D20)/$E20)</f>
        <v>0.291666666666667</v>
      </c>
    </row>
    <row r="21" customFormat="false" ht="15" hidden="false" customHeight="false" outlineLevel="0" collapsed="false">
      <c r="A21" s="8" t="s">
        <v>84</v>
      </c>
      <c r="B21" s="9" t="n">
        <v>24</v>
      </c>
      <c r="C21" s="9" t="n">
        <v>17000</v>
      </c>
      <c r="D21" s="10" t="n">
        <f aca="false">IF(OR($A21="",$B21=0),"",$C21/$B21)</f>
        <v>708.333333333333</v>
      </c>
      <c r="E21" s="9" t="n">
        <v>1000</v>
      </c>
      <c r="F21" s="10" t="n">
        <f aca="false">IF($A21="","",$E21-$D21)</f>
        <v>291.666666666667</v>
      </c>
      <c r="G21" s="11" t="n">
        <f aca="false">IF(OR($A21="",$E21=0),"",($E21-$D21)/$E21)</f>
        <v>0.291666666666667</v>
      </c>
    </row>
    <row r="22" customFormat="false" ht="15" hidden="false" customHeight="false" outlineLevel="0" collapsed="false">
      <c r="A22" s="8" t="s">
        <v>85</v>
      </c>
      <c r="B22" s="9" t="n">
        <v>24</v>
      </c>
      <c r="C22" s="9" t="n">
        <v>15000</v>
      </c>
      <c r="D22" s="10" t="n">
        <f aca="false">IF(OR($A22="",$B22=0),"",$C22/$B22)</f>
        <v>625</v>
      </c>
      <c r="E22" s="9" t="n">
        <v>1000</v>
      </c>
      <c r="F22" s="10" t="n">
        <f aca="false">IF($A22="","",$E22-$D22)</f>
        <v>375</v>
      </c>
      <c r="G22" s="11" t="n">
        <f aca="false">IF(OR($A22="",$E22=0),"",($E22-$D22)/$E22)</f>
        <v>0.375</v>
      </c>
    </row>
    <row r="23" customFormat="false" ht="15" hidden="false" customHeight="false" outlineLevel="0" collapsed="false">
      <c r="A23" s="8" t="s">
        <v>86</v>
      </c>
      <c r="B23" s="9" t="n">
        <v>12</v>
      </c>
      <c r="C23" s="9" t="n">
        <v>5000</v>
      </c>
      <c r="D23" s="10" t="n">
        <f aca="false">IF(OR($A23="",$B23=0),"",$C23/$B23)</f>
        <v>416.666666666667</v>
      </c>
      <c r="E23" s="9" t="n">
        <v>1000</v>
      </c>
      <c r="F23" s="10" t="n">
        <f aca="false">IF($A23="","",$E23-$D23)</f>
        <v>583.333333333333</v>
      </c>
      <c r="G23" s="11" t="n">
        <f aca="false">IF(OR($A23="",$E23=0),"",($E23-$D23)/$E23)</f>
        <v>0.583333333333333</v>
      </c>
    </row>
    <row r="24" customFormat="false" ht="15" hidden="false" customHeight="false" outlineLevel="0" collapsed="false">
      <c r="A24" s="8" t="s">
        <v>87</v>
      </c>
      <c r="B24" s="9" t="n">
        <v>12</v>
      </c>
      <c r="C24" s="9" t="n">
        <v>8500</v>
      </c>
      <c r="D24" s="10" t="n">
        <f aca="false">IF(OR($A24="",$B24=0),"",$C24/$B24)</f>
        <v>708.333333333333</v>
      </c>
      <c r="E24" s="9" t="n">
        <v>1000</v>
      </c>
      <c r="F24" s="10" t="n">
        <f aca="false">IF($A24="","",$E24-$D24)</f>
        <v>291.666666666667</v>
      </c>
      <c r="G24" s="11" t="n">
        <f aca="false">IF(OR($A24="",$E24=0),"",($E24-$D24)/$E24)</f>
        <v>0.291666666666667</v>
      </c>
    </row>
    <row r="25" customFormat="false" ht="15" hidden="false" customHeight="false" outlineLevel="0" collapsed="false">
      <c r="A25" s="8" t="s">
        <v>88</v>
      </c>
      <c r="B25" s="9" t="n">
        <v>24</v>
      </c>
      <c r="C25" s="9" t="n">
        <v>17000</v>
      </c>
      <c r="D25" s="10" t="n">
        <f aca="false">IF(OR($A25="",$B25=0),"",$C25/$B25)</f>
        <v>708.333333333333</v>
      </c>
      <c r="E25" s="9" t="n">
        <v>1000</v>
      </c>
      <c r="F25" s="10" t="n">
        <f aca="false">IF($A25="","",$E25-$D25)</f>
        <v>291.666666666667</v>
      </c>
      <c r="G25" s="11" t="n">
        <f aca="false">IF(OR($A25="",$E25=0),"",($E25-$D25)/$E25)</f>
        <v>0.291666666666667</v>
      </c>
    </row>
    <row r="26" customFormat="false" ht="15" hidden="false" customHeight="false" outlineLevel="0" collapsed="false">
      <c r="A26" s="8" t="s">
        <v>89</v>
      </c>
      <c r="B26" s="9" t="n">
        <v>24</v>
      </c>
      <c r="C26" s="9" t="n">
        <v>19000</v>
      </c>
      <c r="D26" s="10" t="n">
        <f aca="false">IF(OR($A26="",$B26=0),"",$C26/$B26)</f>
        <v>791.666666666667</v>
      </c>
      <c r="E26" s="9" t="n">
        <v>1000</v>
      </c>
      <c r="F26" s="10" t="n">
        <f aca="false">IF($A26="","",$E26-$D26)</f>
        <v>208.333333333333</v>
      </c>
      <c r="G26" s="11" t="n">
        <f aca="false">IF(OR($A26="",$E26=0),"",($E26-$D26)/$E26)</f>
        <v>0.208333333333333</v>
      </c>
    </row>
    <row r="27" customFormat="false" ht="15" hidden="false" customHeight="false" outlineLevel="0" collapsed="false">
      <c r="A27" s="8" t="s">
        <v>90</v>
      </c>
      <c r="B27" s="9" t="n">
        <v>24</v>
      </c>
      <c r="C27" s="9" t="n">
        <v>17000</v>
      </c>
      <c r="D27" s="10" t="n">
        <f aca="false">IF(OR($A27="",$B27=0),"",$C27/$B27)</f>
        <v>708.333333333333</v>
      </c>
      <c r="E27" s="9" t="n">
        <v>1000</v>
      </c>
      <c r="F27" s="10" t="n">
        <f aca="false">IF($A27="","",$E27-$D27)</f>
        <v>291.666666666667</v>
      </c>
      <c r="G27" s="11" t="n">
        <f aca="false">IF(OR($A27="",$E27=0),"",($E27-$D27)/$E27)</f>
        <v>0.291666666666667</v>
      </c>
    </row>
    <row r="28" customFormat="false" ht="15" hidden="false" customHeight="false" outlineLevel="0" collapsed="false">
      <c r="A28" s="8" t="s">
        <v>91</v>
      </c>
      <c r="B28" s="9" t="n">
        <v>24</v>
      </c>
      <c r="C28" s="9" t="n">
        <v>21000</v>
      </c>
      <c r="D28" s="10" t="n">
        <f aca="false">IF(OR($A28="",$B28=0),"",$C28/$B28)</f>
        <v>875</v>
      </c>
      <c r="E28" s="9" t="n">
        <v>1500</v>
      </c>
      <c r="F28" s="10" t="n">
        <f aca="false">IF($A28="","",$E28-$D28)</f>
        <v>625</v>
      </c>
      <c r="G28" s="11" t="n">
        <f aca="false">IF(OR($A28="",$E28=0),"",($E28-$D28)/$E28)</f>
        <v>0.416666666666667</v>
      </c>
    </row>
    <row r="29" customFormat="false" ht="15" hidden="false" customHeight="false" outlineLevel="0" collapsed="false">
      <c r="A29" s="8" t="s">
        <v>92</v>
      </c>
      <c r="B29" s="9" t="n">
        <v>6</v>
      </c>
      <c r="C29" s="9" t="n">
        <v>4500</v>
      </c>
      <c r="D29" s="10" t="n">
        <f aca="false">IF(OR($A29="",$B29=0),"",$C29/$B29)</f>
        <v>750</v>
      </c>
      <c r="E29" s="9" t="n">
        <v>1000</v>
      </c>
      <c r="F29" s="10" t="n">
        <f aca="false">IF($A29="","",$E29-$D29)</f>
        <v>250</v>
      </c>
      <c r="G29" s="11" t="n">
        <f aca="false">IF(OR($A29="",$E29=0),"",($E29-$D29)/$E29)</f>
        <v>0.25</v>
      </c>
    </row>
    <row r="30" customFormat="false" ht="15" hidden="false" customHeight="false" outlineLevel="0" collapsed="false">
      <c r="A30" s="8" t="s">
        <v>93</v>
      </c>
      <c r="B30" s="9" t="n">
        <v>6</v>
      </c>
      <c r="C30" s="9" t="n">
        <v>4500</v>
      </c>
      <c r="D30" s="10" t="n">
        <f aca="false">IF(OR($A30="",$B30=0),"",$C30/$B30)</f>
        <v>750</v>
      </c>
      <c r="E30" s="9" t="n">
        <v>1000</v>
      </c>
      <c r="F30" s="10" t="n">
        <f aca="false">IF($A30="","",$E30-$D30)</f>
        <v>250</v>
      </c>
      <c r="G30" s="11" t="n">
        <f aca="false">IF(OR($A30="",$E30=0),"",($E30-$D30)/$E30)</f>
        <v>0.25</v>
      </c>
    </row>
    <row r="31" customFormat="false" ht="15" hidden="false" customHeight="false" outlineLevel="0" collapsed="false">
      <c r="A31" s="8" t="s">
        <v>94</v>
      </c>
      <c r="B31" s="9" t="n">
        <v>6</v>
      </c>
      <c r="C31" s="9" t="n">
        <v>4500</v>
      </c>
      <c r="D31" s="10" t="n">
        <f aca="false">IF(OR($A31="",$B31=0),"",$C31/$B31)</f>
        <v>750</v>
      </c>
      <c r="E31" s="9" t="n">
        <v>1000</v>
      </c>
      <c r="F31" s="10" t="n">
        <f aca="false">IF($A31="","",$E31-$D31)</f>
        <v>250</v>
      </c>
      <c r="G31" s="11" t="n">
        <f aca="false">IF(OR($A31="",$E31=0),"",($E31-$D31)/$E31)</f>
        <v>0.25</v>
      </c>
    </row>
    <row r="32" customFormat="false" ht="15" hidden="false" customHeight="false" outlineLevel="0" collapsed="false">
      <c r="A32" s="8" t="s">
        <v>95</v>
      </c>
      <c r="B32" s="9" t="n">
        <v>6</v>
      </c>
      <c r="C32" s="9" t="n">
        <v>3000</v>
      </c>
      <c r="D32" s="10" t="n">
        <f aca="false">IF(OR($A32="",$B32=0),"",$C32/$B32)</f>
        <v>500</v>
      </c>
      <c r="E32" s="9" t="n">
        <v>1000</v>
      </c>
      <c r="F32" s="10" t="n">
        <f aca="false">IF($A32="","",$E32-$D32)</f>
        <v>500</v>
      </c>
      <c r="G32" s="11" t="n">
        <f aca="false">IF(OR($A32="",$E32=0),"",($E32-$D32)/$E32)</f>
        <v>0.5</v>
      </c>
    </row>
    <row r="33" customFormat="false" ht="15" hidden="false" customHeight="false" outlineLevel="0" collapsed="false">
      <c r="A33" s="8" t="s">
        <v>96</v>
      </c>
      <c r="B33" s="9" t="n">
        <v>6</v>
      </c>
      <c r="C33" s="9" t="n">
        <v>1450</v>
      </c>
      <c r="D33" s="10" t="n">
        <f aca="false">IF(OR($A33="",$B33=0),"",$C33/$B33)</f>
        <v>241.666666666667</v>
      </c>
      <c r="E33" s="9" t="n">
        <v>500</v>
      </c>
      <c r="F33" s="10" t="n">
        <f aca="false">IF($A33="","",$E33-$D33)</f>
        <v>258.333333333333</v>
      </c>
      <c r="G33" s="11" t="n">
        <f aca="false">IF(OR($A33="",$E33=0),"",($E33-$D33)/$E33)</f>
        <v>0.516666666666667</v>
      </c>
    </row>
    <row r="34" customFormat="false" ht="15" hidden="false" customHeight="false" outlineLevel="0" collapsed="false">
      <c r="A34" s="8" t="s">
        <v>97</v>
      </c>
      <c r="B34" s="9" t="n">
        <v>12</v>
      </c>
      <c r="C34" s="9" t="n">
        <v>4300</v>
      </c>
      <c r="D34" s="10" t="n">
        <f aca="false">IF(OR($A34="",$B34=0),"",$C34/$B34)</f>
        <v>358.333333333333</v>
      </c>
      <c r="E34" s="9" t="n">
        <v>500</v>
      </c>
      <c r="F34" s="10" t="n">
        <f aca="false">IF($A34="","",$E34-$D34)</f>
        <v>141.666666666667</v>
      </c>
      <c r="G34" s="11" t="n">
        <f aca="false">IF(OR($A34="",$E34=0),"",($E34-$D34)/$E34)</f>
        <v>0.283333333333333</v>
      </c>
    </row>
    <row r="35" customFormat="false" ht="15" hidden="false" customHeight="false" outlineLevel="0" collapsed="false">
      <c r="A35" s="8"/>
      <c r="B35" s="9"/>
      <c r="C35" s="9"/>
      <c r="D35" s="10" t="str">
        <f aca="false">IF(OR($A35="",$B35=0),"",$C35/$B35)</f>
        <v/>
      </c>
      <c r="E35" s="9"/>
      <c r="F35" s="10" t="str">
        <f aca="false">IF($A35="","",$E35-$D35)</f>
        <v/>
      </c>
      <c r="G35" s="11" t="str">
        <f aca="false">IF(OR($A35="",$E35=0),"",($E35-$D35)/$E35)</f>
        <v/>
      </c>
    </row>
    <row r="36" customFormat="false" ht="15" hidden="false" customHeight="false" outlineLevel="0" collapsed="false">
      <c r="A36" s="8"/>
      <c r="B36" s="9"/>
      <c r="C36" s="9"/>
      <c r="D36" s="10" t="str">
        <f aca="false">IF(OR($A36="",$B36=0),"",$C36/$B36)</f>
        <v/>
      </c>
      <c r="E36" s="9"/>
      <c r="F36" s="10" t="str">
        <f aca="false">IF($A36="","",$E36-$D36)</f>
        <v/>
      </c>
      <c r="G36" s="11" t="str">
        <f aca="false">IF(OR($A36="",$E36=0),"",($E36-$D36)/$E36)</f>
        <v/>
      </c>
    </row>
    <row r="37" customFormat="false" ht="15" hidden="false" customHeight="false" outlineLevel="0" collapsed="false">
      <c r="A37" s="8"/>
      <c r="B37" s="9"/>
      <c r="C37" s="9"/>
      <c r="D37" s="10" t="str">
        <f aca="false">IF(OR($A37="",$B37=0),"",$C37/$B37)</f>
        <v/>
      </c>
      <c r="E37" s="9"/>
      <c r="F37" s="10" t="str">
        <f aca="false">IF($A37="","",$E37-$D37)</f>
        <v/>
      </c>
      <c r="G37" s="11" t="str">
        <f aca="false">IF(OR($A37="",$E37=0),"",($E37-$D37)/$E37)</f>
        <v/>
      </c>
    </row>
    <row r="38" customFormat="false" ht="15" hidden="false" customHeight="false" outlineLevel="0" collapsed="false">
      <c r="A38" s="8"/>
      <c r="B38" s="9"/>
      <c r="C38" s="9"/>
      <c r="D38" s="10" t="str">
        <f aca="false">IF(OR($A38="",$B38=0),"",$C38/$B38)</f>
        <v/>
      </c>
      <c r="E38" s="9"/>
      <c r="F38" s="10" t="str">
        <f aca="false">IF($A38="","",$E38-$D38)</f>
        <v/>
      </c>
      <c r="G38" s="11" t="str">
        <f aca="false">IF(OR($A38="",$E38=0),"",($E38-$D38)/$E38)</f>
        <v/>
      </c>
    </row>
    <row r="39" customFormat="false" ht="15" hidden="false" customHeight="false" outlineLevel="0" collapsed="false">
      <c r="A39" s="8"/>
      <c r="B39" s="9"/>
      <c r="C39" s="9"/>
      <c r="D39" s="10" t="str">
        <f aca="false">IF(OR($A39="",$B39=0),"",$C39/$B39)</f>
        <v/>
      </c>
      <c r="E39" s="9"/>
      <c r="F39" s="10" t="str">
        <f aca="false">IF($A39="","",$E39-$D39)</f>
        <v/>
      </c>
      <c r="G39" s="11" t="str">
        <f aca="false">IF(OR($A39="",$E39=0),"",($E39-$D39)/$E39)</f>
        <v/>
      </c>
    </row>
    <row r="40" customFormat="false" ht="15" hidden="false" customHeight="false" outlineLevel="0" collapsed="false">
      <c r="A40" s="8"/>
      <c r="B40" s="9"/>
      <c r="C40" s="9"/>
      <c r="D40" s="10" t="str">
        <f aca="false">IF(OR($A40="",$B40=0),"",$C40/$B40)</f>
        <v/>
      </c>
      <c r="E40" s="9"/>
      <c r="F40" s="10" t="str">
        <f aca="false">IF($A40="","",$E40-$D40)</f>
        <v/>
      </c>
      <c r="G40" s="11" t="str">
        <f aca="false">IF(OR($A40="",$E40=0),"",($E40-$D40)/$E40)</f>
        <v/>
      </c>
    </row>
    <row r="41" customFormat="false" ht="15" hidden="false" customHeight="false" outlineLevel="0" collapsed="false">
      <c r="A41" s="8"/>
      <c r="B41" s="9"/>
      <c r="C41" s="9"/>
      <c r="D41" s="10" t="str">
        <f aca="false">IF(OR($A41="",$B41=0),"",$C41/$B41)</f>
        <v/>
      </c>
      <c r="E41" s="9"/>
      <c r="F41" s="10" t="str">
        <f aca="false">IF($A41="","",$E41-$D41)</f>
        <v/>
      </c>
      <c r="G41" s="11" t="str">
        <f aca="false">IF(OR($A41="",$E41=0),"",($E41-$D41)/$E41)</f>
        <v/>
      </c>
    </row>
    <row r="42" customFormat="false" ht="15" hidden="false" customHeight="false" outlineLevel="0" collapsed="false">
      <c r="A42" s="8"/>
      <c r="B42" s="9"/>
      <c r="C42" s="9"/>
      <c r="D42" s="10" t="str">
        <f aca="false">IF(OR($A42="",$B42=0),"",$C42/$B42)</f>
        <v/>
      </c>
      <c r="E42" s="9"/>
      <c r="F42" s="10" t="str">
        <f aca="false">IF($A42="","",$E42-$D42)</f>
        <v/>
      </c>
      <c r="G42" s="11" t="str">
        <f aca="false">IF(OR($A42="",$E42=0),"",($E42-$D42)/$E42)</f>
        <v/>
      </c>
    </row>
    <row r="43" customFormat="false" ht="15" hidden="false" customHeight="false" outlineLevel="0" collapsed="false">
      <c r="A43" s="8"/>
      <c r="B43" s="9"/>
      <c r="C43" s="9"/>
      <c r="D43" s="10" t="str">
        <f aca="false">IF(OR($A43="",$B43=0),"",$C43/$B43)</f>
        <v/>
      </c>
      <c r="E43" s="9"/>
      <c r="F43" s="10" t="str">
        <f aca="false">IF($A43="","",$E43-$D43)</f>
        <v/>
      </c>
      <c r="G43" s="11" t="str">
        <f aca="false">IF(OR($A43="",$E43=0),"",($E43-$D43)/$E43)</f>
        <v/>
      </c>
    </row>
    <row r="44" customFormat="false" ht="15" hidden="false" customHeight="false" outlineLevel="0" collapsed="false">
      <c r="A44" s="8"/>
      <c r="B44" s="9"/>
      <c r="C44" s="9"/>
      <c r="D44" s="10" t="str">
        <f aca="false">IF(OR($A44="",$B44=0),"",$C44/$B44)</f>
        <v/>
      </c>
      <c r="E44" s="9"/>
      <c r="F44" s="10" t="str">
        <f aca="false">IF($A44="","",$E44-$D44)</f>
        <v/>
      </c>
      <c r="G44" s="11" t="str">
        <f aca="false">IF(OR($A44="",$E44=0),"",($E44-$D44)/$E44)</f>
        <v/>
      </c>
    </row>
    <row r="45" customFormat="false" ht="15" hidden="false" customHeight="false" outlineLevel="0" collapsed="false">
      <c r="A45" s="8"/>
      <c r="B45" s="9"/>
      <c r="C45" s="9"/>
      <c r="D45" s="10" t="str">
        <f aca="false">IF(OR($A45="",$B45=0),"",$C45/$B45)</f>
        <v/>
      </c>
      <c r="E45" s="9"/>
      <c r="F45" s="10" t="str">
        <f aca="false">IF($A45="","",$E45-$D45)</f>
        <v/>
      </c>
      <c r="G45" s="11" t="str">
        <f aca="false">IF(OR($A45="",$E45=0),"",($E45-$D45)/$E45)</f>
        <v/>
      </c>
    </row>
    <row r="46" customFormat="false" ht="15" hidden="false" customHeight="false" outlineLevel="0" collapsed="false">
      <c r="A46" s="8"/>
      <c r="B46" s="9"/>
      <c r="C46" s="9"/>
      <c r="D46" s="10" t="str">
        <f aca="false">IF(OR($A46="",$B46=0),"",$C46/$B46)</f>
        <v/>
      </c>
      <c r="E46" s="9"/>
      <c r="F46" s="10" t="str">
        <f aca="false">IF($A46="","",$E46-$D46)</f>
        <v/>
      </c>
      <c r="G46" s="11" t="str">
        <f aca="false">IF(OR($A46="",$E46=0),"",($E46-$D46)/$E46)</f>
        <v/>
      </c>
    </row>
    <row r="47" customFormat="false" ht="15" hidden="false" customHeight="false" outlineLevel="0" collapsed="false">
      <c r="A47" s="8"/>
      <c r="B47" s="9"/>
      <c r="C47" s="9"/>
      <c r="D47" s="10" t="str">
        <f aca="false">IF(OR($A47="",$B47=0),"",$C47/$B47)</f>
        <v/>
      </c>
      <c r="E47" s="9"/>
      <c r="F47" s="10" t="str">
        <f aca="false">IF($A47="","",$E47-$D47)</f>
        <v/>
      </c>
      <c r="G47" s="11" t="str">
        <f aca="false">IF(OR($A47="",$E47=0),"",($E47-$D47)/$E47)</f>
        <v/>
      </c>
    </row>
    <row r="48" customFormat="false" ht="15" hidden="false" customHeight="false" outlineLevel="0" collapsed="false">
      <c r="A48" s="8"/>
      <c r="B48" s="9"/>
      <c r="C48" s="9"/>
      <c r="D48" s="10" t="str">
        <f aca="false">IF(OR($A48="",$B48=0),"",$C48/$B48)</f>
        <v/>
      </c>
      <c r="E48" s="9"/>
      <c r="F48" s="10" t="str">
        <f aca="false">IF($A48="","",$E48-$D48)</f>
        <v/>
      </c>
      <c r="G48" s="11" t="str">
        <f aca="false">IF(OR($A48="",$E48=0),"",($E48-$D48)/$E48)</f>
        <v/>
      </c>
    </row>
    <row r="49" customFormat="false" ht="15" hidden="false" customHeight="false" outlineLevel="0" collapsed="false">
      <c r="A49" s="8"/>
      <c r="B49" s="9"/>
      <c r="C49" s="9"/>
      <c r="D49" s="10" t="str">
        <f aca="false">IF(OR($A49="",$B49=0),"",$C49/$B49)</f>
        <v/>
      </c>
      <c r="E49" s="9"/>
      <c r="F49" s="10" t="str">
        <f aca="false">IF($A49="","",$E49-$D49)</f>
        <v/>
      </c>
      <c r="G49" s="11" t="str">
        <f aca="false">IF(OR($A49="",$E49=0),"",($E49-$D49)/$E49)</f>
        <v/>
      </c>
    </row>
    <row r="50" customFormat="false" ht="15" hidden="false" customHeight="false" outlineLevel="0" collapsed="false">
      <c r="A50" s="8"/>
      <c r="B50" s="9"/>
      <c r="C50" s="9"/>
      <c r="D50" s="10" t="str">
        <f aca="false">IF(OR($A50="",$B50=0),"",$C50/$B50)</f>
        <v/>
      </c>
      <c r="E50" s="9"/>
      <c r="F50" s="10" t="str">
        <f aca="false">IF($A50="","",$E50-$D50)</f>
        <v/>
      </c>
      <c r="G50" s="11" t="str">
        <f aca="false">IF(OR($A50="",$E50=0),"",($E50-$D50)/$E50)</f>
        <v/>
      </c>
    </row>
    <row r="51" customFormat="false" ht="15" hidden="false" customHeight="false" outlineLevel="0" collapsed="false">
      <c r="A51" s="8"/>
      <c r="B51" s="9"/>
      <c r="C51" s="9"/>
      <c r="D51" s="10" t="str">
        <f aca="false">IF(OR($A51="",$B51=0),"",$C51/$B51)</f>
        <v/>
      </c>
      <c r="E51" s="9"/>
      <c r="F51" s="10" t="str">
        <f aca="false">IF($A51="","",$E51-$D51)</f>
        <v/>
      </c>
      <c r="G51" s="11" t="str">
        <f aca="false">IF(OR($A51="",$E51=0),"",($E51-$D51)/$E51)</f>
        <v/>
      </c>
    </row>
    <row r="52" customFormat="false" ht="15" hidden="false" customHeight="false" outlineLevel="0" collapsed="false">
      <c r="A52" s="8"/>
      <c r="B52" s="9"/>
      <c r="C52" s="9"/>
      <c r="D52" s="10" t="str">
        <f aca="false">IF(OR($A52="",$B52=0),"",$C52/$B52)</f>
        <v/>
      </c>
      <c r="E52" s="9"/>
      <c r="F52" s="10" t="str">
        <f aca="false">IF($A52="","",$E52-$D52)</f>
        <v/>
      </c>
      <c r="G52" s="11" t="str">
        <f aca="false">IF(OR($A52="",$E52=0),"",($E52-$D52)/$E52)</f>
        <v/>
      </c>
    </row>
    <row r="53" customFormat="false" ht="15" hidden="false" customHeight="false" outlineLevel="0" collapsed="false">
      <c r="A53" s="8"/>
      <c r="B53" s="9"/>
      <c r="C53" s="9"/>
      <c r="D53" s="10" t="str">
        <f aca="false">IF(OR($A53="",$B53=0),"",$C53/$B53)</f>
        <v/>
      </c>
      <c r="E53" s="9"/>
      <c r="F53" s="10" t="str">
        <f aca="false">IF($A53="","",$E53-$D53)</f>
        <v/>
      </c>
      <c r="G53" s="11" t="str">
        <f aca="false">IF(OR($A53="",$E53=0),"",($E53-$D53)/$E53)</f>
        <v/>
      </c>
    </row>
  </sheetData>
  <autoFilter ref="A3:G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4" min="3" style="0" width="10"/>
    <col collapsed="false" customWidth="true" hidden="false" outlineLevel="0" max="5" min="5" style="0" width="11"/>
    <col collapsed="false" customWidth="true" hidden="false" outlineLevel="0" max="6" min="6" style="0" width="10"/>
    <col collapsed="false" customWidth="true" hidden="false" outlineLevel="0" max="7" min="7" style="0" width="12"/>
    <col collapsed="false" customWidth="true" hidden="false" outlineLevel="0" max="9" min="8" style="0" width="13"/>
    <col collapsed="false" customWidth="true" hidden="false" outlineLevel="0" max="12" min="10" style="0" width="10"/>
    <col collapsed="false" customWidth="true" hidden="false" outlineLevel="0" max="13" min="13" style="0" width="12"/>
    <col collapsed="false" customWidth="true" hidden="false" outlineLevel="0" max="15" min="14" style="0" width="10"/>
    <col collapsed="false" customWidth="true" hidden="false" outlineLevel="0" max="16" min="16" style="0" width="13"/>
    <col collapsed="false" customWidth="true" hidden="false" outlineLevel="0" max="20" min="17" style="0" width="12"/>
  </cols>
  <sheetData>
    <row r="1" customFormat="false" ht="17.35" hidden="false" customHeight="false" outlineLevel="0" collapsed="false">
      <c r="A1" s="1" t="s">
        <v>98</v>
      </c>
    </row>
    <row r="2" customFormat="false" ht="15" hidden="false" customHeight="false" outlineLevel="0" collapsed="false">
      <c r="A2" s="2" t="s">
        <v>99</v>
      </c>
    </row>
    <row r="3" customFormat="false" ht="15" hidden="false" customHeight="false" outlineLevel="0" collapsed="false">
      <c r="A3" s="12"/>
      <c r="B3" s="12"/>
      <c r="C3" s="13" t="s">
        <v>100</v>
      </c>
      <c r="D3" s="13"/>
      <c r="E3" s="13"/>
      <c r="F3" s="13"/>
      <c r="G3" s="13"/>
      <c r="H3" s="13"/>
      <c r="I3" s="13"/>
      <c r="J3" s="13" t="s">
        <v>101</v>
      </c>
      <c r="K3" s="13"/>
      <c r="L3" s="13"/>
      <c r="M3" s="13"/>
      <c r="N3" s="13"/>
      <c r="O3" s="13"/>
      <c r="P3" s="13"/>
      <c r="Q3" s="13"/>
      <c r="R3" s="13"/>
      <c r="S3" s="12"/>
    </row>
    <row r="4" customFormat="false" ht="39.75" hidden="false" customHeight="true" outlineLevel="0" collapsed="false">
      <c r="A4" s="14" t="n">
        <v>46256</v>
      </c>
      <c r="B4" s="15" t="s">
        <v>69</v>
      </c>
      <c r="C4" s="15" t="n">
        <v>5</v>
      </c>
      <c r="D4" s="15" t="n">
        <v>0</v>
      </c>
      <c r="E4" s="15" t="n">
        <v>5</v>
      </c>
      <c r="F4" s="16" t="n">
        <f aca="false">IF($B4="","",$C4+$D4-$E4)</f>
        <v>0</v>
      </c>
      <c r="G4" s="16" t="n">
        <f aca="false">IF($B4="","",IFERROR(INDEX(Drinks!$C$4:$C$53,MATCH($B4,Drinks!$A$4:$A$53,0)),0))</f>
        <v>8500</v>
      </c>
      <c r="H4" s="16" t="n">
        <f aca="false">IF($B4="","",$D4*$G4)</f>
        <v>0</v>
      </c>
      <c r="I4" s="16" t="n">
        <f aca="false">IF($B4="","",$F4*$G4)</f>
        <v>0</v>
      </c>
      <c r="J4" s="15" t="n">
        <v>27</v>
      </c>
      <c r="K4" s="16" t="n">
        <f aca="false">IF($B4="","",$E4*IFERROR(INDEX(Drinks!$B$4:$B$53,MATCH($B4,Drinks!$A$4:$A$53,0)),0))</f>
        <v>60</v>
      </c>
      <c r="L4" s="16" t="n">
        <f aca="false">IF($B4="","",$J4+$K4)</f>
        <v>87</v>
      </c>
      <c r="M4" s="15" t="n">
        <v>27</v>
      </c>
      <c r="N4" s="16" t="n">
        <f aca="false">IF($B4="","",$L4-$M4)</f>
        <v>60</v>
      </c>
      <c r="O4" s="16" t="n">
        <f aca="false">IF($B4="","",IFERROR(INDEX(Drinks!$E$4:$E$53,MATCH($B4,Drinks!$A$4:$A$53,0)),0))</f>
        <v>1000</v>
      </c>
      <c r="P4" s="16" t="n">
        <f aca="false">IF($B4="","",$N4*$O4)</f>
        <v>60000</v>
      </c>
      <c r="Q4" s="16" t="n">
        <f aca="false">IF($B4="","",$N4*IFERROR(INDEX(Drinks!$D$4:$D$53,MATCH($B4,Drinks!$A$4:$A$53,0)),0))</f>
        <v>42500</v>
      </c>
      <c r="R4" s="16" t="n">
        <f aca="false">IF($B4="","",$P4-$Q4)</f>
        <v>17500</v>
      </c>
      <c r="S4" s="17" t="str">
        <f aca="false">IF($B4="","",IF(COUNTIFS($A$4:$A$2003,$A4-1,$B$4:$B$2003,$B4)=0,"first day",IF(SUMIFS($M$4:$M$2003,$A$4:$A$2003,$A4-1,$B$4:$B$2003,$B4)=$J4,"OK","CHECK")))</f>
        <v>first day</v>
      </c>
      <c r="T4" s="18" t="s">
        <v>102</v>
      </c>
    </row>
    <row r="5" customFormat="false" ht="15" hidden="false" customHeight="false" outlineLevel="0" collapsed="false">
      <c r="A5" s="19" t="n">
        <v>46256</v>
      </c>
      <c r="B5" s="20" t="s">
        <v>68</v>
      </c>
      <c r="C5" s="20" t="n">
        <v>0</v>
      </c>
      <c r="D5" s="20" t="n">
        <v>6</v>
      </c>
      <c r="E5" s="20" t="n">
        <v>6</v>
      </c>
      <c r="F5" s="21" t="n">
        <f aca="false">IF($B5="","",$C5+$D5-$E5)</f>
        <v>0</v>
      </c>
      <c r="G5" s="21" t="n">
        <f aca="false">IF($B5="","",IFERROR(INDEX(Drinks!$C$4:$C$53,MATCH($B5,Drinks!$A$4:$A$53,0)),0))</f>
        <v>8500</v>
      </c>
      <c r="H5" s="21" t="n">
        <f aca="false">IF($B5="","",$D5*$G5)</f>
        <v>51000</v>
      </c>
      <c r="I5" s="21" t="n">
        <f aca="false">IF($B5="","",$F5*$G5)</f>
        <v>0</v>
      </c>
      <c r="J5" s="20" t="n">
        <v>16</v>
      </c>
      <c r="K5" s="21" t="n">
        <f aca="false">IF($B5="","",$E5*IFERROR(INDEX(Drinks!$B$4:$B$53,MATCH($B5,Drinks!$A$4:$A$53,0)),0))</f>
        <v>72</v>
      </c>
      <c r="L5" s="21" t="n">
        <f aca="false">IF($B5="","",$J5+$K5)</f>
        <v>88</v>
      </c>
      <c r="M5" s="20" t="n">
        <v>73</v>
      </c>
      <c r="N5" s="21" t="n">
        <f aca="false">IF($B5="","",$L5-$M5)</f>
        <v>15</v>
      </c>
      <c r="O5" s="21" t="n">
        <f aca="false">IF($B5="","",IFERROR(INDEX(Drinks!$E$4:$E$53,MATCH($B5,Drinks!$A$4:$A$53,0)),0))</f>
        <v>1000</v>
      </c>
      <c r="P5" s="21" t="n">
        <f aca="false">IF($B5="","",$N5*$O5)</f>
        <v>15000</v>
      </c>
      <c r="Q5" s="21" t="n">
        <f aca="false">IF($B5="","",$N5*IFERROR(INDEX(Drinks!$D$4:$D$53,MATCH($B5,Drinks!$A$4:$A$53,0)),0))</f>
        <v>10625</v>
      </c>
      <c r="R5" s="21" t="n">
        <f aca="false">IF($B5="","",$P5-$Q5)</f>
        <v>4375</v>
      </c>
      <c r="S5" s="17" t="str">
        <f aca="false">IF($B5="","",IF(COUNTIFS($A$4:$A$2003,$A5-1,$B$4:$B$2003,$B5)=0,"first day",IF(SUMIFS($M$4:$M$2003,$A$4:$A$2003,$A5-1,$B$4:$B$2003,$B5)=$J5,"OK","CHECK")))</f>
        <v>first day</v>
      </c>
      <c r="T5" s="10" t="n">
        <f aca="false">IF($B5="","",IFERROR(INDEX(Drinks!$D$4:$D$53,MATCH($B5,Drinks!$A$4:$A$53,0)),0))</f>
        <v>708.333333333333</v>
      </c>
    </row>
    <row r="6" customFormat="false" ht="15" hidden="false" customHeight="false" outlineLevel="0" collapsed="false">
      <c r="A6" s="19" t="n">
        <v>46256</v>
      </c>
      <c r="B6" s="20" t="s">
        <v>70</v>
      </c>
      <c r="C6" s="20" t="n">
        <v>0</v>
      </c>
      <c r="D6" s="20" t="n">
        <v>5</v>
      </c>
      <c r="E6" s="20" t="n">
        <v>5</v>
      </c>
      <c r="F6" s="21" t="n">
        <f aca="false">IF($B6="","",$C6+$D6-$E6)</f>
        <v>0</v>
      </c>
      <c r="G6" s="21" t="n">
        <f aca="false">IF($B6="","",IFERROR(INDEX(Drinks!$C$4:$C$53,MATCH($B6,Drinks!$A$4:$A$53,0)),0))</f>
        <v>8500</v>
      </c>
      <c r="H6" s="21" t="n">
        <f aca="false">IF($B6="","",$D6*$G6)</f>
        <v>42500</v>
      </c>
      <c r="I6" s="21" t="n">
        <f aca="false">IF($B6="","",$F6*$G6)</f>
        <v>0</v>
      </c>
      <c r="J6" s="20" t="n">
        <v>16</v>
      </c>
      <c r="K6" s="21" t="n">
        <f aca="false">IF($B6="","",$E6*IFERROR(INDEX(Drinks!$B$4:$B$53,MATCH($B6,Drinks!$A$4:$A$53,0)),0))</f>
        <v>60</v>
      </c>
      <c r="L6" s="21" t="n">
        <f aca="false">IF($B6="","",$J6+$K6)</f>
        <v>76</v>
      </c>
      <c r="M6" s="20" t="n">
        <v>57</v>
      </c>
      <c r="N6" s="21" t="n">
        <f aca="false">IF($B6="","",$L6-$M6)</f>
        <v>19</v>
      </c>
      <c r="O6" s="21" t="n">
        <f aca="false">IF($B6="","",IFERROR(INDEX(Drinks!$E$4:$E$53,MATCH($B6,Drinks!$A$4:$A$53,0)),0))</f>
        <v>1000</v>
      </c>
      <c r="P6" s="21" t="n">
        <f aca="false">IF($B6="","",$N6*$O6)</f>
        <v>19000</v>
      </c>
      <c r="Q6" s="21" t="n">
        <f aca="false">IF($B6="","",$N6*IFERROR(INDEX(Drinks!$D$4:$D$53,MATCH($B6,Drinks!$A$4:$A$53,0)),0))</f>
        <v>13458.3333333333</v>
      </c>
      <c r="R6" s="21" t="n">
        <f aca="false">IF($B6="","",$P6-$Q6)</f>
        <v>5541.66666666667</v>
      </c>
      <c r="S6" s="17" t="str">
        <f aca="false">IF($B6="","",IF(COUNTIFS($A$4:$A$2003,$A6-1,$B$4:$B$2003,$B6)=0,"first day",IF(SUMIFS($M$4:$M$2003,$A$4:$A$2003,$A6-1,$B$4:$B$2003,$B6)=$J6,"OK","CHECK")))</f>
        <v>first day</v>
      </c>
      <c r="T6" s="10" t="n">
        <f aca="false">IF($B6="","",IFERROR(INDEX(Drinks!$D$4:$D$53,MATCH($B6,Drinks!$A$4:$A$53,0)),0))</f>
        <v>708.333333333333</v>
      </c>
    </row>
    <row r="7" customFormat="false" ht="15" hidden="false" customHeight="false" outlineLevel="0" collapsed="false">
      <c r="A7" s="19" t="n">
        <v>46256</v>
      </c>
      <c r="B7" s="20" t="s">
        <v>72</v>
      </c>
      <c r="C7" s="20" t="n">
        <v>1</v>
      </c>
      <c r="D7" s="20" t="n">
        <v>0</v>
      </c>
      <c r="E7" s="20" t="n">
        <v>0</v>
      </c>
      <c r="F7" s="21" t="n">
        <f aca="false">IF($B7="","",$C7+$D7-$E7)</f>
        <v>1</v>
      </c>
      <c r="G7" s="21" t="n">
        <f aca="false">IF($B7="","",IFERROR(INDEX(Drinks!$C$4:$C$53,MATCH($B7,Drinks!$A$4:$A$53,0)),0))</f>
        <v>8500</v>
      </c>
      <c r="H7" s="21" t="n">
        <f aca="false">IF($B7="","",$D7*$G7)</f>
        <v>0</v>
      </c>
      <c r="I7" s="21" t="n">
        <f aca="false">IF($B7="","",$F7*$G7)</f>
        <v>8500</v>
      </c>
      <c r="J7" s="20" t="n">
        <v>13</v>
      </c>
      <c r="K7" s="21" t="n">
        <f aca="false">IF($B7="","",$E7*IFERROR(INDEX(Drinks!$B$4:$B$53,MATCH($B7,Drinks!$A$4:$A$53,0)),0))</f>
        <v>0</v>
      </c>
      <c r="L7" s="21" t="n">
        <f aca="false">IF($B7="","",$J7+$K7)</f>
        <v>13</v>
      </c>
      <c r="M7" s="20" t="n">
        <v>5</v>
      </c>
      <c r="N7" s="21" t="n">
        <f aca="false">IF($B7="","",$L7-$M7)</f>
        <v>8</v>
      </c>
      <c r="O7" s="21" t="n">
        <f aca="false">IF($B7="","",IFERROR(INDEX(Drinks!$E$4:$E$53,MATCH($B7,Drinks!$A$4:$A$53,0)),0))</f>
        <v>1000</v>
      </c>
      <c r="P7" s="21" t="n">
        <f aca="false">IF($B7="","",$N7*$O7)</f>
        <v>8000</v>
      </c>
      <c r="Q7" s="21" t="n">
        <f aca="false">IF($B7="","",$N7*IFERROR(INDEX(Drinks!$D$4:$D$53,MATCH($B7,Drinks!$A$4:$A$53,0)),0))</f>
        <v>5666.66666666667</v>
      </c>
      <c r="R7" s="21" t="n">
        <f aca="false">IF($B7="","",$P7-$Q7)</f>
        <v>2333.33333333333</v>
      </c>
      <c r="S7" s="17" t="str">
        <f aca="false">IF($B7="","",IF(COUNTIFS($A$4:$A$2003,$A7-1,$B$4:$B$2003,$B7)=0,"first day",IF(SUMIFS($M$4:$M$2003,$A$4:$A$2003,$A7-1,$B$4:$B$2003,$B7)=$J7,"OK","CHECK")))</f>
        <v>first day</v>
      </c>
      <c r="T7" s="10" t="n">
        <f aca="false">IF($B7="","",IFERROR(INDEX(Drinks!$D$4:$D$53,MATCH($B7,Drinks!$A$4:$A$53,0)),0))</f>
        <v>708.333333333333</v>
      </c>
    </row>
    <row r="8" customFormat="false" ht="15" hidden="false" customHeight="false" outlineLevel="0" collapsed="false">
      <c r="A8" s="19" t="n">
        <v>46256</v>
      </c>
      <c r="B8" s="20" t="s">
        <v>73</v>
      </c>
      <c r="C8" s="20" t="n">
        <v>2</v>
      </c>
      <c r="D8" s="20" t="n">
        <v>0</v>
      </c>
      <c r="E8" s="20" t="n">
        <v>0</v>
      </c>
      <c r="F8" s="21" t="n">
        <f aca="false">IF($B8="","",$C8+$D8-$E8)</f>
        <v>2</v>
      </c>
      <c r="G8" s="21" t="n">
        <f aca="false">IF($B8="","",IFERROR(INDEX(Drinks!$C$4:$C$53,MATCH($B8,Drinks!$A$4:$A$53,0)),0))</f>
        <v>8500</v>
      </c>
      <c r="H8" s="21" t="n">
        <f aca="false">IF($B8="","",$D8*$G8)</f>
        <v>0</v>
      </c>
      <c r="I8" s="21" t="n">
        <f aca="false">IF($B8="","",$F8*$G8)</f>
        <v>17000</v>
      </c>
      <c r="J8" s="20" t="n">
        <v>9</v>
      </c>
      <c r="K8" s="21" t="n">
        <f aca="false">IF($B8="","",$E8*IFERROR(INDEX(Drinks!$B$4:$B$53,MATCH($B8,Drinks!$A$4:$A$53,0)),0))</f>
        <v>0</v>
      </c>
      <c r="L8" s="21" t="n">
        <f aca="false">IF($B8="","",$J8+$K8)</f>
        <v>9</v>
      </c>
      <c r="M8" s="20" t="n">
        <v>0</v>
      </c>
      <c r="N8" s="21" t="n">
        <f aca="false">IF($B8="","",$L8-$M8)</f>
        <v>9</v>
      </c>
      <c r="O8" s="21" t="n">
        <f aca="false">IF($B8="","",IFERROR(INDEX(Drinks!$E$4:$E$53,MATCH($B8,Drinks!$A$4:$A$53,0)),0))</f>
        <v>1000</v>
      </c>
      <c r="P8" s="21" t="n">
        <f aca="false">IF($B8="","",$N8*$O8)</f>
        <v>9000</v>
      </c>
      <c r="Q8" s="21" t="n">
        <f aca="false">IF($B8="","",$N8*IFERROR(INDEX(Drinks!$D$4:$D$53,MATCH($B8,Drinks!$A$4:$A$53,0)),0))</f>
        <v>6375</v>
      </c>
      <c r="R8" s="21" t="n">
        <f aca="false">IF($B8="","",$P8-$Q8)</f>
        <v>2625</v>
      </c>
      <c r="S8" s="17" t="str">
        <f aca="false">IF($B8="","",IF(COUNTIFS($A$4:$A$2003,$A8-1,$B$4:$B$2003,$B8)=0,"first day",IF(SUMIFS($M$4:$M$2003,$A$4:$A$2003,$A8-1,$B$4:$B$2003,$B8)=$J8,"OK","CHECK")))</f>
        <v>first day</v>
      </c>
      <c r="T8" s="10" t="n">
        <f aca="false">IF($B8="","",IFERROR(INDEX(Drinks!$D$4:$D$53,MATCH($B8,Drinks!$A$4:$A$53,0)),0))</f>
        <v>708.333333333333</v>
      </c>
    </row>
    <row r="9" customFormat="false" ht="15" hidden="false" customHeight="false" outlineLevel="0" collapsed="false">
      <c r="A9" s="19" t="n">
        <v>46256</v>
      </c>
      <c r="B9" s="20" t="s">
        <v>67</v>
      </c>
      <c r="C9" s="20" t="n">
        <v>0</v>
      </c>
      <c r="D9" s="20" t="n">
        <v>0</v>
      </c>
      <c r="E9" s="20" t="n">
        <v>0</v>
      </c>
      <c r="F9" s="21" t="n">
        <f aca="false">IF($B9="","",$C9+$D9-$E9)</f>
        <v>0</v>
      </c>
      <c r="G9" s="21" t="n">
        <f aca="false">IF($B9="","",IFERROR(INDEX(Drinks!$C$4:$C$53,MATCH($B9,Drinks!$A$4:$A$53,0)),0))</f>
        <v>8500</v>
      </c>
      <c r="H9" s="21" t="n">
        <f aca="false">IF($B9="","",$D9*$G9)</f>
        <v>0</v>
      </c>
      <c r="I9" s="21" t="n">
        <f aca="false">IF($B9="","",$F9*$G9)</f>
        <v>0</v>
      </c>
      <c r="J9" s="20" t="n">
        <v>7</v>
      </c>
      <c r="K9" s="21" t="n">
        <f aca="false">IF($B9="","",$E9*IFERROR(INDEX(Drinks!$B$4:$B$53,MATCH($B9,Drinks!$A$4:$A$53,0)),0))</f>
        <v>0</v>
      </c>
      <c r="L9" s="21" t="n">
        <f aca="false">IF($B9="","",$J9+$K9)</f>
        <v>7</v>
      </c>
      <c r="M9" s="20" t="n">
        <v>1</v>
      </c>
      <c r="N9" s="21" t="n">
        <f aca="false">IF($B9="","",$L9-$M9)</f>
        <v>6</v>
      </c>
      <c r="O9" s="21" t="n">
        <f aca="false">IF($B9="","",IFERROR(INDEX(Drinks!$E$4:$E$53,MATCH($B9,Drinks!$A$4:$A$53,0)),0))</f>
        <v>1000</v>
      </c>
      <c r="P9" s="21" t="n">
        <f aca="false">IF($B9="","",$N9*$O9)</f>
        <v>6000</v>
      </c>
      <c r="Q9" s="21" t="n">
        <f aca="false">IF($B9="","",$N9*IFERROR(INDEX(Drinks!$D$4:$D$53,MATCH($B9,Drinks!$A$4:$A$53,0)),0))</f>
        <v>4250</v>
      </c>
      <c r="R9" s="21" t="n">
        <f aca="false">IF($B9="","",$P9-$Q9)</f>
        <v>1750</v>
      </c>
      <c r="S9" s="17" t="str">
        <f aca="false">IF($B9="","",IF(COUNTIFS($A$4:$A$2003,$A9-1,$B$4:$B$2003,$B9)=0,"first day",IF(SUMIFS($M$4:$M$2003,$A$4:$A$2003,$A9-1,$B$4:$B$2003,$B9)=$J9,"OK","CHECK")))</f>
        <v>first day</v>
      </c>
      <c r="T9" s="10" t="n">
        <f aca="false">IF($B9="","",IFERROR(INDEX(Drinks!$D$4:$D$53,MATCH($B9,Drinks!$A$4:$A$53,0)),0))</f>
        <v>708.333333333333</v>
      </c>
    </row>
    <row r="10" customFormat="false" ht="15" hidden="false" customHeight="false" outlineLevel="0" collapsed="false">
      <c r="A10" s="19" t="n">
        <v>46256</v>
      </c>
      <c r="B10" s="20" t="s">
        <v>71</v>
      </c>
      <c r="C10" s="20" t="n">
        <v>4</v>
      </c>
      <c r="D10" s="20" t="n">
        <v>3</v>
      </c>
      <c r="E10" s="20" t="n">
        <v>3</v>
      </c>
      <c r="F10" s="21" t="n">
        <f aca="false">IF($B10="","",$C10+$D10-$E10)</f>
        <v>4</v>
      </c>
      <c r="G10" s="21" t="n">
        <f aca="false">IF($B10="","",IFERROR(INDEX(Drinks!$C$4:$C$53,MATCH($B10,Drinks!$A$4:$A$53,0)),0))</f>
        <v>8500</v>
      </c>
      <c r="H10" s="21" t="n">
        <f aca="false">IF($B10="","",$D10*$G10)</f>
        <v>25500</v>
      </c>
      <c r="I10" s="21" t="n">
        <f aca="false">IF($B10="","",$F10*$G10)</f>
        <v>34000</v>
      </c>
      <c r="J10" s="20" t="n">
        <v>0</v>
      </c>
      <c r="K10" s="21" t="n">
        <f aca="false">IF($B10="","",$E10*IFERROR(INDEX(Drinks!$B$4:$B$53,MATCH($B10,Drinks!$A$4:$A$53,0)),0))</f>
        <v>36</v>
      </c>
      <c r="L10" s="21" t="n">
        <f aca="false">IF($B10="","",$J10+$K10)</f>
        <v>36</v>
      </c>
      <c r="M10" s="20" t="n">
        <v>34</v>
      </c>
      <c r="N10" s="21" t="n">
        <f aca="false">IF($B10="","",$L10-$M10)</f>
        <v>2</v>
      </c>
      <c r="O10" s="21" t="n">
        <f aca="false">IF($B10="","",IFERROR(INDEX(Drinks!$E$4:$E$53,MATCH($B10,Drinks!$A$4:$A$53,0)),0))</f>
        <v>1000</v>
      </c>
      <c r="P10" s="21" t="n">
        <f aca="false">IF($B10="","",$N10*$O10)</f>
        <v>2000</v>
      </c>
      <c r="Q10" s="21" t="n">
        <f aca="false">IF($B10="","",$N10*IFERROR(INDEX(Drinks!$D$4:$D$53,MATCH($B10,Drinks!$A$4:$A$53,0)),0))</f>
        <v>1416.66666666667</v>
      </c>
      <c r="R10" s="21" t="n">
        <f aca="false">IF($B10="","",$P10-$Q10)</f>
        <v>583.333333333333</v>
      </c>
      <c r="S10" s="17" t="str">
        <f aca="false">IF($B10="","",IF(COUNTIFS($A$4:$A$2003,$A10-1,$B$4:$B$2003,$B10)=0,"first day",IF(SUMIFS($M$4:$M$2003,$A$4:$A$2003,$A10-1,$B$4:$B$2003,$B10)=$J10,"OK","CHECK")))</f>
        <v>first day</v>
      </c>
      <c r="T10" s="10" t="n">
        <f aca="false">IF($B10="","",IFERROR(INDEX(Drinks!$D$4:$D$53,MATCH($B10,Drinks!$A$4:$A$53,0)),0))</f>
        <v>708.333333333333</v>
      </c>
    </row>
    <row r="11" customFormat="false" ht="15" hidden="false" customHeight="false" outlineLevel="0" collapsed="false">
      <c r="A11" s="19" t="n">
        <v>46256</v>
      </c>
      <c r="B11" s="20" t="s">
        <v>74</v>
      </c>
      <c r="C11" s="20" t="n">
        <v>0</v>
      </c>
      <c r="D11" s="20" t="n">
        <v>0</v>
      </c>
      <c r="E11" s="20" t="n">
        <v>0</v>
      </c>
      <c r="F11" s="21" t="n">
        <f aca="false">IF($B11="","",$C11+$D11-$E11)</f>
        <v>0</v>
      </c>
      <c r="G11" s="21" t="n">
        <f aca="false">IF($B11="","",IFERROR(INDEX(Drinks!$C$4:$C$53,MATCH($B11,Drinks!$A$4:$A$53,0)),0))</f>
        <v>4000</v>
      </c>
      <c r="H11" s="21" t="n">
        <f aca="false">IF($B11="","",$D11*$G11)</f>
        <v>0</v>
      </c>
      <c r="I11" s="21" t="n">
        <f aca="false">IF($B11="","",$F11*$G11)</f>
        <v>0</v>
      </c>
      <c r="J11" s="20" t="n">
        <v>1</v>
      </c>
      <c r="K11" s="21" t="n">
        <f aca="false">IF($B11="","",$E11*IFERROR(INDEX(Drinks!$B$4:$B$53,MATCH($B11,Drinks!$A$4:$A$53,0)),0))</f>
        <v>0</v>
      </c>
      <c r="L11" s="21" t="n">
        <f aca="false">IF($B11="","",$J11+$K11)</f>
        <v>1</v>
      </c>
      <c r="M11" s="20" t="n">
        <v>1</v>
      </c>
      <c r="N11" s="21" t="n">
        <f aca="false">IF($B11="","",$L11-$M11)</f>
        <v>0</v>
      </c>
      <c r="O11" s="21" t="n">
        <f aca="false">IF($B11="","",IFERROR(INDEX(Drinks!$E$4:$E$53,MATCH($B11,Drinks!$A$4:$A$53,0)),0))</f>
        <v>1000</v>
      </c>
      <c r="P11" s="21" t="n">
        <f aca="false">IF($B11="","",$N11*$O11)</f>
        <v>0</v>
      </c>
      <c r="Q11" s="21" t="n">
        <f aca="false">IF($B11="","",$N11*IFERROR(INDEX(Drinks!$D$4:$D$53,MATCH($B11,Drinks!$A$4:$A$53,0)),0))</f>
        <v>0</v>
      </c>
      <c r="R11" s="21" t="n">
        <f aca="false">IF($B11="","",$P11-$Q11)</f>
        <v>0</v>
      </c>
      <c r="S11" s="17" t="str">
        <f aca="false">IF($B11="","",IF(COUNTIFS($A$4:$A$2003,$A11-1,$B$4:$B$2003,$B11)=0,"first day",IF(SUMIFS($M$4:$M$2003,$A$4:$A$2003,$A11-1,$B$4:$B$2003,$B11)=$J11,"OK","CHECK")))</f>
        <v>first day</v>
      </c>
      <c r="T11" s="10" t="n">
        <f aca="false">IF($B11="","",IFERROR(INDEX(Drinks!$D$4:$D$53,MATCH($B11,Drinks!$A$4:$A$53,0)),0))</f>
        <v>666.666666666667</v>
      </c>
    </row>
    <row r="12" customFormat="false" ht="15" hidden="false" customHeight="false" outlineLevel="0" collapsed="false">
      <c r="A12" s="19" t="n">
        <v>46256</v>
      </c>
      <c r="B12" s="20" t="s">
        <v>75</v>
      </c>
      <c r="C12" s="20" t="n">
        <v>1</v>
      </c>
      <c r="D12" s="20" t="n">
        <v>0</v>
      </c>
      <c r="E12" s="20" t="n">
        <v>0</v>
      </c>
      <c r="F12" s="21" t="n">
        <f aca="false">IF($B12="","",$C12+$D12-$E12)</f>
        <v>1</v>
      </c>
      <c r="G12" s="21" t="n">
        <f aca="false">IF($B12="","",IFERROR(INDEX(Drinks!$C$4:$C$53,MATCH($B12,Drinks!$A$4:$A$53,0)),0))</f>
        <v>4000</v>
      </c>
      <c r="H12" s="21" t="n">
        <f aca="false">IF($B12="","",$D12*$G12)</f>
        <v>0</v>
      </c>
      <c r="I12" s="21" t="n">
        <f aca="false">IF($B12="","",$F12*$G12)</f>
        <v>4000</v>
      </c>
      <c r="J12" s="20" t="n">
        <v>5</v>
      </c>
      <c r="K12" s="21" t="n">
        <f aca="false">IF($B12="","",$E12*IFERROR(INDEX(Drinks!$B$4:$B$53,MATCH($B12,Drinks!$A$4:$A$53,0)),0))</f>
        <v>0</v>
      </c>
      <c r="L12" s="21" t="n">
        <f aca="false">IF($B12="","",$J12+$K12)</f>
        <v>5</v>
      </c>
      <c r="M12" s="20" t="n">
        <v>5</v>
      </c>
      <c r="N12" s="21" t="n">
        <f aca="false">IF($B12="","",$L12-$M12)</f>
        <v>0</v>
      </c>
      <c r="O12" s="21" t="n">
        <f aca="false">IF($B12="","",IFERROR(INDEX(Drinks!$E$4:$E$53,MATCH($B12,Drinks!$A$4:$A$53,0)),0))</f>
        <v>1000</v>
      </c>
      <c r="P12" s="21" t="n">
        <f aca="false">IF($B12="","",$N12*$O12)</f>
        <v>0</v>
      </c>
      <c r="Q12" s="21" t="n">
        <f aca="false">IF($B12="","",$N12*IFERROR(INDEX(Drinks!$D$4:$D$53,MATCH($B12,Drinks!$A$4:$A$53,0)),0))</f>
        <v>0</v>
      </c>
      <c r="R12" s="21" t="n">
        <f aca="false">IF($B12="","",$P12-$Q12)</f>
        <v>0</v>
      </c>
      <c r="S12" s="17" t="str">
        <f aca="false">IF($B12="","",IF(COUNTIFS($A$4:$A$2003,$A12-1,$B$4:$B$2003,$B12)=0,"first day",IF(SUMIFS($M$4:$M$2003,$A$4:$A$2003,$A12-1,$B$4:$B$2003,$B12)=$J12,"OK","CHECK")))</f>
        <v>first day</v>
      </c>
      <c r="T12" s="10" t="n">
        <f aca="false">IF($B12="","",IFERROR(INDEX(Drinks!$D$4:$D$53,MATCH($B12,Drinks!$A$4:$A$53,0)),0))</f>
        <v>666.666666666667</v>
      </c>
    </row>
    <row r="13" customFormat="false" ht="15" hidden="false" customHeight="false" outlineLevel="0" collapsed="false">
      <c r="A13" s="19" t="n">
        <v>46256</v>
      </c>
      <c r="B13" s="20" t="s">
        <v>76</v>
      </c>
      <c r="C13" s="20" t="n">
        <v>0</v>
      </c>
      <c r="D13" s="20" t="n">
        <v>5</v>
      </c>
      <c r="E13" s="20" t="n">
        <v>5</v>
      </c>
      <c r="F13" s="21" t="n">
        <f aca="false">IF($B13="","",$C13+$D13-$E13)</f>
        <v>0</v>
      </c>
      <c r="G13" s="21" t="n">
        <f aca="false">IF($B13="","",IFERROR(INDEX(Drinks!$C$4:$C$53,MATCH($B13,Drinks!$A$4:$A$53,0)),0))</f>
        <v>9500</v>
      </c>
      <c r="H13" s="21" t="n">
        <f aca="false">IF($B13="","",$D13*$G13)</f>
        <v>47500</v>
      </c>
      <c r="I13" s="21" t="n">
        <f aca="false">IF($B13="","",$F13*$G13)</f>
        <v>0</v>
      </c>
      <c r="J13" s="20" t="n">
        <v>2</v>
      </c>
      <c r="K13" s="21" t="n">
        <f aca="false">IF($B13="","",$E13*IFERROR(INDEX(Drinks!$B$4:$B$53,MATCH($B13,Drinks!$A$4:$A$53,0)),0))</f>
        <v>60</v>
      </c>
      <c r="L13" s="21" t="n">
        <f aca="false">IF($B13="","",$J13+$K13)</f>
        <v>62</v>
      </c>
      <c r="M13" s="20" t="n">
        <v>45</v>
      </c>
      <c r="N13" s="21" t="n">
        <f aca="false">IF($B13="","",$L13-$M13)</f>
        <v>17</v>
      </c>
      <c r="O13" s="21" t="n">
        <f aca="false">IF($B13="","",IFERROR(INDEX(Drinks!$E$4:$E$53,MATCH($B13,Drinks!$A$4:$A$53,0)),0))</f>
        <v>1000</v>
      </c>
      <c r="P13" s="21" t="n">
        <f aca="false">IF($B13="","",$N13*$O13)</f>
        <v>17000</v>
      </c>
      <c r="Q13" s="21" t="n">
        <f aca="false">IF($B13="","",$N13*IFERROR(INDEX(Drinks!$D$4:$D$53,MATCH($B13,Drinks!$A$4:$A$53,0)),0))</f>
        <v>13458.3333333333</v>
      </c>
      <c r="R13" s="21" t="n">
        <f aca="false">IF($B13="","",$P13-$Q13)</f>
        <v>3541.66666666667</v>
      </c>
      <c r="S13" s="17" t="str">
        <f aca="false">IF($B13="","",IF(COUNTIFS($A$4:$A$2003,$A13-1,$B$4:$B$2003,$B13)=0,"first day",IF(SUMIFS($M$4:$M$2003,$A$4:$A$2003,$A13-1,$B$4:$B$2003,$B13)=$J13,"OK","CHECK")))</f>
        <v>first day</v>
      </c>
      <c r="T13" s="10" t="n">
        <f aca="false">IF($B13="","",IFERROR(INDEX(Drinks!$D$4:$D$53,MATCH($B13,Drinks!$A$4:$A$53,0)),0))</f>
        <v>791.666666666667</v>
      </c>
    </row>
    <row r="14" customFormat="false" ht="15" hidden="false" customHeight="false" outlineLevel="0" collapsed="false">
      <c r="A14" s="19" t="n">
        <v>46256</v>
      </c>
      <c r="B14" s="20" t="s">
        <v>78</v>
      </c>
      <c r="C14" s="20" t="n">
        <v>0</v>
      </c>
      <c r="D14" s="20" t="n">
        <v>0</v>
      </c>
      <c r="E14" s="20" t="n">
        <v>0</v>
      </c>
      <c r="F14" s="21" t="n">
        <f aca="false">IF($B14="","",$C14+$D14-$E14)</f>
        <v>0</v>
      </c>
      <c r="G14" s="21" t="n">
        <f aca="false">IF($B14="","",IFERROR(INDEX(Drinks!$C$4:$C$53,MATCH($B14,Drinks!$A$4:$A$53,0)),0))</f>
        <v>8500</v>
      </c>
      <c r="H14" s="21" t="n">
        <f aca="false">IF($B14="","",$D14*$G14)</f>
        <v>0</v>
      </c>
      <c r="I14" s="21" t="n">
        <f aca="false">IF($B14="","",$F14*$G14)</f>
        <v>0</v>
      </c>
      <c r="J14" s="20" t="n">
        <v>5</v>
      </c>
      <c r="K14" s="21" t="n">
        <f aca="false">IF($B14="","",$E14*IFERROR(INDEX(Drinks!$B$4:$B$53,MATCH($B14,Drinks!$A$4:$A$53,0)),0))</f>
        <v>0</v>
      </c>
      <c r="L14" s="21" t="n">
        <f aca="false">IF($B14="","",$J14+$K14)</f>
        <v>5</v>
      </c>
      <c r="M14" s="20" t="n">
        <v>0</v>
      </c>
      <c r="N14" s="21" t="n">
        <f aca="false">IF($B14="","",$L14-$M14)</f>
        <v>5</v>
      </c>
      <c r="O14" s="21" t="n">
        <f aca="false">IF($B14="","",IFERROR(INDEX(Drinks!$E$4:$E$53,MATCH($B14,Drinks!$A$4:$A$53,0)),0))</f>
        <v>1000</v>
      </c>
      <c r="P14" s="21" t="n">
        <f aca="false">IF($B14="","",$N14*$O14)</f>
        <v>5000</v>
      </c>
      <c r="Q14" s="21" t="n">
        <f aca="false">IF($B14="","",$N14*IFERROR(INDEX(Drinks!$D$4:$D$53,MATCH($B14,Drinks!$A$4:$A$53,0)),0))</f>
        <v>3541.66666666667</v>
      </c>
      <c r="R14" s="21" t="n">
        <f aca="false">IF($B14="","",$P14-$Q14)</f>
        <v>1458.33333333333</v>
      </c>
      <c r="S14" s="17" t="str">
        <f aca="false">IF($B14="","",IF(COUNTIFS($A$4:$A$2003,$A14-1,$B$4:$B$2003,$B14)=0,"first day",IF(SUMIFS($M$4:$M$2003,$A$4:$A$2003,$A14-1,$B$4:$B$2003,$B14)=$J14,"OK","CHECK")))</f>
        <v>first day</v>
      </c>
      <c r="T14" s="10" t="n">
        <f aca="false">IF($B14="","",IFERROR(INDEX(Drinks!$D$4:$D$53,MATCH($B14,Drinks!$A$4:$A$53,0)),0))</f>
        <v>708.333333333333</v>
      </c>
    </row>
    <row r="15" customFormat="false" ht="15" hidden="false" customHeight="false" outlineLevel="0" collapsed="false">
      <c r="A15" s="19" t="n">
        <v>46256</v>
      </c>
      <c r="B15" s="20" t="s">
        <v>80</v>
      </c>
      <c r="C15" s="20" t="n">
        <v>1</v>
      </c>
      <c r="D15" s="20" t="n">
        <v>0</v>
      </c>
      <c r="E15" s="20" t="n">
        <v>1</v>
      </c>
      <c r="F15" s="21" t="n">
        <f aca="false">IF($B15="","",$C15+$D15-$E15)</f>
        <v>0</v>
      </c>
      <c r="G15" s="21" t="n">
        <f aca="false">IF($B15="","",IFERROR(INDEX(Drinks!$C$4:$C$53,MATCH($B15,Drinks!$A$4:$A$53,0)),0))</f>
        <v>14000</v>
      </c>
      <c r="H15" s="21" t="n">
        <f aca="false">IF($B15="","",$D15*$G15)</f>
        <v>0</v>
      </c>
      <c r="I15" s="21" t="n">
        <f aca="false">IF($B15="","",$F15*$G15)</f>
        <v>0</v>
      </c>
      <c r="J15" s="20" t="n">
        <v>12</v>
      </c>
      <c r="K15" s="21" t="n">
        <f aca="false">IF($B15="","",$E15*IFERROR(INDEX(Drinks!$B$4:$B$53,MATCH($B15,Drinks!$A$4:$A$53,0)),0))</f>
        <v>12</v>
      </c>
      <c r="L15" s="21" t="n">
        <f aca="false">IF($B15="","",$J15+$K15)</f>
        <v>24</v>
      </c>
      <c r="M15" s="20" t="n">
        <v>11</v>
      </c>
      <c r="N15" s="21" t="n">
        <f aca="false">IF($B15="","",$L15-$M15)</f>
        <v>13</v>
      </c>
      <c r="O15" s="21" t="n">
        <f aca="false">IF($B15="","",IFERROR(INDEX(Drinks!$E$4:$E$53,MATCH($B15,Drinks!$A$4:$A$53,0)),0))</f>
        <v>1500</v>
      </c>
      <c r="P15" s="21" t="n">
        <f aca="false">IF($B15="","",$N15*$O15)</f>
        <v>19500</v>
      </c>
      <c r="Q15" s="21" t="n">
        <f aca="false">IF($B15="","",$N15*IFERROR(INDEX(Drinks!$D$4:$D$53,MATCH($B15,Drinks!$A$4:$A$53,0)),0))</f>
        <v>15166.6666666667</v>
      </c>
      <c r="R15" s="21" t="n">
        <f aca="false">IF($B15="","",$P15-$Q15)</f>
        <v>4333.33333333333</v>
      </c>
      <c r="S15" s="17" t="str">
        <f aca="false">IF($B15="","",IF(COUNTIFS($A$4:$A$2003,$A15-1,$B$4:$B$2003,$B15)=0,"first day",IF(SUMIFS($M$4:$M$2003,$A$4:$A$2003,$A15-1,$B$4:$B$2003,$B15)=$J15,"OK","CHECK")))</f>
        <v>first day</v>
      </c>
      <c r="T15" s="10" t="n">
        <f aca="false">IF($B15="","",IFERROR(INDEX(Drinks!$D$4:$D$53,MATCH($B15,Drinks!$A$4:$A$53,0)),0))</f>
        <v>1166.66666666667</v>
      </c>
    </row>
    <row r="16" customFormat="false" ht="15" hidden="false" customHeight="false" outlineLevel="0" collapsed="false">
      <c r="A16" s="19" t="n">
        <v>46256</v>
      </c>
      <c r="B16" s="20" t="s">
        <v>83</v>
      </c>
      <c r="C16" s="20" t="n">
        <v>2</v>
      </c>
      <c r="D16" s="20" t="n">
        <v>0</v>
      </c>
      <c r="E16" s="20" t="n">
        <v>0</v>
      </c>
      <c r="F16" s="21" t="n">
        <f aca="false">IF($B16="","",$C16+$D16-$E16)</f>
        <v>2</v>
      </c>
      <c r="G16" s="21" t="n">
        <f aca="false">IF($B16="","",IFERROR(INDEX(Drinks!$C$4:$C$53,MATCH($B16,Drinks!$A$4:$A$53,0)),0))</f>
        <v>17000</v>
      </c>
      <c r="H16" s="21" t="n">
        <f aca="false">IF($B16="","",$D16*$G16)</f>
        <v>0</v>
      </c>
      <c r="I16" s="21" t="n">
        <f aca="false">IF($B16="","",$F16*$G16)</f>
        <v>34000</v>
      </c>
      <c r="J16" s="20" t="n">
        <v>64</v>
      </c>
      <c r="K16" s="21" t="n">
        <f aca="false">IF($B16="","",$E16*IFERROR(INDEX(Drinks!$B$4:$B$53,MATCH($B16,Drinks!$A$4:$A$53,0)),0))</f>
        <v>0</v>
      </c>
      <c r="L16" s="21" t="n">
        <f aca="false">IF($B16="","",$J16+$K16)</f>
        <v>64</v>
      </c>
      <c r="M16" s="20" t="n">
        <v>24</v>
      </c>
      <c r="N16" s="21" t="n">
        <f aca="false">IF($B16="","",$L16-$M16)</f>
        <v>40</v>
      </c>
      <c r="O16" s="21" t="n">
        <f aca="false">IF($B16="","",IFERROR(INDEX(Drinks!$E$4:$E$53,MATCH($B16,Drinks!$A$4:$A$53,0)),0))</f>
        <v>1000</v>
      </c>
      <c r="P16" s="21" t="n">
        <f aca="false">IF($B16="","",$N16*$O16)</f>
        <v>40000</v>
      </c>
      <c r="Q16" s="21" t="n">
        <f aca="false">IF($B16="","",$N16*IFERROR(INDEX(Drinks!$D$4:$D$53,MATCH($B16,Drinks!$A$4:$A$53,0)),0))</f>
        <v>28333.3333333333</v>
      </c>
      <c r="R16" s="21" t="n">
        <f aca="false">IF($B16="","",$P16-$Q16)</f>
        <v>11666.6666666667</v>
      </c>
      <c r="S16" s="17" t="str">
        <f aca="false">IF($B16="","",IF(COUNTIFS($A$4:$A$2003,$A16-1,$B$4:$B$2003,$B16)=0,"first day",IF(SUMIFS($M$4:$M$2003,$A$4:$A$2003,$A16-1,$B$4:$B$2003,$B16)=$J16,"OK","CHECK")))</f>
        <v>first day</v>
      </c>
      <c r="T16" s="10" t="n">
        <f aca="false">IF($B16="","",IFERROR(INDEX(Drinks!$D$4:$D$53,MATCH($B16,Drinks!$A$4:$A$53,0)),0))</f>
        <v>708.333333333333</v>
      </c>
    </row>
    <row r="17" customFormat="false" ht="15" hidden="false" customHeight="false" outlineLevel="0" collapsed="false">
      <c r="A17" s="19" t="n">
        <v>46256</v>
      </c>
      <c r="B17" s="20" t="s">
        <v>82</v>
      </c>
      <c r="C17" s="20" t="n">
        <v>1</v>
      </c>
      <c r="D17" s="20" t="n">
        <v>0</v>
      </c>
      <c r="E17" s="20" t="n">
        <v>0</v>
      </c>
      <c r="F17" s="21" t="n">
        <f aca="false">IF($B17="","",$C17+$D17-$E17)</f>
        <v>1</v>
      </c>
      <c r="G17" s="21" t="n">
        <f aca="false">IF($B17="","",IFERROR(INDEX(Drinks!$C$4:$C$53,MATCH($B17,Drinks!$A$4:$A$53,0)),0))</f>
        <v>13000</v>
      </c>
      <c r="H17" s="21" t="n">
        <f aca="false">IF($B17="","",$D17*$G17)</f>
        <v>0</v>
      </c>
      <c r="I17" s="21" t="n">
        <f aca="false">IF($B17="","",$F17*$G17)</f>
        <v>13000</v>
      </c>
      <c r="J17" s="20" t="n">
        <v>24</v>
      </c>
      <c r="K17" s="21" t="n">
        <f aca="false">IF($B17="","",$E17*IFERROR(INDEX(Drinks!$B$4:$B$53,MATCH($B17,Drinks!$A$4:$A$53,0)),0))</f>
        <v>0</v>
      </c>
      <c r="L17" s="21" t="n">
        <f aca="false">IF($B17="","",$J17+$K17)</f>
        <v>24</v>
      </c>
      <c r="M17" s="20" t="n">
        <v>11</v>
      </c>
      <c r="N17" s="21" t="n">
        <f aca="false">IF($B17="","",$L17-$M17)</f>
        <v>13</v>
      </c>
      <c r="O17" s="21" t="n">
        <f aca="false">IF($B17="","",IFERROR(INDEX(Drinks!$E$4:$E$53,MATCH($B17,Drinks!$A$4:$A$53,0)),0))</f>
        <v>1000</v>
      </c>
      <c r="P17" s="21" t="n">
        <f aca="false">IF($B17="","",$N17*$O17)</f>
        <v>13000</v>
      </c>
      <c r="Q17" s="21" t="n">
        <f aca="false">IF($B17="","",$N17*IFERROR(INDEX(Drinks!$D$4:$D$53,MATCH($B17,Drinks!$A$4:$A$53,0)),0))</f>
        <v>11266.6666666667</v>
      </c>
      <c r="R17" s="21" t="n">
        <f aca="false">IF($B17="","",$P17-$Q17)</f>
        <v>1733.33333333333</v>
      </c>
      <c r="S17" s="17" t="str">
        <f aca="false">IF($B17="","",IF(COUNTIFS($A$4:$A$2003,$A17-1,$B$4:$B$2003,$B17)=0,"first day",IF(SUMIFS($M$4:$M$2003,$A$4:$A$2003,$A17-1,$B$4:$B$2003,$B17)=$J17,"OK","CHECK")))</f>
        <v>first day</v>
      </c>
      <c r="T17" s="10" t="n">
        <f aca="false">IF($B17="","",IFERROR(INDEX(Drinks!$D$4:$D$53,MATCH($B17,Drinks!$A$4:$A$53,0)),0))</f>
        <v>866.666666666667</v>
      </c>
    </row>
    <row r="18" customFormat="false" ht="15" hidden="false" customHeight="false" outlineLevel="0" collapsed="false">
      <c r="A18" s="19" t="n">
        <v>46256</v>
      </c>
      <c r="B18" s="20" t="s">
        <v>79</v>
      </c>
      <c r="C18" s="20" t="n">
        <v>0</v>
      </c>
      <c r="D18" s="20" t="n">
        <v>0</v>
      </c>
      <c r="E18" s="20" t="n">
        <v>0</v>
      </c>
      <c r="F18" s="21" t="n">
        <f aca="false">IF($B18="","",$C18+$D18-$E18)</f>
        <v>0</v>
      </c>
      <c r="G18" s="21" t="n">
        <f aca="false">IF($B18="","",IFERROR(INDEX(Drinks!$C$4:$C$53,MATCH($B18,Drinks!$A$4:$A$53,0)),0))</f>
        <v>8500</v>
      </c>
      <c r="H18" s="21" t="n">
        <f aca="false">IF($B18="","",$D18*$G18)</f>
        <v>0</v>
      </c>
      <c r="I18" s="21" t="n">
        <f aca="false">IF($B18="","",$F18*$G18)</f>
        <v>0</v>
      </c>
      <c r="J18" s="20" t="n">
        <v>25</v>
      </c>
      <c r="K18" s="21" t="n">
        <f aca="false">IF($B18="","",$E18*IFERROR(INDEX(Drinks!$B$4:$B$53,MATCH($B18,Drinks!$A$4:$A$53,0)),0))</f>
        <v>0</v>
      </c>
      <c r="L18" s="21" t="n">
        <f aca="false">IF($B18="","",$J18+$K18)</f>
        <v>25</v>
      </c>
      <c r="M18" s="20" t="n">
        <v>2</v>
      </c>
      <c r="N18" s="21" t="n">
        <f aca="false">IF($B18="","",$L18-$M18)</f>
        <v>23</v>
      </c>
      <c r="O18" s="21" t="n">
        <f aca="false">IF($B18="","",IFERROR(INDEX(Drinks!$E$4:$E$53,MATCH($B18,Drinks!$A$4:$A$53,0)),0))</f>
        <v>1000</v>
      </c>
      <c r="P18" s="21" t="n">
        <f aca="false">IF($B18="","",$N18*$O18)</f>
        <v>23000</v>
      </c>
      <c r="Q18" s="21" t="n">
        <f aca="false">IF($B18="","",$N18*IFERROR(INDEX(Drinks!$D$4:$D$53,MATCH($B18,Drinks!$A$4:$A$53,0)),0))</f>
        <v>16291.6666666667</v>
      </c>
      <c r="R18" s="21" t="n">
        <f aca="false">IF($B18="","",$P18-$Q18)</f>
        <v>6708.33333333333</v>
      </c>
      <c r="S18" s="17" t="str">
        <f aca="false">IF($B18="","",IF(COUNTIFS($A$4:$A$2003,$A18-1,$B$4:$B$2003,$B18)=0,"first day",IF(SUMIFS($M$4:$M$2003,$A$4:$A$2003,$A18-1,$B$4:$B$2003,$B18)=$J18,"OK","CHECK")))</f>
        <v>first day</v>
      </c>
      <c r="T18" s="10" t="n">
        <f aca="false">IF($B18="","",IFERROR(INDEX(Drinks!$D$4:$D$53,MATCH($B18,Drinks!$A$4:$A$53,0)),0))</f>
        <v>708.333333333333</v>
      </c>
    </row>
    <row r="19" customFormat="false" ht="15" hidden="false" customHeight="false" outlineLevel="0" collapsed="false">
      <c r="A19" s="19" t="n">
        <v>46256</v>
      </c>
      <c r="B19" s="20" t="s">
        <v>89</v>
      </c>
      <c r="C19" s="20" t="n">
        <v>0</v>
      </c>
      <c r="D19" s="20" t="n">
        <v>0</v>
      </c>
      <c r="E19" s="20" t="n">
        <v>0</v>
      </c>
      <c r="F19" s="21" t="n">
        <f aca="false">IF($B19="","",$C19+$D19-$E19)</f>
        <v>0</v>
      </c>
      <c r="G19" s="21" t="n">
        <f aca="false">IF($B19="","",IFERROR(INDEX(Drinks!$C$4:$C$53,MATCH($B19,Drinks!$A$4:$A$53,0)),0))</f>
        <v>19000</v>
      </c>
      <c r="H19" s="21" t="n">
        <f aca="false">IF($B19="","",$D19*$G19)</f>
        <v>0</v>
      </c>
      <c r="I19" s="21" t="n">
        <f aca="false">IF($B19="","",$F19*$G19)</f>
        <v>0</v>
      </c>
      <c r="J19" s="20" t="n">
        <v>21</v>
      </c>
      <c r="K19" s="21" t="n">
        <f aca="false">IF($B19="","",$E19*IFERROR(INDEX(Drinks!$B$4:$B$53,MATCH($B19,Drinks!$A$4:$A$53,0)),0))</f>
        <v>0</v>
      </c>
      <c r="L19" s="21" t="n">
        <f aca="false">IF($B19="","",$J19+$K19)</f>
        <v>21</v>
      </c>
      <c r="M19" s="20" t="n">
        <v>18</v>
      </c>
      <c r="N19" s="21" t="n">
        <f aca="false">IF($B19="","",$L19-$M19)</f>
        <v>3</v>
      </c>
      <c r="O19" s="21" t="n">
        <f aca="false">IF($B19="","",IFERROR(INDEX(Drinks!$E$4:$E$53,MATCH($B19,Drinks!$A$4:$A$53,0)),0))</f>
        <v>1000</v>
      </c>
      <c r="P19" s="21" t="n">
        <f aca="false">IF($B19="","",$N19*$O19)</f>
        <v>3000</v>
      </c>
      <c r="Q19" s="21" t="n">
        <f aca="false">IF($B19="","",$N19*IFERROR(INDEX(Drinks!$D$4:$D$53,MATCH($B19,Drinks!$A$4:$A$53,0)),0))</f>
        <v>2375</v>
      </c>
      <c r="R19" s="21" t="n">
        <f aca="false">IF($B19="","",$P19-$Q19)</f>
        <v>625</v>
      </c>
      <c r="S19" s="17" t="str">
        <f aca="false">IF($B19="","",IF(COUNTIFS($A$4:$A$2003,$A19-1,$B$4:$B$2003,$B19)=0,"first day",IF(SUMIFS($M$4:$M$2003,$A$4:$A$2003,$A19-1,$B$4:$B$2003,$B19)=$J19,"OK","CHECK")))</f>
        <v>first day</v>
      </c>
      <c r="T19" s="10" t="n">
        <f aca="false">IF($B19="","",IFERROR(INDEX(Drinks!$D$4:$D$53,MATCH($B19,Drinks!$A$4:$A$53,0)),0))</f>
        <v>791.666666666667</v>
      </c>
    </row>
    <row r="20" customFormat="false" ht="15" hidden="false" customHeight="false" outlineLevel="0" collapsed="false">
      <c r="A20" s="19" t="n">
        <v>46256</v>
      </c>
      <c r="B20" s="20" t="s">
        <v>93</v>
      </c>
      <c r="C20" s="20" t="n">
        <v>1</v>
      </c>
      <c r="D20" s="20" t="n">
        <v>0</v>
      </c>
      <c r="E20" s="20" t="n">
        <v>0</v>
      </c>
      <c r="F20" s="21" t="n">
        <f aca="false">IF($B20="","",$C20+$D20-$E20)</f>
        <v>1</v>
      </c>
      <c r="G20" s="21" t="n">
        <f aca="false">IF($B20="","",IFERROR(INDEX(Drinks!$C$4:$C$53,MATCH($B20,Drinks!$A$4:$A$53,0)),0))</f>
        <v>4500</v>
      </c>
      <c r="H20" s="21" t="n">
        <f aca="false">IF($B20="","",$D20*$G20)</f>
        <v>0</v>
      </c>
      <c r="I20" s="21" t="n">
        <f aca="false">IF($B20="","",$F20*$G20)</f>
        <v>4500</v>
      </c>
      <c r="J20" s="20" t="n">
        <v>5</v>
      </c>
      <c r="K20" s="21" t="n">
        <f aca="false">IF($B20="","",$E20*IFERROR(INDEX(Drinks!$B$4:$B$53,MATCH($B20,Drinks!$A$4:$A$53,0)),0))</f>
        <v>0</v>
      </c>
      <c r="L20" s="21" t="n">
        <f aca="false">IF($B20="","",$J20+$K20)</f>
        <v>5</v>
      </c>
      <c r="M20" s="20" t="n">
        <v>2</v>
      </c>
      <c r="N20" s="21" t="n">
        <f aca="false">IF($B20="","",$L20-$M20)</f>
        <v>3</v>
      </c>
      <c r="O20" s="21" t="n">
        <f aca="false">IF($B20="","",IFERROR(INDEX(Drinks!$E$4:$E$53,MATCH($B20,Drinks!$A$4:$A$53,0)),0))</f>
        <v>1000</v>
      </c>
      <c r="P20" s="21" t="n">
        <f aca="false">IF($B20="","",$N20*$O20)</f>
        <v>3000</v>
      </c>
      <c r="Q20" s="21" t="n">
        <f aca="false">IF($B20="","",$N20*IFERROR(INDEX(Drinks!$D$4:$D$53,MATCH($B20,Drinks!$A$4:$A$53,0)),0))</f>
        <v>2250</v>
      </c>
      <c r="R20" s="21" t="n">
        <f aca="false">IF($B20="","",$P20-$Q20)</f>
        <v>750</v>
      </c>
      <c r="S20" s="17" t="str">
        <f aca="false">IF($B20="","",IF(COUNTIFS($A$4:$A$2003,$A20-1,$B$4:$B$2003,$B20)=0,"first day",IF(SUMIFS($M$4:$M$2003,$A$4:$A$2003,$A20-1,$B$4:$B$2003,$B20)=$J20,"OK","CHECK")))</f>
        <v>first day</v>
      </c>
      <c r="T20" s="10" t="n">
        <f aca="false">IF($B20="","",IFERROR(INDEX(Drinks!$D$4:$D$53,MATCH($B20,Drinks!$A$4:$A$53,0)),0))</f>
        <v>750</v>
      </c>
    </row>
    <row r="21" customFormat="false" ht="15" hidden="false" customHeight="false" outlineLevel="0" collapsed="false">
      <c r="A21" s="19" t="n">
        <v>46256</v>
      </c>
      <c r="B21" s="20" t="s">
        <v>95</v>
      </c>
      <c r="C21" s="20" t="n">
        <v>0</v>
      </c>
      <c r="D21" s="20" t="n">
        <v>0</v>
      </c>
      <c r="E21" s="20" t="n">
        <v>0</v>
      </c>
      <c r="F21" s="21" t="n">
        <f aca="false">IF($B21="","",$C21+$D21-$E21)</f>
        <v>0</v>
      </c>
      <c r="G21" s="21" t="n">
        <f aca="false">IF($B21="","",IFERROR(INDEX(Drinks!$C$4:$C$53,MATCH($B21,Drinks!$A$4:$A$53,0)),0))</f>
        <v>3000</v>
      </c>
      <c r="H21" s="21" t="n">
        <f aca="false">IF($B21="","",$D21*$G21)</f>
        <v>0</v>
      </c>
      <c r="I21" s="21" t="n">
        <f aca="false">IF($B21="","",$F21*$G21)</f>
        <v>0</v>
      </c>
      <c r="J21" s="20" t="n">
        <v>9</v>
      </c>
      <c r="K21" s="21" t="n">
        <f aca="false">IF($B21="","",$E21*IFERROR(INDEX(Drinks!$B$4:$B$53,MATCH($B21,Drinks!$A$4:$A$53,0)),0))</f>
        <v>0</v>
      </c>
      <c r="L21" s="21" t="n">
        <f aca="false">IF($B21="","",$J21+$K21)</f>
        <v>9</v>
      </c>
      <c r="M21" s="20" t="n">
        <v>0</v>
      </c>
      <c r="N21" s="21" t="n">
        <f aca="false">IF($B21="","",$L21-$M21)</f>
        <v>9</v>
      </c>
      <c r="O21" s="21" t="n">
        <f aca="false">IF($B21="","",IFERROR(INDEX(Drinks!$E$4:$E$53,MATCH($B21,Drinks!$A$4:$A$53,0)),0))</f>
        <v>1000</v>
      </c>
      <c r="P21" s="21" t="n">
        <f aca="false">IF($B21="","",$N21*$O21)</f>
        <v>9000</v>
      </c>
      <c r="Q21" s="21" t="n">
        <f aca="false">IF($B21="","",$N21*IFERROR(INDEX(Drinks!$D$4:$D$53,MATCH($B21,Drinks!$A$4:$A$53,0)),0))</f>
        <v>4500</v>
      </c>
      <c r="R21" s="21" t="n">
        <f aca="false">IF($B21="","",$P21-$Q21)</f>
        <v>4500</v>
      </c>
      <c r="S21" s="17" t="str">
        <f aca="false">IF($B21="","",IF(COUNTIFS($A$4:$A$2003,$A21-1,$B$4:$B$2003,$B21)=0,"first day",IF(SUMIFS($M$4:$M$2003,$A$4:$A$2003,$A21-1,$B$4:$B$2003,$B21)=$J21,"OK","CHECK")))</f>
        <v>first day</v>
      </c>
      <c r="T21" s="10" t="n">
        <f aca="false">IF($B21="","",IFERROR(INDEX(Drinks!$D$4:$D$53,MATCH($B21,Drinks!$A$4:$A$53,0)),0))</f>
        <v>500</v>
      </c>
    </row>
    <row r="22" customFormat="false" ht="15" hidden="false" customHeight="false" outlineLevel="0" collapsed="false">
      <c r="A22" s="19" t="n">
        <v>46256</v>
      </c>
      <c r="B22" s="20" t="s">
        <v>96</v>
      </c>
      <c r="C22" s="20" t="n">
        <v>8</v>
      </c>
      <c r="D22" s="20" t="n">
        <v>0</v>
      </c>
      <c r="E22" s="20" t="n">
        <v>0</v>
      </c>
      <c r="F22" s="21" t="n">
        <f aca="false">IF($B22="","",$C22+$D22-$E22)</f>
        <v>8</v>
      </c>
      <c r="G22" s="21" t="n">
        <f aca="false">IF($B22="","",IFERROR(INDEX(Drinks!$C$4:$C$53,MATCH($B22,Drinks!$A$4:$A$53,0)),0))</f>
        <v>1450</v>
      </c>
      <c r="H22" s="21" t="n">
        <f aca="false">IF($B22="","",$D22*$G22)</f>
        <v>0</v>
      </c>
      <c r="I22" s="21" t="n">
        <f aca="false">IF($B22="","",$F22*$G22)</f>
        <v>11600</v>
      </c>
      <c r="J22" s="20" t="n">
        <v>15</v>
      </c>
      <c r="K22" s="21" t="n">
        <f aca="false">IF($B22="","",$E22*IFERROR(INDEX(Drinks!$B$4:$B$53,MATCH($B22,Drinks!$A$4:$A$53,0)),0))</f>
        <v>0</v>
      </c>
      <c r="L22" s="21" t="n">
        <f aca="false">IF($B22="","",$J22+$K22)</f>
        <v>15</v>
      </c>
      <c r="M22" s="20" t="n">
        <v>11</v>
      </c>
      <c r="N22" s="21" t="n">
        <f aca="false">IF($B22="","",$L22-$M22)</f>
        <v>4</v>
      </c>
      <c r="O22" s="21" t="n">
        <f aca="false">IF($B22="","",IFERROR(INDEX(Drinks!$E$4:$E$53,MATCH($B22,Drinks!$A$4:$A$53,0)),0))</f>
        <v>500</v>
      </c>
      <c r="P22" s="21" t="n">
        <f aca="false">IF($B22="","",$N22*$O22)</f>
        <v>2000</v>
      </c>
      <c r="Q22" s="21" t="n">
        <f aca="false">IF($B22="","",$N22*IFERROR(INDEX(Drinks!$D$4:$D$53,MATCH($B22,Drinks!$A$4:$A$53,0)),0))</f>
        <v>966.666666666667</v>
      </c>
      <c r="R22" s="21" t="n">
        <f aca="false">IF($B22="","",$P22-$Q22)</f>
        <v>1033.33333333333</v>
      </c>
      <c r="S22" s="17" t="str">
        <f aca="false">IF($B22="","",IF(COUNTIFS($A$4:$A$2003,$A22-1,$B$4:$B$2003,$B22)=0,"first day",IF(SUMIFS($M$4:$M$2003,$A$4:$A$2003,$A22-1,$B$4:$B$2003,$B22)=$J22,"OK","CHECK")))</f>
        <v>first day</v>
      </c>
      <c r="T22" s="10" t="n">
        <f aca="false">IF($B22="","",IFERROR(INDEX(Drinks!$D$4:$D$53,MATCH($B22,Drinks!$A$4:$A$53,0)),0))</f>
        <v>241.666666666667</v>
      </c>
    </row>
    <row r="23" customFormat="false" ht="15" hidden="false" customHeight="false" outlineLevel="0" collapsed="false">
      <c r="A23" s="19" t="n">
        <v>46256</v>
      </c>
      <c r="B23" s="20" t="s">
        <v>94</v>
      </c>
      <c r="C23" s="20" t="n">
        <v>2</v>
      </c>
      <c r="D23" s="20" t="n">
        <v>5</v>
      </c>
      <c r="E23" s="20" t="n">
        <v>0</v>
      </c>
      <c r="F23" s="21" t="n">
        <f aca="false">IF($B23="","",$C23+$D23-$E23)</f>
        <v>7</v>
      </c>
      <c r="G23" s="21" t="n">
        <f aca="false">IF($B23="","",IFERROR(INDEX(Drinks!$C$4:$C$53,MATCH($B23,Drinks!$A$4:$A$53,0)),0))</f>
        <v>4500</v>
      </c>
      <c r="H23" s="21" t="n">
        <f aca="false">IF($B23="","",$D23*$G23)</f>
        <v>22500</v>
      </c>
      <c r="I23" s="21" t="n">
        <f aca="false">IF($B23="","",$F23*$G23)</f>
        <v>31500</v>
      </c>
      <c r="J23" s="20" t="n">
        <v>14</v>
      </c>
      <c r="K23" s="21" t="n">
        <f aca="false">IF($B23="","",$E23*IFERROR(INDEX(Drinks!$B$4:$B$53,MATCH($B23,Drinks!$A$4:$A$53,0)),0))</f>
        <v>0</v>
      </c>
      <c r="L23" s="21" t="n">
        <f aca="false">IF($B23="","",$J23+$K23)</f>
        <v>14</v>
      </c>
      <c r="M23" s="20" t="n">
        <v>8</v>
      </c>
      <c r="N23" s="21" t="n">
        <f aca="false">IF($B23="","",$L23-$M23)</f>
        <v>6</v>
      </c>
      <c r="O23" s="21" t="n">
        <f aca="false">IF($B23="","",IFERROR(INDEX(Drinks!$E$4:$E$53,MATCH($B23,Drinks!$A$4:$A$53,0)),0))</f>
        <v>1000</v>
      </c>
      <c r="P23" s="21" t="n">
        <f aca="false">IF($B23="","",$N23*$O23)</f>
        <v>6000</v>
      </c>
      <c r="Q23" s="21" t="n">
        <f aca="false">IF($B23="","",$N23*IFERROR(INDEX(Drinks!$D$4:$D$53,MATCH($B23,Drinks!$A$4:$A$53,0)),0))</f>
        <v>4500</v>
      </c>
      <c r="R23" s="21" t="n">
        <f aca="false">IF($B23="","",$P23-$Q23)</f>
        <v>1500</v>
      </c>
      <c r="S23" s="17" t="str">
        <f aca="false">IF($B23="","",IF(COUNTIFS($A$4:$A$2003,$A23-1,$B$4:$B$2003,$B23)=0,"first day",IF(SUMIFS($M$4:$M$2003,$A$4:$A$2003,$A23-1,$B$4:$B$2003,$B23)=$J23,"OK","CHECK")))</f>
        <v>first day</v>
      </c>
      <c r="T23" s="10" t="n">
        <f aca="false">IF($B23="","",IFERROR(INDEX(Drinks!$D$4:$D$53,MATCH($B23,Drinks!$A$4:$A$53,0)),0))</f>
        <v>750</v>
      </c>
    </row>
    <row r="24" customFormat="false" ht="15" hidden="false" customHeight="false" outlineLevel="0" collapsed="false">
      <c r="A24" s="19" t="n">
        <v>46256</v>
      </c>
      <c r="B24" s="20" t="s">
        <v>92</v>
      </c>
      <c r="C24" s="20" t="n">
        <v>5</v>
      </c>
      <c r="D24" s="20" t="n">
        <v>0</v>
      </c>
      <c r="E24" s="20" t="n">
        <v>0</v>
      </c>
      <c r="F24" s="21" t="n">
        <f aca="false">IF($B24="","",$C24+$D24-$E24)</f>
        <v>5</v>
      </c>
      <c r="G24" s="21" t="n">
        <f aca="false">IF($B24="","",IFERROR(INDEX(Drinks!$C$4:$C$53,MATCH($B24,Drinks!$A$4:$A$53,0)),0))</f>
        <v>4500</v>
      </c>
      <c r="H24" s="21" t="n">
        <f aca="false">IF($B24="","",$D24*$G24)</f>
        <v>0</v>
      </c>
      <c r="I24" s="21" t="n">
        <f aca="false">IF($B24="","",$F24*$G24)</f>
        <v>22500</v>
      </c>
      <c r="J24" s="20" t="n">
        <v>13</v>
      </c>
      <c r="K24" s="21" t="n">
        <f aca="false">IF($B24="","",$E24*IFERROR(INDEX(Drinks!$B$4:$B$53,MATCH($B24,Drinks!$A$4:$A$53,0)),0))</f>
        <v>0</v>
      </c>
      <c r="L24" s="21" t="n">
        <f aca="false">IF($B24="","",$J24+$K24)</f>
        <v>13</v>
      </c>
      <c r="M24" s="20" t="n">
        <v>12</v>
      </c>
      <c r="N24" s="21" t="n">
        <f aca="false">IF($B24="","",$L24-$M24)</f>
        <v>1</v>
      </c>
      <c r="O24" s="21" t="n">
        <f aca="false">IF($B24="","",IFERROR(INDEX(Drinks!$E$4:$E$53,MATCH($B24,Drinks!$A$4:$A$53,0)),0))</f>
        <v>1000</v>
      </c>
      <c r="P24" s="21" t="n">
        <f aca="false">IF($B24="","",$N24*$O24)</f>
        <v>1000</v>
      </c>
      <c r="Q24" s="21" t="n">
        <f aca="false">IF($B24="","",$N24*IFERROR(INDEX(Drinks!$D$4:$D$53,MATCH($B24,Drinks!$A$4:$A$53,0)),0))</f>
        <v>750</v>
      </c>
      <c r="R24" s="21" t="n">
        <f aca="false">IF($B24="","",$P24-$Q24)</f>
        <v>250</v>
      </c>
      <c r="S24" s="17" t="str">
        <f aca="false">IF($B24="","",IF(COUNTIFS($A$4:$A$2003,$A24-1,$B$4:$B$2003,$B24)=0,"first day",IF(SUMIFS($M$4:$M$2003,$A$4:$A$2003,$A24-1,$B$4:$B$2003,$B24)=$J24,"OK","CHECK")))</f>
        <v>first day</v>
      </c>
      <c r="T24" s="10" t="n">
        <f aca="false">IF($B24="","",IFERROR(INDEX(Drinks!$D$4:$D$53,MATCH($B24,Drinks!$A$4:$A$53,0)),0))</f>
        <v>750</v>
      </c>
    </row>
    <row r="25" customFormat="false" ht="15" hidden="false" customHeight="false" outlineLevel="0" collapsed="false">
      <c r="A25" s="19" t="n">
        <v>46256</v>
      </c>
      <c r="B25" s="20" t="s">
        <v>88</v>
      </c>
      <c r="C25" s="20" t="n">
        <v>0</v>
      </c>
      <c r="D25" s="20" t="n">
        <v>0</v>
      </c>
      <c r="E25" s="20" t="n">
        <v>0</v>
      </c>
      <c r="F25" s="21" t="n">
        <f aca="false">IF($B25="","",$C25+$D25-$E25)</f>
        <v>0</v>
      </c>
      <c r="G25" s="21" t="n">
        <f aca="false">IF($B25="","",IFERROR(INDEX(Drinks!$C$4:$C$53,MATCH($B25,Drinks!$A$4:$A$53,0)),0))</f>
        <v>17000</v>
      </c>
      <c r="H25" s="21" t="n">
        <f aca="false">IF($B25="","",$D25*$G25)</f>
        <v>0</v>
      </c>
      <c r="I25" s="21" t="n">
        <f aca="false">IF($B25="","",$F25*$G25)</f>
        <v>0</v>
      </c>
      <c r="J25" s="20" t="n">
        <v>9</v>
      </c>
      <c r="K25" s="21" t="n">
        <f aca="false">IF($B25="","",$E25*IFERROR(INDEX(Drinks!$B$4:$B$53,MATCH($B25,Drinks!$A$4:$A$53,0)),0))</f>
        <v>0</v>
      </c>
      <c r="L25" s="21" t="n">
        <f aca="false">IF($B25="","",$J25+$K25)</f>
        <v>9</v>
      </c>
      <c r="M25" s="20" t="n">
        <v>0</v>
      </c>
      <c r="N25" s="21" t="n">
        <f aca="false">IF($B25="","",$L25-$M25)</f>
        <v>9</v>
      </c>
      <c r="O25" s="21" t="n">
        <f aca="false">IF($B25="","",IFERROR(INDEX(Drinks!$E$4:$E$53,MATCH($B25,Drinks!$A$4:$A$53,0)),0))</f>
        <v>1000</v>
      </c>
      <c r="P25" s="21" t="n">
        <f aca="false">IF($B25="","",$N25*$O25)</f>
        <v>9000</v>
      </c>
      <c r="Q25" s="21" t="n">
        <f aca="false">IF($B25="","",$N25*IFERROR(INDEX(Drinks!$D$4:$D$53,MATCH($B25,Drinks!$A$4:$A$53,0)),0))</f>
        <v>6375</v>
      </c>
      <c r="R25" s="21" t="n">
        <f aca="false">IF($B25="","",$P25-$Q25)</f>
        <v>2625</v>
      </c>
      <c r="S25" s="17" t="str">
        <f aca="false">IF($B25="","",IF(COUNTIFS($A$4:$A$2003,$A25-1,$B$4:$B$2003,$B25)=0,"first day",IF(SUMIFS($M$4:$M$2003,$A$4:$A$2003,$A25-1,$B$4:$B$2003,$B25)=$J25,"OK","CHECK")))</f>
        <v>first day</v>
      </c>
      <c r="T25" s="10" t="n">
        <f aca="false">IF($B25="","",IFERROR(INDEX(Drinks!$D$4:$D$53,MATCH($B25,Drinks!$A$4:$A$53,0)),0))</f>
        <v>708.333333333333</v>
      </c>
    </row>
    <row r="26" customFormat="false" ht="15" hidden="false" customHeight="false" outlineLevel="0" collapsed="false">
      <c r="A26" s="19" t="n">
        <v>46256</v>
      </c>
      <c r="B26" s="20" t="s">
        <v>87</v>
      </c>
      <c r="C26" s="20" t="n">
        <v>0</v>
      </c>
      <c r="D26" s="20" t="n">
        <v>0</v>
      </c>
      <c r="E26" s="20" t="n">
        <v>0</v>
      </c>
      <c r="F26" s="21" t="n">
        <f aca="false">IF($B26="","",$C26+$D26-$E26)</f>
        <v>0</v>
      </c>
      <c r="G26" s="21" t="n">
        <f aca="false">IF($B26="","",IFERROR(INDEX(Drinks!$C$4:$C$53,MATCH($B26,Drinks!$A$4:$A$53,0)),0))</f>
        <v>8500</v>
      </c>
      <c r="H26" s="21" t="n">
        <f aca="false">IF($B26="","",$D26*$G26)</f>
        <v>0</v>
      </c>
      <c r="I26" s="21" t="n">
        <f aca="false">IF($B26="","",$F26*$G26)</f>
        <v>0</v>
      </c>
      <c r="J26" s="20" t="n">
        <v>23</v>
      </c>
      <c r="K26" s="21" t="n">
        <f aca="false">IF($B26="","",$E26*IFERROR(INDEX(Drinks!$B$4:$B$53,MATCH($B26,Drinks!$A$4:$A$53,0)),0))</f>
        <v>0</v>
      </c>
      <c r="L26" s="21" t="n">
        <f aca="false">IF($B26="","",$J26+$K26)</f>
        <v>23</v>
      </c>
      <c r="M26" s="20" t="n">
        <v>23</v>
      </c>
      <c r="N26" s="21" t="n">
        <f aca="false">IF($B26="","",$L26-$M26)</f>
        <v>0</v>
      </c>
      <c r="O26" s="21" t="n">
        <f aca="false">IF($B26="","",IFERROR(INDEX(Drinks!$E$4:$E$53,MATCH($B26,Drinks!$A$4:$A$53,0)),0))</f>
        <v>1000</v>
      </c>
      <c r="P26" s="21" t="n">
        <f aca="false">IF($B26="","",$N26*$O26)</f>
        <v>0</v>
      </c>
      <c r="Q26" s="21" t="n">
        <f aca="false">IF($B26="","",$N26*IFERROR(INDEX(Drinks!$D$4:$D$53,MATCH($B26,Drinks!$A$4:$A$53,0)),0))</f>
        <v>0</v>
      </c>
      <c r="R26" s="21" t="n">
        <f aca="false">IF($B26="","",$P26-$Q26)</f>
        <v>0</v>
      </c>
      <c r="S26" s="17" t="str">
        <f aca="false">IF($B26="","",IF(COUNTIFS($A$4:$A$2003,$A26-1,$B$4:$B$2003,$B26)=0,"first day",IF(SUMIFS($M$4:$M$2003,$A$4:$A$2003,$A26-1,$B$4:$B$2003,$B26)=$J26,"OK","CHECK")))</f>
        <v>first day</v>
      </c>
      <c r="T26" s="10" t="n">
        <f aca="false">IF($B26="","",IFERROR(INDEX(Drinks!$D$4:$D$53,MATCH($B26,Drinks!$A$4:$A$53,0)),0))</f>
        <v>708.333333333333</v>
      </c>
    </row>
    <row r="27" customFormat="false" ht="15" hidden="false" customHeight="false" outlineLevel="0" collapsed="false">
      <c r="A27" s="19" t="n">
        <v>46256</v>
      </c>
      <c r="B27" s="20" t="s">
        <v>97</v>
      </c>
      <c r="C27" s="20" t="n">
        <v>0</v>
      </c>
      <c r="D27" s="20" t="n">
        <v>5</v>
      </c>
      <c r="E27" s="20" t="n">
        <v>3</v>
      </c>
      <c r="F27" s="21" t="n">
        <f aca="false">IF($B27="","",$C27+$D27-$E27)</f>
        <v>2</v>
      </c>
      <c r="G27" s="21" t="n">
        <f aca="false">IF($B27="","",IFERROR(INDEX(Drinks!$C$4:$C$53,MATCH($B27,Drinks!$A$4:$A$53,0)),0))</f>
        <v>4300</v>
      </c>
      <c r="H27" s="21" t="n">
        <f aca="false">IF($B27="","",$D27*$G27)</f>
        <v>21500</v>
      </c>
      <c r="I27" s="21" t="n">
        <f aca="false">IF($B27="","",$F27*$G27)</f>
        <v>8600</v>
      </c>
      <c r="J27" s="20" t="n">
        <v>0</v>
      </c>
      <c r="K27" s="21" t="n">
        <f aca="false">IF($B27="","",$E27*IFERROR(INDEX(Drinks!$B$4:$B$53,MATCH($B27,Drinks!$A$4:$A$53,0)),0))</f>
        <v>36</v>
      </c>
      <c r="L27" s="21" t="n">
        <f aca="false">IF($B27="","",$J27+$K27)</f>
        <v>36</v>
      </c>
      <c r="M27" s="20" t="n">
        <v>30</v>
      </c>
      <c r="N27" s="21" t="n">
        <f aca="false">IF($B27="","",$L27-$M27)</f>
        <v>6</v>
      </c>
      <c r="O27" s="21" t="n">
        <f aca="false">IF($B27="","",IFERROR(INDEX(Drinks!$E$4:$E$53,MATCH($B27,Drinks!$A$4:$A$53,0)),0))</f>
        <v>500</v>
      </c>
      <c r="P27" s="21" t="n">
        <f aca="false">IF($B27="","",$N27*$O27)</f>
        <v>3000</v>
      </c>
      <c r="Q27" s="21" t="n">
        <f aca="false">IF($B27="","",$N27*IFERROR(INDEX(Drinks!$D$4:$D$53,MATCH($B27,Drinks!$A$4:$A$53,0)),0))</f>
        <v>2150</v>
      </c>
      <c r="R27" s="21" t="n">
        <f aca="false">IF($B27="","",$P27-$Q27)</f>
        <v>850</v>
      </c>
      <c r="S27" s="17" t="str">
        <f aca="false">IF($B27="","",IF(COUNTIFS($A$4:$A$2003,$A27-1,$B$4:$B$2003,$B27)=0,"first day",IF(SUMIFS($M$4:$M$2003,$A$4:$A$2003,$A27-1,$B$4:$B$2003,$B27)=$J27,"OK","CHECK")))</f>
        <v>first day</v>
      </c>
      <c r="T27" s="10" t="n">
        <f aca="false">IF($B27="","",IFERROR(INDEX(Drinks!$D$4:$D$53,MATCH($B27,Drinks!$A$4:$A$53,0)),0))</f>
        <v>358.333333333333</v>
      </c>
    </row>
    <row r="28" customFormat="false" ht="15" hidden="false" customHeight="false" outlineLevel="0" collapsed="false">
      <c r="A28" s="22"/>
      <c r="B28" s="9"/>
      <c r="C28" s="9"/>
      <c r="D28" s="9"/>
      <c r="E28" s="9"/>
      <c r="F28" s="10" t="str">
        <f aca="false">IF($B28="","",$C28+$D28-$E28)</f>
        <v/>
      </c>
      <c r="G28" s="10" t="str">
        <f aca="false">IF($B28="","",IFERROR(INDEX(Drinks!$C$4:$C$53,MATCH($B28,Drinks!$A$4:$A$53,0)),0))</f>
        <v/>
      </c>
      <c r="H28" s="10" t="str">
        <f aca="false">IF($B28="","",$D28*$G28)</f>
        <v/>
      </c>
      <c r="I28" s="10" t="str">
        <f aca="false">IF($B28="","",$F28*$G28)</f>
        <v/>
      </c>
      <c r="J28" s="9"/>
      <c r="K28" s="10" t="str">
        <f aca="false">IF($B28="","",$E28*IFERROR(INDEX(Drinks!$B$4:$B$53,MATCH($B28,Drinks!$A$4:$A$53,0)),0))</f>
        <v/>
      </c>
      <c r="L28" s="10" t="str">
        <f aca="false">IF($B28="","",$J28+$K28)</f>
        <v/>
      </c>
      <c r="M28" s="9"/>
      <c r="N28" s="10" t="str">
        <f aca="false">IF($B28="","",$L28-$M28)</f>
        <v/>
      </c>
      <c r="O28" s="10" t="str">
        <f aca="false">IF($B28="","",IFERROR(INDEX(Drinks!$E$4:$E$53,MATCH($B28,Drinks!$A$4:$A$53,0)),0))</f>
        <v/>
      </c>
      <c r="P28" s="10" t="str">
        <f aca="false">IF($B28="","",$N28*$O28)</f>
        <v/>
      </c>
      <c r="Q28" s="10" t="str">
        <f aca="false">IF($B28="","",$N28*IFERROR(INDEX(Drinks!$D$4:$D$53,MATCH($B28,Drinks!$A$4:$A$53,0)),0))</f>
        <v/>
      </c>
      <c r="R28" s="10" t="str">
        <f aca="false">IF($B28="","",$P28-$Q28)</f>
        <v/>
      </c>
      <c r="S28" s="23" t="str">
        <f aca="false">IF($B28="","",IF(COUNTIFS($A$4:$A$2003,$A28-1,$B$4:$B$2003,$B28)=0,"first day",IF(SUMIFS($M$4:$M$2003,$A$4:$A$2003,$A28-1,$B$4:$B$2003,$B28)=$J28,"OK","CHECK")))</f>
        <v/>
      </c>
      <c r="T28" s="10" t="str">
        <f aca="false">IF($B28="","",IFERROR(INDEX(Drinks!$D$4:$D$53,MATCH($B28,Drinks!$A$4:$A$53,0)),0))</f>
        <v/>
      </c>
    </row>
    <row r="29" customFormat="false" ht="15" hidden="false" customHeight="false" outlineLevel="0" collapsed="false">
      <c r="A29" s="22"/>
      <c r="B29" s="9"/>
      <c r="C29" s="9"/>
      <c r="D29" s="9"/>
      <c r="E29" s="9"/>
      <c r="F29" s="10" t="str">
        <f aca="false">IF($B29="","",$C29+$D29-$E29)</f>
        <v/>
      </c>
      <c r="G29" s="10" t="str">
        <f aca="false">IF($B29="","",IFERROR(INDEX(Drinks!$C$4:$C$53,MATCH($B29,Drinks!$A$4:$A$53,0)),0))</f>
        <v/>
      </c>
      <c r="H29" s="10" t="str">
        <f aca="false">IF($B29="","",$D29*$G29)</f>
        <v/>
      </c>
      <c r="I29" s="10" t="str">
        <f aca="false">IF($B29="","",$F29*$G29)</f>
        <v/>
      </c>
      <c r="J29" s="9"/>
      <c r="K29" s="10" t="str">
        <f aca="false">IF($B29="","",$E29*IFERROR(INDEX(Drinks!$B$4:$B$53,MATCH($B29,Drinks!$A$4:$A$53,0)),0))</f>
        <v/>
      </c>
      <c r="L29" s="10" t="str">
        <f aca="false">IF($B29="","",$J29+$K29)</f>
        <v/>
      </c>
      <c r="M29" s="9"/>
      <c r="N29" s="10" t="str">
        <f aca="false">IF($B29="","",$L29-$M29)</f>
        <v/>
      </c>
      <c r="O29" s="10" t="str">
        <f aca="false">IF($B29="","",IFERROR(INDEX(Drinks!$E$4:$E$53,MATCH($B29,Drinks!$A$4:$A$53,0)),0))</f>
        <v/>
      </c>
      <c r="P29" s="10" t="str">
        <f aca="false">IF($B29="","",$N29*$O29)</f>
        <v/>
      </c>
      <c r="Q29" s="10" t="str">
        <f aca="false">IF($B29="","",$N29*IFERROR(INDEX(Drinks!$D$4:$D$53,MATCH($B29,Drinks!$A$4:$A$53,0)),0))</f>
        <v/>
      </c>
      <c r="R29" s="10" t="str">
        <f aca="false">IF($B29="","",$P29-$Q29)</f>
        <v/>
      </c>
      <c r="S29" s="23" t="str">
        <f aca="false">IF($B29="","",IF(COUNTIFS($A$4:$A$2003,$A29-1,$B$4:$B$2003,$B29)=0,"first day",IF(SUMIFS($M$4:$M$2003,$A$4:$A$2003,$A29-1,$B$4:$B$2003,$B29)=$J29,"OK","CHECK")))</f>
        <v/>
      </c>
      <c r="T29" s="10" t="str">
        <f aca="false">IF($B29="","",IFERROR(INDEX(Drinks!$D$4:$D$53,MATCH($B29,Drinks!$A$4:$A$53,0)),0))</f>
        <v/>
      </c>
    </row>
    <row r="30" customFormat="false" ht="15" hidden="false" customHeight="false" outlineLevel="0" collapsed="false">
      <c r="A30" s="22"/>
      <c r="B30" s="9"/>
      <c r="C30" s="9"/>
      <c r="D30" s="9"/>
      <c r="E30" s="9"/>
      <c r="F30" s="10" t="str">
        <f aca="false">IF($B30="","",$C30+$D30-$E30)</f>
        <v/>
      </c>
      <c r="G30" s="10" t="str">
        <f aca="false">IF($B30="","",IFERROR(INDEX(Drinks!$C$4:$C$53,MATCH($B30,Drinks!$A$4:$A$53,0)),0))</f>
        <v/>
      </c>
      <c r="H30" s="10" t="str">
        <f aca="false">IF($B30="","",$D30*$G30)</f>
        <v/>
      </c>
      <c r="I30" s="10" t="str">
        <f aca="false">IF($B30="","",$F30*$G30)</f>
        <v/>
      </c>
      <c r="J30" s="9"/>
      <c r="K30" s="10" t="str">
        <f aca="false">IF($B30="","",$E30*IFERROR(INDEX(Drinks!$B$4:$B$53,MATCH($B30,Drinks!$A$4:$A$53,0)),0))</f>
        <v/>
      </c>
      <c r="L30" s="10" t="str">
        <f aca="false">IF($B30="","",$J30+$K30)</f>
        <v/>
      </c>
      <c r="M30" s="9"/>
      <c r="N30" s="10" t="str">
        <f aca="false">IF($B30="","",$L30-$M30)</f>
        <v/>
      </c>
      <c r="O30" s="10" t="str">
        <f aca="false">IF($B30="","",IFERROR(INDEX(Drinks!$E$4:$E$53,MATCH($B30,Drinks!$A$4:$A$53,0)),0))</f>
        <v/>
      </c>
      <c r="P30" s="10" t="str">
        <f aca="false">IF($B30="","",$N30*$O30)</f>
        <v/>
      </c>
      <c r="Q30" s="10" t="str">
        <f aca="false">IF($B30="","",$N30*IFERROR(INDEX(Drinks!$D$4:$D$53,MATCH($B30,Drinks!$A$4:$A$53,0)),0))</f>
        <v/>
      </c>
      <c r="R30" s="10" t="str">
        <f aca="false">IF($B30="","",$P30-$Q30)</f>
        <v/>
      </c>
      <c r="S30" s="23" t="str">
        <f aca="false">IF($B30="","",IF(COUNTIFS($A$4:$A$2003,$A30-1,$B$4:$B$2003,$B30)=0,"first day",IF(SUMIFS($M$4:$M$2003,$A$4:$A$2003,$A30-1,$B$4:$B$2003,$B30)=$J30,"OK","CHECK")))</f>
        <v/>
      </c>
      <c r="T30" s="10" t="str">
        <f aca="false">IF($B30="","",IFERROR(INDEX(Drinks!$D$4:$D$53,MATCH($B30,Drinks!$A$4:$A$53,0)),0))</f>
        <v/>
      </c>
    </row>
    <row r="31" customFormat="false" ht="15" hidden="false" customHeight="false" outlineLevel="0" collapsed="false">
      <c r="A31" s="22"/>
      <c r="B31" s="9"/>
      <c r="C31" s="9"/>
      <c r="D31" s="9"/>
      <c r="E31" s="9"/>
      <c r="F31" s="10" t="str">
        <f aca="false">IF($B31="","",$C31+$D31-$E31)</f>
        <v/>
      </c>
      <c r="G31" s="10" t="str">
        <f aca="false">IF($B31="","",IFERROR(INDEX(Drinks!$C$4:$C$53,MATCH($B31,Drinks!$A$4:$A$53,0)),0))</f>
        <v/>
      </c>
      <c r="H31" s="10" t="str">
        <f aca="false">IF($B31="","",$D31*$G31)</f>
        <v/>
      </c>
      <c r="I31" s="10" t="str">
        <f aca="false">IF($B31="","",$F31*$G31)</f>
        <v/>
      </c>
      <c r="J31" s="9"/>
      <c r="K31" s="10" t="str">
        <f aca="false">IF($B31="","",$E31*IFERROR(INDEX(Drinks!$B$4:$B$53,MATCH($B31,Drinks!$A$4:$A$53,0)),0))</f>
        <v/>
      </c>
      <c r="L31" s="10" t="str">
        <f aca="false">IF($B31="","",$J31+$K31)</f>
        <v/>
      </c>
      <c r="M31" s="9"/>
      <c r="N31" s="10" t="str">
        <f aca="false">IF($B31="","",$L31-$M31)</f>
        <v/>
      </c>
      <c r="O31" s="10" t="str">
        <f aca="false">IF($B31="","",IFERROR(INDEX(Drinks!$E$4:$E$53,MATCH($B31,Drinks!$A$4:$A$53,0)),0))</f>
        <v/>
      </c>
      <c r="P31" s="10" t="str">
        <f aca="false">IF($B31="","",$N31*$O31)</f>
        <v/>
      </c>
      <c r="Q31" s="10" t="str">
        <f aca="false">IF($B31="","",$N31*IFERROR(INDEX(Drinks!$D$4:$D$53,MATCH($B31,Drinks!$A$4:$A$53,0)),0))</f>
        <v/>
      </c>
      <c r="R31" s="10" t="str">
        <f aca="false">IF($B31="","",$P31-$Q31)</f>
        <v/>
      </c>
      <c r="S31" s="23" t="str">
        <f aca="false">IF($B31="","",IF(COUNTIFS($A$4:$A$2003,$A31-1,$B$4:$B$2003,$B31)=0,"first day",IF(SUMIFS($M$4:$M$2003,$A$4:$A$2003,$A31-1,$B$4:$B$2003,$B31)=$J31,"OK","CHECK")))</f>
        <v/>
      </c>
      <c r="T31" s="10" t="str">
        <f aca="false">IF($B31="","",IFERROR(INDEX(Drinks!$D$4:$D$53,MATCH($B31,Drinks!$A$4:$A$53,0)),0))</f>
        <v/>
      </c>
    </row>
    <row r="32" customFormat="false" ht="15" hidden="false" customHeight="false" outlineLevel="0" collapsed="false">
      <c r="A32" s="22"/>
      <c r="B32" s="9"/>
      <c r="C32" s="9"/>
      <c r="D32" s="9"/>
      <c r="E32" s="9"/>
      <c r="F32" s="10" t="str">
        <f aca="false">IF($B32="","",$C32+$D32-$E32)</f>
        <v/>
      </c>
      <c r="G32" s="10" t="str">
        <f aca="false">IF($B32="","",IFERROR(INDEX(Drinks!$C$4:$C$53,MATCH($B32,Drinks!$A$4:$A$53,0)),0))</f>
        <v/>
      </c>
      <c r="H32" s="10" t="str">
        <f aca="false">IF($B32="","",$D32*$G32)</f>
        <v/>
      </c>
      <c r="I32" s="10" t="str">
        <f aca="false">IF($B32="","",$F32*$G32)</f>
        <v/>
      </c>
      <c r="J32" s="9"/>
      <c r="K32" s="10" t="str">
        <f aca="false">IF($B32="","",$E32*IFERROR(INDEX(Drinks!$B$4:$B$53,MATCH($B32,Drinks!$A$4:$A$53,0)),0))</f>
        <v/>
      </c>
      <c r="L32" s="10" t="str">
        <f aca="false">IF($B32="","",$J32+$K32)</f>
        <v/>
      </c>
      <c r="M32" s="9"/>
      <c r="N32" s="10" t="str">
        <f aca="false">IF($B32="","",$L32-$M32)</f>
        <v/>
      </c>
      <c r="O32" s="10" t="str">
        <f aca="false">IF($B32="","",IFERROR(INDEX(Drinks!$E$4:$E$53,MATCH($B32,Drinks!$A$4:$A$53,0)),0))</f>
        <v/>
      </c>
      <c r="P32" s="10" t="str">
        <f aca="false">IF($B32="","",$N32*$O32)</f>
        <v/>
      </c>
      <c r="Q32" s="10" t="str">
        <f aca="false">IF($B32="","",$N32*IFERROR(INDEX(Drinks!$D$4:$D$53,MATCH($B32,Drinks!$A$4:$A$53,0)),0))</f>
        <v/>
      </c>
      <c r="R32" s="10" t="str">
        <f aca="false">IF($B32="","",$P32-$Q32)</f>
        <v/>
      </c>
      <c r="S32" s="23" t="str">
        <f aca="false">IF($B32="","",IF(COUNTIFS($A$4:$A$2003,$A32-1,$B$4:$B$2003,$B32)=0,"first day",IF(SUMIFS($M$4:$M$2003,$A$4:$A$2003,$A32-1,$B$4:$B$2003,$B32)=$J32,"OK","CHECK")))</f>
        <v/>
      </c>
      <c r="T32" s="10" t="str">
        <f aca="false">IF($B32="","",IFERROR(INDEX(Drinks!$D$4:$D$53,MATCH($B32,Drinks!$A$4:$A$53,0)),0))</f>
        <v/>
      </c>
    </row>
    <row r="33" customFormat="false" ht="15" hidden="false" customHeight="false" outlineLevel="0" collapsed="false">
      <c r="A33" s="22"/>
      <c r="B33" s="9"/>
      <c r="C33" s="9"/>
      <c r="D33" s="9"/>
      <c r="E33" s="9"/>
      <c r="F33" s="10" t="str">
        <f aca="false">IF($B33="","",$C33+$D33-$E33)</f>
        <v/>
      </c>
      <c r="G33" s="10" t="str">
        <f aca="false">IF($B33="","",IFERROR(INDEX(Drinks!$C$4:$C$53,MATCH($B33,Drinks!$A$4:$A$53,0)),0))</f>
        <v/>
      </c>
      <c r="H33" s="10" t="str">
        <f aca="false">IF($B33="","",$D33*$G33)</f>
        <v/>
      </c>
      <c r="I33" s="10" t="str">
        <f aca="false">IF($B33="","",$F33*$G33)</f>
        <v/>
      </c>
      <c r="J33" s="9"/>
      <c r="K33" s="10" t="str">
        <f aca="false">IF($B33="","",$E33*IFERROR(INDEX(Drinks!$B$4:$B$53,MATCH($B33,Drinks!$A$4:$A$53,0)),0))</f>
        <v/>
      </c>
      <c r="L33" s="10" t="str">
        <f aca="false">IF($B33="","",$J33+$K33)</f>
        <v/>
      </c>
      <c r="M33" s="9"/>
      <c r="N33" s="10" t="str">
        <f aca="false">IF($B33="","",$L33-$M33)</f>
        <v/>
      </c>
      <c r="O33" s="10" t="str">
        <f aca="false">IF($B33="","",IFERROR(INDEX(Drinks!$E$4:$E$53,MATCH($B33,Drinks!$A$4:$A$53,0)),0))</f>
        <v/>
      </c>
      <c r="P33" s="10" t="str">
        <f aca="false">IF($B33="","",$N33*$O33)</f>
        <v/>
      </c>
      <c r="Q33" s="10" t="str">
        <f aca="false">IF($B33="","",$N33*IFERROR(INDEX(Drinks!$D$4:$D$53,MATCH($B33,Drinks!$A$4:$A$53,0)),0))</f>
        <v/>
      </c>
      <c r="R33" s="10" t="str">
        <f aca="false">IF($B33="","",$P33-$Q33)</f>
        <v/>
      </c>
      <c r="S33" s="23" t="str">
        <f aca="false">IF($B33="","",IF(COUNTIFS($A$4:$A$2003,$A33-1,$B$4:$B$2003,$B33)=0,"first day",IF(SUMIFS($M$4:$M$2003,$A$4:$A$2003,$A33-1,$B$4:$B$2003,$B33)=$J33,"OK","CHECK")))</f>
        <v/>
      </c>
      <c r="T33" s="10" t="str">
        <f aca="false">IF($B33="","",IFERROR(INDEX(Drinks!$D$4:$D$53,MATCH($B33,Drinks!$A$4:$A$53,0)),0))</f>
        <v/>
      </c>
    </row>
    <row r="34" customFormat="false" ht="15" hidden="false" customHeight="false" outlineLevel="0" collapsed="false">
      <c r="A34" s="22"/>
      <c r="B34" s="9"/>
      <c r="C34" s="9"/>
      <c r="D34" s="9"/>
      <c r="E34" s="9"/>
      <c r="F34" s="10" t="str">
        <f aca="false">IF($B34="","",$C34+$D34-$E34)</f>
        <v/>
      </c>
      <c r="G34" s="10" t="str">
        <f aca="false">IF($B34="","",IFERROR(INDEX(Drinks!$C$4:$C$53,MATCH($B34,Drinks!$A$4:$A$53,0)),0))</f>
        <v/>
      </c>
      <c r="H34" s="10" t="str">
        <f aca="false">IF($B34="","",$D34*$G34)</f>
        <v/>
      </c>
      <c r="I34" s="10" t="str">
        <f aca="false">IF($B34="","",$F34*$G34)</f>
        <v/>
      </c>
      <c r="J34" s="9"/>
      <c r="K34" s="10" t="str">
        <f aca="false">IF($B34="","",$E34*IFERROR(INDEX(Drinks!$B$4:$B$53,MATCH($B34,Drinks!$A$4:$A$53,0)),0))</f>
        <v/>
      </c>
      <c r="L34" s="10" t="str">
        <f aca="false">IF($B34="","",$J34+$K34)</f>
        <v/>
      </c>
      <c r="M34" s="9"/>
      <c r="N34" s="10" t="str">
        <f aca="false">IF($B34="","",$L34-$M34)</f>
        <v/>
      </c>
      <c r="O34" s="10" t="str">
        <f aca="false">IF($B34="","",IFERROR(INDEX(Drinks!$E$4:$E$53,MATCH($B34,Drinks!$A$4:$A$53,0)),0))</f>
        <v/>
      </c>
      <c r="P34" s="10" t="str">
        <f aca="false">IF($B34="","",$N34*$O34)</f>
        <v/>
      </c>
      <c r="Q34" s="10" t="str">
        <f aca="false">IF($B34="","",$N34*IFERROR(INDEX(Drinks!$D$4:$D$53,MATCH($B34,Drinks!$A$4:$A$53,0)),0))</f>
        <v/>
      </c>
      <c r="R34" s="10" t="str">
        <f aca="false">IF($B34="","",$P34-$Q34)</f>
        <v/>
      </c>
      <c r="S34" s="23" t="str">
        <f aca="false">IF($B34="","",IF(COUNTIFS($A$4:$A$2003,$A34-1,$B$4:$B$2003,$B34)=0,"first day",IF(SUMIFS($M$4:$M$2003,$A$4:$A$2003,$A34-1,$B$4:$B$2003,$B34)=$J34,"OK","CHECK")))</f>
        <v/>
      </c>
      <c r="T34" s="10" t="str">
        <f aca="false">IF($B34="","",IFERROR(INDEX(Drinks!$D$4:$D$53,MATCH($B34,Drinks!$A$4:$A$53,0)),0))</f>
        <v/>
      </c>
    </row>
    <row r="35" customFormat="false" ht="15" hidden="false" customHeight="false" outlineLevel="0" collapsed="false">
      <c r="A35" s="22"/>
      <c r="B35" s="9"/>
      <c r="C35" s="9"/>
      <c r="D35" s="9"/>
      <c r="E35" s="9"/>
      <c r="F35" s="10" t="str">
        <f aca="false">IF($B35="","",$C35+$D35-$E35)</f>
        <v/>
      </c>
      <c r="G35" s="10" t="str">
        <f aca="false">IF($B35="","",IFERROR(INDEX(Drinks!$C$4:$C$53,MATCH($B35,Drinks!$A$4:$A$53,0)),0))</f>
        <v/>
      </c>
      <c r="H35" s="10" t="str">
        <f aca="false">IF($B35="","",$D35*$G35)</f>
        <v/>
      </c>
      <c r="I35" s="10" t="str">
        <f aca="false">IF($B35="","",$F35*$G35)</f>
        <v/>
      </c>
      <c r="J35" s="9"/>
      <c r="K35" s="10" t="str">
        <f aca="false">IF($B35="","",$E35*IFERROR(INDEX(Drinks!$B$4:$B$53,MATCH($B35,Drinks!$A$4:$A$53,0)),0))</f>
        <v/>
      </c>
      <c r="L35" s="10" t="str">
        <f aca="false">IF($B35="","",$J35+$K35)</f>
        <v/>
      </c>
      <c r="M35" s="9"/>
      <c r="N35" s="10" t="str">
        <f aca="false">IF($B35="","",$L35-$M35)</f>
        <v/>
      </c>
      <c r="O35" s="10" t="str">
        <f aca="false">IF($B35="","",IFERROR(INDEX(Drinks!$E$4:$E$53,MATCH($B35,Drinks!$A$4:$A$53,0)),0))</f>
        <v/>
      </c>
      <c r="P35" s="10" t="str">
        <f aca="false">IF($B35="","",$N35*$O35)</f>
        <v/>
      </c>
      <c r="Q35" s="10" t="str">
        <f aca="false">IF($B35="","",$N35*IFERROR(INDEX(Drinks!$D$4:$D$53,MATCH($B35,Drinks!$A$4:$A$53,0)),0))</f>
        <v/>
      </c>
      <c r="R35" s="10" t="str">
        <f aca="false">IF($B35="","",$P35-$Q35)</f>
        <v/>
      </c>
      <c r="S35" s="23" t="str">
        <f aca="false">IF($B35="","",IF(COUNTIFS($A$4:$A$2003,$A35-1,$B$4:$B$2003,$B35)=0,"first day",IF(SUMIFS($M$4:$M$2003,$A$4:$A$2003,$A35-1,$B$4:$B$2003,$B35)=$J35,"OK","CHECK")))</f>
        <v/>
      </c>
      <c r="T35" s="10" t="str">
        <f aca="false">IF($B35="","",IFERROR(INDEX(Drinks!$D$4:$D$53,MATCH($B35,Drinks!$A$4:$A$53,0)),0))</f>
        <v/>
      </c>
    </row>
    <row r="36" customFormat="false" ht="15" hidden="false" customHeight="false" outlineLevel="0" collapsed="false">
      <c r="A36" s="22"/>
      <c r="B36" s="9"/>
      <c r="C36" s="9"/>
      <c r="D36" s="9"/>
      <c r="E36" s="9"/>
      <c r="F36" s="10" t="str">
        <f aca="false">IF($B36="","",$C36+$D36-$E36)</f>
        <v/>
      </c>
      <c r="G36" s="10" t="str">
        <f aca="false">IF($B36="","",IFERROR(INDEX(Drinks!$C$4:$C$53,MATCH($B36,Drinks!$A$4:$A$53,0)),0))</f>
        <v/>
      </c>
      <c r="H36" s="10" t="str">
        <f aca="false">IF($B36="","",$D36*$G36)</f>
        <v/>
      </c>
      <c r="I36" s="10" t="str">
        <f aca="false">IF($B36="","",$F36*$G36)</f>
        <v/>
      </c>
      <c r="J36" s="9"/>
      <c r="K36" s="10" t="str">
        <f aca="false">IF($B36="","",$E36*IFERROR(INDEX(Drinks!$B$4:$B$53,MATCH($B36,Drinks!$A$4:$A$53,0)),0))</f>
        <v/>
      </c>
      <c r="L36" s="10" t="str">
        <f aca="false">IF($B36="","",$J36+$K36)</f>
        <v/>
      </c>
      <c r="M36" s="9"/>
      <c r="N36" s="10" t="str">
        <f aca="false">IF($B36="","",$L36-$M36)</f>
        <v/>
      </c>
      <c r="O36" s="10" t="str">
        <f aca="false">IF($B36="","",IFERROR(INDEX(Drinks!$E$4:$E$53,MATCH($B36,Drinks!$A$4:$A$53,0)),0))</f>
        <v/>
      </c>
      <c r="P36" s="10" t="str">
        <f aca="false">IF($B36="","",$N36*$O36)</f>
        <v/>
      </c>
      <c r="Q36" s="10" t="str">
        <f aca="false">IF($B36="","",$N36*IFERROR(INDEX(Drinks!$D$4:$D$53,MATCH($B36,Drinks!$A$4:$A$53,0)),0))</f>
        <v/>
      </c>
      <c r="R36" s="10" t="str">
        <f aca="false">IF($B36="","",$P36-$Q36)</f>
        <v/>
      </c>
      <c r="S36" s="23" t="str">
        <f aca="false">IF($B36="","",IF(COUNTIFS($A$4:$A$2003,$A36-1,$B$4:$B$2003,$B36)=0,"first day",IF(SUMIFS($M$4:$M$2003,$A$4:$A$2003,$A36-1,$B$4:$B$2003,$B36)=$J36,"OK","CHECK")))</f>
        <v/>
      </c>
      <c r="T36" s="10" t="str">
        <f aca="false">IF($B36="","",IFERROR(INDEX(Drinks!$D$4:$D$53,MATCH($B36,Drinks!$A$4:$A$53,0)),0))</f>
        <v/>
      </c>
    </row>
    <row r="37" customFormat="false" ht="15" hidden="false" customHeight="false" outlineLevel="0" collapsed="false">
      <c r="A37" s="22"/>
      <c r="B37" s="9"/>
      <c r="C37" s="9"/>
      <c r="D37" s="9"/>
      <c r="E37" s="9"/>
      <c r="F37" s="10" t="str">
        <f aca="false">IF($B37="","",$C37+$D37-$E37)</f>
        <v/>
      </c>
      <c r="G37" s="10" t="str">
        <f aca="false">IF($B37="","",IFERROR(INDEX(Drinks!$C$4:$C$53,MATCH($B37,Drinks!$A$4:$A$53,0)),0))</f>
        <v/>
      </c>
      <c r="H37" s="10" t="str">
        <f aca="false">IF($B37="","",$D37*$G37)</f>
        <v/>
      </c>
      <c r="I37" s="10" t="str">
        <f aca="false">IF($B37="","",$F37*$G37)</f>
        <v/>
      </c>
      <c r="J37" s="9"/>
      <c r="K37" s="10" t="str">
        <f aca="false">IF($B37="","",$E37*IFERROR(INDEX(Drinks!$B$4:$B$53,MATCH($B37,Drinks!$A$4:$A$53,0)),0))</f>
        <v/>
      </c>
      <c r="L37" s="10" t="str">
        <f aca="false">IF($B37="","",$J37+$K37)</f>
        <v/>
      </c>
      <c r="M37" s="9"/>
      <c r="N37" s="10" t="str">
        <f aca="false">IF($B37="","",$L37-$M37)</f>
        <v/>
      </c>
      <c r="O37" s="10" t="str">
        <f aca="false">IF($B37="","",IFERROR(INDEX(Drinks!$E$4:$E$53,MATCH($B37,Drinks!$A$4:$A$53,0)),0))</f>
        <v/>
      </c>
      <c r="P37" s="10" t="str">
        <f aca="false">IF($B37="","",$N37*$O37)</f>
        <v/>
      </c>
      <c r="Q37" s="10" t="str">
        <f aca="false">IF($B37="","",$N37*IFERROR(INDEX(Drinks!$D$4:$D$53,MATCH($B37,Drinks!$A$4:$A$53,0)),0))</f>
        <v/>
      </c>
      <c r="R37" s="10" t="str">
        <f aca="false">IF($B37="","",$P37-$Q37)</f>
        <v/>
      </c>
      <c r="S37" s="23" t="str">
        <f aca="false">IF($B37="","",IF(COUNTIFS($A$4:$A$2003,$A37-1,$B$4:$B$2003,$B37)=0,"first day",IF(SUMIFS($M$4:$M$2003,$A$4:$A$2003,$A37-1,$B$4:$B$2003,$B37)=$J37,"OK","CHECK")))</f>
        <v/>
      </c>
      <c r="T37" s="10" t="str">
        <f aca="false">IF($B37="","",IFERROR(INDEX(Drinks!$D$4:$D$53,MATCH($B37,Drinks!$A$4:$A$53,0)),0))</f>
        <v/>
      </c>
    </row>
    <row r="38" customFormat="false" ht="15" hidden="false" customHeight="false" outlineLevel="0" collapsed="false">
      <c r="A38" s="22"/>
      <c r="B38" s="9"/>
      <c r="C38" s="9"/>
      <c r="D38" s="9"/>
      <c r="E38" s="9"/>
      <c r="F38" s="10" t="str">
        <f aca="false">IF($B38="","",$C38+$D38-$E38)</f>
        <v/>
      </c>
      <c r="G38" s="10" t="str">
        <f aca="false">IF($B38="","",IFERROR(INDEX(Drinks!$C$4:$C$53,MATCH($B38,Drinks!$A$4:$A$53,0)),0))</f>
        <v/>
      </c>
      <c r="H38" s="10" t="str">
        <f aca="false">IF($B38="","",$D38*$G38)</f>
        <v/>
      </c>
      <c r="I38" s="10" t="str">
        <f aca="false">IF($B38="","",$F38*$G38)</f>
        <v/>
      </c>
      <c r="J38" s="9"/>
      <c r="K38" s="10" t="str">
        <f aca="false">IF($B38="","",$E38*IFERROR(INDEX(Drinks!$B$4:$B$53,MATCH($B38,Drinks!$A$4:$A$53,0)),0))</f>
        <v/>
      </c>
      <c r="L38" s="10" t="str">
        <f aca="false">IF($B38="","",$J38+$K38)</f>
        <v/>
      </c>
      <c r="M38" s="9"/>
      <c r="N38" s="10" t="str">
        <f aca="false">IF($B38="","",$L38-$M38)</f>
        <v/>
      </c>
      <c r="O38" s="10" t="str">
        <f aca="false">IF($B38="","",IFERROR(INDEX(Drinks!$E$4:$E$53,MATCH($B38,Drinks!$A$4:$A$53,0)),0))</f>
        <v/>
      </c>
      <c r="P38" s="10" t="str">
        <f aca="false">IF($B38="","",$N38*$O38)</f>
        <v/>
      </c>
      <c r="Q38" s="10" t="str">
        <f aca="false">IF($B38="","",$N38*IFERROR(INDEX(Drinks!$D$4:$D$53,MATCH($B38,Drinks!$A$4:$A$53,0)),0))</f>
        <v/>
      </c>
      <c r="R38" s="10" t="str">
        <f aca="false">IF($B38="","",$P38-$Q38)</f>
        <v/>
      </c>
      <c r="S38" s="23" t="str">
        <f aca="false">IF($B38="","",IF(COUNTIFS($A$4:$A$2003,$A38-1,$B$4:$B$2003,$B38)=0,"first day",IF(SUMIFS($M$4:$M$2003,$A$4:$A$2003,$A38-1,$B$4:$B$2003,$B38)=$J38,"OK","CHECK")))</f>
        <v/>
      </c>
      <c r="T38" s="10" t="str">
        <f aca="false">IF($B38="","",IFERROR(INDEX(Drinks!$D$4:$D$53,MATCH($B38,Drinks!$A$4:$A$53,0)),0))</f>
        <v/>
      </c>
    </row>
    <row r="39" customFormat="false" ht="15" hidden="false" customHeight="false" outlineLevel="0" collapsed="false">
      <c r="A39" s="22"/>
      <c r="B39" s="9"/>
      <c r="C39" s="9"/>
      <c r="D39" s="9"/>
      <c r="E39" s="9"/>
      <c r="F39" s="10" t="str">
        <f aca="false">IF($B39="","",$C39+$D39-$E39)</f>
        <v/>
      </c>
      <c r="G39" s="10" t="str">
        <f aca="false">IF($B39="","",IFERROR(INDEX(Drinks!$C$4:$C$53,MATCH($B39,Drinks!$A$4:$A$53,0)),0))</f>
        <v/>
      </c>
      <c r="H39" s="10" t="str">
        <f aca="false">IF($B39="","",$D39*$G39)</f>
        <v/>
      </c>
      <c r="I39" s="10" t="str">
        <f aca="false">IF($B39="","",$F39*$G39)</f>
        <v/>
      </c>
      <c r="J39" s="9"/>
      <c r="K39" s="10" t="str">
        <f aca="false">IF($B39="","",$E39*IFERROR(INDEX(Drinks!$B$4:$B$53,MATCH($B39,Drinks!$A$4:$A$53,0)),0))</f>
        <v/>
      </c>
      <c r="L39" s="10" t="str">
        <f aca="false">IF($B39="","",$J39+$K39)</f>
        <v/>
      </c>
      <c r="M39" s="9"/>
      <c r="N39" s="10" t="str">
        <f aca="false">IF($B39="","",$L39-$M39)</f>
        <v/>
      </c>
      <c r="O39" s="10" t="str">
        <f aca="false">IF($B39="","",IFERROR(INDEX(Drinks!$E$4:$E$53,MATCH($B39,Drinks!$A$4:$A$53,0)),0))</f>
        <v/>
      </c>
      <c r="P39" s="10" t="str">
        <f aca="false">IF($B39="","",$N39*$O39)</f>
        <v/>
      </c>
      <c r="Q39" s="10" t="str">
        <f aca="false">IF($B39="","",$N39*IFERROR(INDEX(Drinks!$D$4:$D$53,MATCH($B39,Drinks!$A$4:$A$53,0)),0))</f>
        <v/>
      </c>
      <c r="R39" s="10" t="str">
        <f aca="false">IF($B39="","",$P39-$Q39)</f>
        <v/>
      </c>
      <c r="S39" s="23" t="str">
        <f aca="false">IF($B39="","",IF(COUNTIFS($A$4:$A$2003,$A39-1,$B$4:$B$2003,$B39)=0,"first day",IF(SUMIFS($M$4:$M$2003,$A$4:$A$2003,$A39-1,$B$4:$B$2003,$B39)=$J39,"OK","CHECK")))</f>
        <v/>
      </c>
      <c r="T39" s="10" t="str">
        <f aca="false">IF($B39="","",IFERROR(INDEX(Drinks!$D$4:$D$53,MATCH($B39,Drinks!$A$4:$A$53,0)),0))</f>
        <v/>
      </c>
    </row>
    <row r="40" customFormat="false" ht="15" hidden="false" customHeight="false" outlineLevel="0" collapsed="false">
      <c r="A40" s="22"/>
      <c r="B40" s="9"/>
      <c r="C40" s="9"/>
      <c r="D40" s="9"/>
      <c r="E40" s="9"/>
      <c r="F40" s="10" t="str">
        <f aca="false">IF($B40="","",$C40+$D40-$E40)</f>
        <v/>
      </c>
      <c r="G40" s="10" t="str">
        <f aca="false">IF($B40="","",IFERROR(INDEX(Drinks!$C$4:$C$53,MATCH($B40,Drinks!$A$4:$A$53,0)),0))</f>
        <v/>
      </c>
      <c r="H40" s="10" t="str">
        <f aca="false">IF($B40="","",$D40*$G40)</f>
        <v/>
      </c>
      <c r="I40" s="10" t="str">
        <f aca="false">IF($B40="","",$F40*$G40)</f>
        <v/>
      </c>
      <c r="J40" s="9"/>
      <c r="K40" s="10" t="str">
        <f aca="false">IF($B40="","",$E40*IFERROR(INDEX(Drinks!$B$4:$B$53,MATCH($B40,Drinks!$A$4:$A$53,0)),0))</f>
        <v/>
      </c>
      <c r="L40" s="10" t="str">
        <f aca="false">IF($B40="","",$J40+$K40)</f>
        <v/>
      </c>
      <c r="M40" s="9"/>
      <c r="N40" s="10" t="str">
        <f aca="false">IF($B40="","",$L40-$M40)</f>
        <v/>
      </c>
      <c r="O40" s="10" t="str">
        <f aca="false">IF($B40="","",IFERROR(INDEX(Drinks!$E$4:$E$53,MATCH($B40,Drinks!$A$4:$A$53,0)),0))</f>
        <v/>
      </c>
      <c r="P40" s="10" t="str">
        <f aca="false">IF($B40="","",$N40*$O40)</f>
        <v/>
      </c>
      <c r="Q40" s="10" t="str">
        <f aca="false">IF($B40="","",$N40*IFERROR(INDEX(Drinks!$D$4:$D$53,MATCH($B40,Drinks!$A$4:$A$53,0)),0))</f>
        <v/>
      </c>
      <c r="R40" s="10" t="str">
        <f aca="false">IF($B40="","",$P40-$Q40)</f>
        <v/>
      </c>
      <c r="S40" s="23" t="str">
        <f aca="false">IF($B40="","",IF(COUNTIFS($A$4:$A$2003,$A40-1,$B$4:$B$2003,$B40)=0,"first day",IF(SUMIFS($M$4:$M$2003,$A$4:$A$2003,$A40-1,$B$4:$B$2003,$B40)=$J40,"OK","CHECK")))</f>
        <v/>
      </c>
      <c r="T40" s="10" t="str">
        <f aca="false">IF($B40="","",IFERROR(INDEX(Drinks!$D$4:$D$53,MATCH($B40,Drinks!$A$4:$A$53,0)),0))</f>
        <v/>
      </c>
    </row>
    <row r="41" customFormat="false" ht="15" hidden="false" customHeight="false" outlineLevel="0" collapsed="false">
      <c r="A41" s="22"/>
      <c r="B41" s="9"/>
      <c r="C41" s="9"/>
      <c r="D41" s="9"/>
      <c r="E41" s="9"/>
      <c r="F41" s="10" t="str">
        <f aca="false">IF($B41="","",$C41+$D41-$E41)</f>
        <v/>
      </c>
      <c r="G41" s="10" t="str">
        <f aca="false">IF($B41="","",IFERROR(INDEX(Drinks!$C$4:$C$53,MATCH($B41,Drinks!$A$4:$A$53,0)),0))</f>
        <v/>
      </c>
      <c r="H41" s="10" t="str">
        <f aca="false">IF($B41="","",$D41*$G41)</f>
        <v/>
      </c>
      <c r="I41" s="10" t="str">
        <f aca="false">IF($B41="","",$F41*$G41)</f>
        <v/>
      </c>
      <c r="J41" s="9"/>
      <c r="K41" s="10" t="str">
        <f aca="false">IF($B41="","",$E41*IFERROR(INDEX(Drinks!$B$4:$B$53,MATCH($B41,Drinks!$A$4:$A$53,0)),0))</f>
        <v/>
      </c>
      <c r="L41" s="10" t="str">
        <f aca="false">IF($B41="","",$J41+$K41)</f>
        <v/>
      </c>
      <c r="M41" s="9"/>
      <c r="N41" s="10" t="str">
        <f aca="false">IF($B41="","",$L41-$M41)</f>
        <v/>
      </c>
      <c r="O41" s="10" t="str">
        <f aca="false">IF($B41="","",IFERROR(INDEX(Drinks!$E$4:$E$53,MATCH($B41,Drinks!$A$4:$A$53,0)),0))</f>
        <v/>
      </c>
      <c r="P41" s="10" t="str">
        <f aca="false">IF($B41="","",$N41*$O41)</f>
        <v/>
      </c>
      <c r="Q41" s="10" t="str">
        <f aca="false">IF($B41="","",$N41*IFERROR(INDEX(Drinks!$D$4:$D$53,MATCH($B41,Drinks!$A$4:$A$53,0)),0))</f>
        <v/>
      </c>
      <c r="R41" s="10" t="str">
        <f aca="false">IF($B41="","",$P41-$Q41)</f>
        <v/>
      </c>
      <c r="S41" s="23" t="str">
        <f aca="false">IF($B41="","",IF(COUNTIFS($A$4:$A$2003,$A41-1,$B$4:$B$2003,$B41)=0,"first day",IF(SUMIFS($M$4:$M$2003,$A$4:$A$2003,$A41-1,$B$4:$B$2003,$B41)=$J41,"OK","CHECK")))</f>
        <v/>
      </c>
      <c r="T41" s="10" t="str">
        <f aca="false">IF($B41="","",IFERROR(INDEX(Drinks!$D$4:$D$53,MATCH($B41,Drinks!$A$4:$A$53,0)),0))</f>
        <v/>
      </c>
    </row>
    <row r="42" customFormat="false" ht="15" hidden="false" customHeight="false" outlineLevel="0" collapsed="false">
      <c r="A42" s="22"/>
      <c r="B42" s="9"/>
      <c r="C42" s="9"/>
      <c r="D42" s="9"/>
      <c r="E42" s="9"/>
      <c r="F42" s="10" t="str">
        <f aca="false">IF($B42="","",$C42+$D42-$E42)</f>
        <v/>
      </c>
      <c r="G42" s="10" t="str">
        <f aca="false">IF($B42="","",IFERROR(INDEX(Drinks!$C$4:$C$53,MATCH($B42,Drinks!$A$4:$A$53,0)),0))</f>
        <v/>
      </c>
      <c r="H42" s="10" t="str">
        <f aca="false">IF($B42="","",$D42*$G42)</f>
        <v/>
      </c>
      <c r="I42" s="10" t="str">
        <f aca="false">IF($B42="","",$F42*$G42)</f>
        <v/>
      </c>
      <c r="J42" s="9"/>
      <c r="K42" s="10" t="str">
        <f aca="false">IF($B42="","",$E42*IFERROR(INDEX(Drinks!$B$4:$B$53,MATCH($B42,Drinks!$A$4:$A$53,0)),0))</f>
        <v/>
      </c>
      <c r="L42" s="10" t="str">
        <f aca="false">IF($B42="","",$J42+$K42)</f>
        <v/>
      </c>
      <c r="M42" s="9"/>
      <c r="N42" s="10" t="str">
        <f aca="false">IF($B42="","",$L42-$M42)</f>
        <v/>
      </c>
      <c r="O42" s="10" t="str">
        <f aca="false">IF($B42="","",IFERROR(INDEX(Drinks!$E$4:$E$53,MATCH($B42,Drinks!$A$4:$A$53,0)),0))</f>
        <v/>
      </c>
      <c r="P42" s="10" t="str">
        <f aca="false">IF($B42="","",$N42*$O42)</f>
        <v/>
      </c>
      <c r="Q42" s="10" t="str">
        <f aca="false">IF($B42="","",$N42*IFERROR(INDEX(Drinks!$D$4:$D$53,MATCH($B42,Drinks!$A$4:$A$53,0)),0))</f>
        <v/>
      </c>
      <c r="R42" s="10" t="str">
        <f aca="false">IF($B42="","",$P42-$Q42)</f>
        <v/>
      </c>
      <c r="S42" s="23" t="str">
        <f aca="false">IF($B42="","",IF(COUNTIFS($A$4:$A$2003,$A42-1,$B$4:$B$2003,$B42)=0,"first day",IF(SUMIFS($M$4:$M$2003,$A$4:$A$2003,$A42-1,$B$4:$B$2003,$B42)=$J42,"OK","CHECK")))</f>
        <v/>
      </c>
      <c r="T42" s="10" t="str">
        <f aca="false">IF($B42="","",IFERROR(INDEX(Drinks!$D$4:$D$53,MATCH($B42,Drinks!$A$4:$A$53,0)),0))</f>
        <v/>
      </c>
    </row>
    <row r="43" customFormat="false" ht="15" hidden="false" customHeight="false" outlineLevel="0" collapsed="false">
      <c r="A43" s="22"/>
      <c r="B43" s="9"/>
      <c r="C43" s="9"/>
      <c r="D43" s="9"/>
      <c r="E43" s="9"/>
      <c r="F43" s="10" t="str">
        <f aca="false">IF($B43="","",$C43+$D43-$E43)</f>
        <v/>
      </c>
      <c r="G43" s="10" t="str">
        <f aca="false">IF($B43="","",IFERROR(INDEX(Drinks!$C$4:$C$53,MATCH($B43,Drinks!$A$4:$A$53,0)),0))</f>
        <v/>
      </c>
      <c r="H43" s="10" t="str">
        <f aca="false">IF($B43="","",$D43*$G43)</f>
        <v/>
      </c>
      <c r="I43" s="10" t="str">
        <f aca="false">IF($B43="","",$F43*$G43)</f>
        <v/>
      </c>
      <c r="J43" s="9"/>
      <c r="K43" s="10" t="str">
        <f aca="false">IF($B43="","",$E43*IFERROR(INDEX(Drinks!$B$4:$B$53,MATCH($B43,Drinks!$A$4:$A$53,0)),0))</f>
        <v/>
      </c>
      <c r="L43" s="10" t="str">
        <f aca="false">IF($B43="","",$J43+$K43)</f>
        <v/>
      </c>
      <c r="M43" s="9"/>
      <c r="N43" s="10" t="str">
        <f aca="false">IF($B43="","",$L43-$M43)</f>
        <v/>
      </c>
      <c r="O43" s="10" t="str">
        <f aca="false">IF($B43="","",IFERROR(INDEX(Drinks!$E$4:$E$53,MATCH($B43,Drinks!$A$4:$A$53,0)),0))</f>
        <v/>
      </c>
      <c r="P43" s="10" t="str">
        <f aca="false">IF($B43="","",$N43*$O43)</f>
        <v/>
      </c>
      <c r="Q43" s="10" t="str">
        <f aca="false">IF($B43="","",$N43*IFERROR(INDEX(Drinks!$D$4:$D$53,MATCH($B43,Drinks!$A$4:$A$53,0)),0))</f>
        <v/>
      </c>
      <c r="R43" s="10" t="str">
        <f aca="false">IF($B43="","",$P43-$Q43)</f>
        <v/>
      </c>
      <c r="S43" s="23" t="str">
        <f aca="false">IF($B43="","",IF(COUNTIFS($A$4:$A$2003,$A43-1,$B$4:$B$2003,$B43)=0,"first day",IF(SUMIFS($M$4:$M$2003,$A$4:$A$2003,$A43-1,$B$4:$B$2003,$B43)=$J43,"OK","CHECK")))</f>
        <v/>
      </c>
      <c r="T43" s="10" t="str">
        <f aca="false">IF($B43="","",IFERROR(INDEX(Drinks!$D$4:$D$53,MATCH($B43,Drinks!$A$4:$A$53,0)),0))</f>
        <v/>
      </c>
    </row>
    <row r="44" customFormat="false" ht="15" hidden="false" customHeight="false" outlineLevel="0" collapsed="false">
      <c r="A44" s="22"/>
      <c r="B44" s="9"/>
      <c r="C44" s="9"/>
      <c r="D44" s="9"/>
      <c r="E44" s="9"/>
      <c r="F44" s="10" t="str">
        <f aca="false">IF($B44="","",$C44+$D44-$E44)</f>
        <v/>
      </c>
      <c r="G44" s="10" t="str">
        <f aca="false">IF($B44="","",IFERROR(INDEX(Drinks!$C$4:$C$53,MATCH($B44,Drinks!$A$4:$A$53,0)),0))</f>
        <v/>
      </c>
      <c r="H44" s="10" t="str">
        <f aca="false">IF($B44="","",$D44*$G44)</f>
        <v/>
      </c>
      <c r="I44" s="10" t="str">
        <f aca="false">IF($B44="","",$F44*$G44)</f>
        <v/>
      </c>
      <c r="J44" s="9"/>
      <c r="K44" s="10" t="str">
        <f aca="false">IF($B44="","",$E44*IFERROR(INDEX(Drinks!$B$4:$B$53,MATCH($B44,Drinks!$A$4:$A$53,0)),0))</f>
        <v/>
      </c>
      <c r="L44" s="10" t="str">
        <f aca="false">IF($B44="","",$J44+$K44)</f>
        <v/>
      </c>
      <c r="M44" s="9"/>
      <c r="N44" s="10" t="str">
        <f aca="false">IF($B44="","",$L44-$M44)</f>
        <v/>
      </c>
      <c r="O44" s="10" t="str">
        <f aca="false">IF($B44="","",IFERROR(INDEX(Drinks!$E$4:$E$53,MATCH($B44,Drinks!$A$4:$A$53,0)),0))</f>
        <v/>
      </c>
      <c r="P44" s="10" t="str">
        <f aca="false">IF($B44="","",$N44*$O44)</f>
        <v/>
      </c>
      <c r="Q44" s="10" t="str">
        <f aca="false">IF($B44="","",$N44*IFERROR(INDEX(Drinks!$D$4:$D$53,MATCH($B44,Drinks!$A$4:$A$53,0)),0))</f>
        <v/>
      </c>
      <c r="R44" s="10" t="str">
        <f aca="false">IF($B44="","",$P44-$Q44)</f>
        <v/>
      </c>
      <c r="S44" s="23" t="str">
        <f aca="false">IF($B44="","",IF(COUNTIFS($A$4:$A$2003,$A44-1,$B$4:$B$2003,$B44)=0,"first day",IF(SUMIFS($M$4:$M$2003,$A$4:$A$2003,$A44-1,$B$4:$B$2003,$B44)=$J44,"OK","CHECK")))</f>
        <v/>
      </c>
      <c r="T44" s="10" t="str">
        <f aca="false">IF($B44="","",IFERROR(INDEX(Drinks!$D$4:$D$53,MATCH($B44,Drinks!$A$4:$A$53,0)),0))</f>
        <v/>
      </c>
    </row>
    <row r="45" customFormat="false" ht="15" hidden="false" customHeight="false" outlineLevel="0" collapsed="false">
      <c r="A45" s="22"/>
      <c r="B45" s="9"/>
      <c r="C45" s="9"/>
      <c r="D45" s="9"/>
      <c r="E45" s="9"/>
      <c r="F45" s="10" t="str">
        <f aca="false">IF($B45="","",$C45+$D45-$E45)</f>
        <v/>
      </c>
      <c r="G45" s="10" t="str">
        <f aca="false">IF($B45="","",IFERROR(INDEX(Drinks!$C$4:$C$53,MATCH($B45,Drinks!$A$4:$A$53,0)),0))</f>
        <v/>
      </c>
      <c r="H45" s="10" t="str">
        <f aca="false">IF($B45="","",$D45*$G45)</f>
        <v/>
      </c>
      <c r="I45" s="10" t="str">
        <f aca="false">IF($B45="","",$F45*$G45)</f>
        <v/>
      </c>
      <c r="J45" s="9"/>
      <c r="K45" s="10" t="str">
        <f aca="false">IF($B45="","",$E45*IFERROR(INDEX(Drinks!$B$4:$B$53,MATCH($B45,Drinks!$A$4:$A$53,0)),0))</f>
        <v/>
      </c>
      <c r="L45" s="10" t="str">
        <f aca="false">IF($B45="","",$J45+$K45)</f>
        <v/>
      </c>
      <c r="M45" s="9"/>
      <c r="N45" s="10" t="str">
        <f aca="false">IF($B45="","",$L45-$M45)</f>
        <v/>
      </c>
      <c r="O45" s="10" t="str">
        <f aca="false">IF($B45="","",IFERROR(INDEX(Drinks!$E$4:$E$53,MATCH($B45,Drinks!$A$4:$A$53,0)),0))</f>
        <v/>
      </c>
      <c r="P45" s="10" t="str">
        <f aca="false">IF($B45="","",$N45*$O45)</f>
        <v/>
      </c>
      <c r="Q45" s="10" t="str">
        <f aca="false">IF($B45="","",$N45*IFERROR(INDEX(Drinks!$D$4:$D$53,MATCH($B45,Drinks!$A$4:$A$53,0)),0))</f>
        <v/>
      </c>
      <c r="R45" s="10" t="str">
        <f aca="false">IF($B45="","",$P45-$Q45)</f>
        <v/>
      </c>
      <c r="S45" s="23" t="str">
        <f aca="false">IF($B45="","",IF(COUNTIFS($A$4:$A$2003,$A45-1,$B$4:$B$2003,$B45)=0,"first day",IF(SUMIFS($M$4:$M$2003,$A$4:$A$2003,$A45-1,$B$4:$B$2003,$B45)=$J45,"OK","CHECK")))</f>
        <v/>
      </c>
      <c r="T45" s="10" t="str">
        <f aca="false">IF($B45="","",IFERROR(INDEX(Drinks!$D$4:$D$53,MATCH($B45,Drinks!$A$4:$A$53,0)),0))</f>
        <v/>
      </c>
    </row>
    <row r="46" customFormat="false" ht="15" hidden="false" customHeight="false" outlineLevel="0" collapsed="false">
      <c r="A46" s="22"/>
      <c r="B46" s="9"/>
      <c r="C46" s="9"/>
      <c r="D46" s="9"/>
      <c r="E46" s="9"/>
      <c r="F46" s="10" t="str">
        <f aca="false">IF($B46="","",$C46+$D46-$E46)</f>
        <v/>
      </c>
      <c r="G46" s="10" t="str">
        <f aca="false">IF($B46="","",IFERROR(INDEX(Drinks!$C$4:$C$53,MATCH($B46,Drinks!$A$4:$A$53,0)),0))</f>
        <v/>
      </c>
      <c r="H46" s="10" t="str">
        <f aca="false">IF($B46="","",$D46*$G46)</f>
        <v/>
      </c>
      <c r="I46" s="10" t="str">
        <f aca="false">IF($B46="","",$F46*$G46)</f>
        <v/>
      </c>
      <c r="J46" s="9"/>
      <c r="K46" s="10" t="str">
        <f aca="false">IF($B46="","",$E46*IFERROR(INDEX(Drinks!$B$4:$B$53,MATCH($B46,Drinks!$A$4:$A$53,0)),0))</f>
        <v/>
      </c>
      <c r="L46" s="10" t="str">
        <f aca="false">IF($B46="","",$J46+$K46)</f>
        <v/>
      </c>
      <c r="M46" s="9"/>
      <c r="N46" s="10" t="str">
        <f aca="false">IF($B46="","",$L46-$M46)</f>
        <v/>
      </c>
      <c r="O46" s="10" t="str">
        <f aca="false">IF($B46="","",IFERROR(INDEX(Drinks!$E$4:$E$53,MATCH($B46,Drinks!$A$4:$A$53,0)),0))</f>
        <v/>
      </c>
      <c r="P46" s="10" t="str">
        <f aca="false">IF($B46="","",$N46*$O46)</f>
        <v/>
      </c>
      <c r="Q46" s="10" t="str">
        <f aca="false">IF($B46="","",$N46*IFERROR(INDEX(Drinks!$D$4:$D$53,MATCH($B46,Drinks!$A$4:$A$53,0)),0))</f>
        <v/>
      </c>
      <c r="R46" s="10" t="str">
        <f aca="false">IF($B46="","",$P46-$Q46)</f>
        <v/>
      </c>
      <c r="S46" s="23" t="str">
        <f aca="false">IF($B46="","",IF(COUNTIFS($A$4:$A$2003,$A46-1,$B$4:$B$2003,$B46)=0,"first day",IF(SUMIFS($M$4:$M$2003,$A$4:$A$2003,$A46-1,$B$4:$B$2003,$B46)=$J46,"OK","CHECK")))</f>
        <v/>
      </c>
      <c r="T46" s="10" t="str">
        <f aca="false">IF($B46="","",IFERROR(INDEX(Drinks!$D$4:$D$53,MATCH($B46,Drinks!$A$4:$A$53,0)),0))</f>
        <v/>
      </c>
    </row>
    <row r="47" customFormat="false" ht="15" hidden="false" customHeight="false" outlineLevel="0" collapsed="false">
      <c r="A47" s="22"/>
      <c r="B47" s="9"/>
      <c r="C47" s="9"/>
      <c r="D47" s="9"/>
      <c r="E47" s="9"/>
      <c r="F47" s="10" t="str">
        <f aca="false">IF($B47="","",$C47+$D47-$E47)</f>
        <v/>
      </c>
      <c r="G47" s="10" t="str">
        <f aca="false">IF($B47="","",IFERROR(INDEX(Drinks!$C$4:$C$53,MATCH($B47,Drinks!$A$4:$A$53,0)),0))</f>
        <v/>
      </c>
      <c r="H47" s="10" t="str">
        <f aca="false">IF($B47="","",$D47*$G47)</f>
        <v/>
      </c>
      <c r="I47" s="10" t="str">
        <f aca="false">IF($B47="","",$F47*$G47)</f>
        <v/>
      </c>
      <c r="J47" s="9"/>
      <c r="K47" s="10" t="str">
        <f aca="false">IF($B47="","",$E47*IFERROR(INDEX(Drinks!$B$4:$B$53,MATCH($B47,Drinks!$A$4:$A$53,0)),0))</f>
        <v/>
      </c>
      <c r="L47" s="10" t="str">
        <f aca="false">IF($B47="","",$J47+$K47)</f>
        <v/>
      </c>
      <c r="M47" s="9"/>
      <c r="N47" s="10" t="str">
        <f aca="false">IF($B47="","",$L47-$M47)</f>
        <v/>
      </c>
      <c r="O47" s="10" t="str">
        <f aca="false">IF($B47="","",IFERROR(INDEX(Drinks!$E$4:$E$53,MATCH($B47,Drinks!$A$4:$A$53,0)),0))</f>
        <v/>
      </c>
      <c r="P47" s="10" t="str">
        <f aca="false">IF($B47="","",$N47*$O47)</f>
        <v/>
      </c>
      <c r="Q47" s="10" t="str">
        <f aca="false">IF($B47="","",$N47*IFERROR(INDEX(Drinks!$D$4:$D$53,MATCH($B47,Drinks!$A$4:$A$53,0)),0))</f>
        <v/>
      </c>
      <c r="R47" s="10" t="str">
        <f aca="false">IF($B47="","",$P47-$Q47)</f>
        <v/>
      </c>
      <c r="S47" s="23" t="str">
        <f aca="false">IF($B47="","",IF(COUNTIFS($A$4:$A$2003,$A47-1,$B$4:$B$2003,$B47)=0,"first day",IF(SUMIFS($M$4:$M$2003,$A$4:$A$2003,$A47-1,$B$4:$B$2003,$B47)=$J47,"OK","CHECK")))</f>
        <v/>
      </c>
      <c r="T47" s="10" t="str">
        <f aca="false">IF($B47="","",IFERROR(INDEX(Drinks!$D$4:$D$53,MATCH($B47,Drinks!$A$4:$A$53,0)),0))</f>
        <v/>
      </c>
    </row>
    <row r="48" customFormat="false" ht="15" hidden="false" customHeight="false" outlineLevel="0" collapsed="false">
      <c r="A48" s="22"/>
      <c r="B48" s="9"/>
      <c r="C48" s="9"/>
      <c r="D48" s="9"/>
      <c r="E48" s="9"/>
      <c r="F48" s="10" t="str">
        <f aca="false">IF($B48="","",$C48+$D48-$E48)</f>
        <v/>
      </c>
      <c r="G48" s="10" t="str">
        <f aca="false">IF($B48="","",IFERROR(INDEX(Drinks!$C$4:$C$53,MATCH($B48,Drinks!$A$4:$A$53,0)),0))</f>
        <v/>
      </c>
      <c r="H48" s="10" t="str">
        <f aca="false">IF($B48="","",$D48*$G48)</f>
        <v/>
      </c>
      <c r="I48" s="10" t="str">
        <f aca="false">IF($B48="","",$F48*$G48)</f>
        <v/>
      </c>
      <c r="J48" s="9"/>
      <c r="K48" s="10" t="str">
        <f aca="false">IF($B48="","",$E48*IFERROR(INDEX(Drinks!$B$4:$B$53,MATCH($B48,Drinks!$A$4:$A$53,0)),0))</f>
        <v/>
      </c>
      <c r="L48" s="10" t="str">
        <f aca="false">IF($B48="","",$J48+$K48)</f>
        <v/>
      </c>
      <c r="M48" s="9"/>
      <c r="N48" s="10" t="str">
        <f aca="false">IF($B48="","",$L48-$M48)</f>
        <v/>
      </c>
      <c r="O48" s="10" t="str">
        <f aca="false">IF($B48="","",IFERROR(INDEX(Drinks!$E$4:$E$53,MATCH($B48,Drinks!$A$4:$A$53,0)),0))</f>
        <v/>
      </c>
      <c r="P48" s="10" t="str">
        <f aca="false">IF($B48="","",$N48*$O48)</f>
        <v/>
      </c>
      <c r="Q48" s="10" t="str">
        <f aca="false">IF($B48="","",$N48*IFERROR(INDEX(Drinks!$D$4:$D$53,MATCH($B48,Drinks!$A$4:$A$53,0)),0))</f>
        <v/>
      </c>
      <c r="R48" s="10" t="str">
        <f aca="false">IF($B48="","",$P48-$Q48)</f>
        <v/>
      </c>
      <c r="S48" s="23" t="str">
        <f aca="false">IF($B48="","",IF(COUNTIFS($A$4:$A$2003,$A48-1,$B$4:$B$2003,$B48)=0,"first day",IF(SUMIFS($M$4:$M$2003,$A$4:$A$2003,$A48-1,$B$4:$B$2003,$B48)=$J48,"OK","CHECK")))</f>
        <v/>
      </c>
      <c r="T48" s="10" t="str">
        <f aca="false">IF($B48="","",IFERROR(INDEX(Drinks!$D$4:$D$53,MATCH($B48,Drinks!$A$4:$A$53,0)),0))</f>
        <v/>
      </c>
    </row>
    <row r="49" customFormat="false" ht="15" hidden="false" customHeight="false" outlineLevel="0" collapsed="false">
      <c r="A49" s="22"/>
      <c r="B49" s="9"/>
      <c r="C49" s="9"/>
      <c r="D49" s="9"/>
      <c r="E49" s="9"/>
      <c r="F49" s="10" t="str">
        <f aca="false">IF($B49="","",$C49+$D49-$E49)</f>
        <v/>
      </c>
      <c r="G49" s="10" t="str">
        <f aca="false">IF($B49="","",IFERROR(INDEX(Drinks!$C$4:$C$53,MATCH($B49,Drinks!$A$4:$A$53,0)),0))</f>
        <v/>
      </c>
      <c r="H49" s="10" t="str">
        <f aca="false">IF($B49="","",$D49*$G49)</f>
        <v/>
      </c>
      <c r="I49" s="10" t="str">
        <f aca="false">IF($B49="","",$F49*$G49)</f>
        <v/>
      </c>
      <c r="J49" s="9"/>
      <c r="K49" s="10" t="str">
        <f aca="false">IF($B49="","",$E49*IFERROR(INDEX(Drinks!$B$4:$B$53,MATCH($B49,Drinks!$A$4:$A$53,0)),0))</f>
        <v/>
      </c>
      <c r="L49" s="10" t="str">
        <f aca="false">IF($B49="","",$J49+$K49)</f>
        <v/>
      </c>
      <c r="M49" s="9"/>
      <c r="N49" s="10" t="str">
        <f aca="false">IF($B49="","",$L49-$M49)</f>
        <v/>
      </c>
      <c r="O49" s="10" t="str">
        <f aca="false">IF($B49="","",IFERROR(INDEX(Drinks!$E$4:$E$53,MATCH($B49,Drinks!$A$4:$A$53,0)),0))</f>
        <v/>
      </c>
      <c r="P49" s="10" t="str">
        <f aca="false">IF($B49="","",$N49*$O49)</f>
        <v/>
      </c>
      <c r="Q49" s="10" t="str">
        <f aca="false">IF($B49="","",$N49*IFERROR(INDEX(Drinks!$D$4:$D$53,MATCH($B49,Drinks!$A$4:$A$53,0)),0))</f>
        <v/>
      </c>
      <c r="R49" s="10" t="str">
        <f aca="false">IF($B49="","",$P49-$Q49)</f>
        <v/>
      </c>
      <c r="S49" s="23" t="str">
        <f aca="false">IF($B49="","",IF(COUNTIFS($A$4:$A$2003,$A49-1,$B$4:$B$2003,$B49)=0,"first day",IF(SUMIFS($M$4:$M$2003,$A$4:$A$2003,$A49-1,$B$4:$B$2003,$B49)=$J49,"OK","CHECK")))</f>
        <v/>
      </c>
      <c r="T49" s="10" t="str">
        <f aca="false">IF($B49="","",IFERROR(INDEX(Drinks!$D$4:$D$53,MATCH($B49,Drinks!$A$4:$A$53,0)),0))</f>
        <v/>
      </c>
    </row>
    <row r="50" customFormat="false" ht="15" hidden="false" customHeight="false" outlineLevel="0" collapsed="false">
      <c r="A50" s="22"/>
      <c r="B50" s="9"/>
      <c r="C50" s="9"/>
      <c r="D50" s="9"/>
      <c r="E50" s="9"/>
      <c r="F50" s="10" t="str">
        <f aca="false">IF($B50="","",$C50+$D50-$E50)</f>
        <v/>
      </c>
      <c r="G50" s="10" t="str">
        <f aca="false">IF($B50="","",IFERROR(INDEX(Drinks!$C$4:$C$53,MATCH($B50,Drinks!$A$4:$A$53,0)),0))</f>
        <v/>
      </c>
      <c r="H50" s="10" t="str">
        <f aca="false">IF($B50="","",$D50*$G50)</f>
        <v/>
      </c>
      <c r="I50" s="10" t="str">
        <f aca="false">IF($B50="","",$F50*$G50)</f>
        <v/>
      </c>
      <c r="J50" s="9"/>
      <c r="K50" s="10" t="str">
        <f aca="false">IF($B50="","",$E50*IFERROR(INDEX(Drinks!$B$4:$B$53,MATCH($B50,Drinks!$A$4:$A$53,0)),0))</f>
        <v/>
      </c>
      <c r="L50" s="10" t="str">
        <f aca="false">IF($B50="","",$J50+$K50)</f>
        <v/>
      </c>
      <c r="M50" s="9"/>
      <c r="N50" s="10" t="str">
        <f aca="false">IF($B50="","",$L50-$M50)</f>
        <v/>
      </c>
      <c r="O50" s="10" t="str">
        <f aca="false">IF($B50="","",IFERROR(INDEX(Drinks!$E$4:$E$53,MATCH($B50,Drinks!$A$4:$A$53,0)),0))</f>
        <v/>
      </c>
      <c r="P50" s="10" t="str">
        <f aca="false">IF($B50="","",$N50*$O50)</f>
        <v/>
      </c>
      <c r="Q50" s="10" t="str">
        <f aca="false">IF($B50="","",$N50*IFERROR(INDEX(Drinks!$D$4:$D$53,MATCH($B50,Drinks!$A$4:$A$53,0)),0))</f>
        <v/>
      </c>
      <c r="R50" s="10" t="str">
        <f aca="false">IF($B50="","",$P50-$Q50)</f>
        <v/>
      </c>
      <c r="S50" s="23" t="str">
        <f aca="false">IF($B50="","",IF(COUNTIFS($A$4:$A$2003,$A50-1,$B$4:$B$2003,$B50)=0,"first day",IF(SUMIFS($M$4:$M$2003,$A$4:$A$2003,$A50-1,$B$4:$B$2003,$B50)=$J50,"OK","CHECK")))</f>
        <v/>
      </c>
      <c r="T50" s="10" t="str">
        <f aca="false">IF($B50="","",IFERROR(INDEX(Drinks!$D$4:$D$53,MATCH($B50,Drinks!$A$4:$A$53,0)),0))</f>
        <v/>
      </c>
    </row>
    <row r="51" customFormat="false" ht="15" hidden="false" customHeight="false" outlineLevel="0" collapsed="false">
      <c r="A51" s="22"/>
      <c r="B51" s="9"/>
      <c r="C51" s="9"/>
      <c r="D51" s="9"/>
      <c r="E51" s="9"/>
      <c r="F51" s="10" t="str">
        <f aca="false">IF($B51="","",$C51+$D51-$E51)</f>
        <v/>
      </c>
      <c r="G51" s="10" t="str">
        <f aca="false">IF($B51="","",IFERROR(INDEX(Drinks!$C$4:$C$53,MATCH($B51,Drinks!$A$4:$A$53,0)),0))</f>
        <v/>
      </c>
      <c r="H51" s="10" t="str">
        <f aca="false">IF($B51="","",$D51*$G51)</f>
        <v/>
      </c>
      <c r="I51" s="10" t="str">
        <f aca="false">IF($B51="","",$F51*$G51)</f>
        <v/>
      </c>
      <c r="J51" s="9"/>
      <c r="K51" s="10" t="str">
        <f aca="false">IF($B51="","",$E51*IFERROR(INDEX(Drinks!$B$4:$B$53,MATCH($B51,Drinks!$A$4:$A$53,0)),0))</f>
        <v/>
      </c>
      <c r="L51" s="10" t="str">
        <f aca="false">IF($B51="","",$J51+$K51)</f>
        <v/>
      </c>
      <c r="M51" s="9"/>
      <c r="N51" s="10" t="str">
        <f aca="false">IF($B51="","",$L51-$M51)</f>
        <v/>
      </c>
      <c r="O51" s="10" t="str">
        <f aca="false">IF($B51="","",IFERROR(INDEX(Drinks!$E$4:$E$53,MATCH($B51,Drinks!$A$4:$A$53,0)),0))</f>
        <v/>
      </c>
      <c r="P51" s="10" t="str">
        <f aca="false">IF($B51="","",$N51*$O51)</f>
        <v/>
      </c>
      <c r="Q51" s="10" t="str">
        <f aca="false">IF($B51="","",$N51*IFERROR(INDEX(Drinks!$D$4:$D$53,MATCH($B51,Drinks!$A$4:$A$53,0)),0))</f>
        <v/>
      </c>
      <c r="R51" s="10" t="str">
        <f aca="false">IF($B51="","",$P51-$Q51)</f>
        <v/>
      </c>
      <c r="S51" s="23" t="str">
        <f aca="false">IF($B51="","",IF(COUNTIFS($A$4:$A$2003,$A51-1,$B$4:$B$2003,$B51)=0,"first day",IF(SUMIFS($M$4:$M$2003,$A$4:$A$2003,$A51-1,$B$4:$B$2003,$B51)=$J51,"OK","CHECK")))</f>
        <v/>
      </c>
      <c r="T51" s="10" t="str">
        <f aca="false">IF($B51="","",IFERROR(INDEX(Drinks!$D$4:$D$53,MATCH($B51,Drinks!$A$4:$A$53,0)),0))</f>
        <v/>
      </c>
    </row>
    <row r="52" customFormat="false" ht="15" hidden="false" customHeight="false" outlineLevel="0" collapsed="false">
      <c r="A52" s="22"/>
      <c r="B52" s="9"/>
      <c r="C52" s="9"/>
      <c r="D52" s="9"/>
      <c r="E52" s="9"/>
      <c r="F52" s="10" t="str">
        <f aca="false">IF($B52="","",$C52+$D52-$E52)</f>
        <v/>
      </c>
      <c r="G52" s="10" t="str">
        <f aca="false">IF($B52="","",IFERROR(INDEX(Drinks!$C$4:$C$53,MATCH($B52,Drinks!$A$4:$A$53,0)),0))</f>
        <v/>
      </c>
      <c r="H52" s="10" t="str">
        <f aca="false">IF($B52="","",$D52*$G52)</f>
        <v/>
      </c>
      <c r="I52" s="10" t="str">
        <f aca="false">IF($B52="","",$F52*$G52)</f>
        <v/>
      </c>
      <c r="J52" s="9"/>
      <c r="K52" s="10" t="str">
        <f aca="false">IF($B52="","",$E52*IFERROR(INDEX(Drinks!$B$4:$B$53,MATCH($B52,Drinks!$A$4:$A$53,0)),0))</f>
        <v/>
      </c>
      <c r="L52" s="10" t="str">
        <f aca="false">IF($B52="","",$J52+$K52)</f>
        <v/>
      </c>
      <c r="M52" s="9"/>
      <c r="N52" s="10" t="str">
        <f aca="false">IF($B52="","",$L52-$M52)</f>
        <v/>
      </c>
      <c r="O52" s="10" t="str">
        <f aca="false">IF($B52="","",IFERROR(INDEX(Drinks!$E$4:$E$53,MATCH($B52,Drinks!$A$4:$A$53,0)),0))</f>
        <v/>
      </c>
      <c r="P52" s="10" t="str">
        <f aca="false">IF($B52="","",$N52*$O52)</f>
        <v/>
      </c>
      <c r="Q52" s="10" t="str">
        <f aca="false">IF($B52="","",$N52*IFERROR(INDEX(Drinks!$D$4:$D$53,MATCH($B52,Drinks!$A$4:$A$53,0)),0))</f>
        <v/>
      </c>
      <c r="R52" s="10" t="str">
        <f aca="false">IF($B52="","",$P52-$Q52)</f>
        <v/>
      </c>
      <c r="S52" s="23" t="str">
        <f aca="false">IF($B52="","",IF(COUNTIFS($A$4:$A$2003,$A52-1,$B$4:$B$2003,$B52)=0,"first day",IF(SUMIFS($M$4:$M$2003,$A$4:$A$2003,$A52-1,$B$4:$B$2003,$B52)=$J52,"OK","CHECK")))</f>
        <v/>
      </c>
      <c r="T52" s="10" t="str">
        <f aca="false">IF($B52="","",IFERROR(INDEX(Drinks!$D$4:$D$53,MATCH($B52,Drinks!$A$4:$A$53,0)),0))</f>
        <v/>
      </c>
    </row>
    <row r="53" customFormat="false" ht="15" hidden="false" customHeight="false" outlineLevel="0" collapsed="false">
      <c r="A53" s="22"/>
      <c r="B53" s="9"/>
      <c r="C53" s="9"/>
      <c r="D53" s="9"/>
      <c r="E53" s="9"/>
      <c r="F53" s="10" t="str">
        <f aca="false">IF($B53="","",$C53+$D53-$E53)</f>
        <v/>
      </c>
      <c r="G53" s="10" t="str">
        <f aca="false">IF($B53="","",IFERROR(INDEX(Drinks!$C$4:$C$53,MATCH($B53,Drinks!$A$4:$A$53,0)),0))</f>
        <v/>
      </c>
      <c r="H53" s="10" t="str">
        <f aca="false">IF($B53="","",$D53*$G53)</f>
        <v/>
      </c>
      <c r="I53" s="10" t="str">
        <f aca="false">IF($B53="","",$F53*$G53)</f>
        <v/>
      </c>
      <c r="J53" s="9"/>
      <c r="K53" s="10" t="str">
        <f aca="false">IF($B53="","",$E53*IFERROR(INDEX(Drinks!$B$4:$B$53,MATCH($B53,Drinks!$A$4:$A$53,0)),0))</f>
        <v/>
      </c>
      <c r="L53" s="10" t="str">
        <f aca="false">IF($B53="","",$J53+$K53)</f>
        <v/>
      </c>
      <c r="M53" s="9"/>
      <c r="N53" s="10" t="str">
        <f aca="false">IF($B53="","",$L53-$M53)</f>
        <v/>
      </c>
      <c r="O53" s="10" t="str">
        <f aca="false">IF($B53="","",IFERROR(INDEX(Drinks!$E$4:$E$53,MATCH($B53,Drinks!$A$4:$A$53,0)),0))</f>
        <v/>
      </c>
      <c r="P53" s="10" t="str">
        <f aca="false">IF($B53="","",$N53*$O53)</f>
        <v/>
      </c>
      <c r="Q53" s="10" t="str">
        <f aca="false">IF($B53="","",$N53*IFERROR(INDEX(Drinks!$D$4:$D$53,MATCH($B53,Drinks!$A$4:$A$53,0)),0))</f>
        <v/>
      </c>
      <c r="R53" s="10" t="str">
        <f aca="false">IF($B53="","",$P53-$Q53)</f>
        <v/>
      </c>
      <c r="S53" s="23" t="str">
        <f aca="false">IF($B53="","",IF(COUNTIFS($A$4:$A$2003,$A53-1,$B$4:$B$2003,$B53)=0,"first day",IF(SUMIFS($M$4:$M$2003,$A$4:$A$2003,$A53-1,$B$4:$B$2003,$B53)=$J53,"OK","CHECK")))</f>
        <v/>
      </c>
      <c r="T53" s="10" t="str">
        <f aca="false">IF($B53="","",IFERROR(INDEX(Drinks!$D$4:$D$53,MATCH($B53,Drinks!$A$4:$A$53,0)),0))</f>
        <v/>
      </c>
    </row>
    <row r="54" customFormat="false" ht="15" hidden="false" customHeight="false" outlineLevel="0" collapsed="false">
      <c r="A54" s="22"/>
      <c r="B54" s="9"/>
      <c r="C54" s="9"/>
      <c r="D54" s="9"/>
      <c r="E54" s="9"/>
      <c r="F54" s="10" t="str">
        <f aca="false">IF($B54="","",$C54+$D54-$E54)</f>
        <v/>
      </c>
      <c r="G54" s="10" t="str">
        <f aca="false">IF($B54="","",IFERROR(INDEX(Drinks!$C$4:$C$53,MATCH($B54,Drinks!$A$4:$A$53,0)),0))</f>
        <v/>
      </c>
      <c r="H54" s="10" t="str">
        <f aca="false">IF($B54="","",$D54*$G54)</f>
        <v/>
      </c>
      <c r="I54" s="10" t="str">
        <f aca="false">IF($B54="","",$F54*$G54)</f>
        <v/>
      </c>
      <c r="J54" s="9"/>
      <c r="K54" s="10" t="str">
        <f aca="false">IF($B54="","",$E54*IFERROR(INDEX(Drinks!$B$4:$B$53,MATCH($B54,Drinks!$A$4:$A$53,0)),0))</f>
        <v/>
      </c>
      <c r="L54" s="10" t="str">
        <f aca="false">IF($B54="","",$J54+$K54)</f>
        <v/>
      </c>
      <c r="M54" s="9"/>
      <c r="N54" s="10" t="str">
        <f aca="false">IF($B54="","",$L54-$M54)</f>
        <v/>
      </c>
      <c r="O54" s="10" t="str">
        <f aca="false">IF($B54="","",IFERROR(INDEX(Drinks!$E$4:$E$53,MATCH($B54,Drinks!$A$4:$A$53,0)),0))</f>
        <v/>
      </c>
      <c r="P54" s="10" t="str">
        <f aca="false">IF($B54="","",$N54*$O54)</f>
        <v/>
      </c>
      <c r="Q54" s="10" t="str">
        <f aca="false">IF($B54="","",$N54*IFERROR(INDEX(Drinks!$D$4:$D$53,MATCH($B54,Drinks!$A$4:$A$53,0)),0))</f>
        <v/>
      </c>
      <c r="R54" s="10" t="str">
        <f aca="false">IF($B54="","",$P54-$Q54)</f>
        <v/>
      </c>
      <c r="S54" s="23" t="str">
        <f aca="false">IF($B54="","",IF(COUNTIFS($A$4:$A$2003,$A54-1,$B$4:$B$2003,$B54)=0,"first day",IF(SUMIFS($M$4:$M$2003,$A$4:$A$2003,$A54-1,$B$4:$B$2003,$B54)=$J54,"OK","CHECK")))</f>
        <v/>
      </c>
      <c r="T54" s="10" t="str">
        <f aca="false">IF($B54="","",IFERROR(INDEX(Drinks!$D$4:$D$53,MATCH($B54,Drinks!$A$4:$A$53,0)),0))</f>
        <v/>
      </c>
    </row>
    <row r="55" customFormat="false" ht="15" hidden="false" customHeight="false" outlineLevel="0" collapsed="false">
      <c r="A55" s="22"/>
      <c r="B55" s="9"/>
      <c r="C55" s="9"/>
      <c r="D55" s="9"/>
      <c r="E55" s="9"/>
      <c r="F55" s="10" t="str">
        <f aca="false">IF($B55="","",$C55+$D55-$E55)</f>
        <v/>
      </c>
      <c r="G55" s="10" t="str">
        <f aca="false">IF($B55="","",IFERROR(INDEX(Drinks!$C$4:$C$53,MATCH($B55,Drinks!$A$4:$A$53,0)),0))</f>
        <v/>
      </c>
      <c r="H55" s="10" t="str">
        <f aca="false">IF($B55="","",$D55*$G55)</f>
        <v/>
      </c>
      <c r="I55" s="10" t="str">
        <f aca="false">IF($B55="","",$F55*$G55)</f>
        <v/>
      </c>
      <c r="J55" s="9"/>
      <c r="K55" s="10" t="str">
        <f aca="false">IF($B55="","",$E55*IFERROR(INDEX(Drinks!$B$4:$B$53,MATCH($B55,Drinks!$A$4:$A$53,0)),0))</f>
        <v/>
      </c>
      <c r="L55" s="10" t="str">
        <f aca="false">IF($B55="","",$J55+$K55)</f>
        <v/>
      </c>
      <c r="M55" s="9"/>
      <c r="N55" s="10" t="str">
        <f aca="false">IF($B55="","",$L55-$M55)</f>
        <v/>
      </c>
      <c r="O55" s="10" t="str">
        <f aca="false">IF($B55="","",IFERROR(INDEX(Drinks!$E$4:$E$53,MATCH($B55,Drinks!$A$4:$A$53,0)),0))</f>
        <v/>
      </c>
      <c r="P55" s="10" t="str">
        <f aca="false">IF($B55="","",$N55*$O55)</f>
        <v/>
      </c>
      <c r="Q55" s="10" t="str">
        <f aca="false">IF($B55="","",$N55*IFERROR(INDEX(Drinks!$D$4:$D$53,MATCH($B55,Drinks!$A$4:$A$53,0)),0))</f>
        <v/>
      </c>
      <c r="R55" s="10" t="str">
        <f aca="false">IF($B55="","",$P55-$Q55)</f>
        <v/>
      </c>
      <c r="S55" s="23" t="str">
        <f aca="false">IF($B55="","",IF(COUNTIFS($A$4:$A$2003,$A55-1,$B$4:$B$2003,$B55)=0,"first day",IF(SUMIFS($M$4:$M$2003,$A$4:$A$2003,$A55-1,$B$4:$B$2003,$B55)=$J55,"OK","CHECK")))</f>
        <v/>
      </c>
      <c r="T55" s="10" t="str">
        <f aca="false">IF($B55="","",IFERROR(INDEX(Drinks!$D$4:$D$53,MATCH($B55,Drinks!$A$4:$A$53,0)),0))</f>
        <v/>
      </c>
    </row>
    <row r="56" customFormat="false" ht="15" hidden="false" customHeight="false" outlineLevel="0" collapsed="false">
      <c r="A56" s="22"/>
      <c r="B56" s="9"/>
      <c r="C56" s="9"/>
      <c r="D56" s="9"/>
      <c r="E56" s="9"/>
      <c r="F56" s="10" t="str">
        <f aca="false">IF($B56="","",$C56+$D56-$E56)</f>
        <v/>
      </c>
      <c r="G56" s="10" t="str">
        <f aca="false">IF($B56="","",IFERROR(INDEX(Drinks!$C$4:$C$53,MATCH($B56,Drinks!$A$4:$A$53,0)),0))</f>
        <v/>
      </c>
      <c r="H56" s="10" t="str">
        <f aca="false">IF($B56="","",$D56*$G56)</f>
        <v/>
      </c>
      <c r="I56" s="10" t="str">
        <f aca="false">IF($B56="","",$F56*$G56)</f>
        <v/>
      </c>
      <c r="J56" s="9"/>
      <c r="K56" s="10" t="str">
        <f aca="false">IF($B56="","",$E56*IFERROR(INDEX(Drinks!$B$4:$B$53,MATCH($B56,Drinks!$A$4:$A$53,0)),0))</f>
        <v/>
      </c>
      <c r="L56" s="10" t="str">
        <f aca="false">IF($B56="","",$J56+$K56)</f>
        <v/>
      </c>
      <c r="M56" s="9"/>
      <c r="N56" s="10" t="str">
        <f aca="false">IF($B56="","",$L56-$M56)</f>
        <v/>
      </c>
      <c r="O56" s="10" t="str">
        <f aca="false">IF($B56="","",IFERROR(INDEX(Drinks!$E$4:$E$53,MATCH($B56,Drinks!$A$4:$A$53,0)),0))</f>
        <v/>
      </c>
      <c r="P56" s="10" t="str">
        <f aca="false">IF($B56="","",$N56*$O56)</f>
        <v/>
      </c>
      <c r="Q56" s="10" t="str">
        <f aca="false">IF($B56="","",$N56*IFERROR(INDEX(Drinks!$D$4:$D$53,MATCH($B56,Drinks!$A$4:$A$53,0)),0))</f>
        <v/>
      </c>
      <c r="R56" s="10" t="str">
        <f aca="false">IF($B56="","",$P56-$Q56)</f>
        <v/>
      </c>
      <c r="S56" s="23" t="str">
        <f aca="false">IF($B56="","",IF(COUNTIFS($A$4:$A$2003,$A56-1,$B$4:$B$2003,$B56)=0,"first day",IF(SUMIFS($M$4:$M$2003,$A$4:$A$2003,$A56-1,$B$4:$B$2003,$B56)=$J56,"OK","CHECK")))</f>
        <v/>
      </c>
      <c r="T56" s="10" t="str">
        <f aca="false">IF($B56="","",IFERROR(INDEX(Drinks!$D$4:$D$53,MATCH($B56,Drinks!$A$4:$A$53,0)),0))</f>
        <v/>
      </c>
    </row>
    <row r="57" customFormat="false" ht="15" hidden="false" customHeight="false" outlineLevel="0" collapsed="false">
      <c r="A57" s="22"/>
      <c r="B57" s="9"/>
      <c r="C57" s="9"/>
      <c r="D57" s="9"/>
      <c r="E57" s="9"/>
      <c r="F57" s="10" t="str">
        <f aca="false">IF($B57="","",$C57+$D57-$E57)</f>
        <v/>
      </c>
      <c r="G57" s="10" t="str">
        <f aca="false">IF($B57="","",IFERROR(INDEX(Drinks!$C$4:$C$53,MATCH($B57,Drinks!$A$4:$A$53,0)),0))</f>
        <v/>
      </c>
      <c r="H57" s="10" t="str">
        <f aca="false">IF($B57="","",$D57*$G57)</f>
        <v/>
      </c>
      <c r="I57" s="10" t="str">
        <f aca="false">IF($B57="","",$F57*$G57)</f>
        <v/>
      </c>
      <c r="J57" s="9"/>
      <c r="K57" s="10" t="str">
        <f aca="false">IF($B57="","",$E57*IFERROR(INDEX(Drinks!$B$4:$B$53,MATCH($B57,Drinks!$A$4:$A$53,0)),0))</f>
        <v/>
      </c>
      <c r="L57" s="10" t="str">
        <f aca="false">IF($B57="","",$J57+$K57)</f>
        <v/>
      </c>
      <c r="M57" s="9"/>
      <c r="N57" s="10" t="str">
        <f aca="false">IF($B57="","",$L57-$M57)</f>
        <v/>
      </c>
      <c r="O57" s="10" t="str">
        <f aca="false">IF($B57="","",IFERROR(INDEX(Drinks!$E$4:$E$53,MATCH($B57,Drinks!$A$4:$A$53,0)),0))</f>
        <v/>
      </c>
      <c r="P57" s="10" t="str">
        <f aca="false">IF($B57="","",$N57*$O57)</f>
        <v/>
      </c>
      <c r="Q57" s="10" t="str">
        <f aca="false">IF($B57="","",$N57*IFERROR(INDEX(Drinks!$D$4:$D$53,MATCH($B57,Drinks!$A$4:$A$53,0)),0))</f>
        <v/>
      </c>
      <c r="R57" s="10" t="str">
        <f aca="false">IF($B57="","",$P57-$Q57)</f>
        <v/>
      </c>
      <c r="S57" s="23" t="str">
        <f aca="false">IF($B57="","",IF(COUNTIFS($A$4:$A$2003,$A57-1,$B$4:$B$2003,$B57)=0,"first day",IF(SUMIFS($M$4:$M$2003,$A$4:$A$2003,$A57-1,$B$4:$B$2003,$B57)=$J57,"OK","CHECK")))</f>
        <v/>
      </c>
      <c r="T57" s="10" t="str">
        <f aca="false">IF($B57="","",IFERROR(INDEX(Drinks!$D$4:$D$53,MATCH($B57,Drinks!$A$4:$A$53,0)),0))</f>
        <v/>
      </c>
    </row>
    <row r="58" customFormat="false" ht="15" hidden="false" customHeight="false" outlineLevel="0" collapsed="false">
      <c r="A58" s="22"/>
      <c r="B58" s="9"/>
      <c r="C58" s="9"/>
      <c r="D58" s="9"/>
      <c r="E58" s="9"/>
      <c r="F58" s="10" t="str">
        <f aca="false">IF($B58="","",$C58+$D58-$E58)</f>
        <v/>
      </c>
      <c r="G58" s="10" t="str">
        <f aca="false">IF($B58="","",IFERROR(INDEX(Drinks!$C$4:$C$53,MATCH($B58,Drinks!$A$4:$A$53,0)),0))</f>
        <v/>
      </c>
      <c r="H58" s="10" t="str">
        <f aca="false">IF($B58="","",$D58*$G58)</f>
        <v/>
      </c>
      <c r="I58" s="10" t="str">
        <f aca="false">IF($B58="","",$F58*$G58)</f>
        <v/>
      </c>
      <c r="J58" s="9"/>
      <c r="K58" s="10" t="str">
        <f aca="false">IF($B58="","",$E58*IFERROR(INDEX(Drinks!$B$4:$B$53,MATCH($B58,Drinks!$A$4:$A$53,0)),0))</f>
        <v/>
      </c>
      <c r="L58" s="10" t="str">
        <f aca="false">IF($B58="","",$J58+$K58)</f>
        <v/>
      </c>
      <c r="M58" s="9"/>
      <c r="N58" s="10" t="str">
        <f aca="false">IF($B58="","",$L58-$M58)</f>
        <v/>
      </c>
      <c r="O58" s="10" t="str">
        <f aca="false">IF($B58="","",IFERROR(INDEX(Drinks!$E$4:$E$53,MATCH($B58,Drinks!$A$4:$A$53,0)),0))</f>
        <v/>
      </c>
      <c r="P58" s="10" t="str">
        <f aca="false">IF($B58="","",$N58*$O58)</f>
        <v/>
      </c>
      <c r="Q58" s="10" t="str">
        <f aca="false">IF($B58="","",$N58*IFERROR(INDEX(Drinks!$D$4:$D$53,MATCH($B58,Drinks!$A$4:$A$53,0)),0))</f>
        <v/>
      </c>
      <c r="R58" s="10" t="str">
        <f aca="false">IF($B58="","",$P58-$Q58)</f>
        <v/>
      </c>
      <c r="S58" s="23" t="str">
        <f aca="false">IF($B58="","",IF(COUNTIFS($A$4:$A$2003,$A58-1,$B$4:$B$2003,$B58)=0,"first day",IF(SUMIFS($M$4:$M$2003,$A$4:$A$2003,$A58-1,$B$4:$B$2003,$B58)=$J58,"OK","CHECK")))</f>
        <v/>
      </c>
      <c r="T58" s="10" t="str">
        <f aca="false">IF($B58="","",IFERROR(INDEX(Drinks!$D$4:$D$53,MATCH($B58,Drinks!$A$4:$A$53,0)),0))</f>
        <v/>
      </c>
    </row>
    <row r="59" customFormat="false" ht="15" hidden="false" customHeight="false" outlineLevel="0" collapsed="false">
      <c r="A59" s="22"/>
      <c r="B59" s="9"/>
      <c r="C59" s="9"/>
      <c r="D59" s="9"/>
      <c r="E59" s="9"/>
      <c r="F59" s="10" t="str">
        <f aca="false">IF($B59="","",$C59+$D59-$E59)</f>
        <v/>
      </c>
      <c r="G59" s="10" t="str">
        <f aca="false">IF($B59="","",IFERROR(INDEX(Drinks!$C$4:$C$53,MATCH($B59,Drinks!$A$4:$A$53,0)),0))</f>
        <v/>
      </c>
      <c r="H59" s="10" t="str">
        <f aca="false">IF($B59="","",$D59*$G59)</f>
        <v/>
      </c>
      <c r="I59" s="10" t="str">
        <f aca="false">IF($B59="","",$F59*$G59)</f>
        <v/>
      </c>
      <c r="J59" s="9"/>
      <c r="K59" s="10" t="str">
        <f aca="false">IF($B59="","",$E59*IFERROR(INDEX(Drinks!$B$4:$B$53,MATCH($B59,Drinks!$A$4:$A$53,0)),0))</f>
        <v/>
      </c>
      <c r="L59" s="10" t="str">
        <f aca="false">IF($B59="","",$J59+$K59)</f>
        <v/>
      </c>
      <c r="M59" s="9"/>
      <c r="N59" s="10" t="str">
        <f aca="false">IF($B59="","",$L59-$M59)</f>
        <v/>
      </c>
      <c r="O59" s="10" t="str">
        <f aca="false">IF($B59="","",IFERROR(INDEX(Drinks!$E$4:$E$53,MATCH($B59,Drinks!$A$4:$A$53,0)),0))</f>
        <v/>
      </c>
      <c r="P59" s="10" t="str">
        <f aca="false">IF($B59="","",$N59*$O59)</f>
        <v/>
      </c>
      <c r="Q59" s="10" t="str">
        <f aca="false">IF($B59="","",$N59*IFERROR(INDEX(Drinks!$D$4:$D$53,MATCH($B59,Drinks!$A$4:$A$53,0)),0))</f>
        <v/>
      </c>
      <c r="R59" s="10" t="str">
        <f aca="false">IF($B59="","",$P59-$Q59)</f>
        <v/>
      </c>
      <c r="S59" s="23" t="str">
        <f aca="false">IF($B59="","",IF(COUNTIFS($A$4:$A$2003,$A59-1,$B$4:$B$2003,$B59)=0,"first day",IF(SUMIFS($M$4:$M$2003,$A$4:$A$2003,$A59-1,$B$4:$B$2003,$B59)=$J59,"OK","CHECK")))</f>
        <v/>
      </c>
      <c r="T59" s="10" t="str">
        <f aca="false">IF($B59="","",IFERROR(INDEX(Drinks!$D$4:$D$53,MATCH($B59,Drinks!$A$4:$A$53,0)),0))</f>
        <v/>
      </c>
    </row>
    <row r="60" customFormat="false" ht="15" hidden="false" customHeight="false" outlineLevel="0" collapsed="false">
      <c r="A60" s="22"/>
      <c r="B60" s="9"/>
      <c r="C60" s="9"/>
      <c r="D60" s="9"/>
      <c r="E60" s="9"/>
      <c r="F60" s="10" t="str">
        <f aca="false">IF($B60="","",$C60+$D60-$E60)</f>
        <v/>
      </c>
      <c r="G60" s="10" t="str">
        <f aca="false">IF($B60="","",IFERROR(INDEX(Drinks!$C$4:$C$53,MATCH($B60,Drinks!$A$4:$A$53,0)),0))</f>
        <v/>
      </c>
      <c r="H60" s="10" t="str">
        <f aca="false">IF($B60="","",$D60*$G60)</f>
        <v/>
      </c>
      <c r="I60" s="10" t="str">
        <f aca="false">IF($B60="","",$F60*$G60)</f>
        <v/>
      </c>
      <c r="J60" s="9"/>
      <c r="K60" s="10" t="str">
        <f aca="false">IF($B60="","",$E60*IFERROR(INDEX(Drinks!$B$4:$B$53,MATCH($B60,Drinks!$A$4:$A$53,0)),0))</f>
        <v/>
      </c>
      <c r="L60" s="10" t="str">
        <f aca="false">IF($B60="","",$J60+$K60)</f>
        <v/>
      </c>
      <c r="M60" s="9"/>
      <c r="N60" s="10" t="str">
        <f aca="false">IF($B60="","",$L60-$M60)</f>
        <v/>
      </c>
      <c r="O60" s="10" t="str">
        <f aca="false">IF($B60="","",IFERROR(INDEX(Drinks!$E$4:$E$53,MATCH($B60,Drinks!$A$4:$A$53,0)),0))</f>
        <v/>
      </c>
      <c r="P60" s="10" t="str">
        <f aca="false">IF($B60="","",$N60*$O60)</f>
        <v/>
      </c>
      <c r="Q60" s="10" t="str">
        <f aca="false">IF($B60="","",$N60*IFERROR(INDEX(Drinks!$D$4:$D$53,MATCH($B60,Drinks!$A$4:$A$53,0)),0))</f>
        <v/>
      </c>
      <c r="R60" s="10" t="str">
        <f aca="false">IF($B60="","",$P60-$Q60)</f>
        <v/>
      </c>
      <c r="S60" s="23" t="str">
        <f aca="false">IF($B60="","",IF(COUNTIFS($A$4:$A$2003,$A60-1,$B$4:$B$2003,$B60)=0,"first day",IF(SUMIFS($M$4:$M$2003,$A$4:$A$2003,$A60-1,$B$4:$B$2003,$B60)=$J60,"OK","CHECK")))</f>
        <v/>
      </c>
      <c r="T60" s="10" t="str">
        <f aca="false">IF($B60="","",IFERROR(INDEX(Drinks!$D$4:$D$53,MATCH($B60,Drinks!$A$4:$A$53,0)),0))</f>
        <v/>
      </c>
    </row>
    <row r="61" customFormat="false" ht="15" hidden="false" customHeight="false" outlineLevel="0" collapsed="false">
      <c r="A61" s="22"/>
      <c r="B61" s="9"/>
      <c r="C61" s="9"/>
      <c r="D61" s="9"/>
      <c r="E61" s="9"/>
      <c r="F61" s="10" t="str">
        <f aca="false">IF($B61="","",$C61+$D61-$E61)</f>
        <v/>
      </c>
      <c r="G61" s="10" t="str">
        <f aca="false">IF($B61="","",IFERROR(INDEX(Drinks!$C$4:$C$53,MATCH($B61,Drinks!$A$4:$A$53,0)),0))</f>
        <v/>
      </c>
      <c r="H61" s="10" t="str">
        <f aca="false">IF($B61="","",$D61*$G61)</f>
        <v/>
      </c>
      <c r="I61" s="10" t="str">
        <f aca="false">IF($B61="","",$F61*$G61)</f>
        <v/>
      </c>
      <c r="J61" s="9"/>
      <c r="K61" s="10" t="str">
        <f aca="false">IF($B61="","",$E61*IFERROR(INDEX(Drinks!$B$4:$B$53,MATCH($B61,Drinks!$A$4:$A$53,0)),0))</f>
        <v/>
      </c>
      <c r="L61" s="10" t="str">
        <f aca="false">IF($B61="","",$J61+$K61)</f>
        <v/>
      </c>
      <c r="M61" s="9"/>
      <c r="N61" s="10" t="str">
        <f aca="false">IF($B61="","",$L61-$M61)</f>
        <v/>
      </c>
      <c r="O61" s="10" t="str">
        <f aca="false">IF($B61="","",IFERROR(INDEX(Drinks!$E$4:$E$53,MATCH($B61,Drinks!$A$4:$A$53,0)),0))</f>
        <v/>
      </c>
      <c r="P61" s="10" t="str">
        <f aca="false">IF($B61="","",$N61*$O61)</f>
        <v/>
      </c>
      <c r="Q61" s="10" t="str">
        <f aca="false">IF($B61="","",$N61*IFERROR(INDEX(Drinks!$D$4:$D$53,MATCH($B61,Drinks!$A$4:$A$53,0)),0))</f>
        <v/>
      </c>
      <c r="R61" s="10" t="str">
        <f aca="false">IF($B61="","",$P61-$Q61)</f>
        <v/>
      </c>
      <c r="S61" s="23" t="str">
        <f aca="false">IF($B61="","",IF(COUNTIFS($A$4:$A$2003,$A61-1,$B$4:$B$2003,$B61)=0,"first day",IF(SUMIFS($M$4:$M$2003,$A$4:$A$2003,$A61-1,$B$4:$B$2003,$B61)=$J61,"OK","CHECK")))</f>
        <v/>
      </c>
      <c r="T61" s="10" t="str">
        <f aca="false">IF($B61="","",IFERROR(INDEX(Drinks!$D$4:$D$53,MATCH($B61,Drinks!$A$4:$A$53,0)),0))</f>
        <v/>
      </c>
    </row>
    <row r="62" customFormat="false" ht="15" hidden="false" customHeight="false" outlineLevel="0" collapsed="false">
      <c r="A62" s="22"/>
      <c r="B62" s="9"/>
      <c r="C62" s="9"/>
      <c r="D62" s="9"/>
      <c r="E62" s="9"/>
      <c r="F62" s="10" t="str">
        <f aca="false">IF($B62="","",$C62+$D62-$E62)</f>
        <v/>
      </c>
      <c r="G62" s="10" t="str">
        <f aca="false">IF($B62="","",IFERROR(INDEX(Drinks!$C$4:$C$53,MATCH($B62,Drinks!$A$4:$A$53,0)),0))</f>
        <v/>
      </c>
      <c r="H62" s="10" t="str">
        <f aca="false">IF($B62="","",$D62*$G62)</f>
        <v/>
      </c>
      <c r="I62" s="10" t="str">
        <f aca="false">IF($B62="","",$F62*$G62)</f>
        <v/>
      </c>
      <c r="J62" s="9"/>
      <c r="K62" s="10" t="str">
        <f aca="false">IF($B62="","",$E62*IFERROR(INDEX(Drinks!$B$4:$B$53,MATCH($B62,Drinks!$A$4:$A$53,0)),0))</f>
        <v/>
      </c>
      <c r="L62" s="10" t="str">
        <f aca="false">IF($B62="","",$J62+$K62)</f>
        <v/>
      </c>
      <c r="M62" s="9"/>
      <c r="N62" s="10" t="str">
        <f aca="false">IF($B62="","",$L62-$M62)</f>
        <v/>
      </c>
      <c r="O62" s="10" t="str">
        <f aca="false">IF($B62="","",IFERROR(INDEX(Drinks!$E$4:$E$53,MATCH($B62,Drinks!$A$4:$A$53,0)),0))</f>
        <v/>
      </c>
      <c r="P62" s="10" t="str">
        <f aca="false">IF($B62="","",$N62*$O62)</f>
        <v/>
      </c>
      <c r="Q62" s="10" t="str">
        <f aca="false">IF($B62="","",$N62*IFERROR(INDEX(Drinks!$D$4:$D$53,MATCH($B62,Drinks!$A$4:$A$53,0)),0))</f>
        <v/>
      </c>
      <c r="R62" s="10" t="str">
        <f aca="false">IF($B62="","",$P62-$Q62)</f>
        <v/>
      </c>
      <c r="S62" s="23" t="str">
        <f aca="false">IF($B62="","",IF(COUNTIFS($A$4:$A$2003,$A62-1,$B$4:$B$2003,$B62)=0,"first day",IF(SUMIFS($M$4:$M$2003,$A$4:$A$2003,$A62-1,$B$4:$B$2003,$B62)=$J62,"OK","CHECK")))</f>
        <v/>
      </c>
      <c r="T62" s="10" t="str">
        <f aca="false">IF($B62="","",IFERROR(INDEX(Drinks!$D$4:$D$53,MATCH($B62,Drinks!$A$4:$A$53,0)),0))</f>
        <v/>
      </c>
    </row>
    <row r="63" customFormat="false" ht="15" hidden="false" customHeight="false" outlineLevel="0" collapsed="false">
      <c r="A63" s="22"/>
      <c r="B63" s="9"/>
      <c r="C63" s="9"/>
      <c r="D63" s="9"/>
      <c r="E63" s="9"/>
      <c r="F63" s="10" t="str">
        <f aca="false">IF($B63="","",$C63+$D63-$E63)</f>
        <v/>
      </c>
      <c r="G63" s="10" t="str">
        <f aca="false">IF($B63="","",IFERROR(INDEX(Drinks!$C$4:$C$53,MATCH($B63,Drinks!$A$4:$A$53,0)),0))</f>
        <v/>
      </c>
      <c r="H63" s="10" t="str">
        <f aca="false">IF($B63="","",$D63*$G63)</f>
        <v/>
      </c>
      <c r="I63" s="10" t="str">
        <f aca="false">IF($B63="","",$F63*$G63)</f>
        <v/>
      </c>
      <c r="J63" s="9"/>
      <c r="K63" s="10" t="str">
        <f aca="false">IF($B63="","",$E63*IFERROR(INDEX(Drinks!$B$4:$B$53,MATCH($B63,Drinks!$A$4:$A$53,0)),0))</f>
        <v/>
      </c>
      <c r="L63" s="10" t="str">
        <f aca="false">IF($B63="","",$J63+$K63)</f>
        <v/>
      </c>
      <c r="M63" s="9"/>
      <c r="N63" s="10" t="str">
        <f aca="false">IF($B63="","",$L63-$M63)</f>
        <v/>
      </c>
      <c r="O63" s="10" t="str">
        <f aca="false">IF($B63="","",IFERROR(INDEX(Drinks!$E$4:$E$53,MATCH($B63,Drinks!$A$4:$A$53,0)),0))</f>
        <v/>
      </c>
      <c r="P63" s="10" t="str">
        <f aca="false">IF($B63="","",$N63*$O63)</f>
        <v/>
      </c>
      <c r="Q63" s="10" t="str">
        <f aca="false">IF($B63="","",$N63*IFERROR(INDEX(Drinks!$D$4:$D$53,MATCH($B63,Drinks!$A$4:$A$53,0)),0))</f>
        <v/>
      </c>
      <c r="R63" s="10" t="str">
        <f aca="false">IF($B63="","",$P63-$Q63)</f>
        <v/>
      </c>
      <c r="S63" s="23" t="str">
        <f aca="false">IF($B63="","",IF(COUNTIFS($A$4:$A$2003,$A63-1,$B$4:$B$2003,$B63)=0,"first day",IF(SUMIFS($M$4:$M$2003,$A$4:$A$2003,$A63-1,$B$4:$B$2003,$B63)=$J63,"OK","CHECK")))</f>
        <v/>
      </c>
      <c r="T63" s="10" t="str">
        <f aca="false">IF($B63="","",IFERROR(INDEX(Drinks!$D$4:$D$53,MATCH($B63,Drinks!$A$4:$A$53,0)),0))</f>
        <v/>
      </c>
    </row>
    <row r="64" customFormat="false" ht="15" hidden="false" customHeight="false" outlineLevel="0" collapsed="false">
      <c r="A64" s="22"/>
      <c r="B64" s="9"/>
      <c r="C64" s="9"/>
      <c r="D64" s="9"/>
      <c r="E64" s="9"/>
      <c r="F64" s="10" t="str">
        <f aca="false">IF($B64="","",$C64+$D64-$E64)</f>
        <v/>
      </c>
      <c r="G64" s="10" t="str">
        <f aca="false">IF($B64="","",IFERROR(INDEX(Drinks!$C$4:$C$53,MATCH($B64,Drinks!$A$4:$A$53,0)),0))</f>
        <v/>
      </c>
      <c r="H64" s="10" t="str">
        <f aca="false">IF($B64="","",$D64*$G64)</f>
        <v/>
      </c>
      <c r="I64" s="10" t="str">
        <f aca="false">IF($B64="","",$F64*$G64)</f>
        <v/>
      </c>
      <c r="J64" s="9"/>
      <c r="K64" s="10" t="str">
        <f aca="false">IF($B64="","",$E64*IFERROR(INDEX(Drinks!$B$4:$B$53,MATCH($B64,Drinks!$A$4:$A$53,0)),0))</f>
        <v/>
      </c>
      <c r="L64" s="10" t="str">
        <f aca="false">IF($B64="","",$J64+$K64)</f>
        <v/>
      </c>
      <c r="M64" s="9"/>
      <c r="N64" s="10" t="str">
        <f aca="false">IF($B64="","",$L64-$M64)</f>
        <v/>
      </c>
      <c r="O64" s="10" t="str">
        <f aca="false">IF($B64="","",IFERROR(INDEX(Drinks!$E$4:$E$53,MATCH($B64,Drinks!$A$4:$A$53,0)),0))</f>
        <v/>
      </c>
      <c r="P64" s="10" t="str">
        <f aca="false">IF($B64="","",$N64*$O64)</f>
        <v/>
      </c>
      <c r="Q64" s="10" t="str">
        <f aca="false">IF($B64="","",$N64*IFERROR(INDEX(Drinks!$D$4:$D$53,MATCH($B64,Drinks!$A$4:$A$53,0)),0))</f>
        <v/>
      </c>
      <c r="R64" s="10" t="str">
        <f aca="false">IF($B64="","",$P64-$Q64)</f>
        <v/>
      </c>
      <c r="S64" s="23" t="str">
        <f aca="false">IF($B64="","",IF(COUNTIFS($A$4:$A$2003,$A64-1,$B$4:$B$2003,$B64)=0,"first day",IF(SUMIFS($M$4:$M$2003,$A$4:$A$2003,$A64-1,$B$4:$B$2003,$B64)=$J64,"OK","CHECK")))</f>
        <v/>
      </c>
      <c r="T64" s="10" t="str">
        <f aca="false">IF($B64="","",IFERROR(INDEX(Drinks!$D$4:$D$53,MATCH($B64,Drinks!$A$4:$A$53,0)),0))</f>
        <v/>
      </c>
    </row>
    <row r="65" customFormat="false" ht="15" hidden="false" customHeight="false" outlineLevel="0" collapsed="false">
      <c r="A65" s="22"/>
      <c r="B65" s="9"/>
      <c r="C65" s="9"/>
      <c r="D65" s="9"/>
      <c r="E65" s="9"/>
      <c r="F65" s="10" t="str">
        <f aca="false">IF($B65="","",$C65+$D65-$E65)</f>
        <v/>
      </c>
      <c r="G65" s="10" t="str">
        <f aca="false">IF($B65="","",IFERROR(INDEX(Drinks!$C$4:$C$53,MATCH($B65,Drinks!$A$4:$A$53,0)),0))</f>
        <v/>
      </c>
      <c r="H65" s="10" t="str">
        <f aca="false">IF($B65="","",$D65*$G65)</f>
        <v/>
      </c>
      <c r="I65" s="10" t="str">
        <f aca="false">IF($B65="","",$F65*$G65)</f>
        <v/>
      </c>
      <c r="J65" s="9"/>
      <c r="K65" s="10" t="str">
        <f aca="false">IF($B65="","",$E65*IFERROR(INDEX(Drinks!$B$4:$B$53,MATCH($B65,Drinks!$A$4:$A$53,0)),0))</f>
        <v/>
      </c>
      <c r="L65" s="10" t="str">
        <f aca="false">IF($B65="","",$J65+$K65)</f>
        <v/>
      </c>
      <c r="M65" s="9"/>
      <c r="N65" s="10" t="str">
        <f aca="false">IF($B65="","",$L65-$M65)</f>
        <v/>
      </c>
      <c r="O65" s="10" t="str">
        <f aca="false">IF($B65="","",IFERROR(INDEX(Drinks!$E$4:$E$53,MATCH($B65,Drinks!$A$4:$A$53,0)),0))</f>
        <v/>
      </c>
      <c r="P65" s="10" t="str">
        <f aca="false">IF($B65="","",$N65*$O65)</f>
        <v/>
      </c>
      <c r="Q65" s="10" t="str">
        <f aca="false">IF($B65="","",$N65*IFERROR(INDEX(Drinks!$D$4:$D$53,MATCH($B65,Drinks!$A$4:$A$53,0)),0))</f>
        <v/>
      </c>
      <c r="R65" s="10" t="str">
        <f aca="false">IF($B65="","",$P65-$Q65)</f>
        <v/>
      </c>
      <c r="S65" s="23" t="str">
        <f aca="false">IF($B65="","",IF(COUNTIFS($A$4:$A$2003,$A65-1,$B$4:$B$2003,$B65)=0,"first day",IF(SUMIFS($M$4:$M$2003,$A$4:$A$2003,$A65-1,$B$4:$B$2003,$B65)=$J65,"OK","CHECK")))</f>
        <v/>
      </c>
      <c r="T65" s="10" t="str">
        <f aca="false">IF($B65="","",IFERROR(INDEX(Drinks!$D$4:$D$53,MATCH($B65,Drinks!$A$4:$A$53,0)),0))</f>
        <v/>
      </c>
    </row>
    <row r="66" customFormat="false" ht="15" hidden="false" customHeight="false" outlineLevel="0" collapsed="false">
      <c r="A66" s="22"/>
      <c r="B66" s="9"/>
      <c r="C66" s="9"/>
      <c r="D66" s="9"/>
      <c r="E66" s="9"/>
      <c r="F66" s="10" t="str">
        <f aca="false">IF($B66="","",$C66+$D66-$E66)</f>
        <v/>
      </c>
      <c r="G66" s="10" t="str">
        <f aca="false">IF($B66="","",IFERROR(INDEX(Drinks!$C$4:$C$53,MATCH($B66,Drinks!$A$4:$A$53,0)),0))</f>
        <v/>
      </c>
      <c r="H66" s="10" t="str">
        <f aca="false">IF($B66="","",$D66*$G66)</f>
        <v/>
      </c>
      <c r="I66" s="10" t="str">
        <f aca="false">IF($B66="","",$F66*$G66)</f>
        <v/>
      </c>
      <c r="J66" s="9"/>
      <c r="K66" s="10" t="str">
        <f aca="false">IF($B66="","",$E66*IFERROR(INDEX(Drinks!$B$4:$B$53,MATCH($B66,Drinks!$A$4:$A$53,0)),0))</f>
        <v/>
      </c>
      <c r="L66" s="10" t="str">
        <f aca="false">IF($B66="","",$J66+$K66)</f>
        <v/>
      </c>
      <c r="M66" s="9"/>
      <c r="N66" s="10" t="str">
        <f aca="false">IF($B66="","",$L66-$M66)</f>
        <v/>
      </c>
      <c r="O66" s="10" t="str">
        <f aca="false">IF($B66="","",IFERROR(INDEX(Drinks!$E$4:$E$53,MATCH($B66,Drinks!$A$4:$A$53,0)),0))</f>
        <v/>
      </c>
      <c r="P66" s="10" t="str">
        <f aca="false">IF($B66="","",$N66*$O66)</f>
        <v/>
      </c>
      <c r="Q66" s="10" t="str">
        <f aca="false">IF($B66="","",$N66*IFERROR(INDEX(Drinks!$D$4:$D$53,MATCH($B66,Drinks!$A$4:$A$53,0)),0))</f>
        <v/>
      </c>
      <c r="R66" s="10" t="str">
        <f aca="false">IF($B66="","",$P66-$Q66)</f>
        <v/>
      </c>
      <c r="S66" s="23" t="str">
        <f aca="false">IF($B66="","",IF(COUNTIFS($A$4:$A$2003,$A66-1,$B$4:$B$2003,$B66)=0,"first day",IF(SUMIFS($M$4:$M$2003,$A$4:$A$2003,$A66-1,$B$4:$B$2003,$B66)=$J66,"OK","CHECK")))</f>
        <v/>
      </c>
      <c r="T66" s="10" t="str">
        <f aca="false">IF($B66="","",IFERROR(INDEX(Drinks!$D$4:$D$53,MATCH($B66,Drinks!$A$4:$A$53,0)),0))</f>
        <v/>
      </c>
    </row>
    <row r="67" customFormat="false" ht="15" hidden="false" customHeight="false" outlineLevel="0" collapsed="false">
      <c r="A67" s="22"/>
      <c r="B67" s="9"/>
      <c r="C67" s="9"/>
      <c r="D67" s="9"/>
      <c r="E67" s="9"/>
      <c r="F67" s="10" t="str">
        <f aca="false">IF($B67="","",$C67+$D67-$E67)</f>
        <v/>
      </c>
      <c r="G67" s="10" t="str">
        <f aca="false">IF($B67="","",IFERROR(INDEX(Drinks!$C$4:$C$53,MATCH($B67,Drinks!$A$4:$A$53,0)),0))</f>
        <v/>
      </c>
      <c r="H67" s="10" t="str">
        <f aca="false">IF($B67="","",$D67*$G67)</f>
        <v/>
      </c>
      <c r="I67" s="10" t="str">
        <f aca="false">IF($B67="","",$F67*$G67)</f>
        <v/>
      </c>
      <c r="J67" s="9"/>
      <c r="K67" s="10" t="str">
        <f aca="false">IF($B67="","",$E67*IFERROR(INDEX(Drinks!$B$4:$B$53,MATCH($B67,Drinks!$A$4:$A$53,0)),0))</f>
        <v/>
      </c>
      <c r="L67" s="10" t="str">
        <f aca="false">IF($B67="","",$J67+$K67)</f>
        <v/>
      </c>
      <c r="M67" s="9"/>
      <c r="N67" s="10" t="str">
        <f aca="false">IF($B67="","",$L67-$M67)</f>
        <v/>
      </c>
      <c r="O67" s="10" t="str">
        <f aca="false">IF($B67="","",IFERROR(INDEX(Drinks!$E$4:$E$53,MATCH($B67,Drinks!$A$4:$A$53,0)),0))</f>
        <v/>
      </c>
      <c r="P67" s="10" t="str">
        <f aca="false">IF($B67="","",$N67*$O67)</f>
        <v/>
      </c>
      <c r="Q67" s="10" t="str">
        <f aca="false">IF($B67="","",$N67*IFERROR(INDEX(Drinks!$D$4:$D$53,MATCH($B67,Drinks!$A$4:$A$53,0)),0))</f>
        <v/>
      </c>
      <c r="R67" s="10" t="str">
        <f aca="false">IF($B67="","",$P67-$Q67)</f>
        <v/>
      </c>
      <c r="S67" s="23" t="str">
        <f aca="false">IF($B67="","",IF(COUNTIFS($A$4:$A$2003,$A67-1,$B$4:$B$2003,$B67)=0,"first day",IF(SUMIFS($M$4:$M$2003,$A$4:$A$2003,$A67-1,$B$4:$B$2003,$B67)=$J67,"OK","CHECK")))</f>
        <v/>
      </c>
      <c r="T67" s="10" t="str">
        <f aca="false">IF($B67="","",IFERROR(INDEX(Drinks!$D$4:$D$53,MATCH($B67,Drinks!$A$4:$A$53,0)),0))</f>
        <v/>
      </c>
    </row>
    <row r="68" customFormat="false" ht="15" hidden="false" customHeight="false" outlineLevel="0" collapsed="false">
      <c r="A68" s="22"/>
      <c r="B68" s="9"/>
      <c r="C68" s="9"/>
      <c r="D68" s="9"/>
      <c r="E68" s="9"/>
      <c r="F68" s="10" t="str">
        <f aca="false">IF($B68="","",$C68+$D68-$E68)</f>
        <v/>
      </c>
      <c r="G68" s="10" t="str">
        <f aca="false">IF($B68="","",IFERROR(INDEX(Drinks!$C$4:$C$53,MATCH($B68,Drinks!$A$4:$A$53,0)),0))</f>
        <v/>
      </c>
      <c r="H68" s="10" t="str">
        <f aca="false">IF($B68="","",$D68*$G68)</f>
        <v/>
      </c>
      <c r="I68" s="10" t="str">
        <f aca="false">IF($B68="","",$F68*$G68)</f>
        <v/>
      </c>
      <c r="J68" s="9"/>
      <c r="K68" s="10" t="str">
        <f aca="false">IF($B68="","",$E68*IFERROR(INDEX(Drinks!$B$4:$B$53,MATCH($B68,Drinks!$A$4:$A$53,0)),0))</f>
        <v/>
      </c>
      <c r="L68" s="10" t="str">
        <f aca="false">IF($B68="","",$J68+$K68)</f>
        <v/>
      </c>
      <c r="M68" s="9"/>
      <c r="N68" s="10" t="str">
        <f aca="false">IF($B68="","",$L68-$M68)</f>
        <v/>
      </c>
      <c r="O68" s="10" t="str">
        <f aca="false">IF($B68="","",IFERROR(INDEX(Drinks!$E$4:$E$53,MATCH($B68,Drinks!$A$4:$A$53,0)),0))</f>
        <v/>
      </c>
      <c r="P68" s="10" t="str">
        <f aca="false">IF($B68="","",$N68*$O68)</f>
        <v/>
      </c>
      <c r="Q68" s="10" t="str">
        <f aca="false">IF($B68="","",$N68*IFERROR(INDEX(Drinks!$D$4:$D$53,MATCH($B68,Drinks!$A$4:$A$53,0)),0))</f>
        <v/>
      </c>
      <c r="R68" s="10" t="str">
        <f aca="false">IF($B68="","",$P68-$Q68)</f>
        <v/>
      </c>
      <c r="S68" s="23" t="str">
        <f aca="false">IF($B68="","",IF(COUNTIFS($A$4:$A$2003,$A68-1,$B$4:$B$2003,$B68)=0,"first day",IF(SUMIFS($M$4:$M$2003,$A$4:$A$2003,$A68-1,$B$4:$B$2003,$B68)=$J68,"OK","CHECK")))</f>
        <v/>
      </c>
      <c r="T68" s="10" t="str">
        <f aca="false">IF($B68="","",IFERROR(INDEX(Drinks!$D$4:$D$53,MATCH($B68,Drinks!$A$4:$A$53,0)),0))</f>
        <v/>
      </c>
    </row>
    <row r="69" customFormat="false" ht="15" hidden="false" customHeight="false" outlineLevel="0" collapsed="false">
      <c r="A69" s="22"/>
      <c r="B69" s="9"/>
      <c r="C69" s="9"/>
      <c r="D69" s="9"/>
      <c r="E69" s="9"/>
      <c r="F69" s="10" t="str">
        <f aca="false">IF($B69="","",$C69+$D69-$E69)</f>
        <v/>
      </c>
      <c r="G69" s="10" t="str">
        <f aca="false">IF($B69="","",IFERROR(INDEX(Drinks!$C$4:$C$53,MATCH($B69,Drinks!$A$4:$A$53,0)),0))</f>
        <v/>
      </c>
      <c r="H69" s="10" t="str">
        <f aca="false">IF($B69="","",$D69*$G69)</f>
        <v/>
      </c>
      <c r="I69" s="10" t="str">
        <f aca="false">IF($B69="","",$F69*$G69)</f>
        <v/>
      </c>
      <c r="J69" s="9"/>
      <c r="K69" s="10" t="str">
        <f aca="false">IF($B69="","",$E69*IFERROR(INDEX(Drinks!$B$4:$B$53,MATCH($B69,Drinks!$A$4:$A$53,0)),0))</f>
        <v/>
      </c>
      <c r="L69" s="10" t="str">
        <f aca="false">IF($B69="","",$J69+$K69)</f>
        <v/>
      </c>
      <c r="M69" s="9"/>
      <c r="N69" s="10" t="str">
        <f aca="false">IF($B69="","",$L69-$M69)</f>
        <v/>
      </c>
      <c r="O69" s="10" t="str">
        <f aca="false">IF($B69="","",IFERROR(INDEX(Drinks!$E$4:$E$53,MATCH($B69,Drinks!$A$4:$A$53,0)),0))</f>
        <v/>
      </c>
      <c r="P69" s="10" t="str">
        <f aca="false">IF($B69="","",$N69*$O69)</f>
        <v/>
      </c>
      <c r="Q69" s="10" t="str">
        <f aca="false">IF($B69="","",$N69*IFERROR(INDEX(Drinks!$D$4:$D$53,MATCH($B69,Drinks!$A$4:$A$53,0)),0))</f>
        <v/>
      </c>
      <c r="R69" s="10" t="str">
        <f aca="false">IF($B69="","",$P69-$Q69)</f>
        <v/>
      </c>
      <c r="S69" s="23" t="str">
        <f aca="false">IF($B69="","",IF(COUNTIFS($A$4:$A$2003,$A69-1,$B$4:$B$2003,$B69)=0,"first day",IF(SUMIFS($M$4:$M$2003,$A$4:$A$2003,$A69-1,$B$4:$B$2003,$B69)=$J69,"OK","CHECK")))</f>
        <v/>
      </c>
      <c r="T69" s="10" t="str">
        <f aca="false">IF($B69="","",IFERROR(INDEX(Drinks!$D$4:$D$53,MATCH($B69,Drinks!$A$4:$A$53,0)),0))</f>
        <v/>
      </c>
    </row>
    <row r="70" customFormat="false" ht="15" hidden="false" customHeight="false" outlineLevel="0" collapsed="false">
      <c r="A70" s="22"/>
      <c r="B70" s="9"/>
      <c r="C70" s="9"/>
      <c r="D70" s="9"/>
      <c r="E70" s="9"/>
      <c r="F70" s="10" t="str">
        <f aca="false">IF($B70="","",$C70+$D70-$E70)</f>
        <v/>
      </c>
      <c r="G70" s="10" t="str">
        <f aca="false">IF($B70="","",IFERROR(INDEX(Drinks!$C$4:$C$53,MATCH($B70,Drinks!$A$4:$A$53,0)),0))</f>
        <v/>
      </c>
      <c r="H70" s="10" t="str">
        <f aca="false">IF($B70="","",$D70*$G70)</f>
        <v/>
      </c>
      <c r="I70" s="10" t="str">
        <f aca="false">IF($B70="","",$F70*$G70)</f>
        <v/>
      </c>
      <c r="J70" s="9"/>
      <c r="K70" s="10" t="str">
        <f aca="false">IF($B70="","",$E70*IFERROR(INDEX(Drinks!$B$4:$B$53,MATCH($B70,Drinks!$A$4:$A$53,0)),0))</f>
        <v/>
      </c>
      <c r="L70" s="10" t="str">
        <f aca="false">IF($B70="","",$J70+$K70)</f>
        <v/>
      </c>
      <c r="M70" s="9"/>
      <c r="N70" s="10" t="str">
        <f aca="false">IF($B70="","",$L70-$M70)</f>
        <v/>
      </c>
      <c r="O70" s="10" t="str">
        <f aca="false">IF($B70="","",IFERROR(INDEX(Drinks!$E$4:$E$53,MATCH($B70,Drinks!$A$4:$A$53,0)),0))</f>
        <v/>
      </c>
      <c r="P70" s="10" t="str">
        <f aca="false">IF($B70="","",$N70*$O70)</f>
        <v/>
      </c>
      <c r="Q70" s="10" t="str">
        <f aca="false">IF($B70="","",$N70*IFERROR(INDEX(Drinks!$D$4:$D$53,MATCH($B70,Drinks!$A$4:$A$53,0)),0))</f>
        <v/>
      </c>
      <c r="R70" s="10" t="str">
        <f aca="false">IF($B70="","",$P70-$Q70)</f>
        <v/>
      </c>
      <c r="S70" s="23" t="str">
        <f aca="false">IF($B70="","",IF(COUNTIFS($A$4:$A$2003,$A70-1,$B$4:$B$2003,$B70)=0,"first day",IF(SUMIFS($M$4:$M$2003,$A$4:$A$2003,$A70-1,$B$4:$B$2003,$B70)=$J70,"OK","CHECK")))</f>
        <v/>
      </c>
      <c r="T70" s="10" t="str">
        <f aca="false">IF($B70="","",IFERROR(INDEX(Drinks!$D$4:$D$53,MATCH($B70,Drinks!$A$4:$A$53,0)),0))</f>
        <v/>
      </c>
    </row>
    <row r="71" customFormat="false" ht="15" hidden="false" customHeight="false" outlineLevel="0" collapsed="false">
      <c r="A71" s="22"/>
      <c r="B71" s="9"/>
      <c r="C71" s="9"/>
      <c r="D71" s="9"/>
      <c r="E71" s="9"/>
      <c r="F71" s="10" t="str">
        <f aca="false">IF($B71="","",$C71+$D71-$E71)</f>
        <v/>
      </c>
      <c r="G71" s="10" t="str">
        <f aca="false">IF($B71="","",IFERROR(INDEX(Drinks!$C$4:$C$53,MATCH($B71,Drinks!$A$4:$A$53,0)),0))</f>
        <v/>
      </c>
      <c r="H71" s="10" t="str">
        <f aca="false">IF($B71="","",$D71*$G71)</f>
        <v/>
      </c>
      <c r="I71" s="10" t="str">
        <f aca="false">IF($B71="","",$F71*$G71)</f>
        <v/>
      </c>
      <c r="J71" s="9"/>
      <c r="K71" s="10" t="str">
        <f aca="false">IF($B71="","",$E71*IFERROR(INDEX(Drinks!$B$4:$B$53,MATCH($B71,Drinks!$A$4:$A$53,0)),0))</f>
        <v/>
      </c>
      <c r="L71" s="10" t="str">
        <f aca="false">IF($B71="","",$J71+$K71)</f>
        <v/>
      </c>
      <c r="M71" s="9"/>
      <c r="N71" s="10" t="str">
        <f aca="false">IF($B71="","",$L71-$M71)</f>
        <v/>
      </c>
      <c r="O71" s="10" t="str">
        <f aca="false">IF($B71="","",IFERROR(INDEX(Drinks!$E$4:$E$53,MATCH($B71,Drinks!$A$4:$A$53,0)),0))</f>
        <v/>
      </c>
      <c r="P71" s="10" t="str">
        <f aca="false">IF($B71="","",$N71*$O71)</f>
        <v/>
      </c>
      <c r="Q71" s="10" t="str">
        <f aca="false">IF($B71="","",$N71*IFERROR(INDEX(Drinks!$D$4:$D$53,MATCH($B71,Drinks!$A$4:$A$53,0)),0))</f>
        <v/>
      </c>
      <c r="R71" s="10" t="str">
        <f aca="false">IF($B71="","",$P71-$Q71)</f>
        <v/>
      </c>
      <c r="S71" s="23" t="str">
        <f aca="false">IF($B71="","",IF(COUNTIFS($A$4:$A$2003,$A71-1,$B$4:$B$2003,$B71)=0,"first day",IF(SUMIFS($M$4:$M$2003,$A$4:$A$2003,$A71-1,$B$4:$B$2003,$B71)=$J71,"OK","CHECK")))</f>
        <v/>
      </c>
      <c r="T71" s="10" t="str">
        <f aca="false">IF($B71="","",IFERROR(INDEX(Drinks!$D$4:$D$53,MATCH($B71,Drinks!$A$4:$A$53,0)),0))</f>
        <v/>
      </c>
    </row>
    <row r="72" customFormat="false" ht="15" hidden="false" customHeight="false" outlineLevel="0" collapsed="false">
      <c r="A72" s="22"/>
      <c r="B72" s="9"/>
      <c r="C72" s="9"/>
      <c r="D72" s="9"/>
      <c r="E72" s="9"/>
      <c r="F72" s="10" t="str">
        <f aca="false">IF($B72="","",$C72+$D72-$E72)</f>
        <v/>
      </c>
      <c r="G72" s="10" t="str">
        <f aca="false">IF($B72="","",IFERROR(INDEX(Drinks!$C$4:$C$53,MATCH($B72,Drinks!$A$4:$A$53,0)),0))</f>
        <v/>
      </c>
      <c r="H72" s="10" t="str">
        <f aca="false">IF($B72="","",$D72*$G72)</f>
        <v/>
      </c>
      <c r="I72" s="10" t="str">
        <f aca="false">IF($B72="","",$F72*$G72)</f>
        <v/>
      </c>
      <c r="J72" s="9"/>
      <c r="K72" s="10" t="str">
        <f aca="false">IF($B72="","",$E72*IFERROR(INDEX(Drinks!$B$4:$B$53,MATCH($B72,Drinks!$A$4:$A$53,0)),0))</f>
        <v/>
      </c>
      <c r="L72" s="10" t="str">
        <f aca="false">IF($B72="","",$J72+$K72)</f>
        <v/>
      </c>
      <c r="M72" s="9"/>
      <c r="N72" s="10" t="str">
        <f aca="false">IF($B72="","",$L72-$M72)</f>
        <v/>
      </c>
      <c r="O72" s="10" t="str">
        <f aca="false">IF($B72="","",IFERROR(INDEX(Drinks!$E$4:$E$53,MATCH($B72,Drinks!$A$4:$A$53,0)),0))</f>
        <v/>
      </c>
      <c r="P72" s="10" t="str">
        <f aca="false">IF($B72="","",$N72*$O72)</f>
        <v/>
      </c>
      <c r="Q72" s="10" t="str">
        <f aca="false">IF($B72="","",$N72*IFERROR(INDEX(Drinks!$D$4:$D$53,MATCH($B72,Drinks!$A$4:$A$53,0)),0))</f>
        <v/>
      </c>
      <c r="R72" s="10" t="str">
        <f aca="false">IF($B72="","",$P72-$Q72)</f>
        <v/>
      </c>
      <c r="S72" s="23" t="str">
        <f aca="false">IF($B72="","",IF(COUNTIFS($A$4:$A$2003,$A72-1,$B$4:$B$2003,$B72)=0,"first day",IF(SUMIFS($M$4:$M$2003,$A$4:$A$2003,$A72-1,$B$4:$B$2003,$B72)=$J72,"OK","CHECK")))</f>
        <v/>
      </c>
      <c r="T72" s="10" t="str">
        <f aca="false">IF($B72="","",IFERROR(INDEX(Drinks!$D$4:$D$53,MATCH($B72,Drinks!$A$4:$A$53,0)),0))</f>
        <v/>
      </c>
    </row>
    <row r="73" customFormat="false" ht="15" hidden="false" customHeight="false" outlineLevel="0" collapsed="false">
      <c r="A73" s="22"/>
      <c r="B73" s="9"/>
      <c r="C73" s="9"/>
      <c r="D73" s="9"/>
      <c r="E73" s="9"/>
      <c r="F73" s="10" t="str">
        <f aca="false">IF($B73="","",$C73+$D73-$E73)</f>
        <v/>
      </c>
      <c r="G73" s="10" t="str">
        <f aca="false">IF($B73="","",IFERROR(INDEX(Drinks!$C$4:$C$53,MATCH($B73,Drinks!$A$4:$A$53,0)),0))</f>
        <v/>
      </c>
      <c r="H73" s="10" t="str">
        <f aca="false">IF($B73="","",$D73*$G73)</f>
        <v/>
      </c>
      <c r="I73" s="10" t="str">
        <f aca="false">IF($B73="","",$F73*$G73)</f>
        <v/>
      </c>
      <c r="J73" s="9"/>
      <c r="K73" s="10" t="str">
        <f aca="false">IF($B73="","",$E73*IFERROR(INDEX(Drinks!$B$4:$B$53,MATCH($B73,Drinks!$A$4:$A$53,0)),0))</f>
        <v/>
      </c>
      <c r="L73" s="10" t="str">
        <f aca="false">IF($B73="","",$J73+$K73)</f>
        <v/>
      </c>
      <c r="M73" s="9"/>
      <c r="N73" s="10" t="str">
        <f aca="false">IF($B73="","",$L73-$M73)</f>
        <v/>
      </c>
      <c r="O73" s="10" t="str">
        <f aca="false">IF($B73="","",IFERROR(INDEX(Drinks!$E$4:$E$53,MATCH($B73,Drinks!$A$4:$A$53,0)),0))</f>
        <v/>
      </c>
      <c r="P73" s="10" t="str">
        <f aca="false">IF($B73="","",$N73*$O73)</f>
        <v/>
      </c>
      <c r="Q73" s="10" t="str">
        <f aca="false">IF($B73="","",$N73*IFERROR(INDEX(Drinks!$D$4:$D$53,MATCH($B73,Drinks!$A$4:$A$53,0)),0))</f>
        <v/>
      </c>
      <c r="R73" s="10" t="str">
        <f aca="false">IF($B73="","",$P73-$Q73)</f>
        <v/>
      </c>
      <c r="S73" s="23" t="str">
        <f aca="false">IF($B73="","",IF(COUNTIFS($A$4:$A$2003,$A73-1,$B$4:$B$2003,$B73)=0,"first day",IF(SUMIFS($M$4:$M$2003,$A$4:$A$2003,$A73-1,$B$4:$B$2003,$B73)=$J73,"OK","CHECK")))</f>
        <v/>
      </c>
      <c r="T73" s="10" t="str">
        <f aca="false">IF($B73="","",IFERROR(INDEX(Drinks!$D$4:$D$53,MATCH($B73,Drinks!$A$4:$A$53,0)),0))</f>
        <v/>
      </c>
    </row>
    <row r="74" customFormat="false" ht="15" hidden="false" customHeight="false" outlineLevel="0" collapsed="false">
      <c r="A74" s="22"/>
      <c r="B74" s="9"/>
      <c r="C74" s="9"/>
      <c r="D74" s="9"/>
      <c r="E74" s="9"/>
      <c r="F74" s="10" t="str">
        <f aca="false">IF($B74="","",$C74+$D74-$E74)</f>
        <v/>
      </c>
      <c r="G74" s="10" t="str">
        <f aca="false">IF($B74="","",IFERROR(INDEX(Drinks!$C$4:$C$53,MATCH($B74,Drinks!$A$4:$A$53,0)),0))</f>
        <v/>
      </c>
      <c r="H74" s="10" t="str">
        <f aca="false">IF($B74="","",$D74*$G74)</f>
        <v/>
      </c>
      <c r="I74" s="10" t="str">
        <f aca="false">IF($B74="","",$F74*$G74)</f>
        <v/>
      </c>
      <c r="J74" s="9"/>
      <c r="K74" s="10" t="str">
        <f aca="false">IF($B74="","",$E74*IFERROR(INDEX(Drinks!$B$4:$B$53,MATCH($B74,Drinks!$A$4:$A$53,0)),0))</f>
        <v/>
      </c>
      <c r="L74" s="10" t="str">
        <f aca="false">IF($B74="","",$J74+$K74)</f>
        <v/>
      </c>
      <c r="M74" s="9"/>
      <c r="N74" s="10" t="str">
        <f aca="false">IF($B74="","",$L74-$M74)</f>
        <v/>
      </c>
      <c r="O74" s="10" t="str">
        <f aca="false">IF($B74="","",IFERROR(INDEX(Drinks!$E$4:$E$53,MATCH($B74,Drinks!$A$4:$A$53,0)),0))</f>
        <v/>
      </c>
      <c r="P74" s="10" t="str">
        <f aca="false">IF($B74="","",$N74*$O74)</f>
        <v/>
      </c>
      <c r="Q74" s="10" t="str">
        <f aca="false">IF($B74="","",$N74*IFERROR(INDEX(Drinks!$D$4:$D$53,MATCH($B74,Drinks!$A$4:$A$53,0)),0))</f>
        <v/>
      </c>
      <c r="R74" s="10" t="str">
        <f aca="false">IF($B74="","",$P74-$Q74)</f>
        <v/>
      </c>
      <c r="S74" s="23" t="str">
        <f aca="false">IF($B74="","",IF(COUNTIFS($A$4:$A$2003,$A74-1,$B$4:$B$2003,$B74)=0,"first day",IF(SUMIFS($M$4:$M$2003,$A$4:$A$2003,$A74-1,$B$4:$B$2003,$B74)=$J74,"OK","CHECK")))</f>
        <v/>
      </c>
      <c r="T74" s="10" t="str">
        <f aca="false">IF($B74="","",IFERROR(INDEX(Drinks!$D$4:$D$53,MATCH($B74,Drinks!$A$4:$A$53,0)),0))</f>
        <v/>
      </c>
    </row>
    <row r="75" customFormat="false" ht="15" hidden="false" customHeight="false" outlineLevel="0" collapsed="false">
      <c r="A75" s="22"/>
      <c r="B75" s="9"/>
      <c r="C75" s="9"/>
      <c r="D75" s="9"/>
      <c r="E75" s="9"/>
      <c r="F75" s="10" t="str">
        <f aca="false">IF($B75="","",$C75+$D75-$E75)</f>
        <v/>
      </c>
      <c r="G75" s="10" t="str">
        <f aca="false">IF($B75="","",IFERROR(INDEX(Drinks!$C$4:$C$53,MATCH($B75,Drinks!$A$4:$A$53,0)),0))</f>
        <v/>
      </c>
      <c r="H75" s="10" t="str">
        <f aca="false">IF($B75="","",$D75*$G75)</f>
        <v/>
      </c>
      <c r="I75" s="10" t="str">
        <f aca="false">IF($B75="","",$F75*$G75)</f>
        <v/>
      </c>
      <c r="J75" s="9"/>
      <c r="K75" s="10" t="str">
        <f aca="false">IF($B75="","",$E75*IFERROR(INDEX(Drinks!$B$4:$B$53,MATCH($B75,Drinks!$A$4:$A$53,0)),0))</f>
        <v/>
      </c>
      <c r="L75" s="10" t="str">
        <f aca="false">IF($B75="","",$J75+$K75)</f>
        <v/>
      </c>
      <c r="M75" s="9"/>
      <c r="N75" s="10" t="str">
        <f aca="false">IF($B75="","",$L75-$M75)</f>
        <v/>
      </c>
      <c r="O75" s="10" t="str">
        <f aca="false">IF($B75="","",IFERROR(INDEX(Drinks!$E$4:$E$53,MATCH($B75,Drinks!$A$4:$A$53,0)),0))</f>
        <v/>
      </c>
      <c r="P75" s="10" t="str">
        <f aca="false">IF($B75="","",$N75*$O75)</f>
        <v/>
      </c>
      <c r="Q75" s="10" t="str">
        <f aca="false">IF($B75="","",$N75*IFERROR(INDEX(Drinks!$D$4:$D$53,MATCH($B75,Drinks!$A$4:$A$53,0)),0))</f>
        <v/>
      </c>
      <c r="R75" s="10" t="str">
        <f aca="false">IF($B75="","",$P75-$Q75)</f>
        <v/>
      </c>
      <c r="S75" s="23" t="str">
        <f aca="false">IF($B75="","",IF(COUNTIFS($A$4:$A$2003,$A75-1,$B$4:$B$2003,$B75)=0,"first day",IF(SUMIFS($M$4:$M$2003,$A$4:$A$2003,$A75-1,$B$4:$B$2003,$B75)=$J75,"OK","CHECK")))</f>
        <v/>
      </c>
      <c r="T75" s="10" t="str">
        <f aca="false">IF($B75="","",IFERROR(INDEX(Drinks!$D$4:$D$53,MATCH($B75,Drinks!$A$4:$A$53,0)),0))</f>
        <v/>
      </c>
    </row>
    <row r="76" customFormat="false" ht="15" hidden="false" customHeight="false" outlineLevel="0" collapsed="false">
      <c r="A76" s="22"/>
      <c r="B76" s="9"/>
      <c r="C76" s="9"/>
      <c r="D76" s="9"/>
      <c r="E76" s="9"/>
      <c r="F76" s="10" t="str">
        <f aca="false">IF($B76="","",$C76+$D76-$E76)</f>
        <v/>
      </c>
      <c r="G76" s="10" t="str">
        <f aca="false">IF($B76="","",IFERROR(INDEX(Drinks!$C$4:$C$53,MATCH($B76,Drinks!$A$4:$A$53,0)),0))</f>
        <v/>
      </c>
      <c r="H76" s="10" t="str">
        <f aca="false">IF($B76="","",$D76*$G76)</f>
        <v/>
      </c>
      <c r="I76" s="10" t="str">
        <f aca="false">IF($B76="","",$F76*$G76)</f>
        <v/>
      </c>
      <c r="J76" s="9"/>
      <c r="K76" s="10" t="str">
        <f aca="false">IF($B76="","",$E76*IFERROR(INDEX(Drinks!$B$4:$B$53,MATCH($B76,Drinks!$A$4:$A$53,0)),0))</f>
        <v/>
      </c>
      <c r="L76" s="10" t="str">
        <f aca="false">IF($B76="","",$J76+$K76)</f>
        <v/>
      </c>
      <c r="M76" s="9"/>
      <c r="N76" s="10" t="str">
        <f aca="false">IF($B76="","",$L76-$M76)</f>
        <v/>
      </c>
      <c r="O76" s="10" t="str">
        <f aca="false">IF($B76="","",IFERROR(INDEX(Drinks!$E$4:$E$53,MATCH($B76,Drinks!$A$4:$A$53,0)),0))</f>
        <v/>
      </c>
      <c r="P76" s="10" t="str">
        <f aca="false">IF($B76="","",$N76*$O76)</f>
        <v/>
      </c>
      <c r="Q76" s="10" t="str">
        <f aca="false">IF($B76="","",$N76*IFERROR(INDEX(Drinks!$D$4:$D$53,MATCH($B76,Drinks!$A$4:$A$53,0)),0))</f>
        <v/>
      </c>
      <c r="R76" s="10" t="str">
        <f aca="false">IF($B76="","",$P76-$Q76)</f>
        <v/>
      </c>
      <c r="S76" s="23" t="str">
        <f aca="false">IF($B76="","",IF(COUNTIFS($A$4:$A$2003,$A76-1,$B$4:$B$2003,$B76)=0,"first day",IF(SUMIFS($M$4:$M$2003,$A$4:$A$2003,$A76-1,$B$4:$B$2003,$B76)=$J76,"OK","CHECK")))</f>
        <v/>
      </c>
      <c r="T76" s="10" t="str">
        <f aca="false">IF($B76="","",IFERROR(INDEX(Drinks!$D$4:$D$53,MATCH($B76,Drinks!$A$4:$A$53,0)),0))</f>
        <v/>
      </c>
    </row>
    <row r="77" customFormat="false" ht="15" hidden="false" customHeight="false" outlineLevel="0" collapsed="false">
      <c r="A77" s="22"/>
      <c r="B77" s="9"/>
      <c r="C77" s="9"/>
      <c r="D77" s="9"/>
      <c r="E77" s="9"/>
      <c r="F77" s="10" t="str">
        <f aca="false">IF($B77="","",$C77+$D77-$E77)</f>
        <v/>
      </c>
      <c r="G77" s="10" t="str">
        <f aca="false">IF($B77="","",IFERROR(INDEX(Drinks!$C$4:$C$53,MATCH($B77,Drinks!$A$4:$A$53,0)),0))</f>
        <v/>
      </c>
      <c r="H77" s="10" t="str">
        <f aca="false">IF($B77="","",$D77*$G77)</f>
        <v/>
      </c>
      <c r="I77" s="10" t="str">
        <f aca="false">IF($B77="","",$F77*$G77)</f>
        <v/>
      </c>
      <c r="J77" s="9"/>
      <c r="K77" s="10" t="str">
        <f aca="false">IF($B77="","",$E77*IFERROR(INDEX(Drinks!$B$4:$B$53,MATCH($B77,Drinks!$A$4:$A$53,0)),0))</f>
        <v/>
      </c>
      <c r="L77" s="10" t="str">
        <f aca="false">IF($B77="","",$J77+$K77)</f>
        <v/>
      </c>
      <c r="M77" s="9"/>
      <c r="N77" s="10" t="str">
        <f aca="false">IF($B77="","",$L77-$M77)</f>
        <v/>
      </c>
      <c r="O77" s="10" t="str">
        <f aca="false">IF($B77="","",IFERROR(INDEX(Drinks!$E$4:$E$53,MATCH($B77,Drinks!$A$4:$A$53,0)),0))</f>
        <v/>
      </c>
      <c r="P77" s="10" t="str">
        <f aca="false">IF($B77="","",$N77*$O77)</f>
        <v/>
      </c>
      <c r="Q77" s="10" t="str">
        <f aca="false">IF($B77="","",$N77*IFERROR(INDEX(Drinks!$D$4:$D$53,MATCH($B77,Drinks!$A$4:$A$53,0)),0))</f>
        <v/>
      </c>
      <c r="R77" s="10" t="str">
        <f aca="false">IF($B77="","",$P77-$Q77)</f>
        <v/>
      </c>
      <c r="S77" s="23" t="str">
        <f aca="false">IF($B77="","",IF(COUNTIFS($A$4:$A$2003,$A77-1,$B$4:$B$2003,$B77)=0,"first day",IF(SUMIFS($M$4:$M$2003,$A$4:$A$2003,$A77-1,$B$4:$B$2003,$B77)=$J77,"OK","CHECK")))</f>
        <v/>
      </c>
      <c r="T77" s="10" t="str">
        <f aca="false">IF($B77="","",IFERROR(INDEX(Drinks!$D$4:$D$53,MATCH($B77,Drinks!$A$4:$A$53,0)),0))</f>
        <v/>
      </c>
    </row>
    <row r="78" customFormat="false" ht="15" hidden="false" customHeight="false" outlineLevel="0" collapsed="false">
      <c r="A78" s="22"/>
      <c r="B78" s="9"/>
      <c r="C78" s="9"/>
      <c r="D78" s="9"/>
      <c r="E78" s="9"/>
      <c r="F78" s="10" t="str">
        <f aca="false">IF($B78="","",$C78+$D78-$E78)</f>
        <v/>
      </c>
      <c r="G78" s="10" t="str">
        <f aca="false">IF($B78="","",IFERROR(INDEX(Drinks!$C$4:$C$53,MATCH($B78,Drinks!$A$4:$A$53,0)),0))</f>
        <v/>
      </c>
      <c r="H78" s="10" t="str">
        <f aca="false">IF($B78="","",$D78*$G78)</f>
        <v/>
      </c>
      <c r="I78" s="10" t="str">
        <f aca="false">IF($B78="","",$F78*$G78)</f>
        <v/>
      </c>
      <c r="J78" s="9"/>
      <c r="K78" s="10" t="str">
        <f aca="false">IF($B78="","",$E78*IFERROR(INDEX(Drinks!$B$4:$B$53,MATCH($B78,Drinks!$A$4:$A$53,0)),0))</f>
        <v/>
      </c>
      <c r="L78" s="10" t="str">
        <f aca="false">IF($B78="","",$J78+$K78)</f>
        <v/>
      </c>
      <c r="M78" s="9"/>
      <c r="N78" s="10" t="str">
        <f aca="false">IF($B78="","",$L78-$M78)</f>
        <v/>
      </c>
      <c r="O78" s="10" t="str">
        <f aca="false">IF($B78="","",IFERROR(INDEX(Drinks!$E$4:$E$53,MATCH($B78,Drinks!$A$4:$A$53,0)),0))</f>
        <v/>
      </c>
      <c r="P78" s="10" t="str">
        <f aca="false">IF($B78="","",$N78*$O78)</f>
        <v/>
      </c>
      <c r="Q78" s="10" t="str">
        <f aca="false">IF($B78="","",$N78*IFERROR(INDEX(Drinks!$D$4:$D$53,MATCH($B78,Drinks!$A$4:$A$53,0)),0))</f>
        <v/>
      </c>
      <c r="R78" s="10" t="str">
        <f aca="false">IF($B78="","",$P78-$Q78)</f>
        <v/>
      </c>
      <c r="S78" s="23" t="str">
        <f aca="false">IF($B78="","",IF(COUNTIFS($A$4:$A$2003,$A78-1,$B$4:$B$2003,$B78)=0,"first day",IF(SUMIFS($M$4:$M$2003,$A$4:$A$2003,$A78-1,$B$4:$B$2003,$B78)=$J78,"OK","CHECK")))</f>
        <v/>
      </c>
      <c r="T78" s="10" t="str">
        <f aca="false">IF($B78="","",IFERROR(INDEX(Drinks!$D$4:$D$53,MATCH($B78,Drinks!$A$4:$A$53,0)),0))</f>
        <v/>
      </c>
    </row>
    <row r="79" customFormat="false" ht="15" hidden="false" customHeight="false" outlineLevel="0" collapsed="false">
      <c r="A79" s="22"/>
      <c r="B79" s="9"/>
      <c r="C79" s="9"/>
      <c r="D79" s="9"/>
      <c r="E79" s="9"/>
      <c r="F79" s="10" t="str">
        <f aca="false">IF($B79="","",$C79+$D79-$E79)</f>
        <v/>
      </c>
      <c r="G79" s="10" t="str">
        <f aca="false">IF($B79="","",IFERROR(INDEX(Drinks!$C$4:$C$53,MATCH($B79,Drinks!$A$4:$A$53,0)),0))</f>
        <v/>
      </c>
      <c r="H79" s="10" t="str">
        <f aca="false">IF($B79="","",$D79*$G79)</f>
        <v/>
      </c>
      <c r="I79" s="10" t="str">
        <f aca="false">IF($B79="","",$F79*$G79)</f>
        <v/>
      </c>
      <c r="J79" s="9"/>
      <c r="K79" s="10" t="str">
        <f aca="false">IF($B79="","",$E79*IFERROR(INDEX(Drinks!$B$4:$B$53,MATCH($B79,Drinks!$A$4:$A$53,0)),0))</f>
        <v/>
      </c>
      <c r="L79" s="10" t="str">
        <f aca="false">IF($B79="","",$J79+$K79)</f>
        <v/>
      </c>
      <c r="M79" s="9"/>
      <c r="N79" s="10" t="str">
        <f aca="false">IF($B79="","",$L79-$M79)</f>
        <v/>
      </c>
      <c r="O79" s="10" t="str">
        <f aca="false">IF($B79="","",IFERROR(INDEX(Drinks!$E$4:$E$53,MATCH($B79,Drinks!$A$4:$A$53,0)),0))</f>
        <v/>
      </c>
      <c r="P79" s="10" t="str">
        <f aca="false">IF($B79="","",$N79*$O79)</f>
        <v/>
      </c>
      <c r="Q79" s="10" t="str">
        <f aca="false">IF($B79="","",$N79*IFERROR(INDEX(Drinks!$D$4:$D$53,MATCH($B79,Drinks!$A$4:$A$53,0)),0))</f>
        <v/>
      </c>
      <c r="R79" s="10" t="str">
        <f aca="false">IF($B79="","",$P79-$Q79)</f>
        <v/>
      </c>
      <c r="S79" s="23" t="str">
        <f aca="false">IF($B79="","",IF(COUNTIFS($A$4:$A$2003,$A79-1,$B$4:$B$2003,$B79)=0,"first day",IF(SUMIFS($M$4:$M$2003,$A$4:$A$2003,$A79-1,$B$4:$B$2003,$B79)=$J79,"OK","CHECK")))</f>
        <v/>
      </c>
      <c r="T79" s="10" t="str">
        <f aca="false">IF($B79="","",IFERROR(INDEX(Drinks!$D$4:$D$53,MATCH($B79,Drinks!$A$4:$A$53,0)),0))</f>
        <v/>
      </c>
    </row>
    <row r="80" customFormat="false" ht="15" hidden="false" customHeight="false" outlineLevel="0" collapsed="false">
      <c r="A80" s="22"/>
      <c r="B80" s="9"/>
      <c r="C80" s="9"/>
      <c r="D80" s="9"/>
      <c r="E80" s="9"/>
      <c r="F80" s="10" t="str">
        <f aca="false">IF($B80="","",$C80+$D80-$E80)</f>
        <v/>
      </c>
      <c r="G80" s="10" t="str">
        <f aca="false">IF($B80="","",IFERROR(INDEX(Drinks!$C$4:$C$53,MATCH($B80,Drinks!$A$4:$A$53,0)),0))</f>
        <v/>
      </c>
      <c r="H80" s="10" t="str">
        <f aca="false">IF($B80="","",$D80*$G80)</f>
        <v/>
      </c>
      <c r="I80" s="10" t="str">
        <f aca="false">IF($B80="","",$F80*$G80)</f>
        <v/>
      </c>
      <c r="J80" s="9"/>
      <c r="K80" s="10" t="str">
        <f aca="false">IF($B80="","",$E80*IFERROR(INDEX(Drinks!$B$4:$B$53,MATCH($B80,Drinks!$A$4:$A$53,0)),0))</f>
        <v/>
      </c>
      <c r="L80" s="10" t="str">
        <f aca="false">IF($B80="","",$J80+$K80)</f>
        <v/>
      </c>
      <c r="M80" s="9"/>
      <c r="N80" s="10" t="str">
        <f aca="false">IF($B80="","",$L80-$M80)</f>
        <v/>
      </c>
      <c r="O80" s="10" t="str">
        <f aca="false">IF($B80="","",IFERROR(INDEX(Drinks!$E$4:$E$53,MATCH($B80,Drinks!$A$4:$A$53,0)),0))</f>
        <v/>
      </c>
      <c r="P80" s="10" t="str">
        <f aca="false">IF($B80="","",$N80*$O80)</f>
        <v/>
      </c>
      <c r="Q80" s="10" t="str">
        <f aca="false">IF($B80="","",$N80*IFERROR(INDEX(Drinks!$D$4:$D$53,MATCH($B80,Drinks!$A$4:$A$53,0)),0))</f>
        <v/>
      </c>
      <c r="R80" s="10" t="str">
        <f aca="false">IF($B80="","",$P80-$Q80)</f>
        <v/>
      </c>
      <c r="S80" s="23" t="str">
        <f aca="false">IF($B80="","",IF(COUNTIFS($A$4:$A$2003,$A80-1,$B$4:$B$2003,$B80)=0,"first day",IF(SUMIFS($M$4:$M$2003,$A$4:$A$2003,$A80-1,$B$4:$B$2003,$B80)=$J80,"OK","CHECK")))</f>
        <v/>
      </c>
      <c r="T80" s="10" t="str">
        <f aca="false">IF($B80="","",IFERROR(INDEX(Drinks!$D$4:$D$53,MATCH($B80,Drinks!$A$4:$A$53,0)),0))</f>
        <v/>
      </c>
    </row>
    <row r="81" customFormat="false" ht="15" hidden="false" customHeight="false" outlineLevel="0" collapsed="false">
      <c r="A81" s="22"/>
      <c r="B81" s="9"/>
      <c r="C81" s="9"/>
      <c r="D81" s="9"/>
      <c r="E81" s="9"/>
      <c r="F81" s="10" t="str">
        <f aca="false">IF($B81="","",$C81+$D81-$E81)</f>
        <v/>
      </c>
      <c r="G81" s="10" t="str">
        <f aca="false">IF($B81="","",IFERROR(INDEX(Drinks!$C$4:$C$53,MATCH($B81,Drinks!$A$4:$A$53,0)),0))</f>
        <v/>
      </c>
      <c r="H81" s="10" t="str">
        <f aca="false">IF($B81="","",$D81*$G81)</f>
        <v/>
      </c>
      <c r="I81" s="10" t="str">
        <f aca="false">IF($B81="","",$F81*$G81)</f>
        <v/>
      </c>
      <c r="J81" s="9"/>
      <c r="K81" s="10" t="str">
        <f aca="false">IF($B81="","",$E81*IFERROR(INDEX(Drinks!$B$4:$B$53,MATCH($B81,Drinks!$A$4:$A$53,0)),0))</f>
        <v/>
      </c>
      <c r="L81" s="10" t="str">
        <f aca="false">IF($B81="","",$J81+$K81)</f>
        <v/>
      </c>
      <c r="M81" s="9"/>
      <c r="N81" s="10" t="str">
        <f aca="false">IF($B81="","",$L81-$M81)</f>
        <v/>
      </c>
      <c r="O81" s="10" t="str">
        <f aca="false">IF($B81="","",IFERROR(INDEX(Drinks!$E$4:$E$53,MATCH($B81,Drinks!$A$4:$A$53,0)),0))</f>
        <v/>
      </c>
      <c r="P81" s="10" t="str">
        <f aca="false">IF($B81="","",$N81*$O81)</f>
        <v/>
      </c>
      <c r="Q81" s="10" t="str">
        <f aca="false">IF($B81="","",$N81*IFERROR(INDEX(Drinks!$D$4:$D$53,MATCH($B81,Drinks!$A$4:$A$53,0)),0))</f>
        <v/>
      </c>
      <c r="R81" s="10" t="str">
        <f aca="false">IF($B81="","",$P81-$Q81)</f>
        <v/>
      </c>
      <c r="S81" s="23" t="str">
        <f aca="false">IF($B81="","",IF(COUNTIFS($A$4:$A$2003,$A81-1,$B$4:$B$2003,$B81)=0,"first day",IF(SUMIFS($M$4:$M$2003,$A$4:$A$2003,$A81-1,$B$4:$B$2003,$B81)=$J81,"OK","CHECK")))</f>
        <v/>
      </c>
      <c r="T81" s="10" t="str">
        <f aca="false">IF($B81="","",IFERROR(INDEX(Drinks!$D$4:$D$53,MATCH($B81,Drinks!$A$4:$A$53,0)),0))</f>
        <v/>
      </c>
    </row>
    <row r="82" customFormat="false" ht="15" hidden="false" customHeight="false" outlineLevel="0" collapsed="false">
      <c r="A82" s="22"/>
      <c r="B82" s="9"/>
      <c r="C82" s="9"/>
      <c r="D82" s="9"/>
      <c r="E82" s="9"/>
      <c r="F82" s="10" t="str">
        <f aca="false">IF($B82="","",$C82+$D82-$E82)</f>
        <v/>
      </c>
      <c r="G82" s="10" t="str">
        <f aca="false">IF($B82="","",IFERROR(INDEX(Drinks!$C$4:$C$53,MATCH($B82,Drinks!$A$4:$A$53,0)),0))</f>
        <v/>
      </c>
      <c r="H82" s="10" t="str">
        <f aca="false">IF($B82="","",$D82*$G82)</f>
        <v/>
      </c>
      <c r="I82" s="10" t="str">
        <f aca="false">IF($B82="","",$F82*$G82)</f>
        <v/>
      </c>
      <c r="J82" s="9"/>
      <c r="K82" s="10" t="str">
        <f aca="false">IF($B82="","",$E82*IFERROR(INDEX(Drinks!$B$4:$B$53,MATCH($B82,Drinks!$A$4:$A$53,0)),0))</f>
        <v/>
      </c>
      <c r="L82" s="10" t="str">
        <f aca="false">IF($B82="","",$J82+$K82)</f>
        <v/>
      </c>
      <c r="M82" s="9"/>
      <c r="N82" s="10" t="str">
        <f aca="false">IF($B82="","",$L82-$M82)</f>
        <v/>
      </c>
      <c r="O82" s="10" t="str">
        <f aca="false">IF($B82="","",IFERROR(INDEX(Drinks!$E$4:$E$53,MATCH($B82,Drinks!$A$4:$A$53,0)),0))</f>
        <v/>
      </c>
      <c r="P82" s="10" t="str">
        <f aca="false">IF($B82="","",$N82*$O82)</f>
        <v/>
      </c>
      <c r="Q82" s="10" t="str">
        <f aca="false">IF($B82="","",$N82*IFERROR(INDEX(Drinks!$D$4:$D$53,MATCH($B82,Drinks!$A$4:$A$53,0)),0))</f>
        <v/>
      </c>
      <c r="R82" s="10" t="str">
        <f aca="false">IF($B82="","",$P82-$Q82)</f>
        <v/>
      </c>
      <c r="S82" s="23" t="str">
        <f aca="false">IF($B82="","",IF(COUNTIFS($A$4:$A$2003,$A82-1,$B$4:$B$2003,$B82)=0,"first day",IF(SUMIFS($M$4:$M$2003,$A$4:$A$2003,$A82-1,$B$4:$B$2003,$B82)=$J82,"OK","CHECK")))</f>
        <v/>
      </c>
      <c r="T82" s="10" t="str">
        <f aca="false">IF($B82="","",IFERROR(INDEX(Drinks!$D$4:$D$53,MATCH($B82,Drinks!$A$4:$A$53,0)),0))</f>
        <v/>
      </c>
    </row>
    <row r="83" customFormat="false" ht="15" hidden="false" customHeight="false" outlineLevel="0" collapsed="false">
      <c r="A83" s="22"/>
      <c r="B83" s="9"/>
      <c r="C83" s="9"/>
      <c r="D83" s="9"/>
      <c r="E83" s="9"/>
      <c r="F83" s="10" t="str">
        <f aca="false">IF($B83="","",$C83+$D83-$E83)</f>
        <v/>
      </c>
      <c r="G83" s="10" t="str">
        <f aca="false">IF($B83="","",IFERROR(INDEX(Drinks!$C$4:$C$53,MATCH($B83,Drinks!$A$4:$A$53,0)),0))</f>
        <v/>
      </c>
      <c r="H83" s="10" t="str">
        <f aca="false">IF($B83="","",$D83*$G83)</f>
        <v/>
      </c>
      <c r="I83" s="10" t="str">
        <f aca="false">IF($B83="","",$F83*$G83)</f>
        <v/>
      </c>
      <c r="J83" s="9"/>
      <c r="K83" s="10" t="str">
        <f aca="false">IF($B83="","",$E83*IFERROR(INDEX(Drinks!$B$4:$B$53,MATCH($B83,Drinks!$A$4:$A$53,0)),0))</f>
        <v/>
      </c>
      <c r="L83" s="10" t="str">
        <f aca="false">IF($B83="","",$J83+$K83)</f>
        <v/>
      </c>
      <c r="M83" s="9"/>
      <c r="N83" s="10" t="str">
        <f aca="false">IF($B83="","",$L83-$M83)</f>
        <v/>
      </c>
      <c r="O83" s="10" t="str">
        <f aca="false">IF($B83="","",IFERROR(INDEX(Drinks!$E$4:$E$53,MATCH($B83,Drinks!$A$4:$A$53,0)),0))</f>
        <v/>
      </c>
      <c r="P83" s="10" t="str">
        <f aca="false">IF($B83="","",$N83*$O83)</f>
        <v/>
      </c>
      <c r="Q83" s="10" t="str">
        <f aca="false">IF($B83="","",$N83*IFERROR(INDEX(Drinks!$D$4:$D$53,MATCH($B83,Drinks!$A$4:$A$53,0)),0))</f>
        <v/>
      </c>
      <c r="R83" s="10" t="str">
        <f aca="false">IF($B83="","",$P83-$Q83)</f>
        <v/>
      </c>
      <c r="S83" s="23" t="str">
        <f aca="false">IF($B83="","",IF(COUNTIFS($A$4:$A$2003,$A83-1,$B$4:$B$2003,$B83)=0,"first day",IF(SUMIFS($M$4:$M$2003,$A$4:$A$2003,$A83-1,$B$4:$B$2003,$B83)=$J83,"OK","CHECK")))</f>
        <v/>
      </c>
      <c r="T83" s="10" t="str">
        <f aca="false">IF($B83="","",IFERROR(INDEX(Drinks!$D$4:$D$53,MATCH($B83,Drinks!$A$4:$A$53,0)),0))</f>
        <v/>
      </c>
    </row>
    <row r="84" customFormat="false" ht="15" hidden="false" customHeight="false" outlineLevel="0" collapsed="false">
      <c r="A84" s="22"/>
      <c r="B84" s="9"/>
      <c r="C84" s="9"/>
      <c r="D84" s="9"/>
      <c r="E84" s="9"/>
      <c r="F84" s="10" t="str">
        <f aca="false">IF($B84="","",$C84+$D84-$E84)</f>
        <v/>
      </c>
      <c r="G84" s="10" t="str">
        <f aca="false">IF($B84="","",IFERROR(INDEX(Drinks!$C$4:$C$53,MATCH($B84,Drinks!$A$4:$A$53,0)),0))</f>
        <v/>
      </c>
      <c r="H84" s="10" t="str">
        <f aca="false">IF($B84="","",$D84*$G84)</f>
        <v/>
      </c>
      <c r="I84" s="10" t="str">
        <f aca="false">IF($B84="","",$F84*$G84)</f>
        <v/>
      </c>
      <c r="J84" s="9"/>
      <c r="K84" s="10" t="str">
        <f aca="false">IF($B84="","",$E84*IFERROR(INDEX(Drinks!$B$4:$B$53,MATCH($B84,Drinks!$A$4:$A$53,0)),0))</f>
        <v/>
      </c>
      <c r="L84" s="10" t="str">
        <f aca="false">IF($B84="","",$J84+$K84)</f>
        <v/>
      </c>
      <c r="M84" s="9"/>
      <c r="N84" s="10" t="str">
        <f aca="false">IF($B84="","",$L84-$M84)</f>
        <v/>
      </c>
      <c r="O84" s="10" t="str">
        <f aca="false">IF($B84="","",IFERROR(INDEX(Drinks!$E$4:$E$53,MATCH($B84,Drinks!$A$4:$A$53,0)),0))</f>
        <v/>
      </c>
      <c r="P84" s="10" t="str">
        <f aca="false">IF($B84="","",$N84*$O84)</f>
        <v/>
      </c>
      <c r="Q84" s="10" t="str">
        <f aca="false">IF($B84="","",$N84*IFERROR(INDEX(Drinks!$D$4:$D$53,MATCH($B84,Drinks!$A$4:$A$53,0)),0))</f>
        <v/>
      </c>
      <c r="R84" s="10" t="str">
        <f aca="false">IF($B84="","",$P84-$Q84)</f>
        <v/>
      </c>
      <c r="S84" s="23" t="str">
        <f aca="false">IF($B84="","",IF(COUNTIFS($A$4:$A$2003,$A84-1,$B$4:$B$2003,$B84)=0,"first day",IF(SUMIFS($M$4:$M$2003,$A$4:$A$2003,$A84-1,$B$4:$B$2003,$B84)=$J84,"OK","CHECK")))</f>
        <v/>
      </c>
      <c r="T84" s="10" t="str">
        <f aca="false">IF($B84="","",IFERROR(INDEX(Drinks!$D$4:$D$53,MATCH($B84,Drinks!$A$4:$A$53,0)),0))</f>
        <v/>
      </c>
    </row>
    <row r="85" customFormat="false" ht="15" hidden="false" customHeight="false" outlineLevel="0" collapsed="false">
      <c r="A85" s="22"/>
      <c r="B85" s="9"/>
      <c r="C85" s="9"/>
      <c r="D85" s="9"/>
      <c r="E85" s="9"/>
      <c r="F85" s="10" t="str">
        <f aca="false">IF($B85="","",$C85+$D85-$E85)</f>
        <v/>
      </c>
      <c r="G85" s="10" t="str">
        <f aca="false">IF($B85="","",IFERROR(INDEX(Drinks!$C$4:$C$53,MATCH($B85,Drinks!$A$4:$A$53,0)),0))</f>
        <v/>
      </c>
      <c r="H85" s="10" t="str">
        <f aca="false">IF($B85="","",$D85*$G85)</f>
        <v/>
      </c>
      <c r="I85" s="10" t="str">
        <f aca="false">IF($B85="","",$F85*$G85)</f>
        <v/>
      </c>
      <c r="J85" s="9"/>
      <c r="K85" s="10" t="str">
        <f aca="false">IF($B85="","",$E85*IFERROR(INDEX(Drinks!$B$4:$B$53,MATCH($B85,Drinks!$A$4:$A$53,0)),0))</f>
        <v/>
      </c>
      <c r="L85" s="10" t="str">
        <f aca="false">IF($B85="","",$J85+$K85)</f>
        <v/>
      </c>
      <c r="M85" s="9"/>
      <c r="N85" s="10" t="str">
        <f aca="false">IF($B85="","",$L85-$M85)</f>
        <v/>
      </c>
      <c r="O85" s="10" t="str">
        <f aca="false">IF($B85="","",IFERROR(INDEX(Drinks!$E$4:$E$53,MATCH($B85,Drinks!$A$4:$A$53,0)),0))</f>
        <v/>
      </c>
      <c r="P85" s="10" t="str">
        <f aca="false">IF($B85="","",$N85*$O85)</f>
        <v/>
      </c>
      <c r="Q85" s="10" t="str">
        <f aca="false">IF($B85="","",$N85*IFERROR(INDEX(Drinks!$D$4:$D$53,MATCH($B85,Drinks!$A$4:$A$53,0)),0))</f>
        <v/>
      </c>
      <c r="R85" s="10" t="str">
        <f aca="false">IF($B85="","",$P85-$Q85)</f>
        <v/>
      </c>
      <c r="S85" s="23" t="str">
        <f aca="false">IF($B85="","",IF(COUNTIFS($A$4:$A$2003,$A85-1,$B$4:$B$2003,$B85)=0,"first day",IF(SUMIFS($M$4:$M$2003,$A$4:$A$2003,$A85-1,$B$4:$B$2003,$B85)=$J85,"OK","CHECK")))</f>
        <v/>
      </c>
      <c r="T85" s="10" t="str">
        <f aca="false">IF($B85="","",IFERROR(INDEX(Drinks!$D$4:$D$53,MATCH($B85,Drinks!$A$4:$A$53,0)),0))</f>
        <v/>
      </c>
    </row>
    <row r="86" customFormat="false" ht="15" hidden="false" customHeight="false" outlineLevel="0" collapsed="false">
      <c r="A86" s="22"/>
      <c r="B86" s="9"/>
      <c r="C86" s="9"/>
      <c r="D86" s="9"/>
      <c r="E86" s="9"/>
      <c r="F86" s="10" t="str">
        <f aca="false">IF($B86="","",$C86+$D86-$E86)</f>
        <v/>
      </c>
      <c r="G86" s="10" t="str">
        <f aca="false">IF($B86="","",IFERROR(INDEX(Drinks!$C$4:$C$53,MATCH($B86,Drinks!$A$4:$A$53,0)),0))</f>
        <v/>
      </c>
      <c r="H86" s="10" t="str">
        <f aca="false">IF($B86="","",$D86*$G86)</f>
        <v/>
      </c>
      <c r="I86" s="10" t="str">
        <f aca="false">IF($B86="","",$F86*$G86)</f>
        <v/>
      </c>
      <c r="J86" s="9"/>
      <c r="K86" s="10" t="str">
        <f aca="false">IF($B86="","",$E86*IFERROR(INDEX(Drinks!$B$4:$B$53,MATCH($B86,Drinks!$A$4:$A$53,0)),0))</f>
        <v/>
      </c>
      <c r="L86" s="10" t="str">
        <f aca="false">IF($B86="","",$J86+$K86)</f>
        <v/>
      </c>
      <c r="M86" s="9"/>
      <c r="N86" s="10" t="str">
        <f aca="false">IF($B86="","",$L86-$M86)</f>
        <v/>
      </c>
      <c r="O86" s="10" t="str">
        <f aca="false">IF($B86="","",IFERROR(INDEX(Drinks!$E$4:$E$53,MATCH($B86,Drinks!$A$4:$A$53,0)),0))</f>
        <v/>
      </c>
      <c r="P86" s="10" t="str">
        <f aca="false">IF($B86="","",$N86*$O86)</f>
        <v/>
      </c>
      <c r="Q86" s="10" t="str">
        <f aca="false">IF($B86="","",$N86*IFERROR(INDEX(Drinks!$D$4:$D$53,MATCH($B86,Drinks!$A$4:$A$53,0)),0))</f>
        <v/>
      </c>
      <c r="R86" s="10" t="str">
        <f aca="false">IF($B86="","",$P86-$Q86)</f>
        <v/>
      </c>
      <c r="S86" s="23" t="str">
        <f aca="false">IF($B86="","",IF(COUNTIFS($A$4:$A$2003,$A86-1,$B$4:$B$2003,$B86)=0,"first day",IF(SUMIFS($M$4:$M$2003,$A$4:$A$2003,$A86-1,$B$4:$B$2003,$B86)=$J86,"OK","CHECK")))</f>
        <v/>
      </c>
      <c r="T86" s="10" t="str">
        <f aca="false">IF($B86="","",IFERROR(INDEX(Drinks!$D$4:$D$53,MATCH($B86,Drinks!$A$4:$A$53,0)),0))</f>
        <v/>
      </c>
    </row>
    <row r="87" customFormat="false" ht="15" hidden="false" customHeight="false" outlineLevel="0" collapsed="false">
      <c r="A87" s="22"/>
      <c r="B87" s="9"/>
      <c r="C87" s="9"/>
      <c r="D87" s="9"/>
      <c r="E87" s="9"/>
      <c r="F87" s="10" t="str">
        <f aca="false">IF($B87="","",$C87+$D87-$E87)</f>
        <v/>
      </c>
      <c r="G87" s="10" t="str">
        <f aca="false">IF($B87="","",IFERROR(INDEX(Drinks!$C$4:$C$53,MATCH($B87,Drinks!$A$4:$A$53,0)),0))</f>
        <v/>
      </c>
      <c r="H87" s="10" t="str">
        <f aca="false">IF($B87="","",$D87*$G87)</f>
        <v/>
      </c>
      <c r="I87" s="10" t="str">
        <f aca="false">IF($B87="","",$F87*$G87)</f>
        <v/>
      </c>
      <c r="J87" s="9"/>
      <c r="K87" s="10" t="str">
        <f aca="false">IF($B87="","",$E87*IFERROR(INDEX(Drinks!$B$4:$B$53,MATCH($B87,Drinks!$A$4:$A$53,0)),0))</f>
        <v/>
      </c>
      <c r="L87" s="10" t="str">
        <f aca="false">IF($B87="","",$J87+$K87)</f>
        <v/>
      </c>
      <c r="M87" s="9"/>
      <c r="N87" s="10" t="str">
        <f aca="false">IF($B87="","",$L87-$M87)</f>
        <v/>
      </c>
      <c r="O87" s="10" t="str">
        <f aca="false">IF($B87="","",IFERROR(INDEX(Drinks!$E$4:$E$53,MATCH($B87,Drinks!$A$4:$A$53,0)),0))</f>
        <v/>
      </c>
      <c r="P87" s="10" t="str">
        <f aca="false">IF($B87="","",$N87*$O87)</f>
        <v/>
      </c>
      <c r="Q87" s="10" t="str">
        <f aca="false">IF($B87="","",$N87*IFERROR(INDEX(Drinks!$D$4:$D$53,MATCH($B87,Drinks!$A$4:$A$53,0)),0))</f>
        <v/>
      </c>
      <c r="R87" s="10" t="str">
        <f aca="false">IF($B87="","",$P87-$Q87)</f>
        <v/>
      </c>
      <c r="S87" s="23" t="str">
        <f aca="false">IF($B87="","",IF(COUNTIFS($A$4:$A$2003,$A87-1,$B$4:$B$2003,$B87)=0,"first day",IF(SUMIFS($M$4:$M$2003,$A$4:$A$2003,$A87-1,$B$4:$B$2003,$B87)=$J87,"OK","CHECK")))</f>
        <v/>
      </c>
      <c r="T87" s="10" t="str">
        <f aca="false">IF($B87="","",IFERROR(INDEX(Drinks!$D$4:$D$53,MATCH($B87,Drinks!$A$4:$A$53,0)),0))</f>
        <v/>
      </c>
    </row>
    <row r="88" customFormat="false" ht="15" hidden="false" customHeight="false" outlineLevel="0" collapsed="false">
      <c r="A88" s="22"/>
      <c r="B88" s="9"/>
      <c r="C88" s="9"/>
      <c r="D88" s="9"/>
      <c r="E88" s="9"/>
      <c r="F88" s="10" t="str">
        <f aca="false">IF($B88="","",$C88+$D88-$E88)</f>
        <v/>
      </c>
      <c r="G88" s="10" t="str">
        <f aca="false">IF($B88="","",IFERROR(INDEX(Drinks!$C$4:$C$53,MATCH($B88,Drinks!$A$4:$A$53,0)),0))</f>
        <v/>
      </c>
      <c r="H88" s="10" t="str">
        <f aca="false">IF($B88="","",$D88*$G88)</f>
        <v/>
      </c>
      <c r="I88" s="10" t="str">
        <f aca="false">IF($B88="","",$F88*$G88)</f>
        <v/>
      </c>
      <c r="J88" s="9"/>
      <c r="K88" s="10" t="str">
        <f aca="false">IF($B88="","",$E88*IFERROR(INDEX(Drinks!$B$4:$B$53,MATCH($B88,Drinks!$A$4:$A$53,0)),0))</f>
        <v/>
      </c>
      <c r="L88" s="10" t="str">
        <f aca="false">IF($B88="","",$J88+$K88)</f>
        <v/>
      </c>
      <c r="M88" s="9"/>
      <c r="N88" s="10" t="str">
        <f aca="false">IF($B88="","",$L88-$M88)</f>
        <v/>
      </c>
      <c r="O88" s="10" t="str">
        <f aca="false">IF($B88="","",IFERROR(INDEX(Drinks!$E$4:$E$53,MATCH($B88,Drinks!$A$4:$A$53,0)),0))</f>
        <v/>
      </c>
      <c r="P88" s="10" t="str">
        <f aca="false">IF($B88="","",$N88*$O88)</f>
        <v/>
      </c>
      <c r="Q88" s="10" t="str">
        <f aca="false">IF($B88="","",$N88*IFERROR(INDEX(Drinks!$D$4:$D$53,MATCH($B88,Drinks!$A$4:$A$53,0)),0))</f>
        <v/>
      </c>
      <c r="R88" s="10" t="str">
        <f aca="false">IF($B88="","",$P88-$Q88)</f>
        <v/>
      </c>
      <c r="S88" s="23" t="str">
        <f aca="false">IF($B88="","",IF(COUNTIFS($A$4:$A$2003,$A88-1,$B$4:$B$2003,$B88)=0,"first day",IF(SUMIFS($M$4:$M$2003,$A$4:$A$2003,$A88-1,$B$4:$B$2003,$B88)=$J88,"OK","CHECK")))</f>
        <v/>
      </c>
      <c r="T88" s="10" t="str">
        <f aca="false">IF($B88="","",IFERROR(INDEX(Drinks!$D$4:$D$53,MATCH($B88,Drinks!$A$4:$A$53,0)),0))</f>
        <v/>
      </c>
    </row>
    <row r="89" customFormat="false" ht="15" hidden="false" customHeight="false" outlineLevel="0" collapsed="false">
      <c r="A89" s="22"/>
      <c r="B89" s="9"/>
      <c r="C89" s="9"/>
      <c r="D89" s="9"/>
      <c r="E89" s="9"/>
      <c r="F89" s="10" t="str">
        <f aca="false">IF($B89="","",$C89+$D89-$E89)</f>
        <v/>
      </c>
      <c r="G89" s="10" t="str">
        <f aca="false">IF($B89="","",IFERROR(INDEX(Drinks!$C$4:$C$53,MATCH($B89,Drinks!$A$4:$A$53,0)),0))</f>
        <v/>
      </c>
      <c r="H89" s="10" t="str">
        <f aca="false">IF($B89="","",$D89*$G89)</f>
        <v/>
      </c>
      <c r="I89" s="10" t="str">
        <f aca="false">IF($B89="","",$F89*$G89)</f>
        <v/>
      </c>
      <c r="J89" s="9"/>
      <c r="K89" s="10" t="str">
        <f aca="false">IF($B89="","",$E89*IFERROR(INDEX(Drinks!$B$4:$B$53,MATCH($B89,Drinks!$A$4:$A$53,0)),0))</f>
        <v/>
      </c>
      <c r="L89" s="10" t="str">
        <f aca="false">IF($B89="","",$J89+$K89)</f>
        <v/>
      </c>
      <c r="M89" s="9"/>
      <c r="N89" s="10" t="str">
        <f aca="false">IF($B89="","",$L89-$M89)</f>
        <v/>
      </c>
      <c r="O89" s="10" t="str">
        <f aca="false">IF($B89="","",IFERROR(INDEX(Drinks!$E$4:$E$53,MATCH($B89,Drinks!$A$4:$A$53,0)),0))</f>
        <v/>
      </c>
      <c r="P89" s="10" t="str">
        <f aca="false">IF($B89="","",$N89*$O89)</f>
        <v/>
      </c>
      <c r="Q89" s="10" t="str">
        <f aca="false">IF($B89="","",$N89*IFERROR(INDEX(Drinks!$D$4:$D$53,MATCH($B89,Drinks!$A$4:$A$53,0)),0))</f>
        <v/>
      </c>
      <c r="R89" s="10" t="str">
        <f aca="false">IF($B89="","",$P89-$Q89)</f>
        <v/>
      </c>
      <c r="S89" s="23" t="str">
        <f aca="false">IF($B89="","",IF(COUNTIFS($A$4:$A$2003,$A89-1,$B$4:$B$2003,$B89)=0,"first day",IF(SUMIFS($M$4:$M$2003,$A$4:$A$2003,$A89-1,$B$4:$B$2003,$B89)=$J89,"OK","CHECK")))</f>
        <v/>
      </c>
      <c r="T89" s="10" t="str">
        <f aca="false">IF($B89="","",IFERROR(INDEX(Drinks!$D$4:$D$53,MATCH($B89,Drinks!$A$4:$A$53,0)),0))</f>
        <v/>
      </c>
    </row>
    <row r="90" customFormat="false" ht="15" hidden="false" customHeight="false" outlineLevel="0" collapsed="false">
      <c r="A90" s="22"/>
      <c r="B90" s="9"/>
      <c r="C90" s="9"/>
      <c r="D90" s="9"/>
      <c r="E90" s="9"/>
      <c r="F90" s="10" t="str">
        <f aca="false">IF($B90="","",$C90+$D90-$E90)</f>
        <v/>
      </c>
      <c r="G90" s="10" t="str">
        <f aca="false">IF($B90="","",IFERROR(INDEX(Drinks!$C$4:$C$53,MATCH($B90,Drinks!$A$4:$A$53,0)),0))</f>
        <v/>
      </c>
      <c r="H90" s="10" t="str">
        <f aca="false">IF($B90="","",$D90*$G90)</f>
        <v/>
      </c>
      <c r="I90" s="10" t="str">
        <f aca="false">IF($B90="","",$F90*$G90)</f>
        <v/>
      </c>
      <c r="J90" s="9"/>
      <c r="K90" s="10" t="str">
        <f aca="false">IF($B90="","",$E90*IFERROR(INDEX(Drinks!$B$4:$B$53,MATCH($B90,Drinks!$A$4:$A$53,0)),0))</f>
        <v/>
      </c>
      <c r="L90" s="10" t="str">
        <f aca="false">IF($B90="","",$J90+$K90)</f>
        <v/>
      </c>
      <c r="M90" s="9"/>
      <c r="N90" s="10" t="str">
        <f aca="false">IF($B90="","",$L90-$M90)</f>
        <v/>
      </c>
      <c r="O90" s="10" t="str">
        <f aca="false">IF($B90="","",IFERROR(INDEX(Drinks!$E$4:$E$53,MATCH($B90,Drinks!$A$4:$A$53,0)),0))</f>
        <v/>
      </c>
      <c r="P90" s="10" t="str">
        <f aca="false">IF($B90="","",$N90*$O90)</f>
        <v/>
      </c>
      <c r="Q90" s="10" t="str">
        <f aca="false">IF($B90="","",$N90*IFERROR(INDEX(Drinks!$D$4:$D$53,MATCH($B90,Drinks!$A$4:$A$53,0)),0))</f>
        <v/>
      </c>
      <c r="R90" s="10" t="str">
        <f aca="false">IF($B90="","",$P90-$Q90)</f>
        <v/>
      </c>
      <c r="S90" s="23" t="str">
        <f aca="false">IF($B90="","",IF(COUNTIFS($A$4:$A$2003,$A90-1,$B$4:$B$2003,$B90)=0,"first day",IF(SUMIFS($M$4:$M$2003,$A$4:$A$2003,$A90-1,$B$4:$B$2003,$B90)=$J90,"OK","CHECK")))</f>
        <v/>
      </c>
      <c r="T90" s="10" t="str">
        <f aca="false">IF($B90="","",IFERROR(INDEX(Drinks!$D$4:$D$53,MATCH($B90,Drinks!$A$4:$A$53,0)),0))</f>
        <v/>
      </c>
    </row>
    <row r="91" customFormat="false" ht="15" hidden="false" customHeight="false" outlineLevel="0" collapsed="false">
      <c r="A91" s="22"/>
      <c r="B91" s="9"/>
      <c r="C91" s="9"/>
      <c r="D91" s="9"/>
      <c r="E91" s="9"/>
      <c r="F91" s="10" t="str">
        <f aca="false">IF($B91="","",$C91+$D91-$E91)</f>
        <v/>
      </c>
      <c r="G91" s="10" t="str">
        <f aca="false">IF($B91="","",IFERROR(INDEX(Drinks!$C$4:$C$53,MATCH($B91,Drinks!$A$4:$A$53,0)),0))</f>
        <v/>
      </c>
      <c r="H91" s="10" t="str">
        <f aca="false">IF($B91="","",$D91*$G91)</f>
        <v/>
      </c>
      <c r="I91" s="10" t="str">
        <f aca="false">IF($B91="","",$F91*$G91)</f>
        <v/>
      </c>
      <c r="J91" s="9"/>
      <c r="K91" s="10" t="str">
        <f aca="false">IF($B91="","",$E91*IFERROR(INDEX(Drinks!$B$4:$B$53,MATCH($B91,Drinks!$A$4:$A$53,0)),0))</f>
        <v/>
      </c>
      <c r="L91" s="10" t="str">
        <f aca="false">IF($B91="","",$J91+$K91)</f>
        <v/>
      </c>
      <c r="M91" s="9"/>
      <c r="N91" s="10" t="str">
        <f aca="false">IF($B91="","",$L91-$M91)</f>
        <v/>
      </c>
      <c r="O91" s="10" t="str">
        <f aca="false">IF($B91="","",IFERROR(INDEX(Drinks!$E$4:$E$53,MATCH($B91,Drinks!$A$4:$A$53,0)),0))</f>
        <v/>
      </c>
      <c r="P91" s="10" t="str">
        <f aca="false">IF($B91="","",$N91*$O91)</f>
        <v/>
      </c>
      <c r="Q91" s="10" t="str">
        <f aca="false">IF($B91="","",$N91*IFERROR(INDEX(Drinks!$D$4:$D$53,MATCH($B91,Drinks!$A$4:$A$53,0)),0))</f>
        <v/>
      </c>
      <c r="R91" s="10" t="str">
        <f aca="false">IF($B91="","",$P91-$Q91)</f>
        <v/>
      </c>
      <c r="S91" s="23" t="str">
        <f aca="false">IF($B91="","",IF(COUNTIFS($A$4:$A$2003,$A91-1,$B$4:$B$2003,$B91)=0,"first day",IF(SUMIFS($M$4:$M$2003,$A$4:$A$2003,$A91-1,$B$4:$B$2003,$B91)=$J91,"OK","CHECK")))</f>
        <v/>
      </c>
      <c r="T91" s="10" t="str">
        <f aca="false">IF($B91="","",IFERROR(INDEX(Drinks!$D$4:$D$53,MATCH($B91,Drinks!$A$4:$A$53,0)),0))</f>
        <v/>
      </c>
    </row>
    <row r="92" customFormat="false" ht="15" hidden="false" customHeight="false" outlineLevel="0" collapsed="false">
      <c r="A92" s="22"/>
      <c r="B92" s="9"/>
      <c r="C92" s="9"/>
      <c r="D92" s="9"/>
      <c r="E92" s="9"/>
      <c r="F92" s="10" t="str">
        <f aca="false">IF($B92="","",$C92+$D92-$E92)</f>
        <v/>
      </c>
      <c r="G92" s="10" t="str">
        <f aca="false">IF($B92="","",IFERROR(INDEX(Drinks!$C$4:$C$53,MATCH($B92,Drinks!$A$4:$A$53,0)),0))</f>
        <v/>
      </c>
      <c r="H92" s="10" t="str">
        <f aca="false">IF($B92="","",$D92*$G92)</f>
        <v/>
      </c>
      <c r="I92" s="10" t="str">
        <f aca="false">IF($B92="","",$F92*$G92)</f>
        <v/>
      </c>
      <c r="J92" s="9"/>
      <c r="K92" s="10" t="str">
        <f aca="false">IF($B92="","",$E92*IFERROR(INDEX(Drinks!$B$4:$B$53,MATCH($B92,Drinks!$A$4:$A$53,0)),0))</f>
        <v/>
      </c>
      <c r="L92" s="10" t="str">
        <f aca="false">IF($B92="","",$J92+$K92)</f>
        <v/>
      </c>
      <c r="M92" s="9"/>
      <c r="N92" s="10" t="str">
        <f aca="false">IF($B92="","",$L92-$M92)</f>
        <v/>
      </c>
      <c r="O92" s="10" t="str">
        <f aca="false">IF($B92="","",IFERROR(INDEX(Drinks!$E$4:$E$53,MATCH($B92,Drinks!$A$4:$A$53,0)),0))</f>
        <v/>
      </c>
      <c r="P92" s="10" t="str">
        <f aca="false">IF($B92="","",$N92*$O92)</f>
        <v/>
      </c>
      <c r="Q92" s="10" t="str">
        <f aca="false">IF($B92="","",$N92*IFERROR(INDEX(Drinks!$D$4:$D$53,MATCH($B92,Drinks!$A$4:$A$53,0)),0))</f>
        <v/>
      </c>
      <c r="R92" s="10" t="str">
        <f aca="false">IF($B92="","",$P92-$Q92)</f>
        <v/>
      </c>
      <c r="S92" s="23" t="str">
        <f aca="false">IF($B92="","",IF(COUNTIFS($A$4:$A$2003,$A92-1,$B$4:$B$2003,$B92)=0,"first day",IF(SUMIFS($M$4:$M$2003,$A$4:$A$2003,$A92-1,$B$4:$B$2003,$B92)=$J92,"OK","CHECK")))</f>
        <v/>
      </c>
      <c r="T92" s="10" t="str">
        <f aca="false">IF($B92="","",IFERROR(INDEX(Drinks!$D$4:$D$53,MATCH($B92,Drinks!$A$4:$A$53,0)),0))</f>
        <v/>
      </c>
    </row>
    <row r="93" customFormat="false" ht="15" hidden="false" customHeight="false" outlineLevel="0" collapsed="false">
      <c r="A93" s="22"/>
      <c r="B93" s="9"/>
      <c r="C93" s="9"/>
      <c r="D93" s="9"/>
      <c r="E93" s="9"/>
      <c r="F93" s="10" t="str">
        <f aca="false">IF($B93="","",$C93+$D93-$E93)</f>
        <v/>
      </c>
      <c r="G93" s="10" t="str">
        <f aca="false">IF($B93="","",IFERROR(INDEX(Drinks!$C$4:$C$53,MATCH($B93,Drinks!$A$4:$A$53,0)),0))</f>
        <v/>
      </c>
      <c r="H93" s="10" t="str">
        <f aca="false">IF($B93="","",$D93*$G93)</f>
        <v/>
      </c>
      <c r="I93" s="10" t="str">
        <f aca="false">IF($B93="","",$F93*$G93)</f>
        <v/>
      </c>
      <c r="J93" s="9"/>
      <c r="K93" s="10" t="str">
        <f aca="false">IF($B93="","",$E93*IFERROR(INDEX(Drinks!$B$4:$B$53,MATCH($B93,Drinks!$A$4:$A$53,0)),0))</f>
        <v/>
      </c>
      <c r="L93" s="10" t="str">
        <f aca="false">IF($B93="","",$J93+$K93)</f>
        <v/>
      </c>
      <c r="M93" s="9"/>
      <c r="N93" s="10" t="str">
        <f aca="false">IF($B93="","",$L93-$M93)</f>
        <v/>
      </c>
      <c r="O93" s="10" t="str">
        <f aca="false">IF($B93="","",IFERROR(INDEX(Drinks!$E$4:$E$53,MATCH($B93,Drinks!$A$4:$A$53,0)),0))</f>
        <v/>
      </c>
      <c r="P93" s="10" t="str">
        <f aca="false">IF($B93="","",$N93*$O93)</f>
        <v/>
      </c>
      <c r="Q93" s="10" t="str">
        <f aca="false">IF($B93="","",$N93*IFERROR(INDEX(Drinks!$D$4:$D$53,MATCH($B93,Drinks!$A$4:$A$53,0)),0))</f>
        <v/>
      </c>
      <c r="R93" s="10" t="str">
        <f aca="false">IF($B93="","",$P93-$Q93)</f>
        <v/>
      </c>
      <c r="S93" s="23" t="str">
        <f aca="false">IF($B93="","",IF(COUNTIFS($A$4:$A$2003,$A93-1,$B$4:$B$2003,$B93)=0,"first day",IF(SUMIFS($M$4:$M$2003,$A$4:$A$2003,$A93-1,$B$4:$B$2003,$B93)=$J93,"OK","CHECK")))</f>
        <v/>
      </c>
      <c r="T93" s="10" t="str">
        <f aca="false">IF($B93="","",IFERROR(INDEX(Drinks!$D$4:$D$53,MATCH($B93,Drinks!$A$4:$A$53,0)),0))</f>
        <v/>
      </c>
    </row>
    <row r="94" customFormat="false" ht="15" hidden="false" customHeight="false" outlineLevel="0" collapsed="false">
      <c r="A94" s="22"/>
      <c r="B94" s="9"/>
      <c r="C94" s="9"/>
      <c r="D94" s="9"/>
      <c r="E94" s="9"/>
      <c r="F94" s="10" t="str">
        <f aca="false">IF($B94="","",$C94+$D94-$E94)</f>
        <v/>
      </c>
      <c r="G94" s="10" t="str">
        <f aca="false">IF($B94="","",IFERROR(INDEX(Drinks!$C$4:$C$53,MATCH($B94,Drinks!$A$4:$A$53,0)),0))</f>
        <v/>
      </c>
      <c r="H94" s="10" t="str">
        <f aca="false">IF($B94="","",$D94*$G94)</f>
        <v/>
      </c>
      <c r="I94" s="10" t="str">
        <f aca="false">IF($B94="","",$F94*$G94)</f>
        <v/>
      </c>
      <c r="J94" s="9"/>
      <c r="K94" s="10" t="str">
        <f aca="false">IF($B94="","",$E94*IFERROR(INDEX(Drinks!$B$4:$B$53,MATCH($B94,Drinks!$A$4:$A$53,0)),0))</f>
        <v/>
      </c>
      <c r="L94" s="10" t="str">
        <f aca="false">IF($B94="","",$J94+$K94)</f>
        <v/>
      </c>
      <c r="M94" s="9"/>
      <c r="N94" s="10" t="str">
        <f aca="false">IF($B94="","",$L94-$M94)</f>
        <v/>
      </c>
      <c r="O94" s="10" t="str">
        <f aca="false">IF($B94="","",IFERROR(INDEX(Drinks!$E$4:$E$53,MATCH($B94,Drinks!$A$4:$A$53,0)),0))</f>
        <v/>
      </c>
      <c r="P94" s="10" t="str">
        <f aca="false">IF($B94="","",$N94*$O94)</f>
        <v/>
      </c>
      <c r="Q94" s="10" t="str">
        <f aca="false">IF($B94="","",$N94*IFERROR(INDEX(Drinks!$D$4:$D$53,MATCH($B94,Drinks!$A$4:$A$53,0)),0))</f>
        <v/>
      </c>
      <c r="R94" s="10" t="str">
        <f aca="false">IF($B94="","",$P94-$Q94)</f>
        <v/>
      </c>
      <c r="S94" s="23" t="str">
        <f aca="false">IF($B94="","",IF(COUNTIFS($A$4:$A$2003,$A94-1,$B$4:$B$2003,$B94)=0,"first day",IF(SUMIFS($M$4:$M$2003,$A$4:$A$2003,$A94-1,$B$4:$B$2003,$B94)=$J94,"OK","CHECK")))</f>
        <v/>
      </c>
      <c r="T94" s="10" t="str">
        <f aca="false">IF($B94="","",IFERROR(INDEX(Drinks!$D$4:$D$53,MATCH($B94,Drinks!$A$4:$A$53,0)),0))</f>
        <v/>
      </c>
    </row>
    <row r="95" customFormat="false" ht="15" hidden="false" customHeight="false" outlineLevel="0" collapsed="false">
      <c r="A95" s="22"/>
      <c r="B95" s="9"/>
      <c r="C95" s="9"/>
      <c r="D95" s="9"/>
      <c r="E95" s="9"/>
      <c r="F95" s="10" t="str">
        <f aca="false">IF($B95="","",$C95+$D95-$E95)</f>
        <v/>
      </c>
      <c r="G95" s="10" t="str">
        <f aca="false">IF($B95="","",IFERROR(INDEX(Drinks!$C$4:$C$53,MATCH($B95,Drinks!$A$4:$A$53,0)),0))</f>
        <v/>
      </c>
      <c r="H95" s="10" t="str">
        <f aca="false">IF($B95="","",$D95*$G95)</f>
        <v/>
      </c>
      <c r="I95" s="10" t="str">
        <f aca="false">IF($B95="","",$F95*$G95)</f>
        <v/>
      </c>
      <c r="J95" s="9"/>
      <c r="K95" s="10" t="str">
        <f aca="false">IF($B95="","",$E95*IFERROR(INDEX(Drinks!$B$4:$B$53,MATCH($B95,Drinks!$A$4:$A$53,0)),0))</f>
        <v/>
      </c>
      <c r="L95" s="10" t="str">
        <f aca="false">IF($B95="","",$J95+$K95)</f>
        <v/>
      </c>
      <c r="M95" s="9"/>
      <c r="N95" s="10" t="str">
        <f aca="false">IF($B95="","",$L95-$M95)</f>
        <v/>
      </c>
      <c r="O95" s="10" t="str">
        <f aca="false">IF($B95="","",IFERROR(INDEX(Drinks!$E$4:$E$53,MATCH($B95,Drinks!$A$4:$A$53,0)),0))</f>
        <v/>
      </c>
      <c r="P95" s="10" t="str">
        <f aca="false">IF($B95="","",$N95*$O95)</f>
        <v/>
      </c>
      <c r="Q95" s="10" t="str">
        <f aca="false">IF($B95="","",$N95*IFERROR(INDEX(Drinks!$D$4:$D$53,MATCH($B95,Drinks!$A$4:$A$53,0)),0))</f>
        <v/>
      </c>
      <c r="R95" s="10" t="str">
        <f aca="false">IF($B95="","",$P95-$Q95)</f>
        <v/>
      </c>
      <c r="S95" s="23" t="str">
        <f aca="false">IF($B95="","",IF(COUNTIFS($A$4:$A$2003,$A95-1,$B$4:$B$2003,$B95)=0,"first day",IF(SUMIFS($M$4:$M$2003,$A$4:$A$2003,$A95-1,$B$4:$B$2003,$B95)=$J95,"OK","CHECK")))</f>
        <v/>
      </c>
      <c r="T95" s="10" t="str">
        <f aca="false">IF($B95="","",IFERROR(INDEX(Drinks!$D$4:$D$53,MATCH($B95,Drinks!$A$4:$A$53,0)),0))</f>
        <v/>
      </c>
    </row>
    <row r="96" customFormat="false" ht="15" hidden="false" customHeight="false" outlineLevel="0" collapsed="false">
      <c r="A96" s="22"/>
      <c r="B96" s="9"/>
      <c r="C96" s="9"/>
      <c r="D96" s="9"/>
      <c r="E96" s="9"/>
      <c r="F96" s="10" t="str">
        <f aca="false">IF($B96="","",$C96+$D96-$E96)</f>
        <v/>
      </c>
      <c r="G96" s="10" t="str">
        <f aca="false">IF($B96="","",IFERROR(INDEX(Drinks!$C$4:$C$53,MATCH($B96,Drinks!$A$4:$A$53,0)),0))</f>
        <v/>
      </c>
      <c r="H96" s="10" t="str">
        <f aca="false">IF($B96="","",$D96*$G96)</f>
        <v/>
      </c>
      <c r="I96" s="10" t="str">
        <f aca="false">IF($B96="","",$F96*$G96)</f>
        <v/>
      </c>
      <c r="J96" s="9"/>
      <c r="K96" s="10" t="str">
        <f aca="false">IF($B96="","",$E96*IFERROR(INDEX(Drinks!$B$4:$B$53,MATCH($B96,Drinks!$A$4:$A$53,0)),0))</f>
        <v/>
      </c>
      <c r="L96" s="10" t="str">
        <f aca="false">IF($B96="","",$J96+$K96)</f>
        <v/>
      </c>
      <c r="M96" s="9"/>
      <c r="N96" s="10" t="str">
        <f aca="false">IF($B96="","",$L96-$M96)</f>
        <v/>
      </c>
      <c r="O96" s="10" t="str">
        <f aca="false">IF($B96="","",IFERROR(INDEX(Drinks!$E$4:$E$53,MATCH($B96,Drinks!$A$4:$A$53,0)),0))</f>
        <v/>
      </c>
      <c r="P96" s="10" t="str">
        <f aca="false">IF($B96="","",$N96*$O96)</f>
        <v/>
      </c>
      <c r="Q96" s="10" t="str">
        <f aca="false">IF($B96="","",$N96*IFERROR(INDEX(Drinks!$D$4:$D$53,MATCH($B96,Drinks!$A$4:$A$53,0)),0))</f>
        <v/>
      </c>
      <c r="R96" s="10" t="str">
        <f aca="false">IF($B96="","",$P96-$Q96)</f>
        <v/>
      </c>
      <c r="S96" s="23" t="str">
        <f aca="false">IF($B96="","",IF(COUNTIFS($A$4:$A$2003,$A96-1,$B$4:$B$2003,$B96)=0,"first day",IF(SUMIFS($M$4:$M$2003,$A$4:$A$2003,$A96-1,$B$4:$B$2003,$B96)=$J96,"OK","CHECK")))</f>
        <v/>
      </c>
      <c r="T96" s="10" t="str">
        <f aca="false">IF($B96="","",IFERROR(INDEX(Drinks!$D$4:$D$53,MATCH($B96,Drinks!$A$4:$A$53,0)),0))</f>
        <v/>
      </c>
    </row>
    <row r="97" customFormat="false" ht="15" hidden="false" customHeight="false" outlineLevel="0" collapsed="false">
      <c r="A97" s="22"/>
      <c r="B97" s="9"/>
      <c r="C97" s="9"/>
      <c r="D97" s="9"/>
      <c r="E97" s="9"/>
      <c r="F97" s="10" t="str">
        <f aca="false">IF($B97="","",$C97+$D97-$E97)</f>
        <v/>
      </c>
      <c r="G97" s="10" t="str">
        <f aca="false">IF($B97="","",IFERROR(INDEX(Drinks!$C$4:$C$53,MATCH($B97,Drinks!$A$4:$A$53,0)),0))</f>
        <v/>
      </c>
      <c r="H97" s="10" t="str">
        <f aca="false">IF($B97="","",$D97*$G97)</f>
        <v/>
      </c>
      <c r="I97" s="10" t="str">
        <f aca="false">IF($B97="","",$F97*$G97)</f>
        <v/>
      </c>
      <c r="J97" s="9"/>
      <c r="K97" s="10" t="str">
        <f aca="false">IF($B97="","",$E97*IFERROR(INDEX(Drinks!$B$4:$B$53,MATCH($B97,Drinks!$A$4:$A$53,0)),0))</f>
        <v/>
      </c>
      <c r="L97" s="10" t="str">
        <f aca="false">IF($B97="","",$J97+$K97)</f>
        <v/>
      </c>
      <c r="M97" s="9"/>
      <c r="N97" s="10" t="str">
        <f aca="false">IF($B97="","",$L97-$M97)</f>
        <v/>
      </c>
      <c r="O97" s="10" t="str">
        <f aca="false">IF($B97="","",IFERROR(INDEX(Drinks!$E$4:$E$53,MATCH($B97,Drinks!$A$4:$A$53,0)),0))</f>
        <v/>
      </c>
      <c r="P97" s="10" t="str">
        <f aca="false">IF($B97="","",$N97*$O97)</f>
        <v/>
      </c>
      <c r="Q97" s="10" t="str">
        <f aca="false">IF($B97="","",$N97*IFERROR(INDEX(Drinks!$D$4:$D$53,MATCH($B97,Drinks!$A$4:$A$53,0)),0))</f>
        <v/>
      </c>
      <c r="R97" s="10" t="str">
        <f aca="false">IF($B97="","",$P97-$Q97)</f>
        <v/>
      </c>
      <c r="S97" s="23" t="str">
        <f aca="false">IF($B97="","",IF(COUNTIFS($A$4:$A$2003,$A97-1,$B$4:$B$2003,$B97)=0,"first day",IF(SUMIFS($M$4:$M$2003,$A$4:$A$2003,$A97-1,$B$4:$B$2003,$B97)=$J97,"OK","CHECK")))</f>
        <v/>
      </c>
      <c r="T97" s="10" t="str">
        <f aca="false">IF($B97="","",IFERROR(INDEX(Drinks!$D$4:$D$53,MATCH($B97,Drinks!$A$4:$A$53,0)),0))</f>
        <v/>
      </c>
    </row>
    <row r="98" customFormat="false" ht="15" hidden="false" customHeight="false" outlineLevel="0" collapsed="false">
      <c r="A98" s="22"/>
      <c r="B98" s="9"/>
      <c r="C98" s="9"/>
      <c r="D98" s="9"/>
      <c r="E98" s="9"/>
      <c r="F98" s="10" t="str">
        <f aca="false">IF($B98="","",$C98+$D98-$E98)</f>
        <v/>
      </c>
      <c r="G98" s="10" t="str">
        <f aca="false">IF($B98="","",IFERROR(INDEX(Drinks!$C$4:$C$53,MATCH($B98,Drinks!$A$4:$A$53,0)),0))</f>
        <v/>
      </c>
      <c r="H98" s="10" t="str">
        <f aca="false">IF($B98="","",$D98*$G98)</f>
        <v/>
      </c>
      <c r="I98" s="10" t="str">
        <f aca="false">IF($B98="","",$F98*$G98)</f>
        <v/>
      </c>
      <c r="J98" s="9"/>
      <c r="K98" s="10" t="str">
        <f aca="false">IF($B98="","",$E98*IFERROR(INDEX(Drinks!$B$4:$B$53,MATCH($B98,Drinks!$A$4:$A$53,0)),0))</f>
        <v/>
      </c>
      <c r="L98" s="10" t="str">
        <f aca="false">IF($B98="","",$J98+$K98)</f>
        <v/>
      </c>
      <c r="M98" s="9"/>
      <c r="N98" s="10" t="str">
        <f aca="false">IF($B98="","",$L98-$M98)</f>
        <v/>
      </c>
      <c r="O98" s="10" t="str">
        <f aca="false">IF($B98="","",IFERROR(INDEX(Drinks!$E$4:$E$53,MATCH($B98,Drinks!$A$4:$A$53,0)),0))</f>
        <v/>
      </c>
      <c r="P98" s="10" t="str">
        <f aca="false">IF($B98="","",$N98*$O98)</f>
        <v/>
      </c>
      <c r="Q98" s="10" t="str">
        <f aca="false">IF($B98="","",$N98*IFERROR(INDEX(Drinks!$D$4:$D$53,MATCH($B98,Drinks!$A$4:$A$53,0)),0))</f>
        <v/>
      </c>
      <c r="R98" s="10" t="str">
        <f aca="false">IF($B98="","",$P98-$Q98)</f>
        <v/>
      </c>
      <c r="S98" s="23" t="str">
        <f aca="false">IF($B98="","",IF(COUNTIFS($A$4:$A$2003,$A98-1,$B$4:$B$2003,$B98)=0,"first day",IF(SUMIFS($M$4:$M$2003,$A$4:$A$2003,$A98-1,$B$4:$B$2003,$B98)=$J98,"OK","CHECK")))</f>
        <v/>
      </c>
      <c r="T98" s="10" t="str">
        <f aca="false">IF($B98="","",IFERROR(INDEX(Drinks!$D$4:$D$53,MATCH($B98,Drinks!$A$4:$A$53,0)),0))</f>
        <v/>
      </c>
    </row>
    <row r="99" customFormat="false" ht="15" hidden="false" customHeight="false" outlineLevel="0" collapsed="false">
      <c r="A99" s="22"/>
      <c r="B99" s="9"/>
      <c r="C99" s="9"/>
      <c r="D99" s="9"/>
      <c r="E99" s="9"/>
      <c r="F99" s="10" t="str">
        <f aca="false">IF($B99="","",$C99+$D99-$E99)</f>
        <v/>
      </c>
      <c r="G99" s="10" t="str">
        <f aca="false">IF($B99="","",IFERROR(INDEX(Drinks!$C$4:$C$53,MATCH($B99,Drinks!$A$4:$A$53,0)),0))</f>
        <v/>
      </c>
      <c r="H99" s="10" t="str">
        <f aca="false">IF($B99="","",$D99*$G99)</f>
        <v/>
      </c>
      <c r="I99" s="10" t="str">
        <f aca="false">IF($B99="","",$F99*$G99)</f>
        <v/>
      </c>
      <c r="J99" s="9"/>
      <c r="K99" s="10" t="str">
        <f aca="false">IF($B99="","",$E99*IFERROR(INDEX(Drinks!$B$4:$B$53,MATCH($B99,Drinks!$A$4:$A$53,0)),0))</f>
        <v/>
      </c>
      <c r="L99" s="10" t="str">
        <f aca="false">IF($B99="","",$J99+$K99)</f>
        <v/>
      </c>
      <c r="M99" s="9"/>
      <c r="N99" s="10" t="str">
        <f aca="false">IF($B99="","",$L99-$M99)</f>
        <v/>
      </c>
      <c r="O99" s="10" t="str">
        <f aca="false">IF($B99="","",IFERROR(INDEX(Drinks!$E$4:$E$53,MATCH($B99,Drinks!$A$4:$A$53,0)),0))</f>
        <v/>
      </c>
      <c r="P99" s="10" t="str">
        <f aca="false">IF($B99="","",$N99*$O99)</f>
        <v/>
      </c>
      <c r="Q99" s="10" t="str">
        <f aca="false">IF($B99="","",$N99*IFERROR(INDEX(Drinks!$D$4:$D$53,MATCH($B99,Drinks!$A$4:$A$53,0)),0))</f>
        <v/>
      </c>
      <c r="R99" s="10" t="str">
        <f aca="false">IF($B99="","",$P99-$Q99)</f>
        <v/>
      </c>
      <c r="S99" s="23" t="str">
        <f aca="false">IF($B99="","",IF(COUNTIFS($A$4:$A$2003,$A99-1,$B$4:$B$2003,$B99)=0,"first day",IF(SUMIFS($M$4:$M$2003,$A$4:$A$2003,$A99-1,$B$4:$B$2003,$B99)=$J99,"OK","CHECK")))</f>
        <v/>
      </c>
      <c r="T99" s="10" t="str">
        <f aca="false">IF($B99="","",IFERROR(INDEX(Drinks!$D$4:$D$53,MATCH($B99,Drinks!$A$4:$A$53,0)),0))</f>
        <v/>
      </c>
    </row>
    <row r="100" customFormat="false" ht="15" hidden="false" customHeight="false" outlineLevel="0" collapsed="false">
      <c r="A100" s="22"/>
      <c r="B100" s="9"/>
      <c r="C100" s="9"/>
      <c r="D100" s="9"/>
      <c r="E100" s="9"/>
      <c r="F100" s="10" t="str">
        <f aca="false">IF($B100="","",$C100+$D100-$E100)</f>
        <v/>
      </c>
      <c r="G100" s="10" t="str">
        <f aca="false">IF($B100="","",IFERROR(INDEX(Drinks!$C$4:$C$53,MATCH($B100,Drinks!$A$4:$A$53,0)),0))</f>
        <v/>
      </c>
      <c r="H100" s="10" t="str">
        <f aca="false">IF($B100="","",$D100*$G100)</f>
        <v/>
      </c>
      <c r="I100" s="10" t="str">
        <f aca="false">IF($B100="","",$F100*$G100)</f>
        <v/>
      </c>
      <c r="J100" s="9"/>
      <c r="K100" s="10" t="str">
        <f aca="false">IF($B100="","",$E100*IFERROR(INDEX(Drinks!$B$4:$B$53,MATCH($B100,Drinks!$A$4:$A$53,0)),0))</f>
        <v/>
      </c>
      <c r="L100" s="10" t="str">
        <f aca="false">IF($B100="","",$J100+$K100)</f>
        <v/>
      </c>
      <c r="M100" s="9"/>
      <c r="N100" s="10" t="str">
        <f aca="false">IF($B100="","",$L100-$M100)</f>
        <v/>
      </c>
      <c r="O100" s="10" t="str">
        <f aca="false">IF($B100="","",IFERROR(INDEX(Drinks!$E$4:$E$53,MATCH($B100,Drinks!$A$4:$A$53,0)),0))</f>
        <v/>
      </c>
      <c r="P100" s="10" t="str">
        <f aca="false">IF($B100="","",$N100*$O100)</f>
        <v/>
      </c>
      <c r="Q100" s="10" t="str">
        <f aca="false">IF($B100="","",$N100*IFERROR(INDEX(Drinks!$D$4:$D$53,MATCH($B100,Drinks!$A$4:$A$53,0)),0))</f>
        <v/>
      </c>
      <c r="R100" s="10" t="str">
        <f aca="false">IF($B100="","",$P100-$Q100)</f>
        <v/>
      </c>
      <c r="S100" s="23" t="str">
        <f aca="false">IF($B100="","",IF(COUNTIFS($A$4:$A$2003,$A100-1,$B$4:$B$2003,$B100)=0,"first day",IF(SUMIFS($M$4:$M$2003,$A$4:$A$2003,$A100-1,$B$4:$B$2003,$B100)=$J100,"OK","CHECK")))</f>
        <v/>
      </c>
      <c r="T100" s="10" t="str">
        <f aca="false">IF($B100="","",IFERROR(INDEX(Drinks!$D$4:$D$53,MATCH($B100,Drinks!$A$4:$A$53,0)),0))</f>
        <v/>
      </c>
    </row>
    <row r="101" customFormat="false" ht="15" hidden="false" customHeight="false" outlineLevel="0" collapsed="false">
      <c r="A101" s="22"/>
      <c r="B101" s="9"/>
      <c r="C101" s="9"/>
      <c r="D101" s="9"/>
      <c r="E101" s="9"/>
      <c r="F101" s="10" t="str">
        <f aca="false">IF($B101="","",$C101+$D101-$E101)</f>
        <v/>
      </c>
      <c r="G101" s="10" t="str">
        <f aca="false">IF($B101="","",IFERROR(INDEX(Drinks!$C$4:$C$53,MATCH($B101,Drinks!$A$4:$A$53,0)),0))</f>
        <v/>
      </c>
      <c r="H101" s="10" t="str">
        <f aca="false">IF($B101="","",$D101*$G101)</f>
        <v/>
      </c>
      <c r="I101" s="10" t="str">
        <f aca="false">IF($B101="","",$F101*$G101)</f>
        <v/>
      </c>
      <c r="J101" s="9"/>
      <c r="K101" s="10" t="str">
        <f aca="false">IF($B101="","",$E101*IFERROR(INDEX(Drinks!$B$4:$B$53,MATCH($B101,Drinks!$A$4:$A$53,0)),0))</f>
        <v/>
      </c>
      <c r="L101" s="10" t="str">
        <f aca="false">IF($B101="","",$J101+$K101)</f>
        <v/>
      </c>
      <c r="M101" s="9"/>
      <c r="N101" s="10" t="str">
        <f aca="false">IF($B101="","",$L101-$M101)</f>
        <v/>
      </c>
      <c r="O101" s="10" t="str">
        <f aca="false">IF($B101="","",IFERROR(INDEX(Drinks!$E$4:$E$53,MATCH($B101,Drinks!$A$4:$A$53,0)),0))</f>
        <v/>
      </c>
      <c r="P101" s="10" t="str">
        <f aca="false">IF($B101="","",$N101*$O101)</f>
        <v/>
      </c>
      <c r="Q101" s="10" t="str">
        <f aca="false">IF($B101="","",$N101*IFERROR(INDEX(Drinks!$D$4:$D$53,MATCH($B101,Drinks!$A$4:$A$53,0)),0))</f>
        <v/>
      </c>
      <c r="R101" s="10" t="str">
        <f aca="false">IF($B101="","",$P101-$Q101)</f>
        <v/>
      </c>
      <c r="S101" s="23" t="str">
        <f aca="false">IF($B101="","",IF(COUNTIFS($A$4:$A$2003,$A101-1,$B$4:$B$2003,$B101)=0,"first day",IF(SUMIFS($M$4:$M$2003,$A$4:$A$2003,$A101-1,$B$4:$B$2003,$B101)=$J101,"OK","CHECK")))</f>
        <v/>
      </c>
      <c r="T101" s="10" t="str">
        <f aca="false">IF($B101="","",IFERROR(INDEX(Drinks!$D$4:$D$53,MATCH($B101,Drinks!$A$4:$A$53,0)),0))</f>
        <v/>
      </c>
    </row>
    <row r="102" customFormat="false" ht="15" hidden="false" customHeight="false" outlineLevel="0" collapsed="false">
      <c r="A102" s="22"/>
      <c r="B102" s="9"/>
      <c r="C102" s="9"/>
      <c r="D102" s="9"/>
      <c r="E102" s="9"/>
      <c r="F102" s="10" t="str">
        <f aca="false">IF($B102="","",$C102+$D102-$E102)</f>
        <v/>
      </c>
      <c r="G102" s="10" t="str">
        <f aca="false">IF($B102="","",IFERROR(INDEX(Drinks!$C$4:$C$53,MATCH($B102,Drinks!$A$4:$A$53,0)),0))</f>
        <v/>
      </c>
      <c r="H102" s="10" t="str">
        <f aca="false">IF($B102="","",$D102*$G102)</f>
        <v/>
      </c>
      <c r="I102" s="10" t="str">
        <f aca="false">IF($B102="","",$F102*$G102)</f>
        <v/>
      </c>
      <c r="J102" s="9"/>
      <c r="K102" s="10" t="str">
        <f aca="false">IF($B102="","",$E102*IFERROR(INDEX(Drinks!$B$4:$B$53,MATCH($B102,Drinks!$A$4:$A$53,0)),0))</f>
        <v/>
      </c>
      <c r="L102" s="10" t="str">
        <f aca="false">IF($B102="","",$J102+$K102)</f>
        <v/>
      </c>
      <c r="M102" s="9"/>
      <c r="N102" s="10" t="str">
        <f aca="false">IF($B102="","",$L102-$M102)</f>
        <v/>
      </c>
      <c r="O102" s="10" t="str">
        <f aca="false">IF($B102="","",IFERROR(INDEX(Drinks!$E$4:$E$53,MATCH($B102,Drinks!$A$4:$A$53,0)),0))</f>
        <v/>
      </c>
      <c r="P102" s="10" t="str">
        <f aca="false">IF($B102="","",$N102*$O102)</f>
        <v/>
      </c>
      <c r="Q102" s="10" t="str">
        <f aca="false">IF($B102="","",$N102*IFERROR(INDEX(Drinks!$D$4:$D$53,MATCH($B102,Drinks!$A$4:$A$53,0)),0))</f>
        <v/>
      </c>
      <c r="R102" s="10" t="str">
        <f aca="false">IF($B102="","",$P102-$Q102)</f>
        <v/>
      </c>
      <c r="S102" s="23" t="str">
        <f aca="false">IF($B102="","",IF(COUNTIFS($A$4:$A$2003,$A102-1,$B$4:$B$2003,$B102)=0,"first day",IF(SUMIFS($M$4:$M$2003,$A$4:$A$2003,$A102-1,$B$4:$B$2003,$B102)=$J102,"OK","CHECK")))</f>
        <v/>
      </c>
      <c r="T102" s="10" t="str">
        <f aca="false">IF($B102="","",IFERROR(INDEX(Drinks!$D$4:$D$53,MATCH($B102,Drinks!$A$4:$A$53,0)),0))</f>
        <v/>
      </c>
    </row>
    <row r="103" customFormat="false" ht="15" hidden="false" customHeight="false" outlineLevel="0" collapsed="false">
      <c r="A103" s="22"/>
      <c r="B103" s="9"/>
      <c r="C103" s="9"/>
      <c r="D103" s="9"/>
      <c r="E103" s="9"/>
      <c r="F103" s="10" t="str">
        <f aca="false">IF($B103="","",$C103+$D103-$E103)</f>
        <v/>
      </c>
      <c r="G103" s="10" t="str">
        <f aca="false">IF($B103="","",IFERROR(INDEX(Drinks!$C$4:$C$53,MATCH($B103,Drinks!$A$4:$A$53,0)),0))</f>
        <v/>
      </c>
      <c r="H103" s="10" t="str">
        <f aca="false">IF($B103="","",$D103*$G103)</f>
        <v/>
      </c>
      <c r="I103" s="10" t="str">
        <f aca="false">IF($B103="","",$F103*$G103)</f>
        <v/>
      </c>
      <c r="J103" s="9"/>
      <c r="K103" s="10" t="str">
        <f aca="false">IF($B103="","",$E103*IFERROR(INDEX(Drinks!$B$4:$B$53,MATCH($B103,Drinks!$A$4:$A$53,0)),0))</f>
        <v/>
      </c>
      <c r="L103" s="10" t="str">
        <f aca="false">IF($B103="","",$J103+$K103)</f>
        <v/>
      </c>
      <c r="M103" s="9"/>
      <c r="N103" s="10" t="str">
        <f aca="false">IF($B103="","",$L103-$M103)</f>
        <v/>
      </c>
      <c r="O103" s="10" t="str">
        <f aca="false">IF($B103="","",IFERROR(INDEX(Drinks!$E$4:$E$53,MATCH($B103,Drinks!$A$4:$A$53,0)),0))</f>
        <v/>
      </c>
      <c r="P103" s="10" t="str">
        <f aca="false">IF($B103="","",$N103*$O103)</f>
        <v/>
      </c>
      <c r="Q103" s="10" t="str">
        <f aca="false">IF($B103="","",$N103*IFERROR(INDEX(Drinks!$D$4:$D$53,MATCH($B103,Drinks!$A$4:$A$53,0)),0))</f>
        <v/>
      </c>
      <c r="R103" s="10" t="str">
        <f aca="false">IF($B103="","",$P103-$Q103)</f>
        <v/>
      </c>
      <c r="S103" s="23" t="str">
        <f aca="false">IF($B103="","",IF(COUNTIFS($A$4:$A$2003,$A103-1,$B$4:$B$2003,$B103)=0,"first day",IF(SUMIFS($M$4:$M$2003,$A$4:$A$2003,$A103-1,$B$4:$B$2003,$B103)=$J103,"OK","CHECK")))</f>
        <v/>
      </c>
      <c r="T103" s="10" t="str">
        <f aca="false">IF($B103="","",IFERROR(INDEX(Drinks!$D$4:$D$53,MATCH($B103,Drinks!$A$4:$A$53,0)),0))</f>
        <v/>
      </c>
    </row>
    <row r="104" customFormat="false" ht="15" hidden="false" customHeight="false" outlineLevel="0" collapsed="false">
      <c r="A104" s="22"/>
      <c r="B104" s="9"/>
      <c r="C104" s="9"/>
      <c r="D104" s="9"/>
      <c r="E104" s="9"/>
      <c r="F104" s="10" t="str">
        <f aca="false">IF($B104="","",$C104+$D104-$E104)</f>
        <v/>
      </c>
      <c r="G104" s="10" t="str">
        <f aca="false">IF($B104="","",IFERROR(INDEX(Drinks!$C$4:$C$53,MATCH($B104,Drinks!$A$4:$A$53,0)),0))</f>
        <v/>
      </c>
      <c r="H104" s="10" t="str">
        <f aca="false">IF($B104="","",$D104*$G104)</f>
        <v/>
      </c>
      <c r="I104" s="10" t="str">
        <f aca="false">IF($B104="","",$F104*$G104)</f>
        <v/>
      </c>
      <c r="J104" s="9"/>
      <c r="K104" s="10" t="str">
        <f aca="false">IF($B104="","",$E104*IFERROR(INDEX(Drinks!$B$4:$B$53,MATCH($B104,Drinks!$A$4:$A$53,0)),0))</f>
        <v/>
      </c>
      <c r="L104" s="10" t="str">
        <f aca="false">IF($B104="","",$J104+$K104)</f>
        <v/>
      </c>
      <c r="M104" s="9"/>
      <c r="N104" s="10" t="str">
        <f aca="false">IF($B104="","",$L104-$M104)</f>
        <v/>
      </c>
      <c r="O104" s="10" t="str">
        <f aca="false">IF($B104="","",IFERROR(INDEX(Drinks!$E$4:$E$53,MATCH($B104,Drinks!$A$4:$A$53,0)),0))</f>
        <v/>
      </c>
      <c r="P104" s="10" t="str">
        <f aca="false">IF($B104="","",$N104*$O104)</f>
        <v/>
      </c>
      <c r="Q104" s="10" t="str">
        <f aca="false">IF($B104="","",$N104*IFERROR(INDEX(Drinks!$D$4:$D$53,MATCH($B104,Drinks!$A$4:$A$53,0)),0))</f>
        <v/>
      </c>
      <c r="R104" s="10" t="str">
        <f aca="false">IF($B104="","",$P104-$Q104)</f>
        <v/>
      </c>
      <c r="S104" s="23" t="str">
        <f aca="false">IF($B104="","",IF(COUNTIFS($A$4:$A$2003,$A104-1,$B$4:$B$2003,$B104)=0,"first day",IF(SUMIFS($M$4:$M$2003,$A$4:$A$2003,$A104-1,$B$4:$B$2003,$B104)=$J104,"OK","CHECK")))</f>
        <v/>
      </c>
      <c r="T104" s="10" t="str">
        <f aca="false">IF($B104="","",IFERROR(INDEX(Drinks!$D$4:$D$53,MATCH($B104,Drinks!$A$4:$A$53,0)),0))</f>
        <v/>
      </c>
    </row>
    <row r="105" customFormat="false" ht="15" hidden="false" customHeight="false" outlineLevel="0" collapsed="false">
      <c r="A105" s="22"/>
      <c r="B105" s="9"/>
      <c r="C105" s="9"/>
      <c r="D105" s="9"/>
      <c r="E105" s="9"/>
      <c r="F105" s="10" t="str">
        <f aca="false">IF($B105="","",$C105+$D105-$E105)</f>
        <v/>
      </c>
      <c r="G105" s="10" t="str">
        <f aca="false">IF($B105="","",IFERROR(INDEX(Drinks!$C$4:$C$53,MATCH($B105,Drinks!$A$4:$A$53,0)),0))</f>
        <v/>
      </c>
      <c r="H105" s="10" t="str">
        <f aca="false">IF($B105="","",$D105*$G105)</f>
        <v/>
      </c>
      <c r="I105" s="10" t="str">
        <f aca="false">IF($B105="","",$F105*$G105)</f>
        <v/>
      </c>
      <c r="J105" s="9"/>
      <c r="K105" s="10" t="str">
        <f aca="false">IF($B105="","",$E105*IFERROR(INDEX(Drinks!$B$4:$B$53,MATCH($B105,Drinks!$A$4:$A$53,0)),0))</f>
        <v/>
      </c>
      <c r="L105" s="10" t="str">
        <f aca="false">IF($B105="","",$J105+$K105)</f>
        <v/>
      </c>
      <c r="M105" s="9"/>
      <c r="N105" s="10" t="str">
        <f aca="false">IF($B105="","",$L105-$M105)</f>
        <v/>
      </c>
      <c r="O105" s="10" t="str">
        <f aca="false">IF($B105="","",IFERROR(INDEX(Drinks!$E$4:$E$53,MATCH($B105,Drinks!$A$4:$A$53,0)),0))</f>
        <v/>
      </c>
      <c r="P105" s="10" t="str">
        <f aca="false">IF($B105="","",$N105*$O105)</f>
        <v/>
      </c>
      <c r="Q105" s="10" t="str">
        <f aca="false">IF($B105="","",$N105*IFERROR(INDEX(Drinks!$D$4:$D$53,MATCH($B105,Drinks!$A$4:$A$53,0)),0))</f>
        <v/>
      </c>
      <c r="R105" s="10" t="str">
        <f aca="false">IF($B105="","",$P105-$Q105)</f>
        <v/>
      </c>
      <c r="S105" s="23" t="str">
        <f aca="false">IF($B105="","",IF(COUNTIFS($A$4:$A$2003,$A105-1,$B$4:$B$2003,$B105)=0,"first day",IF(SUMIFS($M$4:$M$2003,$A$4:$A$2003,$A105-1,$B$4:$B$2003,$B105)=$J105,"OK","CHECK")))</f>
        <v/>
      </c>
      <c r="T105" s="10" t="str">
        <f aca="false">IF($B105="","",IFERROR(INDEX(Drinks!$D$4:$D$53,MATCH($B105,Drinks!$A$4:$A$53,0)),0))</f>
        <v/>
      </c>
    </row>
    <row r="106" customFormat="false" ht="15" hidden="false" customHeight="false" outlineLevel="0" collapsed="false">
      <c r="A106" s="22"/>
      <c r="B106" s="9"/>
      <c r="C106" s="9"/>
      <c r="D106" s="9"/>
      <c r="E106" s="9"/>
      <c r="F106" s="10" t="str">
        <f aca="false">IF($B106="","",$C106+$D106-$E106)</f>
        <v/>
      </c>
      <c r="G106" s="10" t="str">
        <f aca="false">IF($B106="","",IFERROR(INDEX(Drinks!$C$4:$C$53,MATCH($B106,Drinks!$A$4:$A$53,0)),0))</f>
        <v/>
      </c>
      <c r="H106" s="10" t="str">
        <f aca="false">IF($B106="","",$D106*$G106)</f>
        <v/>
      </c>
      <c r="I106" s="10" t="str">
        <f aca="false">IF($B106="","",$F106*$G106)</f>
        <v/>
      </c>
      <c r="J106" s="9"/>
      <c r="K106" s="10" t="str">
        <f aca="false">IF($B106="","",$E106*IFERROR(INDEX(Drinks!$B$4:$B$53,MATCH($B106,Drinks!$A$4:$A$53,0)),0))</f>
        <v/>
      </c>
      <c r="L106" s="10" t="str">
        <f aca="false">IF($B106="","",$J106+$K106)</f>
        <v/>
      </c>
      <c r="M106" s="9"/>
      <c r="N106" s="10" t="str">
        <f aca="false">IF($B106="","",$L106-$M106)</f>
        <v/>
      </c>
      <c r="O106" s="10" t="str">
        <f aca="false">IF($B106="","",IFERROR(INDEX(Drinks!$E$4:$E$53,MATCH($B106,Drinks!$A$4:$A$53,0)),0))</f>
        <v/>
      </c>
      <c r="P106" s="10" t="str">
        <f aca="false">IF($B106="","",$N106*$O106)</f>
        <v/>
      </c>
      <c r="Q106" s="10" t="str">
        <f aca="false">IF($B106="","",$N106*IFERROR(INDEX(Drinks!$D$4:$D$53,MATCH($B106,Drinks!$A$4:$A$53,0)),0))</f>
        <v/>
      </c>
      <c r="R106" s="10" t="str">
        <f aca="false">IF($B106="","",$P106-$Q106)</f>
        <v/>
      </c>
      <c r="S106" s="23" t="str">
        <f aca="false">IF($B106="","",IF(COUNTIFS($A$4:$A$2003,$A106-1,$B$4:$B$2003,$B106)=0,"first day",IF(SUMIFS($M$4:$M$2003,$A$4:$A$2003,$A106-1,$B$4:$B$2003,$B106)=$J106,"OK","CHECK")))</f>
        <v/>
      </c>
      <c r="T106" s="10" t="str">
        <f aca="false">IF($B106="","",IFERROR(INDEX(Drinks!$D$4:$D$53,MATCH($B106,Drinks!$A$4:$A$53,0)),0))</f>
        <v/>
      </c>
    </row>
    <row r="107" customFormat="false" ht="15" hidden="false" customHeight="false" outlineLevel="0" collapsed="false">
      <c r="A107" s="22"/>
      <c r="B107" s="9"/>
      <c r="C107" s="9"/>
      <c r="D107" s="9"/>
      <c r="E107" s="9"/>
      <c r="F107" s="10" t="str">
        <f aca="false">IF($B107="","",$C107+$D107-$E107)</f>
        <v/>
      </c>
      <c r="G107" s="10" t="str">
        <f aca="false">IF($B107="","",IFERROR(INDEX(Drinks!$C$4:$C$53,MATCH($B107,Drinks!$A$4:$A$53,0)),0))</f>
        <v/>
      </c>
      <c r="H107" s="10" t="str">
        <f aca="false">IF($B107="","",$D107*$G107)</f>
        <v/>
      </c>
      <c r="I107" s="10" t="str">
        <f aca="false">IF($B107="","",$F107*$G107)</f>
        <v/>
      </c>
      <c r="J107" s="9"/>
      <c r="K107" s="10" t="str">
        <f aca="false">IF($B107="","",$E107*IFERROR(INDEX(Drinks!$B$4:$B$53,MATCH($B107,Drinks!$A$4:$A$53,0)),0))</f>
        <v/>
      </c>
      <c r="L107" s="10" t="str">
        <f aca="false">IF($B107="","",$J107+$K107)</f>
        <v/>
      </c>
      <c r="M107" s="9"/>
      <c r="N107" s="10" t="str">
        <f aca="false">IF($B107="","",$L107-$M107)</f>
        <v/>
      </c>
      <c r="O107" s="10" t="str">
        <f aca="false">IF($B107="","",IFERROR(INDEX(Drinks!$E$4:$E$53,MATCH($B107,Drinks!$A$4:$A$53,0)),0))</f>
        <v/>
      </c>
      <c r="P107" s="10" t="str">
        <f aca="false">IF($B107="","",$N107*$O107)</f>
        <v/>
      </c>
      <c r="Q107" s="10" t="str">
        <f aca="false">IF($B107="","",$N107*IFERROR(INDEX(Drinks!$D$4:$D$53,MATCH($B107,Drinks!$A$4:$A$53,0)),0))</f>
        <v/>
      </c>
      <c r="R107" s="10" t="str">
        <f aca="false">IF($B107="","",$P107-$Q107)</f>
        <v/>
      </c>
      <c r="S107" s="23" t="str">
        <f aca="false">IF($B107="","",IF(COUNTIFS($A$4:$A$2003,$A107-1,$B$4:$B$2003,$B107)=0,"first day",IF(SUMIFS($M$4:$M$2003,$A$4:$A$2003,$A107-1,$B$4:$B$2003,$B107)=$J107,"OK","CHECK")))</f>
        <v/>
      </c>
      <c r="T107" s="10" t="str">
        <f aca="false">IF($B107="","",IFERROR(INDEX(Drinks!$D$4:$D$53,MATCH($B107,Drinks!$A$4:$A$53,0)),0))</f>
        <v/>
      </c>
    </row>
    <row r="108" customFormat="false" ht="15" hidden="false" customHeight="false" outlineLevel="0" collapsed="false">
      <c r="A108" s="22"/>
      <c r="B108" s="9"/>
      <c r="C108" s="9"/>
      <c r="D108" s="9"/>
      <c r="E108" s="9"/>
      <c r="F108" s="10" t="str">
        <f aca="false">IF($B108="","",$C108+$D108-$E108)</f>
        <v/>
      </c>
      <c r="G108" s="10" t="str">
        <f aca="false">IF($B108="","",IFERROR(INDEX(Drinks!$C$4:$C$53,MATCH($B108,Drinks!$A$4:$A$53,0)),0))</f>
        <v/>
      </c>
      <c r="H108" s="10" t="str">
        <f aca="false">IF($B108="","",$D108*$G108)</f>
        <v/>
      </c>
      <c r="I108" s="10" t="str">
        <f aca="false">IF($B108="","",$F108*$G108)</f>
        <v/>
      </c>
      <c r="J108" s="9"/>
      <c r="K108" s="10" t="str">
        <f aca="false">IF($B108="","",$E108*IFERROR(INDEX(Drinks!$B$4:$B$53,MATCH($B108,Drinks!$A$4:$A$53,0)),0))</f>
        <v/>
      </c>
      <c r="L108" s="10" t="str">
        <f aca="false">IF($B108="","",$J108+$K108)</f>
        <v/>
      </c>
      <c r="M108" s="9"/>
      <c r="N108" s="10" t="str">
        <f aca="false">IF($B108="","",$L108-$M108)</f>
        <v/>
      </c>
      <c r="O108" s="10" t="str">
        <f aca="false">IF($B108="","",IFERROR(INDEX(Drinks!$E$4:$E$53,MATCH($B108,Drinks!$A$4:$A$53,0)),0))</f>
        <v/>
      </c>
      <c r="P108" s="10" t="str">
        <f aca="false">IF($B108="","",$N108*$O108)</f>
        <v/>
      </c>
      <c r="Q108" s="10" t="str">
        <f aca="false">IF($B108="","",$N108*IFERROR(INDEX(Drinks!$D$4:$D$53,MATCH($B108,Drinks!$A$4:$A$53,0)),0))</f>
        <v/>
      </c>
      <c r="R108" s="10" t="str">
        <f aca="false">IF($B108="","",$P108-$Q108)</f>
        <v/>
      </c>
      <c r="S108" s="23" t="str">
        <f aca="false">IF($B108="","",IF(COUNTIFS($A$4:$A$2003,$A108-1,$B$4:$B$2003,$B108)=0,"first day",IF(SUMIFS($M$4:$M$2003,$A$4:$A$2003,$A108-1,$B$4:$B$2003,$B108)=$J108,"OK","CHECK")))</f>
        <v/>
      </c>
      <c r="T108" s="10" t="str">
        <f aca="false">IF($B108="","",IFERROR(INDEX(Drinks!$D$4:$D$53,MATCH($B108,Drinks!$A$4:$A$53,0)),0))</f>
        <v/>
      </c>
    </row>
    <row r="109" customFormat="false" ht="15" hidden="false" customHeight="false" outlineLevel="0" collapsed="false">
      <c r="A109" s="22"/>
      <c r="B109" s="9"/>
      <c r="C109" s="9"/>
      <c r="D109" s="9"/>
      <c r="E109" s="9"/>
      <c r="F109" s="10" t="str">
        <f aca="false">IF($B109="","",$C109+$D109-$E109)</f>
        <v/>
      </c>
      <c r="G109" s="10" t="str">
        <f aca="false">IF($B109="","",IFERROR(INDEX(Drinks!$C$4:$C$53,MATCH($B109,Drinks!$A$4:$A$53,0)),0))</f>
        <v/>
      </c>
      <c r="H109" s="10" t="str">
        <f aca="false">IF($B109="","",$D109*$G109)</f>
        <v/>
      </c>
      <c r="I109" s="10" t="str">
        <f aca="false">IF($B109="","",$F109*$G109)</f>
        <v/>
      </c>
      <c r="J109" s="9"/>
      <c r="K109" s="10" t="str">
        <f aca="false">IF($B109="","",$E109*IFERROR(INDEX(Drinks!$B$4:$B$53,MATCH($B109,Drinks!$A$4:$A$53,0)),0))</f>
        <v/>
      </c>
      <c r="L109" s="10" t="str">
        <f aca="false">IF($B109="","",$J109+$K109)</f>
        <v/>
      </c>
      <c r="M109" s="9"/>
      <c r="N109" s="10" t="str">
        <f aca="false">IF($B109="","",$L109-$M109)</f>
        <v/>
      </c>
      <c r="O109" s="10" t="str">
        <f aca="false">IF($B109="","",IFERROR(INDEX(Drinks!$E$4:$E$53,MATCH($B109,Drinks!$A$4:$A$53,0)),0))</f>
        <v/>
      </c>
      <c r="P109" s="10" t="str">
        <f aca="false">IF($B109="","",$N109*$O109)</f>
        <v/>
      </c>
      <c r="Q109" s="10" t="str">
        <f aca="false">IF($B109="","",$N109*IFERROR(INDEX(Drinks!$D$4:$D$53,MATCH($B109,Drinks!$A$4:$A$53,0)),0))</f>
        <v/>
      </c>
      <c r="R109" s="10" t="str">
        <f aca="false">IF($B109="","",$P109-$Q109)</f>
        <v/>
      </c>
      <c r="S109" s="23" t="str">
        <f aca="false">IF($B109="","",IF(COUNTIFS($A$4:$A$2003,$A109-1,$B$4:$B$2003,$B109)=0,"first day",IF(SUMIFS($M$4:$M$2003,$A$4:$A$2003,$A109-1,$B$4:$B$2003,$B109)=$J109,"OK","CHECK")))</f>
        <v/>
      </c>
      <c r="T109" s="10" t="str">
        <f aca="false">IF($B109="","",IFERROR(INDEX(Drinks!$D$4:$D$53,MATCH($B109,Drinks!$A$4:$A$53,0)),0))</f>
        <v/>
      </c>
    </row>
    <row r="110" customFormat="false" ht="15" hidden="false" customHeight="false" outlineLevel="0" collapsed="false">
      <c r="A110" s="22"/>
      <c r="B110" s="9"/>
      <c r="C110" s="9"/>
      <c r="D110" s="9"/>
      <c r="E110" s="9"/>
      <c r="F110" s="10" t="str">
        <f aca="false">IF($B110="","",$C110+$D110-$E110)</f>
        <v/>
      </c>
      <c r="G110" s="10" t="str">
        <f aca="false">IF($B110="","",IFERROR(INDEX(Drinks!$C$4:$C$53,MATCH($B110,Drinks!$A$4:$A$53,0)),0))</f>
        <v/>
      </c>
      <c r="H110" s="10" t="str">
        <f aca="false">IF($B110="","",$D110*$G110)</f>
        <v/>
      </c>
      <c r="I110" s="10" t="str">
        <f aca="false">IF($B110="","",$F110*$G110)</f>
        <v/>
      </c>
      <c r="J110" s="9"/>
      <c r="K110" s="10" t="str">
        <f aca="false">IF($B110="","",$E110*IFERROR(INDEX(Drinks!$B$4:$B$53,MATCH($B110,Drinks!$A$4:$A$53,0)),0))</f>
        <v/>
      </c>
      <c r="L110" s="10" t="str">
        <f aca="false">IF($B110="","",$J110+$K110)</f>
        <v/>
      </c>
      <c r="M110" s="9"/>
      <c r="N110" s="10" t="str">
        <f aca="false">IF($B110="","",$L110-$M110)</f>
        <v/>
      </c>
      <c r="O110" s="10" t="str">
        <f aca="false">IF($B110="","",IFERROR(INDEX(Drinks!$E$4:$E$53,MATCH($B110,Drinks!$A$4:$A$53,0)),0))</f>
        <v/>
      </c>
      <c r="P110" s="10" t="str">
        <f aca="false">IF($B110="","",$N110*$O110)</f>
        <v/>
      </c>
      <c r="Q110" s="10" t="str">
        <f aca="false">IF($B110="","",$N110*IFERROR(INDEX(Drinks!$D$4:$D$53,MATCH($B110,Drinks!$A$4:$A$53,0)),0))</f>
        <v/>
      </c>
      <c r="R110" s="10" t="str">
        <f aca="false">IF($B110="","",$P110-$Q110)</f>
        <v/>
      </c>
      <c r="S110" s="23" t="str">
        <f aca="false">IF($B110="","",IF(COUNTIFS($A$4:$A$2003,$A110-1,$B$4:$B$2003,$B110)=0,"first day",IF(SUMIFS($M$4:$M$2003,$A$4:$A$2003,$A110-1,$B$4:$B$2003,$B110)=$J110,"OK","CHECK")))</f>
        <v/>
      </c>
      <c r="T110" s="10" t="str">
        <f aca="false">IF($B110="","",IFERROR(INDEX(Drinks!$D$4:$D$53,MATCH($B110,Drinks!$A$4:$A$53,0)),0))</f>
        <v/>
      </c>
    </row>
    <row r="111" customFormat="false" ht="15" hidden="false" customHeight="false" outlineLevel="0" collapsed="false">
      <c r="A111" s="22"/>
      <c r="B111" s="9"/>
      <c r="C111" s="9"/>
      <c r="D111" s="9"/>
      <c r="E111" s="9"/>
      <c r="F111" s="10" t="str">
        <f aca="false">IF($B111="","",$C111+$D111-$E111)</f>
        <v/>
      </c>
      <c r="G111" s="10" t="str">
        <f aca="false">IF($B111="","",IFERROR(INDEX(Drinks!$C$4:$C$53,MATCH($B111,Drinks!$A$4:$A$53,0)),0))</f>
        <v/>
      </c>
      <c r="H111" s="10" t="str">
        <f aca="false">IF($B111="","",$D111*$G111)</f>
        <v/>
      </c>
      <c r="I111" s="10" t="str">
        <f aca="false">IF($B111="","",$F111*$G111)</f>
        <v/>
      </c>
      <c r="J111" s="9"/>
      <c r="K111" s="10" t="str">
        <f aca="false">IF($B111="","",$E111*IFERROR(INDEX(Drinks!$B$4:$B$53,MATCH($B111,Drinks!$A$4:$A$53,0)),0))</f>
        <v/>
      </c>
      <c r="L111" s="10" t="str">
        <f aca="false">IF($B111="","",$J111+$K111)</f>
        <v/>
      </c>
      <c r="M111" s="9"/>
      <c r="N111" s="10" t="str">
        <f aca="false">IF($B111="","",$L111-$M111)</f>
        <v/>
      </c>
      <c r="O111" s="10" t="str">
        <f aca="false">IF($B111="","",IFERROR(INDEX(Drinks!$E$4:$E$53,MATCH($B111,Drinks!$A$4:$A$53,0)),0))</f>
        <v/>
      </c>
      <c r="P111" s="10" t="str">
        <f aca="false">IF($B111="","",$N111*$O111)</f>
        <v/>
      </c>
      <c r="Q111" s="10" t="str">
        <f aca="false">IF($B111="","",$N111*IFERROR(INDEX(Drinks!$D$4:$D$53,MATCH($B111,Drinks!$A$4:$A$53,0)),0))</f>
        <v/>
      </c>
      <c r="R111" s="10" t="str">
        <f aca="false">IF($B111="","",$P111-$Q111)</f>
        <v/>
      </c>
      <c r="S111" s="23" t="str">
        <f aca="false">IF($B111="","",IF(COUNTIFS($A$4:$A$2003,$A111-1,$B$4:$B$2003,$B111)=0,"first day",IF(SUMIFS($M$4:$M$2003,$A$4:$A$2003,$A111-1,$B$4:$B$2003,$B111)=$J111,"OK","CHECK")))</f>
        <v/>
      </c>
      <c r="T111" s="10" t="str">
        <f aca="false">IF($B111="","",IFERROR(INDEX(Drinks!$D$4:$D$53,MATCH($B111,Drinks!$A$4:$A$53,0)),0))</f>
        <v/>
      </c>
    </row>
    <row r="112" customFormat="false" ht="15" hidden="false" customHeight="false" outlineLevel="0" collapsed="false">
      <c r="A112" s="22"/>
      <c r="B112" s="9"/>
      <c r="C112" s="9"/>
      <c r="D112" s="9"/>
      <c r="E112" s="9"/>
      <c r="F112" s="10" t="str">
        <f aca="false">IF($B112="","",$C112+$D112-$E112)</f>
        <v/>
      </c>
      <c r="G112" s="10" t="str">
        <f aca="false">IF($B112="","",IFERROR(INDEX(Drinks!$C$4:$C$53,MATCH($B112,Drinks!$A$4:$A$53,0)),0))</f>
        <v/>
      </c>
      <c r="H112" s="10" t="str">
        <f aca="false">IF($B112="","",$D112*$G112)</f>
        <v/>
      </c>
      <c r="I112" s="10" t="str">
        <f aca="false">IF($B112="","",$F112*$G112)</f>
        <v/>
      </c>
      <c r="J112" s="9"/>
      <c r="K112" s="10" t="str">
        <f aca="false">IF($B112="","",$E112*IFERROR(INDEX(Drinks!$B$4:$B$53,MATCH($B112,Drinks!$A$4:$A$53,0)),0))</f>
        <v/>
      </c>
      <c r="L112" s="10" t="str">
        <f aca="false">IF($B112="","",$J112+$K112)</f>
        <v/>
      </c>
      <c r="M112" s="9"/>
      <c r="N112" s="10" t="str">
        <f aca="false">IF($B112="","",$L112-$M112)</f>
        <v/>
      </c>
      <c r="O112" s="10" t="str">
        <f aca="false">IF($B112="","",IFERROR(INDEX(Drinks!$E$4:$E$53,MATCH($B112,Drinks!$A$4:$A$53,0)),0))</f>
        <v/>
      </c>
      <c r="P112" s="10" t="str">
        <f aca="false">IF($B112="","",$N112*$O112)</f>
        <v/>
      </c>
      <c r="Q112" s="10" t="str">
        <f aca="false">IF($B112="","",$N112*IFERROR(INDEX(Drinks!$D$4:$D$53,MATCH($B112,Drinks!$A$4:$A$53,0)),0))</f>
        <v/>
      </c>
      <c r="R112" s="10" t="str">
        <f aca="false">IF($B112="","",$P112-$Q112)</f>
        <v/>
      </c>
      <c r="S112" s="23" t="str">
        <f aca="false">IF($B112="","",IF(COUNTIFS($A$4:$A$2003,$A112-1,$B$4:$B$2003,$B112)=0,"first day",IF(SUMIFS($M$4:$M$2003,$A$4:$A$2003,$A112-1,$B$4:$B$2003,$B112)=$J112,"OK","CHECK")))</f>
        <v/>
      </c>
      <c r="T112" s="10" t="str">
        <f aca="false">IF($B112="","",IFERROR(INDEX(Drinks!$D$4:$D$53,MATCH($B112,Drinks!$A$4:$A$53,0)),0))</f>
        <v/>
      </c>
    </row>
    <row r="113" customFormat="false" ht="15" hidden="false" customHeight="false" outlineLevel="0" collapsed="false">
      <c r="A113" s="22"/>
      <c r="B113" s="9"/>
      <c r="C113" s="9"/>
      <c r="D113" s="9"/>
      <c r="E113" s="9"/>
      <c r="F113" s="10" t="str">
        <f aca="false">IF($B113="","",$C113+$D113-$E113)</f>
        <v/>
      </c>
      <c r="G113" s="10" t="str">
        <f aca="false">IF($B113="","",IFERROR(INDEX(Drinks!$C$4:$C$53,MATCH($B113,Drinks!$A$4:$A$53,0)),0))</f>
        <v/>
      </c>
      <c r="H113" s="10" t="str">
        <f aca="false">IF($B113="","",$D113*$G113)</f>
        <v/>
      </c>
      <c r="I113" s="10" t="str">
        <f aca="false">IF($B113="","",$F113*$G113)</f>
        <v/>
      </c>
      <c r="J113" s="9"/>
      <c r="K113" s="10" t="str">
        <f aca="false">IF($B113="","",$E113*IFERROR(INDEX(Drinks!$B$4:$B$53,MATCH($B113,Drinks!$A$4:$A$53,0)),0))</f>
        <v/>
      </c>
      <c r="L113" s="10" t="str">
        <f aca="false">IF($B113="","",$J113+$K113)</f>
        <v/>
      </c>
      <c r="M113" s="9"/>
      <c r="N113" s="10" t="str">
        <f aca="false">IF($B113="","",$L113-$M113)</f>
        <v/>
      </c>
      <c r="O113" s="10" t="str">
        <f aca="false">IF($B113="","",IFERROR(INDEX(Drinks!$E$4:$E$53,MATCH($B113,Drinks!$A$4:$A$53,0)),0))</f>
        <v/>
      </c>
      <c r="P113" s="10" t="str">
        <f aca="false">IF($B113="","",$N113*$O113)</f>
        <v/>
      </c>
      <c r="Q113" s="10" t="str">
        <f aca="false">IF($B113="","",$N113*IFERROR(INDEX(Drinks!$D$4:$D$53,MATCH($B113,Drinks!$A$4:$A$53,0)),0))</f>
        <v/>
      </c>
      <c r="R113" s="10" t="str">
        <f aca="false">IF($B113="","",$P113-$Q113)</f>
        <v/>
      </c>
      <c r="S113" s="23" t="str">
        <f aca="false">IF($B113="","",IF(COUNTIFS($A$4:$A$2003,$A113-1,$B$4:$B$2003,$B113)=0,"first day",IF(SUMIFS($M$4:$M$2003,$A$4:$A$2003,$A113-1,$B$4:$B$2003,$B113)=$J113,"OK","CHECK")))</f>
        <v/>
      </c>
      <c r="T113" s="10" t="str">
        <f aca="false">IF($B113="","",IFERROR(INDEX(Drinks!$D$4:$D$53,MATCH($B113,Drinks!$A$4:$A$53,0)),0))</f>
        <v/>
      </c>
    </row>
    <row r="114" customFormat="false" ht="15" hidden="false" customHeight="false" outlineLevel="0" collapsed="false">
      <c r="A114" s="22"/>
      <c r="B114" s="9"/>
      <c r="C114" s="9"/>
      <c r="D114" s="9"/>
      <c r="E114" s="9"/>
      <c r="F114" s="10" t="str">
        <f aca="false">IF($B114="","",$C114+$D114-$E114)</f>
        <v/>
      </c>
      <c r="G114" s="10" t="str">
        <f aca="false">IF($B114="","",IFERROR(INDEX(Drinks!$C$4:$C$53,MATCH($B114,Drinks!$A$4:$A$53,0)),0))</f>
        <v/>
      </c>
      <c r="H114" s="10" t="str">
        <f aca="false">IF($B114="","",$D114*$G114)</f>
        <v/>
      </c>
      <c r="I114" s="10" t="str">
        <f aca="false">IF($B114="","",$F114*$G114)</f>
        <v/>
      </c>
      <c r="J114" s="9"/>
      <c r="K114" s="10" t="str">
        <f aca="false">IF($B114="","",$E114*IFERROR(INDEX(Drinks!$B$4:$B$53,MATCH($B114,Drinks!$A$4:$A$53,0)),0))</f>
        <v/>
      </c>
      <c r="L114" s="10" t="str">
        <f aca="false">IF($B114="","",$J114+$K114)</f>
        <v/>
      </c>
      <c r="M114" s="9"/>
      <c r="N114" s="10" t="str">
        <f aca="false">IF($B114="","",$L114-$M114)</f>
        <v/>
      </c>
      <c r="O114" s="10" t="str">
        <f aca="false">IF($B114="","",IFERROR(INDEX(Drinks!$E$4:$E$53,MATCH($B114,Drinks!$A$4:$A$53,0)),0))</f>
        <v/>
      </c>
      <c r="P114" s="10" t="str">
        <f aca="false">IF($B114="","",$N114*$O114)</f>
        <v/>
      </c>
      <c r="Q114" s="10" t="str">
        <f aca="false">IF($B114="","",$N114*IFERROR(INDEX(Drinks!$D$4:$D$53,MATCH($B114,Drinks!$A$4:$A$53,0)),0))</f>
        <v/>
      </c>
      <c r="R114" s="10" t="str">
        <f aca="false">IF($B114="","",$P114-$Q114)</f>
        <v/>
      </c>
      <c r="S114" s="23" t="str">
        <f aca="false">IF($B114="","",IF(COUNTIFS($A$4:$A$2003,$A114-1,$B$4:$B$2003,$B114)=0,"first day",IF(SUMIFS($M$4:$M$2003,$A$4:$A$2003,$A114-1,$B$4:$B$2003,$B114)=$J114,"OK","CHECK")))</f>
        <v/>
      </c>
      <c r="T114" s="10" t="str">
        <f aca="false">IF($B114="","",IFERROR(INDEX(Drinks!$D$4:$D$53,MATCH($B114,Drinks!$A$4:$A$53,0)),0))</f>
        <v/>
      </c>
    </row>
    <row r="115" customFormat="false" ht="15" hidden="false" customHeight="false" outlineLevel="0" collapsed="false">
      <c r="A115" s="22"/>
      <c r="B115" s="9"/>
      <c r="C115" s="9"/>
      <c r="D115" s="9"/>
      <c r="E115" s="9"/>
      <c r="F115" s="10" t="str">
        <f aca="false">IF($B115="","",$C115+$D115-$E115)</f>
        <v/>
      </c>
      <c r="G115" s="10" t="str">
        <f aca="false">IF($B115="","",IFERROR(INDEX(Drinks!$C$4:$C$53,MATCH($B115,Drinks!$A$4:$A$53,0)),0))</f>
        <v/>
      </c>
      <c r="H115" s="10" t="str">
        <f aca="false">IF($B115="","",$D115*$G115)</f>
        <v/>
      </c>
      <c r="I115" s="10" t="str">
        <f aca="false">IF($B115="","",$F115*$G115)</f>
        <v/>
      </c>
      <c r="J115" s="9"/>
      <c r="K115" s="10" t="str">
        <f aca="false">IF($B115="","",$E115*IFERROR(INDEX(Drinks!$B$4:$B$53,MATCH($B115,Drinks!$A$4:$A$53,0)),0))</f>
        <v/>
      </c>
      <c r="L115" s="10" t="str">
        <f aca="false">IF($B115="","",$J115+$K115)</f>
        <v/>
      </c>
      <c r="M115" s="9"/>
      <c r="N115" s="10" t="str">
        <f aca="false">IF($B115="","",$L115-$M115)</f>
        <v/>
      </c>
      <c r="O115" s="10" t="str">
        <f aca="false">IF($B115="","",IFERROR(INDEX(Drinks!$E$4:$E$53,MATCH($B115,Drinks!$A$4:$A$53,0)),0))</f>
        <v/>
      </c>
      <c r="P115" s="10" t="str">
        <f aca="false">IF($B115="","",$N115*$O115)</f>
        <v/>
      </c>
      <c r="Q115" s="10" t="str">
        <f aca="false">IF($B115="","",$N115*IFERROR(INDEX(Drinks!$D$4:$D$53,MATCH($B115,Drinks!$A$4:$A$53,0)),0))</f>
        <v/>
      </c>
      <c r="R115" s="10" t="str">
        <f aca="false">IF($B115="","",$P115-$Q115)</f>
        <v/>
      </c>
      <c r="S115" s="23" t="str">
        <f aca="false">IF($B115="","",IF(COUNTIFS($A$4:$A$2003,$A115-1,$B$4:$B$2003,$B115)=0,"first day",IF(SUMIFS($M$4:$M$2003,$A$4:$A$2003,$A115-1,$B$4:$B$2003,$B115)=$J115,"OK","CHECK")))</f>
        <v/>
      </c>
      <c r="T115" s="10" t="str">
        <f aca="false">IF($B115="","",IFERROR(INDEX(Drinks!$D$4:$D$53,MATCH($B115,Drinks!$A$4:$A$53,0)),0))</f>
        <v/>
      </c>
    </row>
    <row r="116" customFormat="false" ht="15" hidden="false" customHeight="false" outlineLevel="0" collapsed="false">
      <c r="A116" s="22"/>
      <c r="B116" s="9"/>
      <c r="C116" s="9"/>
      <c r="D116" s="9"/>
      <c r="E116" s="9"/>
      <c r="F116" s="10" t="str">
        <f aca="false">IF($B116="","",$C116+$D116-$E116)</f>
        <v/>
      </c>
      <c r="G116" s="10" t="str">
        <f aca="false">IF($B116="","",IFERROR(INDEX(Drinks!$C$4:$C$53,MATCH($B116,Drinks!$A$4:$A$53,0)),0))</f>
        <v/>
      </c>
      <c r="H116" s="10" t="str">
        <f aca="false">IF($B116="","",$D116*$G116)</f>
        <v/>
      </c>
      <c r="I116" s="10" t="str">
        <f aca="false">IF($B116="","",$F116*$G116)</f>
        <v/>
      </c>
      <c r="J116" s="9"/>
      <c r="K116" s="10" t="str">
        <f aca="false">IF($B116="","",$E116*IFERROR(INDEX(Drinks!$B$4:$B$53,MATCH($B116,Drinks!$A$4:$A$53,0)),0))</f>
        <v/>
      </c>
      <c r="L116" s="10" t="str">
        <f aca="false">IF($B116="","",$J116+$K116)</f>
        <v/>
      </c>
      <c r="M116" s="9"/>
      <c r="N116" s="10" t="str">
        <f aca="false">IF($B116="","",$L116-$M116)</f>
        <v/>
      </c>
      <c r="O116" s="10" t="str">
        <f aca="false">IF($B116="","",IFERROR(INDEX(Drinks!$E$4:$E$53,MATCH($B116,Drinks!$A$4:$A$53,0)),0))</f>
        <v/>
      </c>
      <c r="P116" s="10" t="str">
        <f aca="false">IF($B116="","",$N116*$O116)</f>
        <v/>
      </c>
      <c r="Q116" s="10" t="str">
        <f aca="false">IF($B116="","",$N116*IFERROR(INDEX(Drinks!$D$4:$D$53,MATCH($B116,Drinks!$A$4:$A$53,0)),0))</f>
        <v/>
      </c>
      <c r="R116" s="10" t="str">
        <f aca="false">IF($B116="","",$P116-$Q116)</f>
        <v/>
      </c>
      <c r="S116" s="23" t="str">
        <f aca="false">IF($B116="","",IF(COUNTIFS($A$4:$A$2003,$A116-1,$B$4:$B$2003,$B116)=0,"first day",IF(SUMIFS($M$4:$M$2003,$A$4:$A$2003,$A116-1,$B$4:$B$2003,$B116)=$J116,"OK","CHECK")))</f>
        <v/>
      </c>
      <c r="T116" s="10" t="str">
        <f aca="false">IF($B116="","",IFERROR(INDEX(Drinks!$D$4:$D$53,MATCH($B116,Drinks!$A$4:$A$53,0)),0))</f>
        <v/>
      </c>
    </row>
    <row r="117" customFormat="false" ht="15" hidden="false" customHeight="false" outlineLevel="0" collapsed="false">
      <c r="A117" s="22"/>
      <c r="B117" s="9"/>
      <c r="C117" s="9"/>
      <c r="D117" s="9"/>
      <c r="E117" s="9"/>
      <c r="F117" s="10" t="str">
        <f aca="false">IF($B117="","",$C117+$D117-$E117)</f>
        <v/>
      </c>
      <c r="G117" s="10" t="str">
        <f aca="false">IF($B117="","",IFERROR(INDEX(Drinks!$C$4:$C$53,MATCH($B117,Drinks!$A$4:$A$53,0)),0))</f>
        <v/>
      </c>
      <c r="H117" s="10" t="str">
        <f aca="false">IF($B117="","",$D117*$G117)</f>
        <v/>
      </c>
      <c r="I117" s="10" t="str">
        <f aca="false">IF($B117="","",$F117*$G117)</f>
        <v/>
      </c>
      <c r="J117" s="9"/>
      <c r="K117" s="10" t="str">
        <f aca="false">IF($B117="","",$E117*IFERROR(INDEX(Drinks!$B$4:$B$53,MATCH($B117,Drinks!$A$4:$A$53,0)),0))</f>
        <v/>
      </c>
      <c r="L117" s="10" t="str">
        <f aca="false">IF($B117="","",$J117+$K117)</f>
        <v/>
      </c>
      <c r="M117" s="9"/>
      <c r="N117" s="10" t="str">
        <f aca="false">IF($B117="","",$L117-$M117)</f>
        <v/>
      </c>
      <c r="O117" s="10" t="str">
        <f aca="false">IF($B117="","",IFERROR(INDEX(Drinks!$E$4:$E$53,MATCH($B117,Drinks!$A$4:$A$53,0)),0))</f>
        <v/>
      </c>
      <c r="P117" s="10" t="str">
        <f aca="false">IF($B117="","",$N117*$O117)</f>
        <v/>
      </c>
      <c r="Q117" s="10" t="str">
        <f aca="false">IF($B117="","",$N117*IFERROR(INDEX(Drinks!$D$4:$D$53,MATCH($B117,Drinks!$A$4:$A$53,0)),0))</f>
        <v/>
      </c>
      <c r="R117" s="10" t="str">
        <f aca="false">IF($B117="","",$P117-$Q117)</f>
        <v/>
      </c>
      <c r="S117" s="23" t="str">
        <f aca="false">IF($B117="","",IF(COUNTIFS($A$4:$A$2003,$A117-1,$B$4:$B$2003,$B117)=0,"first day",IF(SUMIFS($M$4:$M$2003,$A$4:$A$2003,$A117-1,$B$4:$B$2003,$B117)=$J117,"OK","CHECK")))</f>
        <v/>
      </c>
      <c r="T117" s="10" t="str">
        <f aca="false">IF($B117="","",IFERROR(INDEX(Drinks!$D$4:$D$53,MATCH($B117,Drinks!$A$4:$A$53,0)),0))</f>
        <v/>
      </c>
    </row>
    <row r="118" customFormat="false" ht="15" hidden="false" customHeight="false" outlineLevel="0" collapsed="false">
      <c r="A118" s="22"/>
      <c r="B118" s="9"/>
      <c r="C118" s="9"/>
      <c r="D118" s="9"/>
      <c r="E118" s="9"/>
      <c r="F118" s="10" t="str">
        <f aca="false">IF($B118="","",$C118+$D118-$E118)</f>
        <v/>
      </c>
      <c r="G118" s="10" t="str">
        <f aca="false">IF($B118="","",IFERROR(INDEX(Drinks!$C$4:$C$53,MATCH($B118,Drinks!$A$4:$A$53,0)),0))</f>
        <v/>
      </c>
      <c r="H118" s="10" t="str">
        <f aca="false">IF($B118="","",$D118*$G118)</f>
        <v/>
      </c>
      <c r="I118" s="10" t="str">
        <f aca="false">IF($B118="","",$F118*$G118)</f>
        <v/>
      </c>
      <c r="J118" s="9"/>
      <c r="K118" s="10" t="str">
        <f aca="false">IF($B118="","",$E118*IFERROR(INDEX(Drinks!$B$4:$B$53,MATCH($B118,Drinks!$A$4:$A$53,0)),0))</f>
        <v/>
      </c>
      <c r="L118" s="10" t="str">
        <f aca="false">IF($B118="","",$J118+$K118)</f>
        <v/>
      </c>
      <c r="M118" s="9"/>
      <c r="N118" s="10" t="str">
        <f aca="false">IF($B118="","",$L118-$M118)</f>
        <v/>
      </c>
      <c r="O118" s="10" t="str">
        <f aca="false">IF($B118="","",IFERROR(INDEX(Drinks!$E$4:$E$53,MATCH($B118,Drinks!$A$4:$A$53,0)),0))</f>
        <v/>
      </c>
      <c r="P118" s="10" t="str">
        <f aca="false">IF($B118="","",$N118*$O118)</f>
        <v/>
      </c>
      <c r="Q118" s="10" t="str">
        <f aca="false">IF($B118="","",$N118*IFERROR(INDEX(Drinks!$D$4:$D$53,MATCH($B118,Drinks!$A$4:$A$53,0)),0))</f>
        <v/>
      </c>
      <c r="R118" s="10" t="str">
        <f aca="false">IF($B118="","",$P118-$Q118)</f>
        <v/>
      </c>
      <c r="S118" s="23" t="str">
        <f aca="false">IF($B118="","",IF(COUNTIFS($A$4:$A$2003,$A118-1,$B$4:$B$2003,$B118)=0,"first day",IF(SUMIFS($M$4:$M$2003,$A$4:$A$2003,$A118-1,$B$4:$B$2003,$B118)=$J118,"OK","CHECK")))</f>
        <v/>
      </c>
      <c r="T118" s="10" t="str">
        <f aca="false">IF($B118="","",IFERROR(INDEX(Drinks!$D$4:$D$53,MATCH($B118,Drinks!$A$4:$A$53,0)),0))</f>
        <v/>
      </c>
    </row>
    <row r="119" customFormat="false" ht="15" hidden="false" customHeight="false" outlineLevel="0" collapsed="false">
      <c r="A119" s="22"/>
      <c r="B119" s="9"/>
      <c r="C119" s="9"/>
      <c r="D119" s="9"/>
      <c r="E119" s="9"/>
      <c r="F119" s="10" t="str">
        <f aca="false">IF($B119="","",$C119+$D119-$E119)</f>
        <v/>
      </c>
      <c r="G119" s="10" t="str">
        <f aca="false">IF($B119="","",IFERROR(INDEX(Drinks!$C$4:$C$53,MATCH($B119,Drinks!$A$4:$A$53,0)),0))</f>
        <v/>
      </c>
      <c r="H119" s="10" t="str">
        <f aca="false">IF($B119="","",$D119*$G119)</f>
        <v/>
      </c>
      <c r="I119" s="10" t="str">
        <f aca="false">IF($B119="","",$F119*$G119)</f>
        <v/>
      </c>
      <c r="J119" s="9"/>
      <c r="K119" s="10" t="str">
        <f aca="false">IF($B119="","",$E119*IFERROR(INDEX(Drinks!$B$4:$B$53,MATCH($B119,Drinks!$A$4:$A$53,0)),0))</f>
        <v/>
      </c>
      <c r="L119" s="10" t="str">
        <f aca="false">IF($B119="","",$J119+$K119)</f>
        <v/>
      </c>
      <c r="M119" s="9"/>
      <c r="N119" s="10" t="str">
        <f aca="false">IF($B119="","",$L119-$M119)</f>
        <v/>
      </c>
      <c r="O119" s="10" t="str">
        <f aca="false">IF($B119="","",IFERROR(INDEX(Drinks!$E$4:$E$53,MATCH($B119,Drinks!$A$4:$A$53,0)),0))</f>
        <v/>
      </c>
      <c r="P119" s="10" t="str">
        <f aca="false">IF($B119="","",$N119*$O119)</f>
        <v/>
      </c>
      <c r="Q119" s="10" t="str">
        <f aca="false">IF($B119="","",$N119*IFERROR(INDEX(Drinks!$D$4:$D$53,MATCH($B119,Drinks!$A$4:$A$53,0)),0))</f>
        <v/>
      </c>
      <c r="R119" s="10" t="str">
        <f aca="false">IF($B119="","",$P119-$Q119)</f>
        <v/>
      </c>
      <c r="S119" s="23" t="str">
        <f aca="false">IF($B119="","",IF(COUNTIFS($A$4:$A$2003,$A119-1,$B$4:$B$2003,$B119)=0,"first day",IF(SUMIFS($M$4:$M$2003,$A$4:$A$2003,$A119-1,$B$4:$B$2003,$B119)=$J119,"OK","CHECK")))</f>
        <v/>
      </c>
      <c r="T119" s="10" t="str">
        <f aca="false">IF($B119="","",IFERROR(INDEX(Drinks!$D$4:$D$53,MATCH($B119,Drinks!$A$4:$A$53,0)),0))</f>
        <v/>
      </c>
    </row>
    <row r="120" customFormat="false" ht="15" hidden="false" customHeight="false" outlineLevel="0" collapsed="false">
      <c r="A120" s="22"/>
      <c r="B120" s="9"/>
      <c r="C120" s="9"/>
      <c r="D120" s="9"/>
      <c r="E120" s="9"/>
      <c r="F120" s="10" t="str">
        <f aca="false">IF($B120="","",$C120+$D120-$E120)</f>
        <v/>
      </c>
      <c r="G120" s="10" t="str">
        <f aca="false">IF($B120="","",IFERROR(INDEX(Drinks!$C$4:$C$53,MATCH($B120,Drinks!$A$4:$A$53,0)),0))</f>
        <v/>
      </c>
      <c r="H120" s="10" t="str">
        <f aca="false">IF($B120="","",$D120*$G120)</f>
        <v/>
      </c>
      <c r="I120" s="10" t="str">
        <f aca="false">IF($B120="","",$F120*$G120)</f>
        <v/>
      </c>
      <c r="J120" s="9"/>
      <c r="K120" s="10" t="str">
        <f aca="false">IF($B120="","",$E120*IFERROR(INDEX(Drinks!$B$4:$B$53,MATCH($B120,Drinks!$A$4:$A$53,0)),0))</f>
        <v/>
      </c>
      <c r="L120" s="10" t="str">
        <f aca="false">IF($B120="","",$J120+$K120)</f>
        <v/>
      </c>
      <c r="M120" s="9"/>
      <c r="N120" s="10" t="str">
        <f aca="false">IF($B120="","",$L120-$M120)</f>
        <v/>
      </c>
      <c r="O120" s="10" t="str">
        <f aca="false">IF($B120="","",IFERROR(INDEX(Drinks!$E$4:$E$53,MATCH($B120,Drinks!$A$4:$A$53,0)),0))</f>
        <v/>
      </c>
      <c r="P120" s="10" t="str">
        <f aca="false">IF($B120="","",$N120*$O120)</f>
        <v/>
      </c>
      <c r="Q120" s="10" t="str">
        <f aca="false">IF($B120="","",$N120*IFERROR(INDEX(Drinks!$D$4:$D$53,MATCH($B120,Drinks!$A$4:$A$53,0)),0))</f>
        <v/>
      </c>
      <c r="R120" s="10" t="str">
        <f aca="false">IF($B120="","",$P120-$Q120)</f>
        <v/>
      </c>
      <c r="S120" s="23" t="str">
        <f aca="false">IF($B120="","",IF(COUNTIFS($A$4:$A$2003,$A120-1,$B$4:$B$2003,$B120)=0,"first day",IF(SUMIFS($M$4:$M$2003,$A$4:$A$2003,$A120-1,$B$4:$B$2003,$B120)=$J120,"OK","CHECK")))</f>
        <v/>
      </c>
      <c r="T120" s="10" t="str">
        <f aca="false">IF($B120="","",IFERROR(INDEX(Drinks!$D$4:$D$53,MATCH($B120,Drinks!$A$4:$A$53,0)),0))</f>
        <v/>
      </c>
    </row>
    <row r="121" customFormat="false" ht="15" hidden="false" customHeight="false" outlineLevel="0" collapsed="false">
      <c r="A121" s="22"/>
      <c r="B121" s="9"/>
      <c r="C121" s="9"/>
      <c r="D121" s="9"/>
      <c r="E121" s="9"/>
      <c r="F121" s="10" t="str">
        <f aca="false">IF($B121="","",$C121+$D121-$E121)</f>
        <v/>
      </c>
      <c r="G121" s="10" t="str">
        <f aca="false">IF($B121="","",IFERROR(INDEX(Drinks!$C$4:$C$53,MATCH($B121,Drinks!$A$4:$A$53,0)),0))</f>
        <v/>
      </c>
      <c r="H121" s="10" t="str">
        <f aca="false">IF($B121="","",$D121*$G121)</f>
        <v/>
      </c>
      <c r="I121" s="10" t="str">
        <f aca="false">IF($B121="","",$F121*$G121)</f>
        <v/>
      </c>
      <c r="J121" s="9"/>
      <c r="K121" s="10" t="str">
        <f aca="false">IF($B121="","",$E121*IFERROR(INDEX(Drinks!$B$4:$B$53,MATCH($B121,Drinks!$A$4:$A$53,0)),0))</f>
        <v/>
      </c>
      <c r="L121" s="10" t="str">
        <f aca="false">IF($B121="","",$J121+$K121)</f>
        <v/>
      </c>
      <c r="M121" s="9"/>
      <c r="N121" s="10" t="str">
        <f aca="false">IF($B121="","",$L121-$M121)</f>
        <v/>
      </c>
      <c r="O121" s="10" t="str">
        <f aca="false">IF($B121="","",IFERROR(INDEX(Drinks!$E$4:$E$53,MATCH($B121,Drinks!$A$4:$A$53,0)),0))</f>
        <v/>
      </c>
      <c r="P121" s="10" t="str">
        <f aca="false">IF($B121="","",$N121*$O121)</f>
        <v/>
      </c>
      <c r="Q121" s="10" t="str">
        <f aca="false">IF($B121="","",$N121*IFERROR(INDEX(Drinks!$D$4:$D$53,MATCH($B121,Drinks!$A$4:$A$53,0)),0))</f>
        <v/>
      </c>
      <c r="R121" s="10" t="str">
        <f aca="false">IF($B121="","",$P121-$Q121)</f>
        <v/>
      </c>
      <c r="S121" s="23" t="str">
        <f aca="false">IF($B121="","",IF(COUNTIFS($A$4:$A$2003,$A121-1,$B$4:$B$2003,$B121)=0,"first day",IF(SUMIFS($M$4:$M$2003,$A$4:$A$2003,$A121-1,$B$4:$B$2003,$B121)=$J121,"OK","CHECK")))</f>
        <v/>
      </c>
      <c r="T121" s="10" t="str">
        <f aca="false">IF($B121="","",IFERROR(INDEX(Drinks!$D$4:$D$53,MATCH($B121,Drinks!$A$4:$A$53,0)),0))</f>
        <v/>
      </c>
    </row>
    <row r="122" customFormat="false" ht="15" hidden="false" customHeight="false" outlineLevel="0" collapsed="false">
      <c r="A122" s="22"/>
      <c r="B122" s="9"/>
      <c r="C122" s="9"/>
      <c r="D122" s="9"/>
      <c r="E122" s="9"/>
      <c r="F122" s="10" t="str">
        <f aca="false">IF($B122="","",$C122+$D122-$E122)</f>
        <v/>
      </c>
      <c r="G122" s="10" t="str">
        <f aca="false">IF($B122="","",IFERROR(INDEX(Drinks!$C$4:$C$53,MATCH($B122,Drinks!$A$4:$A$53,0)),0))</f>
        <v/>
      </c>
      <c r="H122" s="10" t="str">
        <f aca="false">IF($B122="","",$D122*$G122)</f>
        <v/>
      </c>
      <c r="I122" s="10" t="str">
        <f aca="false">IF($B122="","",$F122*$G122)</f>
        <v/>
      </c>
      <c r="J122" s="9"/>
      <c r="K122" s="10" t="str">
        <f aca="false">IF($B122="","",$E122*IFERROR(INDEX(Drinks!$B$4:$B$53,MATCH($B122,Drinks!$A$4:$A$53,0)),0))</f>
        <v/>
      </c>
      <c r="L122" s="10" t="str">
        <f aca="false">IF($B122="","",$J122+$K122)</f>
        <v/>
      </c>
      <c r="M122" s="9"/>
      <c r="N122" s="10" t="str">
        <f aca="false">IF($B122="","",$L122-$M122)</f>
        <v/>
      </c>
      <c r="O122" s="10" t="str">
        <f aca="false">IF($B122="","",IFERROR(INDEX(Drinks!$E$4:$E$53,MATCH($B122,Drinks!$A$4:$A$53,0)),0))</f>
        <v/>
      </c>
      <c r="P122" s="10" t="str">
        <f aca="false">IF($B122="","",$N122*$O122)</f>
        <v/>
      </c>
      <c r="Q122" s="10" t="str">
        <f aca="false">IF($B122="","",$N122*IFERROR(INDEX(Drinks!$D$4:$D$53,MATCH($B122,Drinks!$A$4:$A$53,0)),0))</f>
        <v/>
      </c>
      <c r="R122" s="10" t="str">
        <f aca="false">IF($B122="","",$P122-$Q122)</f>
        <v/>
      </c>
      <c r="S122" s="23" t="str">
        <f aca="false">IF($B122="","",IF(COUNTIFS($A$4:$A$2003,$A122-1,$B$4:$B$2003,$B122)=0,"first day",IF(SUMIFS($M$4:$M$2003,$A$4:$A$2003,$A122-1,$B$4:$B$2003,$B122)=$J122,"OK","CHECK")))</f>
        <v/>
      </c>
      <c r="T122" s="10" t="str">
        <f aca="false">IF($B122="","",IFERROR(INDEX(Drinks!$D$4:$D$53,MATCH($B122,Drinks!$A$4:$A$53,0)),0))</f>
        <v/>
      </c>
    </row>
    <row r="123" customFormat="false" ht="15" hidden="false" customHeight="false" outlineLevel="0" collapsed="false">
      <c r="A123" s="22"/>
      <c r="B123" s="9"/>
      <c r="C123" s="9"/>
      <c r="D123" s="9"/>
      <c r="E123" s="9"/>
      <c r="F123" s="10" t="str">
        <f aca="false">IF($B123="","",$C123+$D123-$E123)</f>
        <v/>
      </c>
      <c r="G123" s="10" t="str">
        <f aca="false">IF($B123="","",IFERROR(INDEX(Drinks!$C$4:$C$53,MATCH($B123,Drinks!$A$4:$A$53,0)),0))</f>
        <v/>
      </c>
      <c r="H123" s="10" t="str">
        <f aca="false">IF($B123="","",$D123*$G123)</f>
        <v/>
      </c>
      <c r="I123" s="10" t="str">
        <f aca="false">IF($B123="","",$F123*$G123)</f>
        <v/>
      </c>
      <c r="J123" s="9"/>
      <c r="K123" s="10" t="str">
        <f aca="false">IF($B123="","",$E123*IFERROR(INDEX(Drinks!$B$4:$B$53,MATCH($B123,Drinks!$A$4:$A$53,0)),0))</f>
        <v/>
      </c>
      <c r="L123" s="10" t="str">
        <f aca="false">IF($B123="","",$J123+$K123)</f>
        <v/>
      </c>
      <c r="M123" s="9"/>
      <c r="N123" s="10" t="str">
        <f aca="false">IF($B123="","",$L123-$M123)</f>
        <v/>
      </c>
      <c r="O123" s="10" t="str">
        <f aca="false">IF($B123="","",IFERROR(INDEX(Drinks!$E$4:$E$53,MATCH($B123,Drinks!$A$4:$A$53,0)),0))</f>
        <v/>
      </c>
      <c r="P123" s="10" t="str">
        <f aca="false">IF($B123="","",$N123*$O123)</f>
        <v/>
      </c>
      <c r="Q123" s="10" t="str">
        <f aca="false">IF($B123="","",$N123*IFERROR(INDEX(Drinks!$D$4:$D$53,MATCH($B123,Drinks!$A$4:$A$53,0)),0))</f>
        <v/>
      </c>
      <c r="R123" s="10" t="str">
        <f aca="false">IF($B123="","",$P123-$Q123)</f>
        <v/>
      </c>
      <c r="S123" s="23" t="str">
        <f aca="false">IF($B123="","",IF(COUNTIFS($A$4:$A$2003,$A123-1,$B$4:$B$2003,$B123)=0,"first day",IF(SUMIFS($M$4:$M$2003,$A$4:$A$2003,$A123-1,$B$4:$B$2003,$B123)=$J123,"OK","CHECK")))</f>
        <v/>
      </c>
      <c r="T123" s="10" t="str">
        <f aca="false">IF($B123="","",IFERROR(INDEX(Drinks!$D$4:$D$53,MATCH($B123,Drinks!$A$4:$A$53,0)),0))</f>
        <v/>
      </c>
    </row>
    <row r="124" customFormat="false" ht="15" hidden="false" customHeight="false" outlineLevel="0" collapsed="false">
      <c r="A124" s="22"/>
      <c r="B124" s="9"/>
      <c r="C124" s="9"/>
      <c r="D124" s="9"/>
      <c r="E124" s="9"/>
      <c r="F124" s="10" t="str">
        <f aca="false">IF($B124="","",$C124+$D124-$E124)</f>
        <v/>
      </c>
      <c r="G124" s="10" t="str">
        <f aca="false">IF($B124="","",IFERROR(INDEX(Drinks!$C$4:$C$53,MATCH($B124,Drinks!$A$4:$A$53,0)),0))</f>
        <v/>
      </c>
      <c r="H124" s="10" t="str">
        <f aca="false">IF($B124="","",$D124*$G124)</f>
        <v/>
      </c>
      <c r="I124" s="10" t="str">
        <f aca="false">IF($B124="","",$F124*$G124)</f>
        <v/>
      </c>
      <c r="J124" s="9"/>
      <c r="K124" s="10" t="str">
        <f aca="false">IF($B124="","",$E124*IFERROR(INDEX(Drinks!$B$4:$B$53,MATCH($B124,Drinks!$A$4:$A$53,0)),0))</f>
        <v/>
      </c>
      <c r="L124" s="10" t="str">
        <f aca="false">IF($B124="","",$J124+$K124)</f>
        <v/>
      </c>
      <c r="M124" s="9"/>
      <c r="N124" s="10" t="str">
        <f aca="false">IF($B124="","",$L124-$M124)</f>
        <v/>
      </c>
      <c r="O124" s="10" t="str">
        <f aca="false">IF($B124="","",IFERROR(INDEX(Drinks!$E$4:$E$53,MATCH($B124,Drinks!$A$4:$A$53,0)),0))</f>
        <v/>
      </c>
      <c r="P124" s="10" t="str">
        <f aca="false">IF($B124="","",$N124*$O124)</f>
        <v/>
      </c>
      <c r="Q124" s="10" t="str">
        <f aca="false">IF($B124="","",$N124*IFERROR(INDEX(Drinks!$D$4:$D$53,MATCH($B124,Drinks!$A$4:$A$53,0)),0))</f>
        <v/>
      </c>
      <c r="R124" s="10" t="str">
        <f aca="false">IF($B124="","",$P124-$Q124)</f>
        <v/>
      </c>
      <c r="S124" s="23" t="str">
        <f aca="false">IF($B124="","",IF(COUNTIFS($A$4:$A$2003,$A124-1,$B$4:$B$2003,$B124)=0,"first day",IF(SUMIFS($M$4:$M$2003,$A$4:$A$2003,$A124-1,$B$4:$B$2003,$B124)=$J124,"OK","CHECK")))</f>
        <v/>
      </c>
      <c r="T124" s="10" t="str">
        <f aca="false">IF($B124="","",IFERROR(INDEX(Drinks!$D$4:$D$53,MATCH($B124,Drinks!$A$4:$A$53,0)),0))</f>
        <v/>
      </c>
    </row>
    <row r="125" customFormat="false" ht="15" hidden="false" customHeight="false" outlineLevel="0" collapsed="false">
      <c r="A125" s="22"/>
      <c r="B125" s="9"/>
      <c r="C125" s="9"/>
      <c r="D125" s="9"/>
      <c r="E125" s="9"/>
      <c r="F125" s="10" t="str">
        <f aca="false">IF($B125="","",$C125+$D125-$E125)</f>
        <v/>
      </c>
      <c r="G125" s="10" t="str">
        <f aca="false">IF($B125="","",IFERROR(INDEX(Drinks!$C$4:$C$53,MATCH($B125,Drinks!$A$4:$A$53,0)),0))</f>
        <v/>
      </c>
      <c r="H125" s="10" t="str">
        <f aca="false">IF($B125="","",$D125*$G125)</f>
        <v/>
      </c>
      <c r="I125" s="10" t="str">
        <f aca="false">IF($B125="","",$F125*$G125)</f>
        <v/>
      </c>
      <c r="J125" s="9"/>
      <c r="K125" s="10" t="str">
        <f aca="false">IF($B125="","",$E125*IFERROR(INDEX(Drinks!$B$4:$B$53,MATCH($B125,Drinks!$A$4:$A$53,0)),0))</f>
        <v/>
      </c>
      <c r="L125" s="10" t="str">
        <f aca="false">IF($B125="","",$J125+$K125)</f>
        <v/>
      </c>
      <c r="M125" s="9"/>
      <c r="N125" s="10" t="str">
        <f aca="false">IF($B125="","",$L125-$M125)</f>
        <v/>
      </c>
      <c r="O125" s="10" t="str">
        <f aca="false">IF($B125="","",IFERROR(INDEX(Drinks!$E$4:$E$53,MATCH($B125,Drinks!$A$4:$A$53,0)),0))</f>
        <v/>
      </c>
      <c r="P125" s="10" t="str">
        <f aca="false">IF($B125="","",$N125*$O125)</f>
        <v/>
      </c>
      <c r="Q125" s="10" t="str">
        <f aca="false">IF($B125="","",$N125*IFERROR(INDEX(Drinks!$D$4:$D$53,MATCH($B125,Drinks!$A$4:$A$53,0)),0))</f>
        <v/>
      </c>
      <c r="R125" s="10" t="str">
        <f aca="false">IF($B125="","",$P125-$Q125)</f>
        <v/>
      </c>
      <c r="S125" s="23" t="str">
        <f aca="false">IF($B125="","",IF(COUNTIFS($A$4:$A$2003,$A125-1,$B$4:$B$2003,$B125)=0,"first day",IF(SUMIFS($M$4:$M$2003,$A$4:$A$2003,$A125-1,$B$4:$B$2003,$B125)=$J125,"OK","CHECK")))</f>
        <v/>
      </c>
      <c r="T125" s="10" t="str">
        <f aca="false">IF($B125="","",IFERROR(INDEX(Drinks!$D$4:$D$53,MATCH($B125,Drinks!$A$4:$A$53,0)),0))</f>
        <v/>
      </c>
    </row>
    <row r="126" customFormat="false" ht="15" hidden="false" customHeight="false" outlineLevel="0" collapsed="false">
      <c r="A126" s="22"/>
      <c r="B126" s="9"/>
      <c r="C126" s="9"/>
      <c r="D126" s="9"/>
      <c r="E126" s="9"/>
      <c r="F126" s="10" t="str">
        <f aca="false">IF($B126="","",$C126+$D126-$E126)</f>
        <v/>
      </c>
      <c r="G126" s="10" t="str">
        <f aca="false">IF($B126="","",IFERROR(INDEX(Drinks!$C$4:$C$53,MATCH($B126,Drinks!$A$4:$A$53,0)),0))</f>
        <v/>
      </c>
      <c r="H126" s="10" t="str">
        <f aca="false">IF($B126="","",$D126*$G126)</f>
        <v/>
      </c>
      <c r="I126" s="10" t="str">
        <f aca="false">IF($B126="","",$F126*$G126)</f>
        <v/>
      </c>
      <c r="J126" s="9"/>
      <c r="K126" s="10" t="str">
        <f aca="false">IF($B126="","",$E126*IFERROR(INDEX(Drinks!$B$4:$B$53,MATCH($B126,Drinks!$A$4:$A$53,0)),0))</f>
        <v/>
      </c>
      <c r="L126" s="10" t="str">
        <f aca="false">IF($B126="","",$J126+$K126)</f>
        <v/>
      </c>
      <c r="M126" s="9"/>
      <c r="N126" s="10" t="str">
        <f aca="false">IF($B126="","",$L126-$M126)</f>
        <v/>
      </c>
      <c r="O126" s="10" t="str">
        <f aca="false">IF($B126="","",IFERROR(INDEX(Drinks!$E$4:$E$53,MATCH($B126,Drinks!$A$4:$A$53,0)),0))</f>
        <v/>
      </c>
      <c r="P126" s="10" t="str">
        <f aca="false">IF($B126="","",$N126*$O126)</f>
        <v/>
      </c>
      <c r="Q126" s="10" t="str">
        <f aca="false">IF($B126="","",$N126*IFERROR(INDEX(Drinks!$D$4:$D$53,MATCH($B126,Drinks!$A$4:$A$53,0)),0))</f>
        <v/>
      </c>
      <c r="R126" s="10" t="str">
        <f aca="false">IF($B126="","",$P126-$Q126)</f>
        <v/>
      </c>
      <c r="S126" s="23" t="str">
        <f aca="false">IF($B126="","",IF(COUNTIFS($A$4:$A$2003,$A126-1,$B$4:$B$2003,$B126)=0,"first day",IF(SUMIFS($M$4:$M$2003,$A$4:$A$2003,$A126-1,$B$4:$B$2003,$B126)=$J126,"OK","CHECK")))</f>
        <v/>
      </c>
      <c r="T126" s="10" t="str">
        <f aca="false">IF($B126="","",IFERROR(INDEX(Drinks!$D$4:$D$53,MATCH($B126,Drinks!$A$4:$A$53,0)),0))</f>
        <v/>
      </c>
    </row>
    <row r="127" customFormat="false" ht="15" hidden="false" customHeight="false" outlineLevel="0" collapsed="false">
      <c r="A127" s="22"/>
      <c r="B127" s="9"/>
      <c r="C127" s="9"/>
      <c r="D127" s="9"/>
      <c r="E127" s="9"/>
      <c r="F127" s="10" t="str">
        <f aca="false">IF($B127="","",$C127+$D127-$E127)</f>
        <v/>
      </c>
      <c r="G127" s="10" t="str">
        <f aca="false">IF($B127="","",IFERROR(INDEX(Drinks!$C$4:$C$53,MATCH($B127,Drinks!$A$4:$A$53,0)),0))</f>
        <v/>
      </c>
      <c r="H127" s="10" t="str">
        <f aca="false">IF($B127="","",$D127*$G127)</f>
        <v/>
      </c>
      <c r="I127" s="10" t="str">
        <f aca="false">IF($B127="","",$F127*$G127)</f>
        <v/>
      </c>
      <c r="J127" s="9"/>
      <c r="K127" s="10" t="str">
        <f aca="false">IF($B127="","",$E127*IFERROR(INDEX(Drinks!$B$4:$B$53,MATCH($B127,Drinks!$A$4:$A$53,0)),0))</f>
        <v/>
      </c>
      <c r="L127" s="10" t="str">
        <f aca="false">IF($B127="","",$J127+$K127)</f>
        <v/>
      </c>
      <c r="M127" s="9"/>
      <c r="N127" s="10" t="str">
        <f aca="false">IF($B127="","",$L127-$M127)</f>
        <v/>
      </c>
      <c r="O127" s="10" t="str">
        <f aca="false">IF($B127="","",IFERROR(INDEX(Drinks!$E$4:$E$53,MATCH($B127,Drinks!$A$4:$A$53,0)),0))</f>
        <v/>
      </c>
      <c r="P127" s="10" t="str">
        <f aca="false">IF($B127="","",$N127*$O127)</f>
        <v/>
      </c>
      <c r="Q127" s="10" t="str">
        <f aca="false">IF($B127="","",$N127*IFERROR(INDEX(Drinks!$D$4:$D$53,MATCH($B127,Drinks!$A$4:$A$53,0)),0))</f>
        <v/>
      </c>
      <c r="R127" s="10" t="str">
        <f aca="false">IF($B127="","",$P127-$Q127)</f>
        <v/>
      </c>
      <c r="S127" s="23" t="str">
        <f aca="false">IF($B127="","",IF(COUNTIFS($A$4:$A$2003,$A127-1,$B$4:$B$2003,$B127)=0,"first day",IF(SUMIFS($M$4:$M$2003,$A$4:$A$2003,$A127-1,$B$4:$B$2003,$B127)=$J127,"OK","CHECK")))</f>
        <v/>
      </c>
      <c r="T127" s="10" t="str">
        <f aca="false">IF($B127="","",IFERROR(INDEX(Drinks!$D$4:$D$53,MATCH($B127,Drinks!$A$4:$A$53,0)),0))</f>
        <v/>
      </c>
    </row>
    <row r="128" customFormat="false" ht="15" hidden="false" customHeight="false" outlineLevel="0" collapsed="false">
      <c r="A128" s="22"/>
      <c r="B128" s="9"/>
      <c r="C128" s="9"/>
      <c r="D128" s="9"/>
      <c r="E128" s="9"/>
      <c r="F128" s="10" t="str">
        <f aca="false">IF($B128="","",$C128+$D128-$E128)</f>
        <v/>
      </c>
      <c r="G128" s="10" t="str">
        <f aca="false">IF($B128="","",IFERROR(INDEX(Drinks!$C$4:$C$53,MATCH($B128,Drinks!$A$4:$A$53,0)),0))</f>
        <v/>
      </c>
      <c r="H128" s="10" t="str">
        <f aca="false">IF($B128="","",$D128*$G128)</f>
        <v/>
      </c>
      <c r="I128" s="10" t="str">
        <f aca="false">IF($B128="","",$F128*$G128)</f>
        <v/>
      </c>
      <c r="J128" s="9"/>
      <c r="K128" s="10" t="str">
        <f aca="false">IF($B128="","",$E128*IFERROR(INDEX(Drinks!$B$4:$B$53,MATCH($B128,Drinks!$A$4:$A$53,0)),0))</f>
        <v/>
      </c>
      <c r="L128" s="10" t="str">
        <f aca="false">IF($B128="","",$J128+$K128)</f>
        <v/>
      </c>
      <c r="M128" s="9"/>
      <c r="N128" s="10" t="str">
        <f aca="false">IF($B128="","",$L128-$M128)</f>
        <v/>
      </c>
      <c r="O128" s="10" t="str">
        <f aca="false">IF($B128="","",IFERROR(INDEX(Drinks!$E$4:$E$53,MATCH($B128,Drinks!$A$4:$A$53,0)),0))</f>
        <v/>
      </c>
      <c r="P128" s="10" t="str">
        <f aca="false">IF($B128="","",$N128*$O128)</f>
        <v/>
      </c>
      <c r="Q128" s="10" t="str">
        <f aca="false">IF($B128="","",$N128*IFERROR(INDEX(Drinks!$D$4:$D$53,MATCH($B128,Drinks!$A$4:$A$53,0)),0))</f>
        <v/>
      </c>
      <c r="R128" s="10" t="str">
        <f aca="false">IF($B128="","",$P128-$Q128)</f>
        <v/>
      </c>
      <c r="S128" s="23" t="str">
        <f aca="false">IF($B128="","",IF(COUNTIFS($A$4:$A$2003,$A128-1,$B$4:$B$2003,$B128)=0,"first day",IF(SUMIFS($M$4:$M$2003,$A$4:$A$2003,$A128-1,$B$4:$B$2003,$B128)=$J128,"OK","CHECK")))</f>
        <v/>
      </c>
      <c r="T128" s="10" t="str">
        <f aca="false">IF($B128="","",IFERROR(INDEX(Drinks!$D$4:$D$53,MATCH($B128,Drinks!$A$4:$A$53,0)),0))</f>
        <v/>
      </c>
    </row>
    <row r="129" customFormat="false" ht="15" hidden="false" customHeight="false" outlineLevel="0" collapsed="false">
      <c r="A129" s="22"/>
      <c r="B129" s="9"/>
      <c r="C129" s="9"/>
      <c r="D129" s="9"/>
      <c r="E129" s="9"/>
      <c r="F129" s="10" t="str">
        <f aca="false">IF($B129="","",$C129+$D129-$E129)</f>
        <v/>
      </c>
      <c r="G129" s="10" t="str">
        <f aca="false">IF($B129="","",IFERROR(INDEX(Drinks!$C$4:$C$53,MATCH($B129,Drinks!$A$4:$A$53,0)),0))</f>
        <v/>
      </c>
      <c r="H129" s="10" t="str">
        <f aca="false">IF($B129="","",$D129*$G129)</f>
        <v/>
      </c>
      <c r="I129" s="10" t="str">
        <f aca="false">IF($B129="","",$F129*$G129)</f>
        <v/>
      </c>
      <c r="J129" s="9"/>
      <c r="K129" s="10" t="str">
        <f aca="false">IF($B129="","",$E129*IFERROR(INDEX(Drinks!$B$4:$B$53,MATCH($B129,Drinks!$A$4:$A$53,0)),0))</f>
        <v/>
      </c>
      <c r="L129" s="10" t="str">
        <f aca="false">IF($B129="","",$J129+$K129)</f>
        <v/>
      </c>
      <c r="M129" s="9"/>
      <c r="N129" s="10" t="str">
        <f aca="false">IF($B129="","",$L129-$M129)</f>
        <v/>
      </c>
      <c r="O129" s="10" t="str">
        <f aca="false">IF($B129="","",IFERROR(INDEX(Drinks!$E$4:$E$53,MATCH($B129,Drinks!$A$4:$A$53,0)),0))</f>
        <v/>
      </c>
      <c r="P129" s="10" t="str">
        <f aca="false">IF($B129="","",$N129*$O129)</f>
        <v/>
      </c>
      <c r="Q129" s="10" t="str">
        <f aca="false">IF($B129="","",$N129*IFERROR(INDEX(Drinks!$D$4:$D$53,MATCH($B129,Drinks!$A$4:$A$53,0)),0))</f>
        <v/>
      </c>
      <c r="R129" s="10" t="str">
        <f aca="false">IF($B129="","",$P129-$Q129)</f>
        <v/>
      </c>
      <c r="S129" s="23" t="str">
        <f aca="false">IF($B129="","",IF(COUNTIFS($A$4:$A$2003,$A129-1,$B$4:$B$2003,$B129)=0,"first day",IF(SUMIFS($M$4:$M$2003,$A$4:$A$2003,$A129-1,$B$4:$B$2003,$B129)=$J129,"OK","CHECK")))</f>
        <v/>
      </c>
      <c r="T129" s="10" t="str">
        <f aca="false">IF($B129="","",IFERROR(INDEX(Drinks!$D$4:$D$53,MATCH($B129,Drinks!$A$4:$A$53,0)),0))</f>
        <v/>
      </c>
    </row>
    <row r="130" customFormat="false" ht="15" hidden="false" customHeight="false" outlineLevel="0" collapsed="false">
      <c r="A130" s="22"/>
      <c r="B130" s="9"/>
      <c r="C130" s="9"/>
      <c r="D130" s="9"/>
      <c r="E130" s="9"/>
      <c r="F130" s="10" t="str">
        <f aca="false">IF($B130="","",$C130+$D130-$E130)</f>
        <v/>
      </c>
      <c r="G130" s="10" t="str">
        <f aca="false">IF($B130="","",IFERROR(INDEX(Drinks!$C$4:$C$53,MATCH($B130,Drinks!$A$4:$A$53,0)),0))</f>
        <v/>
      </c>
      <c r="H130" s="10" t="str">
        <f aca="false">IF($B130="","",$D130*$G130)</f>
        <v/>
      </c>
      <c r="I130" s="10" t="str">
        <f aca="false">IF($B130="","",$F130*$G130)</f>
        <v/>
      </c>
      <c r="J130" s="9"/>
      <c r="K130" s="10" t="str">
        <f aca="false">IF($B130="","",$E130*IFERROR(INDEX(Drinks!$B$4:$B$53,MATCH($B130,Drinks!$A$4:$A$53,0)),0))</f>
        <v/>
      </c>
      <c r="L130" s="10" t="str">
        <f aca="false">IF($B130="","",$J130+$K130)</f>
        <v/>
      </c>
      <c r="M130" s="9"/>
      <c r="N130" s="10" t="str">
        <f aca="false">IF($B130="","",$L130-$M130)</f>
        <v/>
      </c>
      <c r="O130" s="10" t="str">
        <f aca="false">IF($B130="","",IFERROR(INDEX(Drinks!$E$4:$E$53,MATCH($B130,Drinks!$A$4:$A$53,0)),0))</f>
        <v/>
      </c>
      <c r="P130" s="10" t="str">
        <f aca="false">IF($B130="","",$N130*$O130)</f>
        <v/>
      </c>
      <c r="Q130" s="10" t="str">
        <f aca="false">IF($B130="","",$N130*IFERROR(INDEX(Drinks!$D$4:$D$53,MATCH($B130,Drinks!$A$4:$A$53,0)),0))</f>
        <v/>
      </c>
      <c r="R130" s="10" t="str">
        <f aca="false">IF($B130="","",$P130-$Q130)</f>
        <v/>
      </c>
      <c r="S130" s="23" t="str">
        <f aca="false">IF($B130="","",IF(COUNTIFS($A$4:$A$2003,$A130-1,$B$4:$B$2003,$B130)=0,"first day",IF(SUMIFS($M$4:$M$2003,$A$4:$A$2003,$A130-1,$B$4:$B$2003,$B130)=$J130,"OK","CHECK")))</f>
        <v/>
      </c>
      <c r="T130" s="10" t="str">
        <f aca="false">IF($B130="","",IFERROR(INDEX(Drinks!$D$4:$D$53,MATCH($B130,Drinks!$A$4:$A$53,0)),0))</f>
        <v/>
      </c>
    </row>
    <row r="131" customFormat="false" ht="15" hidden="false" customHeight="false" outlineLevel="0" collapsed="false">
      <c r="A131" s="22"/>
      <c r="B131" s="9"/>
      <c r="C131" s="9"/>
      <c r="D131" s="9"/>
      <c r="E131" s="9"/>
      <c r="F131" s="10" t="str">
        <f aca="false">IF($B131="","",$C131+$D131-$E131)</f>
        <v/>
      </c>
      <c r="G131" s="10" t="str">
        <f aca="false">IF($B131="","",IFERROR(INDEX(Drinks!$C$4:$C$53,MATCH($B131,Drinks!$A$4:$A$53,0)),0))</f>
        <v/>
      </c>
      <c r="H131" s="10" t="str">
        <f aca="false">IF($B131="","",$D131*$G131)</f>
        <v/>
      </c>
      <c r="I131" s="10" t="str">
        <f aca="false">IF($B131="","",$F131*$G131)</f>
        <v/>
      </c>
      <c r="J131" s="9"/>
      <c r="K131" s="10" t="str">
        <f aca="false">IF($B131="","",$E131*IFERROR(INDEX(Drinks!$B$4:$B$53,MATCH($B131,Drinks!$A$4:$A$53,0)),0))</f>
        <v/>
      </c>
      <c r="L131" s="10" t="str">
        <f aca="false">IF($B131="","",$J131+$K131)</f>
        <v/>
      </c>
      <c r="M131" s="9"/>
      <c r="N131" s="10" t="str">
        <f aca="false">IF($B131="","",$L131-$M131)</f>
        <v/>
      </c>
      <c r="O131" s="10" t="str">
        <f aca="false">IF($B131="","",IFERROR(INDEX(Drinks!$E$4:$E$53,MATCH($B131,Drinks!$A$4:$A$53,0)),0))</f>
        <v/>
      </c>
      <c r="P131" s="10" t="str">
        <f aca="false">IF($B131="","",$N131*$O131)</f>
        <v/>
      </c>
      <c r="Q131" s="10" t="str">
        <f aca="false">IF($B131="","",$N131*IFERROR(INDEX(Drinks!$D$4:$D$53,MATCH($B131,Drinks!$A$4:$A$53,0)),0))</f>
        <v/>
      </c>
      <c r="R131" s="10" t="str">
        <f aca="false">IF($B131="","",$P131-$Q131)</f>
        <v/>
      </c>
      <c r="S131" s="23" t="str">
        <f aca="false">IF($B131="","",IF(COUNTIFS($A$4:$A$2003,$A131-1,$B$4:$B$2003,$B131)=0,"first day",IF(SUMIFS($M$4:$M$2003,$A$4:$A$2003,$A131-1,$B$4:$B$2003,$B131)=$J131,"OK","CHECK")))</f>
        <v/>
      </c>
      <c r="T131" s="10" t="str">
        <f aca="false">IF($B131="","",IFERROR(INDEX(Drinks!$D$4:$D$53,MATCH($B131,Drinks!$A$4:$A$53,0)),0))</f>
        <v/>
      </c>
    </row>
    <row r="132" customFormat="false" ht="15" hidden="false" customHeight="false" outlineLevel="0" collapsed="false">
      <c r="A132" s="22"/>
      <c r="B132" s="9"/>
      <c r="C132" s="9"/>
      <c r="D132" s="9"/>
      <c r="E132" s="9"/>
      <c r="F132" s="10" t="str">
        <f aca="false">IF($B132="","",$C132+$D132-$E132)</f>
        <v/>
      </c>
      <c r="G132" s="10" t="str">
        <f aca="false">IF($B132="","",IFERROR(INDEX(Drinks!$C$4:$C$53,MATCH($B132,Drinks!$A$4:$A$53,0)),0))</f>
        <v/>
      </c>
      <c r="H132" s="10" t="str">
        <f aca="false">IF($B132="","",$D132*$G132)</f>
        <v/>
      </c>
      <c r="I132" s="10" t="str">
        <f aca="false">IF($B132="","",$F132*$G132)</f>
        <v/>
      </c>
      <c r="J132" s="9"/>
      <c r="K132" s="10" t="str">
        <f aca="false">IF($B132="","",$E132*IFERROR(INDEX(Drinks!$B$4:$B$53,MATCH($B132,Drinks!$A$4:$A$53,0)),0))</f>
        <v/>
      </c>
      <c r="L132" s="10" t="str">
        <f aca="false">IF($B132="","",$J132+$K132)</f>
        <v/>
      </c>
      <c r="M132" s="9"/>
      <c r="N132" s="10" t="str">
        <f aca="false">IF($B132="","",$L132-$M132)</f>
        <v/>
      </c>
      <c r="O132" s="10" t="str">
        <f aca="false">IF($B132="","",IFERROR(INDEX(Drinks!$E$4:$E$53,MATCH($B132,Drinks!$A$4:$A$53,0)),0))</f>
        <v/>
      </c>
      <c r="P132" s="10" t="str">
        <f aca="false">IF($B132="","",$N132*$O132)</f>
        <v/>
      </c>
      <c r="Q132" s="10" t="str">
        <f aca="false">IF($B132="","",$N132*IFERROR(INDEX(Drinks!$D$4:$D$53,MATCH($B132,Drinks!$A$4:$A$53,0)),0))</f>
        <v/>
      </c>
      <c r="R132" s="10" t="str">
        <f aca="false">IF($B132="","",$P132-$Q132)</f>
        <v/>
      </c>
      <c r="S132" s="23" t="str">
        <f aca="false">IF($B132="","",IF(COUNTIFS($A$4:$A$2003,$A132-1,$B$4:$B$2003,$B132)=0,"first day",IF(SUMIFS($M$4:$M$2003,$A$4:$A$2003,$A132-1,$B$4:$B$2003,$B132)=$J132,"OK","CHECK")))</f>
        <v/>
      </c>
      <c r="T132" s="10" t="str">
        <f aca="false">IF($B132="","",IFERROR(INDEX(Drinks!$D$4:$D$53,MATCH($B132,Drinks!$A$4:$A$53,0)),0))</f>
        <v/>
      </c>
    </row>
    <row r="133" customFormat="false" ht="15" hidden="false" customHeight="false" outlineLevel="0" collapsed="false">
      <c r="A133" s="22"/>
      <c r="B133" s="9"/>
      <c r="C133" s="9"/>
      <c r="D133" s="9"/>
      <c r="E133" s="9"/>
      <c r="F133" s="10" t="str">
        <f aca="false">IF($B133="","",$C133+$D133-$E133)</f>
        <v/>
      </c>
      <c r="G133" s="10" t="str">
        <f aca="false">IF($B133="","",IFERROR(INDEX(Drinks!$C$4:$C$53,MATCH($B133,Drinks!$A$4:$A$53,0)),0))</f>
        <v/>
      </c>
      <c r="H133" s="10" t="str">
        <f aca="false">IF($B133="","",$D133*$G133)</f>
        <v/>
      </c>
      <c r="I133" s="10" t="str">
        <f aca="false">IF($B133="","",$F133*$G133)</f>
        <v/>
      </c>
      <c r="J133" s="9"/>
      <c r="K133" s="10" t="str">
        <f aca="false">IF($B133="","",$E133*IFERROR(INDEX(Drinks!$B$4:$B$53,MATCH($B133,Drinks!$A$4:$A$53,0)),0))</f>
        <v/>
      </c>
      <c r="L133" s="10" t="str">
        <f aca="false">IF($B133="","",$J133+$K133)</f>
        <v/>
      </c>
      <c r="M133" s="9"/>
      <c r="N133" s="10" t="str">
        <f aca="false">IF($B133="","",$L133-$M133)</f>
        <v/>
      </c>
      <c r="O133" s="10" t="str">
        <f aca="false">IF($B133="","",IFERROR(INDEX(Drinks!$E$4:$E$53,MATCH($B133,Drinks!$A$4:$A$53,0)),0))</f>
        <v/>
      </c>
      <c r="P133" s="10" t="str">
        <f aca="false">IF($B133="","",$N133*$O133)</f>
        <v/>
      </c>
      <c r="Q133" s="10" t="str">
        <f aca="false">IF($B133="","",$N133*IFERROR(INDEX(Drinks!$D$4:$D$53,MATCH($B133,Drinks!$A$4:$A$53,0)),0))</f>
        <v/>
      </c>
      <c r="R133" s="10" t="str">
        <f aca="false">IF($B133="","",$P133-$Q133)</f>
        <v/>
      </c>
      <c r="S133" s="23" t="str">
        <f aca="false">IF($B133="","",IF(COUNTIFS($A$4:$A$2003,$A133-1,$B$4:$B$2003,$B133)=0,"first day",IF(SUMIFS($M$4:$M$2003,$A$4:$A$2003,$A133-1,$B$4:$B$2003,$B133)=$J133,"OK","CHECK")))</f>
        <v/>
      </c>
      <c r="T133" s="10" t="str">
        <f aca="false">IF($B133="","",IFERROR(INDEX(Drinks!$D$4:$D$53,MATCH($B133,Drinks!$A$4:$A$53,0)),0))</f>
        <v/>
      </c>
    </row>
    <row r="134" customFormat="false" ht="15" hidden="false" customHeight="false" outlineLevel="0" collapsed="false">
      <c r="A134" s="22"/>
      <c r="B134" s="9"/>
      <c r="C134" s="9"/>
      <c r="D134" s="9"/>
      <c r="E134" s="9"/>
      <c r="F134" s="10" t="str">
        <f aca="false">IF($B134="","",$C134+$D134-$E134)</f>
        <v/>
      </c>
      <c r="G134" s="10" t="str">
        <f aca="false">IF($B134="","",IFERROR(INDEX(Drinks!$C$4:$C$53,MATCH($B134,Drinks!$A$4:$A$53,0)),0))</f>
        <v/>
      </c>
      <c r="H134" s="10" t="str">
        <f aca="false">IF($B134="","",$D134*$G134)</f>
        <v/>
      </c>
      <c r="I134" s="10" t="str">
        <f aca="false">IF($B134="","",$F134*$G134)</f>
        <v/>
      </c>
      <c r="J134" s="9"/>
      <c r="K134" s="10" t="str">
        <f aca="false">IF($B134="","",$E134*IFERROR(INDEX(Drinks!$B$4:$B$53,MATCH($B134,Drinks!$A$4:$A$53,0)),0))</f>
        <v/>
      </c>
      <c r="L134" s="10" t="str">
        <f aca="false">IF($B134="","",$J134+$K134)</f>
        <v/>
      </c>
      <c r="M134" s="9"/>
      <c r="N134" s="10" t="str">
        <f aca="false">IF($B134="","",$L134-$M134)</f>
        <v/>
      </c>
      <c r="O134" s="10" t="str">
        <f aca="false">IF($B134="","",IFERROR(INDEX(Drinks!$E$4:$E$53,MATCH($B134,Drinks!$A$4:$A$53,0)),0))</f>
        <v/>
      </c>
      <c r="P134" s="10" t="str">
        <f aca="false">IF($B134="","",$N134*$O134)</f>
        <v/>
      </c>
      <c r="Q134" s="10" t="str">
        <f aca="false">IF($B134="","",$N134*IFERROR(INDEX(Drinks!$D$4:$D$53,MATCH($B134,Drinks!$A$4:$A$53,0)),0))</f>
        <v/>
      </c>
      <c r="R134" s="10" t="str">
        <f aca="false">IF($B134="","",$P134-$Q134)</f>
        <v/>
      </c>
      <c r="S134" s="23" t="str">
        <f aca="false">IF($B134="","",IF(COUNTIFS($A$4:$A$2003,$A134-1,$B$4:$B$2003,$B134)=0,"first day",IF(SUMIFS($M$4:$M$2003,$A$4:$A$2003,$A134-1,$B$4:$B$2003,$B134)=$J134,"OK","CHECK")))</f>
        <v/>
      </c>
      <c r="T134" s="10" t="str">
        <f aca="false">IF($B134="","",IFERROR(INDEX(Drinks!$D$4:$D$53,MATCH($B134,Drinks!$A$4:$A$53,0)),0))</f>
        <v/>
      </c>
    </row>
    <row r="135" customFormat="false" ht="15" hidden="false" customHeight="false" outlineLevel="0" collapsed="false">
      <c r="A135" s="22"/>
      <c r="B135" s="9"/>
      <c r="C135" s="9"/>
      <c r="D135" s="9"/>
      <c r="E135" s="9"/>
      <c r="F135" s="10" t="str">
        <f aca="false">IF($B135="","",$C135+$D135-$E135)</f>
        <v/>
      </c>
      <c r="G135" s="10" t="str">
        <f aca="false">IF($B135="","",IFERROR(INDEX(Drinks!$C$4:$C$53,MATCH($B135,Drinks!$A$4:$A$53,0)),0))</f>
        <v/>
      </c>
      <c r="H135" s="10" t="str">
        <f aca="false">IF($B135="","",$D135*$G135)</f>
        <v/>
      </c>
      <c r="I135" s="10" t="str">
        <f aca="false">IF($B135="","",$F135*$G135)</f>
        <v/>
      </c>
      <c r="J135" s="9"/>
      <c r="K135" s="10" t="str">
        <f aca="false">IF($B135="","",$E135*IFERROR(INDEX(Drinks!$B$4:$B$53,MATCH($B135,Drinks!$A$4:$A$53,0)),0))</f>
        <v/>
      </c>
      <c r="L135" s="10" t="str">
        <f aca="false">IF($B135="","",$J135+$K135)</f>
        <v/>
      </c>
      <c r="M135" s="9"/>
      <c r="N135" s="10" t="str">
        <f aca="false">IF($B135="","",$L135-$M135)</f>
        <v/>
      </c>
      <c r="O135" s="10" t="str">
        <f aca="false">IF($B135="","",IFERROR(INDEX(Drinks!$E$4:$E$53,MATCH($B135,Drinks!$A$4:$A$53,0)),0))</f>
        <v/>
      </c>
      <c r="P135" s="10" t="str">
        <f aca="false">IF($B135="","",$N135*$O135)</f>
        <v/>
      </c>
      <c r="Q135" s="10" t="str">
        <f aca="false">IF($B135="","",$N135*IFERROR(INDEX(Drinks!$D$4:$D$53,MATCH($B135,Drinks!$A$4:$A$53,0)),0))</f>
        <v/>
      </c>
      <c r="R135" s="10" t="str">
        <f aca="false">IF($B135="","",$P135-$Q135)</f>
        <v/>
      </c>
      <c r="S135" s="23" t="str">
        <f aca="false">IF($B135="","",IF(COUNTIFS($A$4:$A$2003,$A135-1,$B$4:$B$2003,$B135)=0,"first day",IF(SUMIFS($M$4:$M$2003,$A$4:$A$2003,$A135-1,$B$4:$B$2003,$B135)=$J135,"OK","CHECK")))</f>
        <v/>
      </c>
      <c r="T135" s="10" t="str">
        <f aca="false">IF($B135="","",IFERROR(INDEX(Drinks!$D$4:$D$53,MATCH($B135,Drinks!$A$4:$A$53,0)),0))</f>
        <v/>
      </c>
    </row>
    <row r="136" customFormat="false" ht="15" hidden="false" customHeight="false" outlineLevel="0" collapsed="false">
      <c r="A136" s="22"/>
      <c r="B136" s="9"/>
      <c r="C136" s="9"/>
      <c r="D136" s="9"/>
      <c r="E136" s="9"/>
      <c r="F136" s="10" t="str">
        <f aca="false">IF($B136="","",$C136+$D136-$E136)</f>
        <v/>
      </c>
      <c r="G136" s="10" t="str">
        <f aca="false">IF($B136="","",IFERROR(INDEX(Drinks!$C$4:$C$53,MATCH($B136,Drinks!$A$4:$A$53,0)),0))</f>
        <v/>
      </c>
      <c r="H136" s="10" t="str">
        <f aca="false">IF($B136="","",$D136*$G136)</f>
        <v/>
      </c>
      <c r="I136" s="10" t="str">
        <f aca="false">IF($B136="","",$F136*$G136)</f>
        <v/>
      </c>
      <c r="J136" s="9"/>
      <c r="K136" s="10" t="str">
        <f aca="false">IF($B136="","",$E136*IFERROR(INDEX(Drinks!$B$4:$B$53,MATCH($B136,Drinks!$A$4:$A$53,0)),0))</f>
        <v/>
      </c>
      <c r="L136" s="10" t="str">
        <f aca="false">IF($B136="","",$J136+$K136)</f>
        <v/>
      </c>
      <c r="M136" s="9"/>
      <c r="N136" s="10" t="str">
        <f aca="false">IF($B136="","",$L136-$M136)</f>
        <v/>
      </c>
      <c r="O136" s="10" t="str">
        <f aca="false">IF($B136="","",IFERROR(INDEX(Drinks!$E$4:$E$53,MATCH($B136,Drinks!$A$4:$A$53,0)),0))</f>
        <v/>
      </c>
      <c r="P136" s="10" t="str">
        <f aca="false">IF($B136="","",$N136*$O136)</f>
        <v/>
      </c>
      <c r="Q136" s="10" t="str">
        <f aca="false">IF($B136="","",$N136*IFERROR(INDEX(Drinks!$D$4:$D$53,MATCH($B136,Drinks!$A$4:$A$53,0)),0))</f>
        <v/>
      </c>
      <c r="R136" s="10" t="str">
        <f aca="false">IF($B136="","",$P136-$Q136)</f>
        <v/>
      </c>
      <c r="S136" s="23" t="str">
        <f aca="false">IF($B136="","",IF(COUNTIFS($A$4:$A$2003,$A136-1,$B$4:$B$2003,$B136)=0,"first day",IF(SUMIFS($M$4:$M$2003,$A$4:$A$2003,$A136-1,$B$4:$B$2003,$B136)=$J136,"OK","CHECK")))</f>
        <v/>
      </c>
      <c r="T136" s="10" t="str">
        <f aca="false">IF($B136="","",IFERROR(INDEX(Drinks!$D$4:$D$53,MATCH($B136,Drinks!$A$4:$A$53,0)),0))</f>
        <v/>
      </c>
    </row>
    <row r="137" customFormat="false" ht="15" hidden="false" customHeight="false" outlineLevel="0" collapsed="false">
      <c r="A137" s="22"/>
      <c r="B137" s="9"/>
      <c r="C137" s="9"/>
      <c r="D137" s="9"/>
      <c r="E137" s="9"/>
      <c r="F137" s="10" t="str">
        <f aca="false">IF($B137="","",$C137+$D137-$E137)</f>
        <v/>
      </c>
      <c r="G137" s="10" t="str">
        <f aca="false">IF($B137="","",IFERROR(INDEX(Drinks!$C$4:$C$53,MATCH($B137,Drinks!$A$4:$A$53,0)),0))</f>
        <v/>
      </c>
      <c r="H137" s="10" t="str">
        <f aca="false">IF($B137="","",$D137*$G137)</f>
        <v/>
      </c>
      <c r="I137" s="10" t="str">
        <f aca="false">IF($B137="","",$F137*$G137)</f>
        <v/>
      </c>
      <c r="J137" s="9"/>
      <c r="K137" s="10" t="str">
        <f aca="false">IF($B137="","",$E137*IFERROR(INDEX(Drinks!$B$4:$B$53,MATCH($B137,Drinks!$A$4:$A$53,0)),0))</f>
        <v/>
      </c>
      <c r="L137" s="10" t="str">
        <f aca="false">IF($B137="","",$J137+$K137)</f>
        <v/>
      </c>
      <c r="M137" s="9"/>
      <c r="N137" s="10" t="str">
        <f aca="false">IF($B137="","",$L137-$M137)</f>
        <v/>
      </c>
      <c r="O137" s="10" t="str">
        <f aca="false">IF($B137="","",IFERROR(INDEX(Drinks!$E$4:$E$53,MATCH($B137,Drinks!$A$4:$A$53,0)),0))</f>
        <v/>
      </c>
      <c r="P137" s="10" t="str">
        <f aca="false">IF($B137="","",$N137*$O137)</f>
        <v/>
      </c>
      <c r="Q137" s="10" t="str">
        <f aca="false">IF($B137="","",$N137*IFERROR(INDEX(Drinks!$D$4:$D$53,MATCH($B137,Drinks!$A$4:$A$53,0)),0))</f>
        <v/>
      </c>
      <c r="R137" s="10" t="str">
        <f aca="false">IF($B137="","",$P137-$Q137)</f>
        <v/>
      </c>
      <c r="S137" s="23" t="str">
        <f aca="false">IF($B137="","",IF(COUNTIFS($A$4:$A$2003,$A137-1,$B$4:$B$2003,$B137)=0,"first day",IF(SUMIFS($M$4:$M$2003,$A$4:$A$2003,$A137-1,$B$4:$B$2003,$B137)=$J137,"OK","CHECK")))</f>
        <v/>
      </c>
      <c r="T137" s="10" t="str">
        <f aca="false">IF($B137="","",IFERROR(INDEX(Drinks!$D$4:$D$53,MATCH($B137,Drinks!$A$4:$A$53,0)),0))</f>
        <v/>
      </c>
    </row>
    <row r="138" customFormat="false" ht="15" hidden="false" customHeight="false" outlineLevel="0" collapsed="false">
      <c r="A138" s="22"/>
      <c r="B138" s="9"/>
      <c r="C138" s="9"/>
      <c r="D138" s="9"/>
      <c r="E138" s="9"/>
      <c r="F138" s="10" t="str">
        <f aca="false">IF($B138="","",$C138+$D138-$E138)</f>
        <v/>
      </c>
      <c r="G138" s="10" t="str">
        <f aca="false">IF($B138="","",IFERROR(INDEX(Drinks!$C$4:$C$53,MATCH($B138,Drinks!$A$4:$A$53,0)),0))</f>
        <v/>
      </c>
      <c r="H138" s="10" t="str">
        <f aca="false">IF($B138="","",$D138*$G138)</f>
        <v/>
      </c>
      <c r="I138" s="10" t="str">
        <f aca="false">IF($B138="","",$F138*$G138)</f>
        <v/>
      </c>
      <c r="J138" s="9"/>
      <c r="K138" s="10" t="str">
        <f aca="false">IF($B138="","",$E138*IFERROR(INDEX(Drinks!$B$4:$B$53,MATCH($B138,Drinks!$A$4:$A$53,0)),0))</f>
        <v/>
      </c>
      <c r="L138" s="10" t="str">
        <f aca="false">IF($B138="","",$J138+$K138)</f>
        <v/>
      </c>
      <c r="M138" s="9"/>
      <c r="N138" s="10" t="str">
        <f aca="false">IF($B138="","",$L138-$M138)</f>
        <v/>
      </c>
      <c r="O138" s="10" t="str">
        <f aca="false">IF($B138="","",IFERROR(INDEX(Drinks!$E$4:$E$53,MATCH($B138,Drinks!$A$4:$A$53,0)),0))</f>
        <v/>
      </c>
      <c r="P138" s="10" t="str">
        <f aca="false">IF($B138="","",$N138*$O138)</f>
        <v/>
      </c>
      <c r="Q138" s="10" t="str">
        <f aca="false">IF($B138="","",$N138*IFERROR(INDEX(Drinks!$D$4:$D$53,MATCH($B138,Drinks!$A$4:$A$53,0)),0))</f>
        <v/>
      </c>
      <c r="R138" s="10" t="str">
        <f aca="false">IF($B138="","",$P138-$Q138)</f>
        <v/>
      </c>
      <c r="S138" s="23" t="str">
        <f aca="false">IF($B138="","",IF(COUNTIFS($A$4:$A$2003,$A138-1,$B$4:$B$2003,$B138)=0,"first day",IF(SUMIFS($M$4:$M$2003,$A$4:$A$2003,$A138-1,$B$4:$B$2003,$B138)=$J138,"OK","CHECK")))</f>
        <v/>
      </c>
      <c r="T138" s="10" t="str">
        <f aca="false">IF($B138="","",IFERROR(INDEX(Drinks!$D$4:$D$53,MATCH($B138,Drinks!$A$4:$A$53,0)),0))</f>
        <v/>
      </c>
    </row>
    <row r="139" customFormat="false" ht="15" hidden="false" customHeight="false" outlineLevel="0" collapsed="false">
      <c r="A139" s="22"/>
      <c r="B139" s="9"/>
      <c r="C139" s="9"/>
      <c r="D139" s="9"/>
      <c r="E139" s="9"/>
      <c r="F139" s="10" t="str">
        <f aca="false">IF($B139="","",$C139+$D139-$E139)</f>
        <v/>
      </c>
      <c r="G139" s="10" t="str">
        <f aca="false">IF($B139="","",IFERROR(INDEX(Drinks!$C$4:$C$53,MATCH($B139,Drinks!$A$4:$A$53,0)),0))</f>
        <v/>
      </c>
      <c r="H139" s="10" t="str">
        <f aca="false">IF($B139="","",$D139*$G139)</f>
        <v/>
      </c>
      <c r="I139" s="10" t="str">
        <f aca="false">IF($B139="","",$F139*$G139)</f>
        <v/>
      </c>
      <c r="J139" s="9"/>
      <c r="K139" s="10" t="str">
        <f aca="false">IF($B139="","",$E139*IFERROR(INDEX(Drinks!$B$4:$B$53,MATCH($B139,Drinks!$A$4:$A$53,0)),0))</f>
        <v/>
      </c>
      <c r="L139" s="10" t="str">
        <f aca="false">IF($B139="","",$J139+$K139)</f>
        <v/>
      </c>
      <c r="M139" s="9"/>
      <c r="N139" s="10" t="str">
        <f aca="false">IF($B139="","",$L139-$M139)</f>
        <v/>
      </c>
      <c r="O139" s="10" t="str">
        <f aca="false">IF($B139="","",IFERROR(INDEX(Drinks!$E$4:$E$53,MATCH($B139,Drinks!$A$4:$A$53,0)),0))</f>
        <v/>
      </c>
      <c r="P139" s="10" t="str">
        <f aca="false">IF($B139="","",$N139*$O139)</f>
        <v/>
      </c>
      <c r="Q139" s="10" t="str">
        <f aca="false">IF($B139="","",$N139*IFERROR(INDEX(Drinks!$D$4:$D$53,MATCH($B139,Drinks!$A$4:$A$53,0)),0))</f>
        <v/>
      </c>
      <c r="R139" s="10" t="str">
        <f aca="false">IF($B139="","",$P139-$Q139)</f>
        <v/>
      </c>
      <c r="S139" s="23" t="str">
        <f aca="false">IF($B139="","",IF(COUNTIFS($A$4:$A$2003,$A139-1,$B$4:$B$2003,$B139)=0,"first day",IF(SUMIFS($M$4:$M$2003,$A$4:$A$2003,$A139-1,$B$4:$B$2003,$B139)=$J139,"OK","CHECK")))</f>
        <v/>
      </c>
      <c r="T139" s="10" t="str">
        <f aca="false">IF($B139="","",IFERROR(INDEX(Drinks!$D$4:$D$53,MATCH($B139,Drinks!$A$4:$A$53,0)),0))</f>
        <v/>
      </c>
    </row>
    <row r="140" customFormat="false" ht="15" hidden="false" customHeight="false" outlineLevel="0" collapsed="false">
      <c r="A140" s="22"/>
      <c r="B140" s="9"/>
      <c r="C140" s="9"/>
      <c r="D140" s="9"/>
      <c r="E140" s="9"/>
      <c r="F140" s="10" t="str">
        <f aca="false">IF($B140="","",$C140+$D140-$E140)</f>
        <v/>
      </c>
      <c r="G140" s="10" t="str">
        <f aca="false">IF($B140="","",IFERROR(INDEX(Drinks!$C$4:$C$53,MATCH($B140,Drinks!$A$4:$A$53,0)),0))</f>
        <v/>
      </c>
      <c r="H140" s="10" t="str">
        <f aca="false">IF($B140="","",$D140*$G140)</f>
        <v/>
      </c>
      <c r="I140" s="10" t="str">
        <f aca="false">IF($B140="","",$F140*$G140)</f>
        <v/>
      </c>
      <c r="J140" s="9"/>
      <c r="K140" s="10" t="str">
        <f aca="false">IF($B140="","",$E140*IFERROR(INDEX(Drinks!$B$4:$B$53,MATCH($B140,Drinks!$A$4:$A$53,0)),0))</f>
        <v/>
      </c>
      <c r="L140" s="10" t="str">
        <f aca="false">IF($B140="","",$J140+$K140)</f>
        <v/>
      </c>
      <c r="M140" s="9"/>
      <c r="N140" s="10" t="str">
        <f aca="false">IF($B140="","",$L140-$M140)</f>
        <v/>
      </c>
      <c r="O140" s="10" t="str">
        <f aca="false">IF($B140="","",IFERROR(INDEX(Drinks!$E$4:$E$53,MATCH($B140,Drinks!$A$4:$A$53,0)),0))</f>
        <v/>
      </c>
      <c r="P140" s="10" t="str">
        <f aca="false">IF($B140="","",$N140*$O140)</f>
        <v/>
      </c>
      <c r="Q140" s="10" t="str">
        <f aca="false">IF($B140="","",$N140*IFERROR(INDEX(Drinks!$D$4:$D$53,MATCH($B140,Drinks!$A$4:$A$53,0)),0))</f>
        <v/>
      </c>
      <c r="R140" s="10" t="str">
        <f aca="false">IF($B140="","",$P140-$Q140)</f>
        <v/>
      </c>
      <c r="S140" s="23" t="str">
        <f aca="false">IF($B140="","",IF(COUNTIFS($A$4:$A$2003,$A140-1,$B$4:$B$2003,$B140)=0,"first day",IF(SUMIFS($M$4:$M$2003,$A$4:$A$2003,$A140-1,$B$4:$B$2003,$B140)=$J140,"OK","CHECK")))</f>
        <v/>
      </c>
      <c r="T140" s="10" t="str">
        <f aca="false">IF($B140="","",IFERROR(INDEX(Drinks!$D$4:$D$53,MATCH($B140,Drinks!$A$4:$A$53,0)),0))</f>
        <v/>
      </c>
    </row>
    <row r="141" customFormat="false" ht="15" hidden="false" customHeight="false" outlineLevel="0" collapsed="false">
      <c r="A141" s="22"/>
      <c r="B141" s="9"/>
      <c r="C141" s="9"/>
      <c r="D141" s="9"/>
      <c r="E141" s="9"/>
      <c r="F141" s="10" t="str">
        <f aca="false">IF($B141="","",$C141+$D141-$E141)</f>
        <v/>
      </c>
      <c r="G141" s="10" t="str">
        <f aca="false">IF($B141="","",IFERROR(INDEX(Drinks!$C$4:$C$53,MATCH($B141,Drinks!$A$4:$A$53,0)),0))</f>
        <v/>
      </c>
      <c r="H141" s="10" t="str">
        <f aca="false">IF($B141="","",$D141*$G141)</f>
        <v/>
      </c>
      <c r="I141" s="10" t="str">
        <f aca="false">IF($B141="","",$F141*$G141)</f>
        <v/>
      </c>
      <c r="J141" s="9"/>
      <c r="K141" s="10" t="str">
        <f aca="false">IF($B141="","",$E141*IFERROR(INDEX(Drinks!$B$4:$B$53,MATCH($B141,Drinks!$A$4:$A$53,0)),0))</f>
        <v/>
      </c>
      <c r="L141" s="10" t="str">
        <f aca="false">IF($B141="","",$J141+$K141)</f>
        <v/>
      </c>
      <c r="M141" s="9"/>
      <c r="N141" s="10" t="str">
        <f aca="false">IF($B141="","",$L141-$M141)</f>
        <v/>
      </c>
      <c r="O141" s="10" t="str">
        <f aca="false">IF($B141="","",IFERROR(INDEX(Drinks!$E$4:$E$53,MATCH($B141,Drinks!$A$4:$A$53,0)),0))</f>
        <v/>
      </c>
      <c r="P141" s="10" t="str">
        <f aca="false">IF($B141="","",$N141*$O141)</f>
        <v/>
      </c>
      <c r="Q141" s="10" t="str">
        <f aca="false">IF($B141="","",$N141*IFERROR(INDEX(Drinks!$D$4:$D$53,MATCH($B141,Drinks!$A$4:$A$53,0)),0))</f>
        <v/>
      </c>
      <c r="R141" s="10" t="str">
        <f aca="false">IF($B141="","",$P141-$Q141)</f>
        <v/>
      </c>
      <c r="S141" s="23" t="str">
        <f aca="false">IF($B141="","",IF(COUNTIFS($A$4:$A$2003,$A141-1,$B$4:$B$2003,$B141)=0,"first day",IF(SUMIFS($M$4:$M$2003,$A$4:$A$2003,$A141-1,$B$4:$B$2003,$B141)=$J141,"OK","CHECK")))</f>
        <v/>
      </c>
      <c r="T141" s="10" t="str">
        <f aca="false">IF($B141="","",IFERROR(INDEX(Drinks!$D$4:$D$53,MATCH($B141,Drinks!$A$4:$A$53,0)),0))</f>
        <v/>
      </c>
    </row>
    <row r="142" customFormat="false" ht="15" hidden="false" customHeight="false" outlineLevel="0" collapsed="false">
      <c r="A142" s="22"/>
      <c r="B142" s="9"/>
      <c r="C142" s="9"/>
      <c r="D142" s="9"/>
      <c r="E142" s="9"/>
      <c r="F142" s="10" t="str">
        <f aca="false">IF($B142="","",$C142+$D142-$E142)</f>
        <v/>
      </c>
      <c r="G142" s="10" t="str">
        <f aca="false">IF($B142="","",IFERROR(INDEX(Drinks!$C$4:$C$53,MATCH($B142,Drinks!$A$4:$A$53,0)),0))</f>
        <v/>
      </c>
      <c r="H142" s="10" t="str">
        <f aca="false">IF($B142="","",$D142*$G142)</f>
        <v/>
      </c>
      <c r="I142" s="10" t="str">
        <f aca="false">IF($B142="","",$F142*$G142)</f>
        <v/>
      </c>
      <c r="J142" s="9"/>
      <c r="K142" s="10" t="str">
        <f aca="false">IF($B142="","",$E142*IFERROR(INDEX(Drinks!$B$4:$B$53,MATCH($B142,Drinks!$A$4:$A$53,0)),0))</f>
        <v/>
      </c>
      <c r="L142" s="10" t="str">
        <f aca="false">IF($B142="","",$J142+$K142)</f>
        <v/>
      </c>
      <c r="M142" s="9"/>
      <c r="N142" s="10" t="str">
        <f aca="false">IF($B142="","",$L142-$M142)</f>
        <v/>
      </c>
      <c r="O142" s="10" t="str">
        <f aca="false">IF($B142="","",IFERROR(INDEX(Drinks!$E$4:$E$53,MATCH($B142,Drinks!$A$4:$A$53,0)),0))</f>
        <v/>
      </c>
      <c r="P142" s="10" t="str">
        <f aca="false">IF($B142="","",$N142*$O142)</f>
        <v/>
      </c>
      <c r="Q142" s="10" t="str">
        <f aca="false">IF($B142="","",$N142*IFERROR(INDEX(Drinks!$D$4:$D$53,MATCH($B142,Drinks!$A$4:$A$53,0)),0))</f>
        <v/>
      </c>
      <c r="R142" s="10" t="str">
        <f aca="false">IF($B142="","",$P142-$Q142)</f>
        <v/>
      </c>
      <c r="S142" s="23" t="str">
        <f aca="false">IF($B142="","",IF(COUNTIFS($A$4:$A$2003,$A142-1,$B$4:$B$2003,$B142)=0,"first day",IF(SUMIFS($M$4:$M$2003,$A$4:$A$2003,$A142-1,$B$4:$B$2003,$B142)=$J142,"OK","CHECK")))</f>
        <v/>
      </c>
      <c r="T142" s="10" t="str">
        <f aca="false">IF($B142="","",IFERROR(INDEX(Drinks!$D$4:$D$53,MATCH($B142,Drinks!$A$4:$A$53,0)),0))</f>
        <v/>
      </c>
    </row>
    <row r="143" customFormat="false" ht="15" hidden="false" customHeight="false" outlineLevel="0" collapsed="false">
      <c r="A143" s="22"/>
      <c r="B143" s="9"/>
      <c r="C143" s="9"/>
      <c r="D143" s="9"/>
      <c r="E143" s="9"/>
      <c r="F143" s="10" t="str">
        <f aca="false">IF($B143="","",$C143+$D143-$E143)</f>
        <v/>
      </c>
      <c r="G143" s="10" t="str">
        <f aca="false">IF($B143="","",IFERROR(INDEX(Drinks!$C$4:$C$53,MATCH($B143,Drinks!$A$4:$A$53,0)),0))</f>
        <v/>
      </c>
      <c r="H143" s="10" t="str">
        <f aca="false">IF($B143="","",$D143*$G143)</f>
        <v/>
      </c>
      <c r="I143" s="10" t="str">
        <f aca="false">IF($B143="","",$F143*$G143)</f>
        <v/>
      </c>
      <c r="J143" s="9"/>
      <c r="K143" s="10" t="str">
        <f aca="false">IF($B143="","",$E143*IFERROR(INDEX(Drinks!$B$4:$B$53,MATCH($B143,Drinks!$A$4:$A$53,0)),0))</f>
        <v/>
      </c>
      <c r="L143" s="10" t="str">
        <f aca="false">IF($B143="","",$J143+$K143)</f>
        <v/>
      </c>
      <c r="M143" s="9"/>
      <c r="N143" s="10" t="str">
        <f aca="false">IF($B143="","",$L143-$M143)</f>
        <v/>
      </c>
      <c r="O143" s="10" t="str">
        <f aca="false">IF($B143="","",IFERROR(INDEX(Drinks!$E$4:$E$53,MATCH($B143,Drinks!$A$4:$A$53,0)),0))</f>
        <v/>
      </c>
      <c r="P143" s="10" t="str">
        <f aca="false">IF($B143="","",$N143*$O143)</f>
        <v/>
      </c>
      <c r="Q143" s="10" t="str">
        <f aca="false">IF($B143="","",$N143*IFERROR(INDEX(Drinks!$D$4:$D$53,MATCH($B143,Drinks!$A$4:$A$53,0)),0))</f>
        <v/>
      </c>
      <c r="R143" s="10" t="str">
        <f aca="false">IF($B143="","",$P143-$Q143)</f>
        <v/>
      </c>
      <c r="S143" s="23" t="str">
        <f aca="false">IF($B143="","",IF(COUNTIFS($A$4:$A$2003,$A143-1,$B$4:$B$2003,$B143)=0,"first day",IF(SUMIFS($M$4:$M$2003,$A$4:$A$2003,$A143-1,$B$4:$B$2003,$B143)=$J143,"OK","CHECK")))</f>
        <v/>
      </c>
      <c r="T143" s="10" t="str">
        <f aca="false">IF($B143="","",IFERROR(INDEX(Drinks!$D$4:$D$53,MATCH($B143,Drinks!$A$4:$A$53,0)),0))</f>
        <v/>
      </c>
    </row>
    <row r="144" customFormat="false" ht="15" hidden="false" customHeight="false" outlineLevel="0" collapsed="false">
      <c r="A144" s="22"/>
      <c r="B144" s="9"/>
      <c r="C144" s="9"/>
      <c r="D144" s="9"/>
      <c r="E144" s="9"/>
      <c r="F144" s="10" t="str">
        <f aca="false">IF($B144="","",$C144+$D144-$E144)</f>
        <v/>
      </c>
      <c r="G144" s="10" t="str">
        <f aca="false">IF($B144="","",IFERROR(INDEX(Drinks!$C$4:$C$53,MATCH($B144,Drinks!$A$4:$A$53,0)),0))</f>
        <v/>
      </c>
      <c r="H144" s="10" t="str">
        <f aca="false">IF($B144="","",$D144*$G144)</f>
        <v/>
      </c>
      <c r="I144" s="10" t="str">
        <f aca="false">IF($B144="","",$F144*$G144)</f>
        <v/>
      </c>
      <c r="J144" s="9"/>
      <c r="K144" s="10" t="str">
        <f aca="false">IF($B144="","",$E144*IFERROR(INDEX(Drinks!$B$4:$B$53,MATCH($B144,Drinks!$A$4:$A$53,0)),0))</f>
        <v/>
      </c>
      <c r="L144" s="10" t="str">
        <f aca="false">IF($B144="","",$J144+$K144)</f>
        <v/>
      </c>
      <c r="M144" s="9"/>
      <c r="N144" s="10" t="str">
        <f aca="false">IF($B144="","",$L144-$M144)</f>
        <v/>
      </c>
      <c r="O144" s="10" t="str">
        <f aca="false">IF($B144="","",IFERROR(INDEX(Drinks!$E$4:$E$53,MATCH($B144,Drinks!$A$4:$A$53,0)),0))</f>
        <v/>
      </c>
      <c r="P144" s="10" t="str">
        <f aca="false">IF($B144="","",$N144*$O144)</f>
        <v/>
      </c>
      <c r="Q144" s="10" t="str">
        <f aca="false">IF($B144="","",$N144*IFERROR(INDEX(Drinks!$D$4:$D$53,MATCH($B144,Drinks!$A$4:$A$53,0)),0))</f>
        <v/>
      </c>
      <c r="R144" s="10" t="str">
        <f aca="false">IF($B144="","",$P144-$Q144)</f>
        <v/>
      </c>
      <c r="S144" s="23" t="str">
        <f aca="false">IF($B144="","",IF(COUNTIFS($A$4:$A$2003,$A144-1,$B$4:$B$2003,$B144)=0,"first day",IF(SUMIFS($M$4:$M$2003,$A$4:$A$2003,$A144-1,$B$4:$B$2003,$B144)=$J144,"OK","CHECK")))</f>
        <v/>
      </c>
      <c r="T144" s="10" t="str">
        <f aca="false">IF($B144="","",IFERROR(INDEX(Drinks!$D$4:$D$53,MATCH($B144,Drinks!$A$4:$A$53,0)),0))</f>
        <v/>
      </c>
    </row>
    <row r="145" customFormat="false" ht="15" hidden="false" customHeight="false" outlineLevel="0" collapsed="false">
      <c r="A145" s="22"/>
      <c r="B145" s="9"/>
      <c r="C145" s="9"/>
      <c r="D145" s="9"/>
      <c r="E145" s="9"/>
      <c r="F145" s="10" t="str">
        <f aca="false">IF($B145="","",$C145+$D145-$E145)</f>
        <v/>
      </c>
      <c r="G145" s="10" t="str">
        <f aca="false">IF($B145="","",IFERROR(INDEX(Drinks!$C$4:$C$53,MATCH($B145,Drinks!$A$4:$A$53,0)),0))</f>
        <v/>
      </c>
      <c r="H145" s="10" t="str">
        <f aca="false">IF($B145="","",$D145*$G145)</f>
        <v/>
      </c>
      <c r="I145" s="10" t="str">
        <f aca="false">IF($B145="","",$F145*$G145)</f>
        <v/>
      </c>
      <c r="J145" s="9"/>
      <c r="K145" s="10" t="str">
        <f aca="false">IF($B145="","",$E145*IFERROR(INDEX(Drinks!$B$4:$B$53,MATCH($B145,Drinks!$A$4:$A$53,0)),0))</f>
        <v/>
      </c>
      <c r="L145" s="10" t="str">
        <f aca="false">IF($B145="","",$J145+$K145)</f>
        <v/>
      </c>
      <c r="M145" s="9"/>
      <c r="N145" s="10" t="str">
        <f aca="false">IF($B145="","",$L145-$M145)</f>
        <v/>
      </c>
      <c r="O145" s="10" t="str">
        <f aca="false">IF($B145="","",IFERROR(INDEX(Drinks!$E$4:$E$53,MATCH($B145,Drinks!$A$4:$A$53,0)),0))</f>
        <v/>
      </c>
      <c r="P145" s="10" t="str">
        <f aca="false">IF($B145="","",$N145*$O145)</f>
        <v/>
      </c>
      <c r="Q145" s="10" t="str">
        <f aca="false">IF($B145="","",$N145*IFERROR(INDEX(Drinks!$D$4:$D$53,MATCH($B145,Drinks!$A$4:$A$53,0)),0))</f>
        <v/>
      </c>
      <c r="R145" s="10" t="str">
        <f aca="false">IF($B145="","",$P145-$Q145)</f>
        <v/>
      </c>
      <c r="S145" s="23" t="str">
        <f aca="false">IF($B145="","",IF(COUNTIFS($A$4:$A$2003,$A145-1,$B$4:$B$2003,$B145)=0,"first day",IF(SUMIFS($M$4:$M$2003,$A$4:$A$2003,$A145-1,$B$4:$B$2003,$B145)=$J145,"OK","CHECK")))</f>
        <v/>
      </c>
      <c r="T145" s="10" t="str">
        <f aca="false">IF($B145="","",IFERROR(INDEX(Drinks!$D$4:$D$53,MATCH($B145,Drinks!$A$4:$A$53,0)),0))</f>
        <v/>
      </c>
    </row>
    <row r="146" customFormat="false" ht="15" hidden="false" customHeight="false" outlineLevel="0" collapsed="false">
      <c r="A146" s="22"/>
      <c r="B146" s="9"/>
      <c r="C146" s="9"/>
      <c r="D146" s="9"/>
      <c r="E146" s="9"/>
      <c r="F146" s="10" t="str">
        <f aca="false">IF($B146="","",$C146+$D146-$E146)</f>
        <v/>
      </c>
      <c r="G146" s="10" t="str">
        <f aca="false">IF($B146="","",IFERROR(INDEX(Drinks!$C$4:$C$53,MATCH($B146,Drinks!$A$4:$A$53,0)),0))</f>
        <v/>
      </c>
      <c r="H146" s="10" t="str">
        <f aca="false">IF($B146="","",$D146*$G146)</f>
        <v/>
      </c>
      <c r="I146" s="10" t="str">
        <f aca="false">IF($B146="","",$F146*$G146)</f>
        <v/>
      </c>
      <c r="J146" s="9"/>
      <c r="K146" s="10" t="str">
        <f aca="false">IF($B146="","",$E146*IFERROR(INDEX(Drinks!$B$4:$B$53,MATCH($B146,Drinks!$A$4:$A$53,0)),0))</f>
        <v/>
      </c>
      <c r="L146" s="10" t="str">
        <f aca="false">IF($B146="","",$J146+$K146)</f>
        <v/>
      </c>
      <c r="M146" s="9"/>
      <c r="N146" s="10" t="str">
        <f aca="false">IF($B146="","",$L146-$M146)</f>
        <v/>
      </c>
      <c r="O146" s="10" t="str">
        <f aca="false">IF($B146="","",IFERROR(INDEX(Drinks!$E$4:$E$53,MATCH($B146,Drinks!$A$4:$A$53,0)),0))</f>
        <v/>
      </c>
      <c r="P146" s="10" t="str">
        <f aca="false">IF($B146="","",$N146*$O146)</f>
        <v/>
      </c>
      <c r="Q146" s="10" t="str">
        <f aca="false">IF($B146="","",$N146*IFERROR(INDEX(Drinks!$D$4:$D$53,MATCH($B146,Drinks!$A$4:$A$53,0)),0))</f>
        <v/>
      </c>
      <c r="R146" s="10" t="str">
        <f aca="false">IF($B146="","",$P146-$Q146)</f>
        <v/>
      </c>
      <c r="S146" s="23" t="str">
        <f aca="false">IF($B146="","",IF(COUNTIFS($A$4:$A$2003,$A146-1,$B$4:$B$2003,$B146)=0,"first day",IF(SUMIFS($M$4:$M$2003,$A$4:$A$2003,$A146-1,$B$4:$B$2003,$B146)=$J146,"OK","CHECK")))</f>
        <v/>
      </c>
      <c r="T146" s="10" t="str">
        <f aca="false">IF($B146="","",IFERROR(INDEX(Drinks!$D$4:$D$53,MATCH($B146,Drinks!$A$4:$A$53,0)),0))</f>
        <v/>
      </c>
    </row>
    <row r="147" customFormat="false" ht="15" hidden="false" customHeight="false" outlineLevel="0" collapsed="false">
      <c r="A147" s="22"/>
      <c r="B147" s="9"/>
      <c r="C147" s="9"/>
      <c r="D147" s="9"/>
      <c r="E147" s="9"/>
      <c r="F147" s="10" t="str">
        <f aca="false">IF($B147="","",$C147+$D147-$E147)</f>
        <v/>
      </c>
      <c r="G147" s="10" t="str">
        <f aca="false">IF($B147="","",IFERROR(INDEX(Drinks!$C$4:$C$53,MATCH($B147,Drinks!$A$4:$A$53,0)),0))</f>
        <v/>
      </c>
      <c r="H147" s="10" t="str">
        <f aca="false">IF($B147="","",$D147*$G147)</f>
        <v/>
      </c>
      <c r="I147" s="10" t="str">
        <f aca="false">IF($B147="","",$F147*$G147)</f>
        <v/>
      </c>
      <c r="J147" s="9"/>
      <c r="K147" s="10" t="str">
        <f aca="false">IF($B147="","",$E147*IFERROR(INDEX(Drinks!$B$4:$B$53,MATCH($B147,Drinks!$A$4:$A$53,0)),0))</f>
        <v/>
      </c>
      <c r="L147" s="10" t="str">
        <f aca="false">IF($B147="","",$J147+$K147)</f>
        <v/>
      </c>
      <c r="M147" s="9"/>
      <c r="N147" s="10" t="str">
        <f aca="false">IF($B147="","",$L147-$M147)</f>
        <v/>
      </c>
      <c r="O147" s="10" t="str">
        <f aca="false">IF($B147="","",IFERROR(INDEX(Drinks!$E$4:$E$53,MATCH($B147,Drinks!$A$4:$A$53,0)),0))</f>
        <v/>
      </c>
      <c r="P147" s="10" t="str">
        <f aca="false">IF($B147="","",$N147*$O147)</f>
        <v/>
      </c>
      <c r="Q147" s="10" t="str">
        <f aca="false">IF($B147="","",$N147*IFERROR(INDEX(Drinks!$D$4:$D$53,MATCH($B147,Drinks!$A$4:$A$53,0)),0))</f>
        <v/>
      </c>
      <c r="R147" s="10" t="str">
        <f aca="false">IF($B147="","",$P147-$Q147)</f>
        <v/>
      </c>
      <c r="S147" s="23" t="str">
        <f aca="false">IF($B147="","",IF(COUNTIFS($A$4:$A$2003,$A147-1,$B$4:$B$2003,$B147)=0,"first day",IF(SUMIFS($M$4:$M$2003,$A$4:$A$2003,$A147-1,$B$4:$B$2003,$B147)=$J147,"OK","CHECK")))</f>
        <v/>
      </c>
      <c r="T147" s="10" t="str">
        <f aca="false">IF($B147="","",IFERROR(INDEX(Drinks!$D$4:$D$53,MATCH($B147,Drinks!$A$4:$A$53,0)),0))</f>
        <v/>
      </c>
    </row>
    <row r="148" customFormat="false" ht="15" hidden="false" customHeight="false" outlineLevel="0" collapsed="false">
      <c r="A148" s="22"/>
      <c r="B148" s="9"/>
      <c r="C148" s="9"/>
      <c r="D148" s="9"/>
      <c r="E148" s="9"/>
      <c r="F148" s="10" t="str">
        <f aca="false">IF($B148="","",$C148+$D148-$E148)</f>
        <v/>
      </c>
      <c r="G148" s="10" t="str">
        <f aca="false">IF($B148="","",IFERROR(INDEX(Drinks!$C$4:$C$53,MATCH($B148,Drinks!$A$4:$A$53,0)),0))</f>
        <v/>
      </c>
      <c r="H148" s="10" t="str">
        <f aca="false">IF($B148="","",$D148*$G148)</f>
        <v/>
      </c>
      <c r="I148" s="10" t="str">
        <f aca="false">IF($B148="","",$F148*$G148)</f>
        <v/>
      </c>
      <c r="J148" s="9"/>
      <c r="K148" s="10" t="str">
        <f aca="false">IF($B148="","",$E148*IFERROR(INDEX(Drinks!$B$4:$B$53,MATCH($B148,Drinks!$A$4:$A$53,0)),0))</f>
        <v/>
      </c>
      <c r="L148" s="10" t="str">
        <f aca="false">IF($B148="","",$J148+$K148)</f>
        <v/>
      </c>
      <c r="M148" s="9"/>
      <c r="N148" s="10" t="str">
        <f aca="false">IF($B148="","",$L148-$M148)</f>
        <v/>
      </c>
      <c r="O148" s="10" t="str">
        <f aca="false">IF($B148="","",IFERROR(INDEX(Drinks!$E$4:$E$53,MATCH($B148,Drinks!$A$4:$A$53,0)),0))</f>
        <v/>
      </c>
      <c r="P148" s="10" t="str">
        <f aca="false">IF($B148="","",$N148*$O148)</f>
        <v/>
      </c>
      <c r="Q148" s="10" t="str">
        <f aca="false">IF($B148="","",$N148*IFERROR(INDEX(Drinks!$D$4:$D$53,MATCH($B148,Drinks!$A$4:$A$53,0)),0))</f>
        <v/>
      </c>
      <c r="R148" s="10" t="str">
        <f aca="false">IF($B148="","",$P148-$Q148)</f>
        <v/>
      </c>
      <c r="S148" s="23" t="str">
        <f aca="false">IF($B148="","",IF(COUNTIFS($A$4:$A$2003,$A148-1,$B$4:$B$2003,$B148)=0,"first day",IF(SUMIFS($M$4:$M$2003,$A$4:$A$2003,$A148-1,$B$4:$B$2003,$B148)=$J148,"OK","CHECK")))</f>
        <v/>
      </c>
      <c r="T148" s="10" t="str">
        <f aca="false">IF($B148="","",IFERROR(INDEX(Drinks!$D$4:$D$53,MATCH($B148,Drinks!$A$4:$A$53,0)),0))</f>
        <v/>
      </c>
    </row>
    <row r="149" customFormat="false" ht="15" hidden="false" customHeight="false" outlineLevel="0" collapsed="false">
      <c r="A149" s="22"/>
      <c r="B149" s="9"/>
      <c r="C149" s="9"/>
      <c r="D149" s="9"/>
      <c r="E149" s="9"/>
      <c r="F149" s="10" t="str">
        <f aca="false">IF($B149="","",$C149+$D149-$E149)</f>
        <v/>
      </c>
      <c r="G149" s="10" t="str">
        <f aca="false">IF($B149="","",IFERROR(INDEX(Drinks!$C$4:$C$53,MATCH($B149,Drinks!$A$4:$A$53,0)),0))</f>
        <v/>
      </c>
      <c r="H149" s="10" t="str">
        <f aca="false">IF($B149="","",$D149*$G149)</f>
        <v/>
      </c>
      <c r="I149" s="10" t="str">
        <f aca="false">IF($B149="","",$F149*$G149)</f>
        <v/>
      </c>
      <c r="J149" s="9"/>
      <c r="K149" s="10" t="str">
        <f aca="false">IF($B149="","",$E149*IFERROR(INDEX(Drinks!$B$4:$B$53,MATCH($B149,Drinks!$A$4:$A$53,0)),0))</f>
        <v/>
      </c>
      <c r="L149" s="10" t="str">
        <f aca="false">IF($B149="","",$J149+$K149)</f>
        <v/>
      </c>
      <c r="M149" s="9"/>
      <c r="N149" s="10" t="str">
        <f aca="false">IF($B149="","",$L149-$M149)</f>
        <v/>
      </c>
      <c r="O149" s="10" t="str">
        <f aca="false">IF($B149="","",IFERROR(INDEX(Drinks!$E$4:$E$53,MATCH($B149,Drinks!$A$4:$A$53,0)),0))</f>
        <v/>
      </c>
      <c r="P149" s="10" t="str">
        <f aca="false">IF($B149="","",$N149*$O149)</f>
        <v/>
      </c>
      <c r="Q149" s="10" t="str">
        <f aca="false">IF($B149="","",$N149*IFERROR(INDEX(Drinks!$D$4:$D$53,MATCH($B149,Drinks!$A$4:$A$53,0)),0))</f>
        <v/>
      </c>
      <c r="R149" s="10" t="str">
        <f aca="false">IF($B149="","",$P149-$Q149)</f>
        <v/>
      </c>
      <c r="S149" s="23" t="str">
        <f aca="false">IF($B149="","",IF(COUNTIFS($A$4:$A$2003,$A149-1,$B$4:$B$2003,$B149)=0,"first day",IF(SUMIFS($M$4:$M$2003,$A$4:$A$2003,$A149-1,$B$4:$B$2003,$B149)=$J149,"OK","CHECK")))</f>
        <v/>
      </c>
      <c r="T149" s="10" t="str">
        <f aca="false">IF($B149="","",IFERROR(INDEX(Drinks!$D$4:$D$53,MATCH($B149,Drinks!$A$4:$A$53,0)),0))</f>
        <v/>
      </c>
    </row>
    <row r="150" customFormat="false" ht="15" hidden="false" customHeight="false" outlineLevel="0" collapsed="false">
      <c r="A150" s="22"/>
      <c r="B150" s="9"/>
      <c r="C150" s="9"/>
      <c r="D150" s="9"/>
      <c r="E150" s="9"/>
      <c r="F150" s="10" t="str">
        <f aca="false">IF($B150="","",$C150+$D150-$E150)</f>
        <v/>
      </c>
      <c r="G150" s="10" t="str">
        <f aca="false">IF($B150="","",IFERROR(INDEX(Drinks!$C$4:$C$53,MATCH($B150,Drinks!$A$4:$A$53,0)),0))</f>
        <v/>
      </c>
      <c r="H150" s="10" t="str">
        <f aca="false">IF($B150="","",$D150*$G150)</f>
        <v/>
      </c>
      <c r="I150" s="10" t="str">
        <f aca="false">IF($B150="","",$F150*$G150)</f>
        <v/>
      </c>
      <c r="J150" s="9"/>
      <c r="K150" s="10" t="str">
        <f aca="false">IF($B150="","",$E150*IFERROR(INDEX(Drinks!$B$4:$B$53,MATCH($B150,Drinks!$A$4:$A$53,0)),0))</f>
        <v/>
      </c>
      <c r="L150" s="10" t="str">
        <f aca="false">IF($B150="","",$J150+$K150)</f>
        <v/>
      </c>
      <c r="M150" s="9"/>
      <c r="N150" s="10" t="str">
        <f aca="false">IF($B150="","",$L150-$M150)</f>
        <v/>
      </c>
      <c r="O150" s="10" t="str">
        <f aca="false">IF($B150="","",IFERROR(INDEX(Drinks!$E$4:$E$53,MATCH($B150,Drinks!$A$4:$A$53,0)),0))</f>
        <v/>
      </c>
      <c r="P150" s="10" t="str">
        <f aca="false">IF($B150="","",$N150*$O150)</f>
        <v/>
      </c>
      <c r="Q150" s="10" t="str">
        <f aca="false">IF($B150="","",$N150*IFERROR(INDEX(Drinks!$D$4:$D$53,MATCH($B150,Drinks!$A$4:$A$53,0)),0))</f>
        <v/>
      </c>
      <c r="R150" s="10" t="str">
        <f aca="false">IF($B150="","",$P150-$Q150)</f>
        <v/>
      </c>
      <c r="S150" s="23" t="str">
        <f aca="false">IF($B150="","",IF(COUNTIFS($A$4:$A$2003,$A150-1,$B$4:$B$2003,$B150)=0,"first day",IF(SUMIFS($M$4:$M$2003,$A$4:$A$2003,$A150-1,$B$4:$B$2003,$B150)=$J150,"OK","CHECK")))</f>
        <v/>
      </c>
      <c r="T150" s="10" t="str">
        <f aca="false">IF($B150="","",IFERROR(INDEX(Drinks!$D$4:$D$53,MATCH($B150,Drinks!$A$4:$A$53,0)),0))</f>
        <v/>
      </c>
    </row>
    <row r="151" customFormat="false" ht="15" hidden="false" customHeight="false" outlineLevel="0" collapsed="false">
      <c r="A151" s="22"/>
      <c r="B151" s="9"/>
      <c r="C151" s="9"/>
      <c r="D151" s="9"/>
      <c r="E151" s="9"/>
      <c r="F151" s="10" t="str">
        <f aca="false">IF($B151="","",$C151+$D151-$E151)</f>
        <v/>
      </c>
      <c r="G151" s="10" t="str">
        <f aca="false">IF($B151="","",IFERROR(INDEX(Drinks!$C$4:$C$53,MATCH($B151,Drinks!$A$4:$A$53,0)),0))</f>
        <v/>
      </c>
      <c r="H151" s="10" t="str">
        <f aca="false">IF($B151="","",$D151*$G151)</f>
        <v/>
      </c>
      <c r="I151" s="10" t="str">
        <f aca="false">IF($B151="","",$F151*$G151)</f>
        <v/>
      </c>
      <c r="J151" s="9"/>
      <c r="K151" s="10" t="str">
        <f aca="false">IF($B151="","",$E151*IFERROR(INDEX(Drinks!$B$4:$B$53,MATCH($B151,Drinks!$A$4:$A$53,0)),0))</f>
        <v/>
      </c>
      <c r="L151" s="10" t="str">
        <f aca="false">IF($B151="","",$J151+$K151)</f>
        <v/>
      </c>
      <c r="M151" s="9"/>
      <c r="N151" s="10" t="str">
        <f aca="false">IF($B151="","",$L151-$M151)</f>
        <v/>
      </c>
      <c r="O151" s="10" t="str">
        <f aca="false">IF($B151="","",IFERROR(INDEX(Drinks!$E$4:$E$53,MATCH($B151,Drinks!$A$4:$A$53,0)),0))</f>
        <v/>
      </c>
      <c r="P151" s="10" t="str">
        <f aca="false">IF($B151="","",$N151*$O151)</f>
        <v/>
      </c>
      <c r="Q151" s="10" t="str">
        <f aca="false">IF($B151="","",$N151*IFERROR(INDEX(Drinks!$D$4:$D$53,MATCH($B151,Drinks!$A$4:$A$53,0)),0))</f>
        <v/>
      </c>
      <c r="R151" s="10" t="str">
        <f aca="false">IF($B151="","",$P151-$Q151)</f>
        <v/>
      </c>
      <c r="S151" s="23" t="str">
        <f aca="false">IF($B151="","",IF(COUNTIFS($A$4:$A$2003,$A151-1,$B$4:$B$2003,$B151)=0,"first day",IF(SUMIFS($M$4:$M$2003,$A$4:$A$2003,$A151-1,$B$4:$B$2003,$B151)=$J151,"OK","CHECK")))</f>
        <v/>
      </c>
      <c r="T151" s="10" t="str">
        <f aca="false">IF($B151="","",IFERROR(INDEX(Drinks!$D$4:$D$53,MATCH($B151,Drinks!$A$4:$A$53,0)),0))</f>
        <v/>
      </c>
    </row>
    <row r="152" customFormat="false" ht="15" hidden="false" customHeight="false" outlineLevel="0" collapsed="false">
      <c r="A152" s="22"/>
      <c r="B152" s="9"/>
      <c r="C152" s="9"/>
      <c r="D152" s="9"/>
      <c r="E152" s="9"/>
      <c r="F152" s="10" t="str">
        <f aca="false">IF($B152="","",$C152+$D152-$E152)</f>
        <v/>
      </c>
      <c r="G152" s="10" t="str">
        <f aca="false">IF($B152="","",IFERROR(INDEX(Drinks!$C$4:$C$53,MATCH($B152,Drinks!$A$4:$A$53,0)),0))</f>
        <v/>
      </c>
      <c r="H152" s="10" t="str">
        <f aca="false">IF($B152="","",$D152*$G152)</f>
        <v/>
      </c>
      <c r="I152" s="10" t="str">
        <f aca="false">IF($B152="","",$F152*$G152)</f>
        <v/>
      </c>
      <c r="J152" s="9"/>
      <c r="K152" s="10" t="str">
        <f aca="false">IF($B152="","",$E152*IFERROR(INDEX(Drinks!$B$4:$B$53,MATCH($B152,Drinks!$A$4:$A$53,0)),0))</f>
        <v/>
      </c>
      <c r="L152" s="10" t="str">
        <f aca="false">IF($B152="","",$J152+$K152)</f>
        <v/>
      </c>
      <c r="M152" s="9"/>
      <c r="N152" s="10" t="str">
        <f aca="false">IF($B152="","",$L152-$M152)</f>
        <v/>
      </c>
      <c r="O152" s="10" t="str">
        <f aca="false">IF($B152="","",IFERROR(INDEX(Drinks!$E$4:$E$53,MATCH($B152,Drinks!$A$4:$A$53,0)),0))</f>
        <v/>
      </c>
      <c r="P152" s="10" t="str">
        <f aca="false">IF($B152="","",$N152*$O152)</f>
        <v/>
      </c>
      <c r="Q152" s="10" t="str">
        <f aca="false">IF($B152="","",$N152*IFERROR(INDEX(Drinks!$D$4:$D$53,MATCH($B152,Drinks!$A$4:$A$53,0)),0))</f>
        <v/>
      </c>
      <c r="R152" s="10" t="str">
        <f aca="false">IF($B152="","",$P152-$Q152)</f>
        <v/>
      </c>
      <c r="S152" s="23" t="str">
        <f aca="false">IF($B152="","",IF(COUNTIFS($A$4:$A$2003,$A152-1,$B$4:$B$2003,$B152)=0,"first day",IF(SUMIFS($M$4:$M$2003,$A$4:$A$2003,$A152-1,$B$4:$B$2003,$B152)=$J152,"OK","CHECK")))</f>
        <v/>
      </c>
      <c r="T152" s="10" t="str">
        <f aca="false">IF($B152="","",IFERROR(INDEX(Drinks!$D$4:$D$53,MATCH($B152,Drinks!$A$4:$A$53,0)),0))</f>
        <v/>
      </c>
    </row>
    <row r="153" customFormat="false" ht="15" hidden="false" customHeight="false" outlineLevel="0" collapsed="false">
      <c r="A153" s="22"/>
      <c r="B153" s="9"/>
      <c r="C153" s="9"/>
      <c r="D153" s="9"/>
      <c r="E153" s="9"/>
      <c r="F153" s="10" t="str">
        <f aca="false">IF($B153="","",$C153+$D153-$E153)</f>
        <v/>
      </c>
      <c r="G153" s="10" t="str">
        <f aca="false">IF($B153="","",IFERROR(INDEX(Drinks!$C$4:$C$53,MATCH($B153,Drinks!$A$4:$A$53,0)),0))</f>
        <v/>
      </c>
      <c r="H153" s="10" t="str">
        <f aca="false">IF($B153="","",$D153*$G153)</f>
        <v/>
      </c>
      <c r="I153" s="10" t="str">
        <f aca="false">IF($B153="","",$F153*$G153)</f>
        <v/>
      </c>
      <c r="J153" s="9"/>
      <c r="K153" s="10" t="str">
        <f aca="false">IF($B153="","",$E153*IFERROR(INDEX(Drinks!$B$4:$B$53,MATCH($B153,Drinks!$A$4:$A$53,0)),0))</f>
        <v/>
      </c>
      <c r="L153" s="10" t="str">
        <f aca="false">IF($B153="","",$J153+$K153)</f>
        <v/>
      </c>
      <c r="M153" s="9"/>
      <c r="N153" s="10" t="str">
        <f aca="false">IF($B153="","",$L153-$M153)</f>
        <v/>
      </c>
      <c r="O153" s="10" t="str">
        <f aca="false">IF($B153="","",IFERROR(INDEX(Drinks!$E$4:$E$53,MATCH($B153,Drinks!$A$4:$A$53,0)),0))</f>
        <v/>
      </c>
      <c r="P153" s="10" t="str">
        <f aca="false">IF($B153="","",$N153*$O153)</f>
        <v/>
      </c>
      <c r="Q153" s="10" t="str">
        <f aca="false">IF($B153="","",$N153*IFERROR(INDEX(Drinks!$D$4:$D$53,MATCH($B153,Drinks!$A$4:$A$53,0)),0))</f>
        <v/>
      </c>
      <c r="R153" s="10" t="str">
        <f aca="false">IF($B153="","",$P153-$Q153)</f>
        <v/>
      </c>
      <c r="S153" s="23" t="str">
        <f aca="false">IF($B153="","",IF(COUNTIFS($A$4:$A$2003,$A153-1,$B$4:$B$2003,$B153)=0,"first day",IF(SUMIFS($M$4:$M$2003,$A$4:$A$2003,$A153-1,$B$4:$B$2003,$B153)=$J153,"OK","CHECK")))</f>
        <v/>
      </c>
      <c r="T153" s="10" t="str">
        <f aca="false">IF($B153="","",IFERROR(INDEX(Drinks!$D$4:$D$53,MATCH($B153,Drinks!$A$4:$A$53,0)),0))</f>
        <v/>
      </c>
    </row>
    <row r="154" customFormat="false" ht="15" hidden="false" customHeight="false" outlineLevel="0" collapsed="false">
      <c r="A154" s="22"/>
      <c r="B154" s="9"/>
      <c r="C154" s="9"/>
      <c r="D154" s="9"/>
      <c r="E154" s="9"/>
      <c r="F154" s="10" t="str">
        <f aca="false">IF($B154="","",$C154+$D154-$E154)</f>
        <v/>
      </c>
      <c r="G154" s="10" t="str">
        <f aca="false">IF($B154="","",IFERROR(INDEX(Drinks!$C$4:$C$53,MATCH($B154,Drinks!$A$4:$A$53,0)),0))</f>
        <v/>
      </c>
      <c r="H154" s="10" t="str">
        <f aca="false">IF($B154="","",$D154*$G154)</f>
        <v/>
      </c>
      <c r="I154" s="10" t="str">
        <f aca="false">IF($B154="","",$F154*$G154)</f>
        <v/>
      </c>
      <c r="J154" s="9"/>
      <c r="K154" s="10" t="str">
        <f aca="false">IF($B154="","",$E154*IFERROR(INDEX(Drinks!$B$4:$B$53,MATCH($B154,Drinks!$A$4:$A$53,0)),0))</f>
        <v/>
      </c>
      <c r="L154" s="10" t="str">
        <f aca="false">IF($B154="","",$J154+$K154)</f>
        <v/>
      </c>
      <c r="M154" s="9"/>
      <c r="N154" s="10" t="str">
        <f aca="false">IF($B154="","",$L154-$M154)</f>
        <v/>
      </c>
      <c r="O154" s="10" t="str">
        <f aca="false">IF($B154="","",IFERROR(INDEX(Drinks!$E$4:$E$53,MATCH($B154,Drinks!$A$4:$A$53,0)),0))</f>
        <v/>
      </c>
      <c r="P154" s="10" t="str">
        <f aca="false">IF($B154="","",$N154*$O154)</f>
        <v/>
      </c>
      <c r="Q154" s="10" t="str">
        <f aca="false">IF($B154="","",$N154*IFERROR(INDEX(Drinks!$D$4:$D$53,MATCH($B154,Drinks!$A$4:$A$53,0)),0))</f>
        <v/>
      </c>
      <c r="R154" s="10" t="str">
        <f aca="false">IF($B154="","",$P154-$Q154)</f>
        <v/>
      </c>
      <c r="S154" s="23" t="str">
        <f aca="false">IF($B154="","",IF(COUNTIFS($A$4:$A$2003,$A154-1,$B$4:$B$2003,$B154)=0,"first day",IF(SUMIFS($M$4:$M$2003,$A$4:$A$2003,$A154-1,$B$4:$B$2003,$B154)=$J154,"OK","CHECK")))</f>
        <v/>
      </c>
      <c r="T154" s="10" t="str">
        <f aca="false">IF($B154="","",IFERROR(INDEX(Drinks!$D$4:$D$53,MATCH($B154,Drinks!$A$4:$A$53,0)),0))</f>
        <v/>
      </c>
    </row>
    <row r="155" customFormat="false" ht="15" hidden="false" customHeight="false" outlineLevel="0" collapsed="false">
      <c r="A155" s="22"/>
      <c r="B155" s="9"/>
      <c r="C155" s="9"/>
      <c r="D155" s="9"/>
      <c r="E155" s="9"/>
      <c r="F155" s="10" t="str">
        <f aca="false">IF($B155="","",$C155+$D155-$E155)</f>
        <v/>
      </c>
      <c r="G155" s="10" t="str">
        <f aca="false">IF($B155="","",IFERROR(INDEX(Drinks!$C$4:$C$53,MATCH($B155,Drinks!$A$4:$A$53,0)),0))</f>
        <v/>
      </c>
      <c r="H155" s="10" t="str">
        <f aca="false">IF($B155="","",$D155*$G155)</f>
        <v/>
      </c>
      <c r="I155" s="10" t="str">
        <f aca="false">IF($B155="","",$F155*$G155)</f>
        <v/>
      </c>
      <c r="J155" s="9"/>
      <c r="K155" s="10" t="str">
        <f aca="false">IF($B155="","",$E155*IFERROR(INDEX(Drinks!$B$4:$B$53,MATCH($B155,Drinks!$A$4:$A$53,0)),0))</f>
        <v/>
      </c>
      <c r="L155" s="10" t="str">
        <f aca="false">IF($B155="","",$J155+$K155)</f>
        <v/>
      </c>
      <c r="M155" s="9"/>
      <c r="N155" s="10" t="str">
        <f aca="false">IF($B155="","",$L155-$M155)</f>
        <v/>
      </c>
      <c r="O155" s="10" t="str">
        <f aca="false">IF($B155="","",IFERROR(INDEX(Drinks!$E$4:$E$53,MATCH($B155,Drinks!$A$4:$A$53,0)),0))</f>
        <v/>
      </c>
      <c r="P155" s="10" t="str">
        <f aca="false">IF($B155="","",$N155*$O155)</f>
        <v/>
      </c>
      <c r="Q155" s="10" t="str">
        <f aca="false">IF($B155="","",$N155*IFERROR(INDEX(Drinks!$D$4:$D$53,MATCH($B155,Drinks!$A$4:$A$53,0)),0))</f>
        <v/>
      </c>
      <c r="R155" s="10" t="str">
        <f aca="false">IF($B155="","",$P155-$Q155)</f>
        <v/>
      </c>
      <c r="S155" s="23" t="str">
        <f aca="false">IF($B155="","",IF(COUNTIFS($A$4:$A$2003,$A155-1,$B$4:$B$2003,$B155)=0,"first day",IF(SUMIFS($M$4:$M$2003,$A$4:$A$2003,$A155-1,$B$4:$B$2003,$B155)=$J155,"OK","CHECK")))</f>
        <v/>
      </c>
      <c r="T155" s="10" t="str">
        <f aca="false">IF($B155="","",IFERROR(INDEX(Drinks!$D$4:$D$53,MATCH($B155,Drinks!$A$4:$A$53,0)),0))</f>
        <v/>
      </c>
    </row>
    <row r="156" customFormat="false" ht="15" hidden="false" customHeight="false" outlineLevel="0" collapsed="false">
      <c r="A156" s="22"/>
      <c r="B156" s="9"/>
      <c r="C156" s="9"/>
      <c r="D156" s="9"/>
      <c r="E156" s="9"/>
      <c r="F156" s="10" t="str">
        <f aca="false">IF($B156="","",$C156+$D156-$E156)</f>
        <v/>
      </c>
      <c r="G156" s="10" t="str">
        <f aca="false">IF($B156="","",IFERROR(INDEX(Drinks!$C$4:$C$53,MATCH($B156,Drinks!$A$4:$A$53,0)),0))</f>
        <v/>
      </c>
      <c r="H156" s="10" t="str">
        <f aca="false">IF($B156="","",$D156*$G156)</f>
        <v/>
      </c>
      <c r="I156" s="10" t="str">
        <f aca="false">IF($B156="","",$F156*$G156)</f>
        <v/>
      </c>
      <c r="J156" s="9"/>
      <c r="K156" s="10" t="str">
        <f aca="false">IF($B156="","",$E156*IFERROR(INDEX(Drinks!$B$4:$B$53,MATCH($B156,Drinks!$A$4:$A$53,0)),0))</f>
        <v/>
      </c>
      <c r="L156" s="10" t="str">
        <f aca="false">IF($B156="","",$J156+$K156)</f>
        <v/>
      </c>
      <c r="M156" s="9"/>
      <c r="N156" s="10" t="str">
        <f aca="false">IF($B156="","",$L156-$M156)</f>
        <v/>
      </c>
      <c r="O156" s="10" t="str">
        <f aca="false">IF($B156="","",IFERROR(INDEX(Drinks!$E$4:$E$53,MATCH($B156,Drinks!$A$4:$A$53,0)),0))</f>
        <v/>
      </c>
      <c r="P156" s="10" t="str">
        <f aca="false">IF($B156="","",$N156*$O156)</f>
        <v/>
      </c>
      <c r="Q156" s="10" t="str">
        <f aca="false">IF($B156="","",$N156*IFERROR(INDEX(Drinks!$D$4:$D$53,MATCH($B156,Drinks!$A$4:$A$53,0)),0))</f>
        <v/>
      </c>
      <c r="R156" s="10" t="str">
        <f aca="false">IF($B156="","",$P156-$Q156)</f>
        <v/>
      </c>
      <c r="S156" s="23" t="str">
        <f aca="false">IF($B156="","",IF(COUNTIFS($A$4:$A$2003,$A156-1,$B$4:$B$2003,$B156)=0,"first day",IF(SUMIFS($M$4:$M$2003,$A$4:$A$2003,$A156-1,$B$4:$B$2003,$B156)=$J156,"OK","CHECK")))</f>
        <v/>
      </c>
      <c r="T156" s="10" t="str">
        <f aca="false">IF($B156="","",IFERROR(INDEX(Drinks!$D$4:$D$53,MATCH($B156,Drinks!$A$4:$A$53,0)),0))</f>
        <v/>
      </c>
    </row>
    <row r="157" customFormat="false" ht="15" hidden="false" customHeight="false" outlineLevel="0" collapsed="false">
      <c r="A157" s="22"/>
      <c r="B157" s="9"/>
      <c r="C157" s="9"/>
      <c r="D157" s="9"/>
      <c r="E157" s="9"/>
      <c r="F157" s="10" t="str">
        <f aca="false">IF($B157="","",$C157+$D157-$E157)</f>
        <v/>
      </c>
      <c r="G157" s="10" t="str">
        <f aca="false">IF($B157="","",IFERROR(INDEX(Drinks!$C$4:$C$53,MATCH($B157,Drinks!$A$4:$A$53,0)),0))</f>
        <v/>
      </c>
      <c r="H157" s="10" t="str">
        <f aca="false">IF($B157="","",$D157*$G157)</f>
        <v/>
      </c>
      <c r="I157" s="10" t="str">
        <f aca="false">IF($B157="","",$F157*$G157)</f>
        <v/>
      </c>
      <c r="J157" s="9"/>
      <c r="K157" s="10" t="str">
        <f aca="false">IF($B157="","",$E157*IFERROR(INDEX(Drinks!$B$4:$B$53,MATCH($B157,Drinks!$A$4:$A$53,0)),0))</f>
        <v/>
      </c>
      <c r="L157" s="10" t="str">
        <f aca="false">IF($B157="","",$J157+$K157)</f>
        <v/>
      </c>
      <c r="M157" s="9"/>
      <c r="N157" s="10" t="str">
        <f aca="false">IF($B157="","",$L157-$M157)</f>
        <v/>
      </c>
      <c r="O157" s="10" t="str">
        <f aca="false">IF($B157="","",IFERROR(INDEX(Drinks!$E$4:$E$53,MATCH($B157,Drinks!$A$4:$A$53,0)),0))</f>
        <v/>
      </c>
      <c r="P157" s="10" t="str">
        <f aca="false">IF($B157="","",$N157*$O157)</f>
        <v/>
      </c>
      <c r="Q157" s="10" t="str">
        <f aca="false">IF($B157="","",$N157*IFERROR(INDEX(Drinks!$D$4:$D$53,MATCH($B157,Drinks!$A$4:$A$53,0)),0))</f>
        <v/>
      </c>
      <c r="R157" s="10" t="str">
        <f aca="false">IF($B157="","",$P157-$Q157)</f>
        <v/>
      </c>
      <c r="S157" s="23" t="str">
        <f aca="false">IF($B157="","",IF(COUNTIFS($A$4:$A$2003,$A157-1,$B$4:$B$2003,$B157)=0,"first day",IF(SUMIFS($M$4:$M$2003,$A$4:$A$2003,$A157-1,$B$4:$B$2003,$B157)=$J157,"OK","CHECK")))</f>
        <v/>
      </c>
      <c r="T157" s="10" t="str">
        <f aca="false">IF($B157="","",IFERROR(INDEX(Drinks!$D$4:$D$53,MATCH($B157,Drinks!$A$4:$A$53,0)),0))</f>
        <v/>
      </c>
    </row>
    <row r="158" customFormat="false" ht="15" hidden="false" customHeight="false" outlineLevel="0" collapsed="false">
      <c r="A158" s="22"/>
      <c r="B158" s="9"/>
      <c r="C158" s="9"/>
      <c r="D158" s="9"/>
      <c r="E158" s="9"/>
      <c r="F158" s="10" t="str">
        <f aca="false">IF($B158="","",$C158+$D158-$E158)</f>
        <v/>
      </c>
      <c r="G158" s="10" t="str">
        <f aca="false">IF($B158="","",IFERROR(INDEX(Drinks!$C$4:$C$53,MATCH($B158,Drinks!$A$4:$A$53,0)),0))</f>
        <v/>
      </c>
      <c r="H158" s="10" t="str">
        <f aca="false">IF($B158="","",$D158*$G158)</f>
        <v/>
      </c>
      <c r="I158" s="10" t="str">
        <f aca="false">IF($B158="","",$F158*$G158)</f>
        <v/>
      </c>
      <c r="J158" s="9"/>
      <c r="K158" s="10" t="str">
        <f aca="false">IF($B158="","",$E158*IFERROR(INDEX(Drinks!$B$4:$B$53,MATCH($B158,Drinks!$A$4:$A$53,0)),0))</f>
        <v/>
      </c>
      <c r="L158" s="10" t="str">
        <f aca="false">IF($B158="","",$J158+$K158)</f>
        <v/>
      </c>
      <c r="M158" s="9"/>
      <c r="N158" s="10" t="str">
        <f aca="false">IF($B158="","",$L158-$M158)</f>
        <v/>
      </c>
      <c r="O158" s="10" t="str">
        <f aca="false">IF($B158="","",IFERROR(INDEX(Drinks!$E$4:$E$53,MATCH($B158,Drinks!$A$4:$A$53,0)),0))</f>
        <v/>
      </c>
      <c r="P158" s="10" t="str">
        <f aca="false">IF($B158="","",$N158*$O158)</f>
        <v/>
      </c>
      <c r="Q158" s="10" t="str">
        <f aca="false">IF($B158="","",$N158*IFERROR(INDEX(Drinks!$D$4:$D$53,MATCH($B158,Drinks!$A$4:$A$53,0)),0))</f>
        <v/>
      </c>
      <c r="R158" s="10" t="str">
        <f aca="false">IF($B158="","",$P158-$Q158)</f>
        <v/>
      </c>
      <c r="S158" s="23" t="str">
        <f aca="false">IF($B158="","",IF(COUNTIFS($A$4:$A$2003,$A158-1,$B$4:$B$2003,$B158)=0,"first day",IF(SUMIFS($M$4:$M$2003,$A$4:$A$2003,$A158-1,$B$4:$B$2003,$B158)=$J158,"OK","CHECK")))</f>
        <v/>
      </c>
      <c r="T158" s="10" t="str">
        <f aca="false">IF($B158="","",IFERROR(INDEX(Drinks!$D$4:$D$53,MATCH($B158,Drinks!$A$4:$A$53,0)),0))</f>
        <v/>
      </c>
    </row>
    <row r="159" customFormat="false" ht="15" hidden="false" customHeight="false" outlineLevel="0" collapsed="false">
      <c r="A159" s="22"/>
      <c r="B159" s="9"/>
      <c r="C159" s="9"/>
      <c r="D159" s="9"/>
      <c r="E159" s="9"/>
      <c r="F159" s="10" t="str">
        <f aca="false">IF($B159="","",$C159+$D159-$E159)</f>
        <v/>
      </c>
      <c r="G159" s="10" t="str">
        <f aca="false">IF($B159="","",IFERROR(INDEX(Drinks!$C$4:$C$53,MATCH($B159,Drinks!$A$4:$A$53,0)),0))</f>
        <v/>
      </c>
      <c r="H159" s="10" t="str">
        <f aca="false">IF($B159="","",$D159*$G159)</f>
        <v/>
      </c>
      <c r="I159" s="10" t="str">
        <f aca="false">IF($B159="","",$F159*$G159)</f>
        <v/>
      </c>
      <c r="J159" s="9"/>
      <c r="K159" s="10" t="str">
        <f aca="false">IF($B159="","",$E159*IFERROR(INDEX(Drinks!$B$4:$B$53,MATCH($B159,Drinks!$A$4:$A$53,0)),0))</f>
        <v/>
      </c>
      <c r="L159" s="10" t="str">
        <f aca="false">IF($B159="","",$J159+$K159)</f>
        <v/>
      </c>
      <c r="M159" s="9"/>
      <c r="N159" s="10" t="str">
        <f aca="false">IF($B159="","",$L159-$M159)</f>
        <v/>
      </c>
      <c r="O159" s="10" t="str">
        <f aca="false">IF($B159="","",IFERROR(INDEX(Drinks!$E$4:$E$53,MATCH($B159,Drinks!$A$4:$A$53,0)),0))</f>
        <v/>
      </c>
      <c r="P159" s="10" t="str">
        <f aca="false">IF($B159="","",$N159*$O159)</f>
        <v/>
      </c>
      <c r="Q159" s="10" t="str">
        <f aca="false">IF($B159="","",$N159*IFERROR(INDEX(Drinks!$D$4:$D$53,MATCH($B159,Drinks!$A$4:$A$53,0)),0))</f>
        <v/>
      </c>
      <c r="R159" s="10" t="str">
        <f aca="false">IF($B159="","",$P159-$Q159)</f>
        <v/>
      </c>
      <c r="S159" s="23" t="str">
        <f aca="false">IF($B159="","",IF(COUNTIFS($A$4:$A$2003,$A159-1,$B$4:$B$2003,$B159)=0,"first day",IF(SUMIFS($M$4:$M$2003,$A$4:$A$2003,$A159-1,$B$4:$B$2003,$B159)=$J159,"OK","CHECK")))</f>
        <v/>
      </c>
      <c r="T159" s="10" t="str">
        <f aca="false">IF($B159="","",IFERROR(INDEX(Drinks!$D$4:$D$53,MATCH($B159,Drinks!$A$4:$A$53,0)),0))</f>
        <v/>
      </c>
    </row>
    <row r="160" customFormat="false" ht="15" hidden="false" customHeight="false" outlineLevel="0" collapsed="false">
      <c r="A160" s="22"/>
      <c r="B160" s="9"/>
      <c r="C160" s="9"/>
      <c r="D160" s="9"/>
      <c r="E160" s="9"/>
      <c r="F160" s="10" t="str">
        <f aca="false">IF($B160="","",$C160+$D160-$E160)</f>
        <v/>
      </c>
      <c r="G160" s="10" t="str">
        <f aca="false">IF($B160="","",IFERROR(INDEX(Drinks!$C$4:$C$53,MATCH($B160,Drinks!$A$4:$A$53,0)),0))</f>
        <v/>
      </c>
      <c r="H160" s="10" t="str">
        <f aca="false">IF($B160="","",$D160*$G160)</f>
        <v/>
      </c>
      <c r="I160" s="10" t="str">
        <f aca="false">IF($B160="","",$F160*$G160)</f>
        <v/>
      </c>
      <c r="J160" s="9"/>
      <c r="K160" s="10" t="str">
        <f aca="false">IF($B160="","",$E160*IFERROR(INDEX(Drinks!$B$4:$B$53,MATCH($B160,Drinks!$A$4:$A$53,0)),0))</f>
        <v/>
      </c>
      <c r="L160" s="10" t="str">
        <f aca="false">IF($B160="","",$J160+$K160)</f>
        <v/>
      </c>
      <c r="M160" s="9"/>
      <c r="N160" s="10" t="str">
        <f aca="false">IF($B160="","",$L160-$M160)</f>
        <v/>
      </c>
      <c r="O160" s="10" t="str">
        <f aca="false">IF($B160="","",IFERROR(INDEX(Drinks!$E$4:$E$53,MATCH($B160,Drinks!$A$4:$A$53,0)),0))</f>
        <v/>
      </c>
      <c r="P160" s="10" t="str">
        <f aca="false">IF($B160="","",$N160*$O160)</f>
        <v/>
      </c>
      <c r="Q160" s="10" t="str">
        <f aca="false">IF($B160="","",$N160*IFERROR(INDEX(Drinks!$D$4:$D$53,MATCH($B160,Drinks!$A$4:$A$53,0)),0))</f>
        <v/>
      </c>
      <c r="R160" s="10" t="str">
        <f aca="false">IF($B160="","",$P160-$Q160)</f>
        <v/>
      </c>
      <c r="S160" s="23" t="str">
        <f aca="false">IF($B160="","",IF(COUNTIFS($A$4:$A$2003,$A160-1,$B$4:$B$2003,$B160)=0,"first day",IF(SUMIFS($M$4:$M$2003,$A$4:$A$2003,$A160-1,$B$4:$B$2003,$B160)=$J160,"OK","CHECK")))</f>
        <v/>
      </c>
      <c r="T160" s="10" t="str">
        <f aca="false">IF($B160="","",IFERROR(INDEX(Drinks!$D$4:$D$53,MATCH($B160,Drinks!$A$4:$A$53,0)),0))</f>
        <v/>
      </c>
    </row>
    <row r="161" customFormat="false" ht="15" hidden="false" customHeight="false" outlineLevel="0" collapsed="false">
      <c r="A161" s="22"/>
      <c r="B161" s="9"/>
      <c r="C161" s="9"/>
      <c r="D161" s="9"/>
      <c r="E161" s="9"/>
      <c r="F161" s="10" t="str">
        <f aca="false">IF($B161="","",$C161+$D161-$E161)</f>
        <v/>
      </c>
      <c r="G161" s="10" t="str">
        <f aca="false">IF($B161="","",IFERROR(INDEX(Drinks!$C$4:$C$53,MATCH($B161,Drinks!$A$4:$A$53,0)),0))</f>
        <v/>
      </c>
      <c r="H161" s="10" t="str">
        <f aca="false">IF($B161="","",$D161*$G161)</f>
        <v/>
      </c>
      <c r="I161" s="10" t="str">
        <f aca="false">IF($B161="","",$F161*$G161)</f>
        <v/>
      </c>
      <c r="J161" s="9"/>
      <c r="K161" s="10" t="str">
        <f aca="false">IF($B161="","",$E161*IFERROR(INDEX(Drinks!$B$4:$B$53,MATCH($B161,Drinks!$A$4:$A$53,0)),0))</f>
        <v/>
      </c>
      <c r="L161" s="10" t="str">
        <f aca="false">IF($B161="","",$J161+$K161)</f>
        <v/>
      </c>
      <c r="M161" s="9"/>
      <c r="N161" s="10" t="str">
        <f aca="false">IF($B161="","",$L161-$M161)</f>
        <v/>
      </c>
      <c r="O161" s="10" t="str">
        <f aca="false">IF($B161="","",IFERROR(INDEX(Drinks!$E$4:$E$53,MATCH($B161,Drinks!$A$4:$A$53,0)),0))</f>
        <v/>
      </c>
      <c r="P161" s="10" t="str">
        <f aca="false">IF($B161="","",$N161*$O161)</f>
        <v/>
      </c>
      <c r="Q161" s="10" t="str">
        <f aca="false">IF($B161="","",$N161*IFERROR(INDEX(Drinks!$D$4:$D$53,MATCH($B161,Drinks!$A$4:$A$53,0)),0))</f>
        <v/>
      </c>
      <c r="R161" s="10" t="str">
        <f aca="false">IF($B161="","",$P161-$Q161)</f>
        <v/>
      </c>
      <c r="S161" s="23" t="str">
        <f aca="false">IF($B161="","",IF(COUNTIFS($A$4:$A$2003,$A161-1,$B$4:$B$2003,$B161)=0,"first day",IF(SUMIFS($M$4:$M$2003,$A$4:$A$2003,$A161-1,$B$4:$B$2003,$B161)=$J161,"OK","CHECK")))</f>
        <v/>
      </c>
      <c r="T161" s="10" t="str">
        <f aca="false">IF($B161="","",IFERROR(INDEX(Drinks!$D$4:$D$53,MATCH($B161,Drinks!$A$4:$A$53,0)),0))</f>
        <v/>
      </c>
    </row>
    <row r="162" customFormat="false" ht="15" hidden="false" customHeight="false" outlineLevel="0" collapsed="false">
      <c r="A162" s="22"/>
      <c r="B162" s="9"/>
      <c r="C162" s="9"/>
      <c r="D162" s="9"/>
      <c r="E162" s="9"/>
      <c r="F162" s="10" t="str">
        <f aca="false">IF($B162="","",$C162+$D162-$E162)</f>
        <v/>
      </c>
      <c r="G162" s="10" t="str">
        <f aca="false">IF($B162="","",IFERROR(INDEX(Drinks!$C$4:$C$53,MATCH($B162,Drinks!$A$4:$A$53,0)),0))</f>
        <v/>
      </c>
      <c r="H162" s="10" t="str">
        <f aca="false">IF($B162="","",$D162*$G162)</f>
        <v/>
      </c>
      <c r="I162" s="10" t="str">
        <f aca="false">IF($B162="","",$F162*$G162)</f>
        <v/>
      </c>
      <c r="J162" s="9"/>
      <c r="K162" s="10" t="str">
        <f aca="false">IF($B162="","",$E162*IFERROR(INDEX(Drinks!$B$4:$B$53,MATCH($B162,Drinks!$A$4:$A$53,0)),0))</f>
        <v/>
      </c>
      <c r="L162" s="10" t="str">
        <f aca="false">IF($B162="","",$J162+$K162)</f>
        <v/>
      </c>
      <c r="M162" s="9"/>
      <c r="N162" s="10" t="str">
        <f aca="false">IF($B162="","",$L162-$M162)</f>
        <v/>
      </c>
      <c r="O162" s="10" t="str">
        <f aca="false">IF($B162="","",IFERROR(INDEX(Drinks!$E$4:$E$53,MATCH($B162,Drinks!$A$4:$A$53,0)),0))</f>
        <v/>
      </c>
      <c r="P162" s="10" t="str">
        <f aca="false">IF($B162="","",$N162*$O162)</f>
        <v/>
      </c>
      <c r="Q162" s="10" t="str">
        <f aca="false">IF($B162="","",$N162*IFERROR(INDEX(Drinks!$D$4:$D$53,MATCH($B162,Drinks!$A$4:$A$53,0)),0))</f>
        <v/>
      </c>
      <c r="R162" s="10" t="str">
        <f aca="false">IF($B162="","",$P162-$Q162)</f>
        <v/>
      </c>
      <c r="S162" s="23" t="str">
        <f aca="false">IF($B162="","",IF(COUNTIFS($A$4:$A$2003,$A162-1,$B$4:$B$2003,$B162)=0,"first day",IF(SUMIFS($M$4:$M$2003,$A$4:$A$2003,$A162-1,$B$4:$B$2003,$B162)=$J162,"OK","CHECK")))</f>
        <v/>
      </c>
      <c r="T162" s="10" t="str">
        <f aca="false">IF($B162="","",IFERROR(INDEX(Drinks!$D$4:$D$53,MATCH($B162,Drinks!$A$4:$A$53,0)),0))</f>
        <v/>
      </c>
    </row>
    <row r="163" customFormat="false" ht="15" hidden="false" customHeight="false" outlineLevel="0" collapsed="false">
      <c r="A163" s="22"/>
      <c r="B163" s="9"/>
      <c r="C163" s="9"/>
      <c r="D163" s="9"/>
      <c r="E163" s="9"/>
      <c r="F163" s="10" t="str">
        <f aca="false">IF($B163="","",$C163+$D163-$E163)</f>
        <v/>
      </c>
      <c r="G163" s="10" t="str">
        <f aca="false">IF($B163="","",IFERROR(INDEX(Drinks!$C$4:$C$53,MATCH($B163,Drinks!$A$4:$A$53,0)),0))</f>
        <v/>
      </c>
      <c r="H163" s="10" t="str">
        <f aca="false">IF($B163="","",$D163*$G163)</f>
        <v/>
      </c>
      <c r="I163" s="10" t="str">
        <f aca="false">IF($B163="","",$F163*$G163)</f>
        <v/>
      </c>
      <c r="J163" s="9"/>
      <c r="K163" s="10" t="str">
        <f aca="false">IF($B163="","",$E163*IFERROR(INDEX(Drinks!$B$4:$B$53,MATCH($B163,Drinks!$A$4:$A$53,0)),0))</f>
        <v/>
      </c>
      <c r="L163" s="10" t="str">
        <f aca="false">IF($B163="","",$J163+$K163)</f>
        <v/>
      </c>
      <c r="M163" s="9"/>
      <c r="N163" s="10" t="str">
        <f aca="false">IF($B163="","",$L163-$M163)</f>
        <v/>
      </c>
      <c r="O163" s="10" t="str">
        <f aca="false">IF($B163="","",IFERROR(INDEX(Drinks!$E$4:$E$53,MATCH($B163,Drinks!$A$4:$A$53,0)),0))</f>
        <v/>
      </c>
      <c r="P163" s="10" t="str">
        <f aca="false">IF($B163="","",$N163*$O163)</f>
        <v/>
      </c>
      <c r="Q163" s="10" t="str">
        <f aca="false">IF($B163="","",$N163*IFERROR(INDEX(Drinks!$D$4:$D$53,MATCH($B163,Drinks!$A$4:$A$53,0)),0))</f>
        <v/>
      </c>
      <c r="R163" s="10" t="str">
        <f aca="false">IF($B163="","",$P163-$Q163)</f>
        <v/>
      </c>
      <c r="S163" s="23" t="str">
        <f aca="false">IF($B163="","",IF(COUNTIFS($A$4:$A$2003,$A163-1,$B$4:$B$2003,$B163)=0,"first day",IF(SUMIFS($M$4:$M$2003,$A$4:$A$2003,$A163-1,$B$4:$B$2003,$B163)=$J163,"OK","CHECK")))</f>
        <v/>
      </c>
      <c r="T163" s="10" t="str">
        <f aca="false">IF($B163="","",IFERROR(INDEX(Drinks!$D$4:$D$53,MATCH($B163,Drinks!$A$4:$A$53,0)),0))</f>
        <v/>
      </c>
    </row>
    <row r="164" customFormat="false" ht="15" hidden="false" customHeight="false" outlineLevel="0" collapsed="false">
      <c r="A164" s="22"/>
      <c r="B164" s="9"/>
      <c r="C164" s="9"/>
      <c r="D164" s="9"/>
      <c r="E164" s="9"/>
      <c r="F164" s="10" t="str">
        <f aca="false">IF($B164="","",$C164+$D164-$E164)</f>
        <v/>
      </c>
      <c r="G164" s="10" t="str">
        <f aca="false">IF($B164="","",IFERROR(INDEX(Drinks!$C$4:$C$53,MATCH($B164,Drinks!$A$4:$A$53,0)),0))</f>
        <v/>
      </c>
      <c r="H164" s="10" t="str">
        <f aca="false">IF($B164="","",$D164*$G164)</f>
        <v/>
      </c>
      <c r="I164" s="10" t="str">
        <f aca="false">IF($B164="","",$F164*$G164)</f>
        <v/>
      </c>
      <c r="J164" s="9"/>
      <c r="K164" s="10" t="str">
        <f aca="false">IF($B164="","",$E164*IFERROR(INDEX(Drinks!$B$4:$B$53,MATCH($B164,Drinks!$A$4:$A$53,0)),0))</f>
        <v/>
      </c>
      <c r="L164" s="10" t="str">
        <f aca="false">IF($B164="","",$J164+$K164)</f>
        <v/>
      </c>
      <c r="M164" s="9"/>
      <c r="N164" s="10" t="str">
        <f aca="false">IF($B164="","",$L164-$M164)</f>
        <v/>
      </c>
      <c r="O164" s="10" t="str">
        <f aca="false">IF($B164="","",IFERROR(INDEX(Drinks!$E$4:$E$53,MATCH($B164,Drinks!$A$4:$A$53,0)),0))</f>
        <v/>
      </c>
      <c r="P164" s="10" t="str">
        <f aca="false">IF($B164="","",$N164*$O164)</f>
        <v/>
      </c>
      <c r="Q164" s="10" t="str">
        <f aca="false">IF($B164="","",$N164*IFERROR(INDEX(Drinks!$D$4:$D$53,MATCH($B164,Drinks!$A$4:$A$53,0)),0))</f>
        <v/>
      </c>
      <c r="R164" s="10" t="str">
        <f aca="false">IF($B164="","",$P164-$Q164)</f>
        <v/>
      </c>
      <c r="S164" s="23" t="str">
        <f aca="false">IF($B164="","",IF(COUNTIFS($A$4:$A$2003,$A164-1,$B$4:$B$2003,$B164)=0,"first day",IF(SUMIFS($M$4:$M$2003,$A$4:$A$2003,$A164-1,$B$4:$B$2003,$B164)=$J164,"OK","CHECK")))</f>
        <v/>
      </c>
      <c r="T164" s="10" t="str">
        <f aca="false">IF($B164="","",IFERROR(INDEX(Drinks!$D$4:$D$53,MATCH($B164,Drinks!$A$4:$A$53,0)),0))</f>
        <v/>
      </c>
    </row>
    <row r="165" customFormat="false" ht="15" hidden="false" customHeight="false" outlineLevel="0" collapsed="false">
      <c r="A165" s="22"/>
      <c r="B165" s="9"/>
      <c r="C165" s="9"/>
      <c r="D165" s="9"/>
      <c r="E165" s="9"/>
      <c r="F165" s="10" t="str">
        <f aca="false">IF($B165="","",$C165+$D165-$E165)</f>
        <v/>
      </c>
      <c r="G165" s="10" t="str">
        <f aca="false">IF($B165="","",IFERROR(INDEX(Drinks!$C$4:$C$53,MATCH($B165,Drinks!$A$4:$A$53,0)),0))</f>
        <v/>
      </c>
      <c r="H165" s="10" t="str">
        <f aca="false">IF($B165="","",$D165*$G165)</f>
        <v/>
      </c>
      <c r="I165" s="10" t="str">
        <f aca="false">IF($B165="","",$F165*$G165)</f>
        <v/>
      </c>
      <c r="J165" s="9"/>
      <c r="K165" s="10" t="str">
        <f aca="false">IF($B165="","",$E165*IFERROR(INDEX(Drinks!$B$4:$B$53,MATCH($B165,Drinks!$A$4:$A$53,0)),0))</f>
        <v/>
      </c>
      <c r="L165" s="10" t="str">
        <f aca="false">IF($B165="","",$J165+$K165)</f>
        <v/>
      </c>
      <c r="M165" s="9"/>
      <c r="N165" s="10" t="str">
        <f aca="false">IF($B165="","",$L165-$M165)</f>
        <v/>
      </c>
      <c r="O165" s="10" t="str">
        <f aca="false">IF($B165="","",IFERROR(INDEX(Drinks!$E$4:$E$53,MATCH($B165,Drinks!$A$4:$A$53,0)),0))</f>
        <v/>
      </c>
      <c r="P165" s="10" t="str">
        <f aca="false">IF($B165="","",$N165*$O165)</f>
        <v/>
      </c>
      <c r="Q165" s="10" t="str">
        <f aca="false">IF($B165="","",$N165*IFERROR(INDEX(Drinks!$D$4:$D$53,MATCH($B165,Drinks!$A$4:$A$53,0)),0))</f>
        <v/>
      </c>
      <c r="R165" s="10" t="str">
        <f aca="false">IF($B165="","",$P165-$Q165)</f>
        <v/>
      </c>
      <c r="S165" s="23" t="str">
        <f aca="false">IF($B165="","",IF(COUNTIFS($A$4:$A$2003,$A165-1,$B$4:$B$2003,$B165)=0,"first day",IF(SUMIFS($M$4:$M$2003,$A$4:$A$2003,$A165-1,$B$4:$B$2003,$B165)=$J165,"OK","CHECK")))</f>
        <v/>
      </c>
      <c r="T165" s="10" t="str">
        <f aca="false">IF($B165="","",IFERROR(INDEX(Drinks!$D$4:$D$53,MATCH($B165,Drinks!$A$4:$A$53,0)),0))</f>
        <v/>
      </c>
    </row>
    <row r="166" customFormat="false" ht="15" hidden="false" customHeight="false" outlineLevel="0" collapsed="false">
      <c r="A166" s="22"/>
      <c r="B166" s="9"/>
      <c r="C166" s="9"/>
      <c r="D166" s="9"/>
      <c r="E166" s="9"/>
      <c r="F166" s="10" t="str">
        <f aca="false">IF($B166="","",$C166+$D166-$E166)</f>
        <v/>
      </c>
      <c r="G166" s="10" t="str">
        <f aca="false">IF($B166="","",IFERROR(INDEX(Drinks!$C$4:$C$53,MATCH($B166,Drinks!$A$4:$A$53,0)),0))</f>
        <v/>
      </c>
      <c r="H166" s="10" t="str">
        <f aca="false">IF($B166="","",$D166*$G166)</f>
        <v/>
      </c>
      <c r="I166" s="10" t="str">
        <f aca="false">IF($B166="","",$F166*$G166)</f>
        <v/>
      </c>
      <c r="J166" s="9"/>
      <c r="K166" s="10" t="str">
        <f aca="false">IF($B166="","",$E166*IFERROR(INDEX(Drinks!$B$4:$B$53,MATCH($B166,Drinks!$A$4:$A$53,0)),0))</f>
        <v/>
      </c>
      <c r="L166" s="10" t="str">
        <f aca="false">IF($B166="","",$J166+$K166)</f>
        <v/>
      </c>
      <c r="M166" s="9"/>
      <c r="N166" s="10" t="str">
        <f aca="false">IF($B166="","",$L166-$M166)</f>
        <v/>
      </c>
      <c r="O166" s="10" t="str">
        <f aca="false">IF($B166="","",IFERROR(INDEX(Drinks!$E$4:$E$53,MATCH($B166,Drinks!$A$4:$A$53,0)),0))</f>
        <v/>
      </c>
      <c r="P166" s="10" t="str">
        <f aca="false">IF($B166="","",$N166*$O166)</f>
        <v/>
      </c>
      <c r="Q166" s="10" t="str">
        <f aca="false">IF($B166="","",$N166*IFERROR(INDEX(Drinks!$D$4:$D$53,MATCH($B166,Drinks!$A$4:$A$53,0)),0))</f>
        <v/>
      </c>
      <c r="R166" s="10" t="str">
        <f aca="false">IF($B166="","",$P166-$Q166)</f>
        <v/>
      </c>
      <c r="S166" s="23" t="str">
        <f aca="false">IF($B166="","",IF(COUNTIFS($A$4:$A$2003,$A166-1,$B$4:$B$2003,$B166)=0,"first day",IF(SUMIFS($M$4:$M$2003,$A$4:$A$2003,$A166-1,$B$4:$B$2003,$B166)=$J166,"OK","CHECK")))</f>
        <v/>
      </c>
      <c r="T166" s="10" t="str">
        <f aca="false">IF($B166="","",IFERROR(INDEX(Drinks!$D$4:$D$53,MATCH($B166,Drinks!$A$4:$A$53,0)),0))</f>
        <v/>
      </c>
    </row>
    <row r="167" customFormat="false" ht="15" hidden="false" customHeight="false" outlineLevel="0" collapsed="false">
      <c r="A167" s="22"/>
      <c r="B167" s="9"/>
      <c r="C167" s="9"/>
      <c r="D167" s="9"/>
      <c r="E167" s="9"/>
      <c r="F167" s="10" t="str">
        <f aca="false">IF($B167="","",$C167+$D167-$E167)</f>
        <v/>
      </c>
      <c r="G167" s="10" t="str">
        <f aca="false">IF($B167="","",IFERROR(INDEX(Drinks!$C$4:$C$53,MATCH($B167,Drinks!$A$4:$A$53,0)),0))</f>
        <v/>
      </c>
      <c r="H167" s="10" t="str">
        <f aca="false">IF($B167="","",$D167*$G167)</f>
        <v/>
      </c>
      <c r="I167" s="10" t="str">
        <f aca="false">IF($B167="","",$F167*$G167)</f>
        <v/>
      </c>
      <c r="J167" s="9"/>
      <c r="K167" s="10" t="str">
        <f aca="false">IF($B167="","",$E167*IFERROR(INDEX(Drinks!$B$4:$B$53,MATCH($B167,Drinks!$A$4:$A$53,0)),0))</f>
        <v/>
      </c>
      <c r="L167" s="10" t="str">
        <f aca="false">IF($B167="","",$J167+$K167)</f>
        <v/>
      </c>
      <c r="M167" s="9"/>
      <c r="N167" s="10" t="str">
        <f aca="false">IF($B167="","",$L167-$M167)</f>
        <v/>
      </c>
      <c r="O167" s="10" t="str">
        <f aca="false">IF($B167="","",IFERROR(INDEX(Drinks!$E$4:$E$53,MATCH($B167,Drinks!$A$4:$A$53,0)),0))</f>
        <v/>
      </c>
      <c r="P167" s="10" t="str">
        <f aca="false">IF($B167="","",$N167*$O167)</f>
        <v/>
      </c>
      <c r="Q167" s="10" t="str">
        <f aca="false">IF($B167="","",$N167*IFERROR(INDEX(Drinks!$D$4:$D$53,MATCH($B167,Drinks!$A$4:$A$53,0)),0))</f>
        <v/>
      </c>
      <c r="R167" s="10" t="str">
        <f aca="false">IF($B167="","",$P167-$Q167)</f>
        <v/>
      </c>
      <c r="S167" s="23" t="str">
        <f aca="false">IF($B167="","",IF(COUNTIFS($A$4:$A$2003,$A167-1,$B$4:$B$2003,$B167)=0,"first day",IF(SUMIFS($M$4:$M$2003,$A$4:$A$2003,$A167-1,$B$4:$B$2003,$B167)=$J167,"OK","CHECK")))</f>
        <v/>
      </c>
      <c r="T167" s="10" t="str">
        <f aca="false">IF($B167="","",IFERROR(INDEX(Drinks!$D$4:$D$53,MATCH($B167,Drinks!$A$4:$A$53,0)),0))</f>
        <v/>
      </c>
    </row>
    <row r="168" customFormat="false" ht="15" hidden="false" customHeight="false" outlineLevel="0" collapsed="false">
      <c r="A168" s="22"/>
      <c r="B168" s="9"/>
      <c r="C168" s="9"/>
      <c r="D168" s="9"/>
      <c r="E168" s="9"/>
      <c r="F168" s="10" t="str">
        <f aca="false">IF($B168="","",$C168+$D168-$E168)</f>
        <v/>
      </c>
      <c r="G168" s="10" t="str">
        <f aca="false">IF($B168="","",IFERROR(INDEX(Drinks!$C$4:$C$53,MATCH($B168,Drinks!$A$4:$A$53,0)),0))</f>
        <v/>
      </c>
      <c r="H168" s="10" t="str">
        <f aca="false">IF($B168="","",$D168*$G168)</f>
        <v/>
      </c>
      <c r="I168" s="10" t="str">
        <f aca="false">IF($B168="","",$F168*$G168)</f>
        <v/>
      </c>
      <c r="J168" s="9"/>
      <c r="K168" s="10" t="str">
        <f aca="false">IF($B168="","",$E168*IFERROR(INDEX(Drinks!$B$4:$B$53,MATCH($B168,Drinks!$A$4:$A$53,0)),0))</f>
        <v/>
      </c>
      <c r="L168" s="10" t="str">
        <f aca="false">IF($B168="","",$J168+$K168)</f>
        <v/>
      </c>
      <c r="M168" s="9"/>
      <c r="N168" s="10" t="str">
        <f aca="false">IF($B168="","",$L168-$M168)</f>
        <v/>
      </c>
      <c r="O168" s="10" t="str">
        <f aca="false">IF($B168="","",IFERROR(INDEX(Drinks!$E$4:$E$53,MATCH($B168,Drinks!$A$4:$A$53,0)),0))</f>
        <v/>
      </c>
      <c r="P168" s="10" t="str">
        <f aca="false">IF($B168="","",$N168*$O168)</f>
        <v/>
      </c>
      <c r="Q168" s="10" t="str">
        <f aca="false">IF($B168="","",$N168*IFERROR(INDEX(Drinks!$D$4:$D$53,MATCH($B168,Drinks!$A$4:$A$53,0)),0))</f>
        <v/>
      </c>
      <c r="R168" s="10" t="str">
        <f aca="false">IF($B168="","",$P168-$Q168)</f>
        <v/>
      </c>
      <c r="S168" s="23" t="str">
        <f aca="false">IF($B168="","",IF(COUNTIFS($A$4:$A$2003,$A168-1,$B$4:$B$2003,$B168)=0,"first day",IF(SUMIFS($M$4:$M$2003,$A$4:$A$2003,$A168-1,$B$4:$B$2003,$B168)=$J168,"OK","CHECK")))</f>
        <v/>
      </c>
      <c r="T168" s="10" t="str">
        <f aca="false">IF($B168="","",IFERROR(INDEX(Drinks!$D$4:$D$53,MATCH($B168,Drinks!$A$4:$A$53,0)),0))</f>
        <v/>
      </c>
    </row>
    <row r="169" customFormat="false" ht="15" hidden="false" customHeight="false" outlineLevel="0" collapsed="false">
      <c r="A169" s="22"/>
      <c r="B169" s="9"/>
      <c r="C169" s="9"/>
      <c r="D169" s="9"/>
      <c r="E169" s="9"/>
      <c r="F169" s="10" t="str">
        <f aca="false">IF($B169="","",$C169+$D169-$E169)</f>
        <v/>
      </c>
      <c r="G169" s="10" t="str">
        <f aca="false">IF($B169="","",IFERROR(INDEX(Drinks!$C$4:$C$53,MATCH($B169,Drinks!$A$4:$A$53,0)),0))</f>
        <v/>
      </c>
      <c r="H169" s="10" t="str">
        <f aca="false">IF($B169="","",$D169*$G169)</f>
        <v/>
      </c>
      <c r="I169" s="10" t="str">
        <f aca="false">IF($B169="","",$F169*$G169)</f>
        <v/>
      </c>
      <c r="J169" s="9"/>
      <c r="K169" s="10" t="str">
        <f aca="false">IF($B169="","",$E169*IFERROR(INDEX(Drinks!$B$4:$B$53,MATCH($B169,Drinks!$A$4:$A$53,0)),0))</f>
        <v/>
      </c>
      <c r="L169" s="10" t="str">
        <f aca="false">IF($B169="","",$J169+$K169)</f>
        <v/>
      </c>
      <c r="M169" s="9"/>
      <c r="N169" s="10" t="str">
        <f aca="false">IF($B169="","",$L169-$M169)</f>
        <v/>
      </c>
      <c r="O169" s="10" t="str">
        <f aca="false">IF($B169="","",IFERROR(INDEX(Drinks!$E$4:$E$53,MATCH($B169,Drinks!$A$4:$A$53,0)),0))</f>
        <v/>
      </c>
      <c r="P169" s="10" t="str">
        <f aca="false">IF($B169="","",$N169*$O169)</f>
        <v/>
      </c>
      <c r="Q169" s="10" t="str">
        <f aca="false">IF($B169="","",$N169*IFERROR(INDEX(Drinks!$D$4:$D$53,MATCH($B169,Drinks!$A$4:$A$53,0)),0))</f>
        <v/>
      </c>
      <c r="R169" s="10" t="str">
        <f aca="false">IF($B169="","",$P169-$Q169)</f>
        <v/>
      </c>
      <c r="S169" s="23" t="str">
        <f aca="false">IF($B169="","",IF(COUNTIFS($A$4:$A$2003,$A169-1,$B$4:$B$2003,$B169)=0,"first day",IF(SUMIFS($M$4:$M$2003,$A$4:$A$2003,$A169-1,$B$4:$B$2003,$B169)=$J169,"OK","CHECK")))</f>
        <v/>
      </c>
      <c r="T169" s="10" t="str">
        <f aca="false">IF($B169="","",IFERROR(INDEX(Drinks!$D$4:$D$53,MATCH($B169,Drinks!$A$4:$A$53,0)),0))</f>
        <v/>
      </c>
    </row>
    <row r="170" customFormat="false" ht="15" hidden="false" customHeight="false" outlineLevel="0" collapsed="false">
      <c r="A170" s="22"/>
      <c r="B170" s="9"/>
      <c r="C170" s="9"/>
      <c r="D170" s="9"/>
      <c r="E170" s="9"/>
      <c r="F170" s="10" t="str">
        <f aca="false">IF($B170="","",$C170+$D170-$E170)</f>
        <v/>
      </c>
      <c r="G170" s="10" t="str">
        <f aca="false">IF($B170="","",IFERROR(INDEX(Drinks!$C$4:$C$53,MATCH($B170,Drinks!$A$4:$A$53,0)),0))</f>
        <v/>
      </c>
      <c r="H170" s="10" t="str">
        <f aca="false">IF($B170="","",$D170*$G170)</f>
        <v/>
      </c>
      <c r="I170" s="10" t="str">
        <f aca="false">IF($B170="","",$F170*$G170)</f>
        <v/>
      </c>
      <c r="J170" s="9"/>
      <c r="K170" s="10" t="str">
        <f aca="false">IF($B170="","",$E170*IFERROR(INDEX(Drinks!$B$4:$B$53,MATCH($B170,Drinks!$A$4:$A$53,0)),0))</f>
        <v/>
      </c>
      <c r="L170" s="10" t="str">
        <f aca="false">IF($B170="","",$J170+$K170)</f>
        <v/>
      </c>
      <c r="M170" s="9"/>
      <c r="N170" s="10" t="str">
        <f aca="false">IF($B170="","",$L170-$M170)</f>
        <v/>
      </c>
      <c r="O170" s="10" t="str">
        <f aca="false">IF($B170="","",IFERROR(INDEX(Drinks!$E$4:$E$53,MATCH($B170,Drinks!$A$4:$A$53,0)),0))</f>
        <v/>
      </c>
      <c r="P170" s="10" t="str">
        <f aca="false">IF($B170="","",$N170*$O170)</f>
        <v/>
      </c>
      <c r="Q170" s="10" t="str">
        <f aca="false">IF($B170="","",$N170*IFERROR(INDEX(Drinks!$D$4:$D$53,MATCH($B170,Drinks!$A$4:$A$53,0)),0))</f>
        <v/>
      </c>
      <c r="R170" s="10" t="str">
        <f aca="false">IF($B170="","",$P170-$Q170)</f>
        <v/>
      </c>
      <c r="S170" s="23" t="str">
        <f aca="false">IF($B170="","",IF(COUNTIFS($A$4:$A$2003,$A170-1,$B$4:$B$2003,$B170)=0,"first day",IF(SUMIFS($M$4:$M$2003,$A$4:$A$2003,$A170-1,$B$4:$B$2003,$B170)=$J170,"OK","CHECK")))</f>
        <v/>
      </c>
      <c r="T170" s="10" t="str">
        <f aca="false">IF($B170="","",IFERROR(INDEX(Drinks!$D$4:$D$53,MATCH($B170,Drinks!$A$4:$A$53,0)),0))</f>
        <v/>
      </c>
    </row>
    <row r="171" customFormat="false" ht="15" hidden="false" customHeight="false" outlineLevel="0" collapsed="false">
      <c r="A171" s="22"/>
      <c r="B171" s="9"/>
      <c r="C171" s="9"/>
      <c r="D171" s="9"/>
      <c r="E171" s="9"/>
      <c r="F171" s="10" t="str">
        <f aca="false">IF($B171="","",$C171+$D171-$E171)</f>
        <v/>
      </c>
      <c r="G171" s="10" t="str">
        <f aca="false">IF($B171="","",IFERROR(INDEX(Drinks!$C$4:$C$53,MATCH($B171,Drinks!$A$4:$A$53,0)),0))</f>
        <v/>
      </c>
      <c r="H171" s="10" t="str">
        <f aca="false">IF($B171="","",$D171*$G171)</f>
        <v/>
      </c>
      <c r="I171" s="10" t="str">
        <f aca="false">IF($B171="","",$F171*$G171)</f>
        <v/>
      </c>
      <c r="J171" s="9"/>
      <c r="K171" s="10" t="str">
        <f aca="false">IF($B171="","",$E171*IFERROR(INDEX(Drinks!$B$4:$B$53,MATCH($B171,Drinks!$A$4:$A$53,0)),0))</f>
        <v/>
      </c>
      <c r="L171" s="10" t="str">
        <f aca="false">IF($B171="","",$J171+$K171)</f>
        <v/>
      </c>
      <c r="M171" s="9"/>
      <c r="N171" s="10" t="str">
        <f aca="false">IF($B171="","",$L171-$M171)</f>
        <v/>
      </c>
      <c r="O171" s="10" t="str">
        <f aca="false">IF($B171="","",IFERROR(INDEX(Drinks!$E$4:$E$53,MATCH($B171,Drinks!$A$4:$A$53,0)),0))</f>
        <v/>
      </c>
      <c r="P171" s="10" t="str">
        <f aca="false">IF($B171="","",$N171*$O171)</f>
        <v/>
      </c>
      <c r="Q171" s="10" t="str">
        <f aca="false">IF($B171="","",$N171*IFERROR(INDEX(Drinks!$D$4:$D$53,MATCH($B171,Drinks!$A$4:$A$53,0)),0))</f>
        <v/>
      </c>
      <c r="R171" s="10" t="str">
        <f aca="false">IF($B171="","",$P171-$Q171)</f>
        <v/>
      </c>
      <c r="S171" s="23" t="str">
        <f aca="false">IF($B171="","",IF(COUNTIFS($A$4:$A$2003,$A171-1,$B$4:$B$2003,$B171)=0,"first day",IF(SUMIFS($M$4:$M$2003,$A$4:$A$2003,$A171-1,$B$4:$B$2003,$B171)=$J171,"OK","CHECK")))</f>
        <v/>
      </c>
      <c r="T171" s="10" t="str">
        <f aca="false">IF($B171="","",IFERROR(INDEX(Drinks!$D$4:$D$53,MATCH($B171,Drinks!$A$4:$A$53,0)),0))</f>
        <v/>
      </c>
    </row>
    <row r="172" customFormat="false" ht="15" hidden="false" customHeight="false" outlineLevel="0" collapsed="false">
      <c r="A172" s="22"/>
      <c r="B172" s="9"/>
      <c r="C172" s="9"/>
      <c r="D172" s="9"/>
      <c r="E172" s="9"/>
      <c r="F172" s="10" t="str">
        <f aca="false">IF($B172="","",$C172+$D172-$E172)</f>
        <v/>
      </c>
      <c r="G172" s="10" t="str">
        <f aca="false">IF($B172="","",IFERROR(INDEX(Drinks!$C$4:$C$53,MATCH($B172,Drinks!$A$4:$A$53,0)),0))</f>
        <v/>
      </c>
      <c r="H172" s="10" t="str">
        <f aca="false">IF($B172="","",$D172*$G172)</f>
        <v/>
      </c>
      <c r="I172" s="10" t="str">
        <f aca="false">IF($B172="","",$F172*$G172)</f>
        <v/>
      </c>
      <c r="J172" s="9"/>
      <c r="K172" s="10" t="str">
        <f aca="false">IF($B172="","",$E172*IFERROR(INDEX(Drinks!$B$4:$B$53,MATCH($B172,Drinks!$A$4:$A$53,0)),0))</f>
        <v/>
      </c>
      <c r="L172" s="10" t="str">
        <f aca="false">IF($B172="","",$J172+$K172)</f>
        <v/>
      </c>
      <c r="M172" s="9"/>
      <c r="N172" s="10" t="str">
        <f aca="false">IF($B172="","",$L172-$M172)</f>
        <v/>
      </c>
      <c r="O172" s="10" t="str">
        <f aca="false">IF($B172="","",IFERROR(INDEX(Drinks!$E$4:$E$53,MATCH($B172,Drinks!$A$4:$A$53,0)),0))</f>
        <v/>
      </c>
      <c r="P172" s="10" t="str">
        <f aca="false">IF($B172="","",$N172*$O172)</f>
        <v/>
      </c>
      <c r="Q172" s="10" t="str">
        <f aca="false">IF($B172="","",$N172*IFERROR(INDEX(Drinks!$D$4:$D$53,MATCH($B172,Drinks!$A$4:$A$53,0)),0))</f>
        <v/>
      </c>
      <c r="R172" s="10" t="str">
        <f aca="false">IF($B172="","",$P172-$Q172)</f>
        <v/>
      </c>
      <c r="S172" s="23" t="str">
        <f aca="false">IF($B172="","",IF(COUNTIFS($A$4:$A$2003,$A172-1,$B$4:$B$2003,$B172)=0,"first day",IF(SUMIFS($M$4:$M$2003,$A$4:$A$2003,$A172-1,$B$4:$B$2003,$B172)=$J172,"OK","CHECK")))</f>
        <v/>
      </c>
      <c r="T172" s="10" t="str">
        <f aca="false">IF($B172="","",IFERROR(INDEX(Drinks!$D$4:$D$53,MATCH($B172,Drinks!$A$4:$A$53,0)),0))</f>
        <v/>
      </c>
    </row>
    <row r="173" customFormat="false" ht="15" hidden="false" customHeight="false" outlineLevel="0" collapsed="false">
      <c r="A173" s="22"/>
      <c r="B173" s="9"/>
      <c r="C173" s="9"/>
      <c r="D173" s="9"/>
      <c r="E173" s="9"/>
      <c r="F173" s="10" t="str">
        <f aca="false">IF($B173="","",$C173+$D173-$E173)</f>
        <v/>
      </c>
      <c r="G173" s="10" t="str">
        <f aca="false">IF($B173="","",IFERROR(INDEX(Drinks!$C$4:$C$53,MATCH($B173,Drinks!$A$4:$A$53,0)),0))</f>
        <v/>
      </c>
      <c r="H173" s="10" t="str">
        <f aca="false">IF($B173="","",$D173*$G173)</f>
        <v/>
      </c>
      <c r="I173" s="10" t="str">
        <f aca="false">IF($B173="","",$F173*$G173)</f>
        <v/>
      </c>
      <c r="J173" s="9"/>
      <c r="K173" s="10" t="str">
        <f aca="false">IF($B173="","",$E173*IFERROR(INDEX(Drinks!$B$4:$B$53,MATCH($B173,Drinks!$A$4:$A$53,0)),0))</f>
        <v/>
      </c>
      <c r="L173" s="10" t="str">
        <f aca="false">IF($B173="","",$J173+$K173)</f>
        <v/>
      </c>
      <c r="M173" s="9"/>
      <c r="N173" s="10" t="str">
        <f aca="false">IF($B173="","",$L173-$M173)</f>
        <v/>
      </c>
      <c r="O173" s="10" t="str">
        <f aca="false">IF($B173="","",IFERROR(INDEX(Drinks!$E$4:$E$53,MATCH($B173,Drinks!$A$4:$A$53,0)),0))</f>
        <v/>
      </c>
      <c r="P173" s="10" t="str">
        <f aca="false">IF($B173="","",$N173*$O173)</f>
        <v/>
      </c>
      <c r="Q173" s="10" t="str">
        <f aca="false">IF($B173="","",$N173*IFERROR(INDEX(Drinks!$D$4:$D$53,MATCH($B173,Drinks!$A$4:$A$53,0)),0))</f>
        <v/>
      </c>
      <c r="R173" s="10" t="str">
        <f aca="false">IF($B173="","",$P173-$Q173)</f>
        <v/>
      </c>
      <c r="S173" s="23" t="str">
        <f aca="false">IF($B173="","",IF(COUNTIFS($A$4:$A$2003,$A173-1,$B$4:$B$2003,$B173)=0,"first day",IF(SUMIFS($M$4:$M$2003,$A$4:$A$2003,$A173-1,$B$4:$B$2003,$B173)=$J173,"OK","CHECK")))</f>
        <v/>
      </c>
      <c r="T173" s="10" t="str">
        <f aca="false">IF($B173="","",IFERROR(INDEX(Drinks!$D$4:$D$53,MATCH($B173,Drinks!$A$4:$A$53,0)),0))</f>
        <v/>
      </c>
    </row>
    <row r="174" customFormat="false" ht="15" hidden="false" customHeight="false" outlineLevel="0" collapsed="false">
      <c r="A174" s="22"/>
      <c r="B174" s="9"/>
      <c r="C174" s="9"/>
      <c r="D174" s="9"/>
      <c r="E174" s="9"/>
      <c r="F174" s="10" t="str">
        <f aca="false">IF($B174="","",$C174+$D174-$E174)</f>
        <v/>
      </c>
      <c r="G174" s="10" t="str">
        <f aca="false">IF($B174="","",IFERROR(INDEX(Drinks!$C$4:$C$53,MATCH($B174,Drinks!$A$4:$A$53,0)),0))</f>
        <v/>
      </c>
      <c r="H174" s="10" t="str">
        <f aca="false">IF($B174="","",$D174*$G174)</f>
        <v/>
      </c>
      <c r="I174" s="10" t="str">
        <f aca="false">IF($B174="","",$F174*$G174)</f>
        <v/>
      </c>
      <c r="J174" s="9"/>
      <c r="K174" s="10" t="str">
        <f aca="false">IF($B174="","",$E174*IFERROR(INDEX(Drinks!$B$4:$B$53,MATCH($B174,Drinks!$A$4:$A$53,0)),0))</f>
        <v/>
      </c>
      <c r="L174" s="10" t="str">
        <f aca="false">IF($B174="","",$J174+$K174)</f>
        <v/>
      </c>
      <c r="M174" s="9"/>
      <c r="N174" s="10" t="str">
        <f aca="false">IF($B174="","",$L174-$M174)</f>
        <v/>
      </c>
      <c r="O174" s="10" t="str">
        <f aca="false">IF($B174="","",IFERROR(INDEX(Drinks!$E$4:$E$53,MATCH($B174,Drinks!$A$4:$A$53,0)),0))</f>
        <v/>
      </c>
      <c r="P174" s="10" t="str">
        <f aca="false">IF($B174="","",$N174*$O174)</f>
        <v/>
      </c>
      <c r="Q174" s="10" t="str">
        <f aca="false">IF($B174="","",$N174*IFERROR(INDEX(Drinks!$D$4:$D$53,MATCH($B174,Drinks!$A$4:$A$53,0)),0))</f>
        <v/>
      </c>
      <c r="R174" s="10" t="str">
        <f aca="false">IF($B174="","",$P174-$Q174)</f>
        <v/>
      </c>
      <c r="S174" s="23" t="str">
        <f aca="false">IF($B174="","",IF(COUNTIFS($A$4:$A$2003,$A174-1,$B$4:$B$2003,$B174)=0,"first day",IF(SUMIFS($M$4:$M$2003,$A$4:$A$2003,$A174-1,$B$4:$B$2003,$B174)=$J174,"OK","CHECK")))</f>
        <v/>
      </c>
      <c r="T174" s="10" t="str">
        <f aca="false">IF($B174="","",IFERROR(INDEX(Drinks!$D$4:$D$53,MATCH($B174,Drinks!$A$4:$A$53,0)),0))</f>
        <v/>
      </c>
    </row>
    <row r="175" customFormat="false" ht="15" hidden="false" customHeight="false" outlineLevel="0" collapsed="false">
      <c r="A175" s="22"/>
      <c r="B175" s="9"/>
      <c r="C175" s="9"/>
      <c r="D175" s="9"/>
      <c r="E175" s="9"/>
      <c r="F175" s="10" t="str">
        <f aca="false">IF($B175="","",$C175+$D175-$E175)</f>
        <v/>
      </c>
      <c r="G175" s="10" t="str">
        <f aca="false">IF($B175="","",IFERROR(INDEX(Drinks!$C$4:$C$53,MATCH($B175,Drinks!$A$4:$A$53,0)),0))</f>
        <v/>
      </c>
      <c r="H175" s="10" t="str">
        <f aca="false">IF($B175="","",$D175*$G175)</f>
        <v/>
      </c>
      <c r="I175" s="10" t="str">
        <f aca="false">IF($B175="","",$F175*$G175)</f>
        <v/>
      </c>
      <c r="J175" s="9"/>
      <c r="K175" s="10" t="str">
        <f aca="false">IF($B175="","",$E175*IFERROR(INDEX(Drinks!$B$4:$B$53,MATCH($B175,Drinks!$A$4:$A$53,0)),0))</f>
        <v/>
      </c>
      <c r="L175" s="10" t="str">
        <f aca="false">IF($B175="","",$J175+$K175)</f>
        <v/>
      </c>
      <c r="M175" s="9"/>
      <c r="N175" s="10" t="str">
        <f aca="false">IF($B175="","",$L175-$M175)</f>
        <v/>
      </c>
      <c r="O175" s="10" t="str">
        <f aca="false">IF($B175="","",IFERROR(INDEX(Drinks!$E$4:$E$53,MATCH($B175,Drinks!$A$4:$A$53,0)),0))</f>
        <v/>
      </c>
      <c r="P175" s="10" t="str">
        <f aca="false">IF($B175="","",$N175*$O175)</f>
        <v/>
      </c>
      <c r="Q175" s="10" t="str">
        <f aca="false">IF($B175="","",$N175*IFERROR(INDEX(Drinks!$D$4:$D$53,MATCH($B175,Drinks!$A$4:$A$53,0)),0))</f>
        <v/>
      </c>
      <c r="R175" s="10" t="str">
        <f aca="false">IF($B175="","",$P175-$Q175)</f>
        <v/>
      </c>
      <c r="S175" s="23" t="str">
        <f aca="false">IF($B175="","",IF(COUNTIFS($A$4:$A$2003,$A175-1,$B$4:$B$2003,$B175)=0,"first day",IF(SUMIFS($M$4:$M$2003,$A$4:$A$2003,$A175-1,$B$4:$B$2003,$B175)=$J175,"OK","CHECK")))</f>
        <v/>
      </c>
      <c r="T175" s="10" t="str">
        <f aca="false">IF($B175="","",IFERROR(INDEX(Drinks!$D$4:$D$53,MATCH($B175,Drinks!$A$4:$A$53,0)),0))</f>
        <v/>
      </c>
    </row>
    <row r="176" customFormat="false" ht="15" hidden="false" customHeight="false" outlineLevel="0" collapsed="false">
      <c r="A176" s="22"/>
      <c r="B176" s="9"/>
      <c r="C176" s="9"/>
      <c r="D176" s="9"/>
      <c r="E176" s="9"/>
      <c r="F176" s="10" t="str">
        <f aca="false">IF($B176="","",$C176+$D176-$E176)</f>
        <v/>
      </c>
      <c r="G176" s="10" t="str">
        <f aca="false">IF($B176="","",IFERROR(INDEX(Drinks!$C$4:$C$53,MATCH($B176,Drinks!$A$4:$A$53,0)),0))</f>
        <v/>
      </c>
      <c r="H176" s="10" t="str">
        <f aca="false">IF($B176="","",$D176*$G176)</f>
        <v/>
      </c>
      <c r="I176" s="10" t="str">
        <f aca="false">IF($B176="","",$F176*$G176)</f>
        <v/>
      </c>
      <c r="J176" s="9"/>
      <c r="K176" s="10" t="str">
        <f aca="false">IF($B176="","",$E176*IFERROR(INDEX(Drinks!$B$4:$B$53,MATCH($B176,Drinks!$A$4:$A$53,0)),0))</f>
        <v/>
      </c>
      <c r="L176" s="10" t="str">
        <f aca="false">IF($B176="","",$J176+$K176)</f>
        <v/>
      </c>
      <c r="M176" s="9"/>
      <c r="N176" s="10" t="str">
        <f aca="false">IF($B176="","",$L176-$M176)</f>
        <v/>
      </c>
      <c r="O176" s="10" t="str">
        <f aca="false">IF($B176="","",IFERROR(INDEX(Drinks!$E$4:$E$53,MATCH($B176,Drinks!$A$4:$A$53,0)),0))</f>
        <v/>
      </c>
      <c r="P176" s="10" t="str">
        <f aca="false">IF($B176="","",$N176*$O176)</f>
        <v/>
      </c>
      <c r="Q176" s="10" t="str">
        <f aca="false">IF($B176="","",$N176*IFERROR(INDEX(Drinks!$D$4:$D$53,MATCH($B176,Drinks!$A$4:$A$53,0)),0))</f>
        <v/>
      </c>
      <c r="R176" s="10" t="str">
        <f aca="false">IF($B176="","",$P176-$Q176)</f>
        <v/>
      </c>
      <c r="S176" s="23" t="str">
        <f aca="false">IF($B176="","",IF(COUNTIFS($A$4:$A$2003,$A176-1,$B$4:$B$2003,$B176)=0,"first day",IF(SUMIFS($M$4:$M$2003,$A$4:$A$2003,$A176-1,$B$4:$B$2003,$B176)=$J176,"OK","CHECK")))</f>
        <v/>
      </c>
      <c r="T176" s="10" t="str">
        <f aca="false">IF($B176="","",IFERROR(INDEX(Drinks!$D$4:$D$53,MATCH($B176,Drinks!$A$4:$A$53,0)),0))</f>
        <v/>
      </c>
    </row>
    <row r="177" customFormat="false" ht="15" hidden="false" customHeight="false" outlineLevel="0" collapsed="false">
      <c r="A177" s="22"/>
      <c r="B177" s="9"/>
      <c r="C177" s="9"/>
      <c r="D177" s="9"/>
      <c r="E177" s="9"/>
      <c r="F177" s="10" t="str">
        <f aca="false">IF($B177="","",$C177+$D177-$E177)</f>
        <v/>
      </c>
      <c r="G177" s="10" t="str">
        <f aca="false">IF($B177="","",IFERROR(INDEX(Drinks!$C$4:$C$53,MATCH($B177,Drinks!$A$4:$A$53,0)),0))</f>
        <v/>
      </c>
      <c r="H177" s="10" t="str">
        <f aca="false">IF($B177="","",$D177*$G177)</f>
        <v/>
      </c>
      <c r="I177" s="10" t="str">
        <f aca="false">IF($B177="","",$F177*$G177)</f>
        <v/>
      </c>
      <c r="J177" s="9"/>
      <c r="K177" s="10" t="str">
        <f aca="false">IF($B177="","",$E177*IFERROR(INDEX(Drinks!$B$4:$B$53,MATCH($B177,Drinks!$A$4:$A$53,0)),0))</f>
        <v/>
      </c>
      <c r="L177" s="10" t="str">
        <f aca="false">IF($B177="","",$J177+$K177)</f>
        <v/>
      </c>
      <c r="M177" s="9"/>
      <c r="N177" s="10" t="str">
        <f aca="false">IF($B177="","",$L177-$M177)</f>
        <v/>
      </c>
      <c r="O177" s="10" t="str">
        <f aca="false">IF($B177="","",IFERROR(INDEX(Drinks!$E$4:$E$53,MATCH($B177,Drinks!$A$4:$A$53,0)),0))</f>
        <v/>
      </c>
      <c r="P177" s="10" t="str">
        <f aca="false">IF($B177="","",$N177*$O177)</f>
        <v/>
      </c>
      <c r="Q177" s="10" t="str">
        <f aca="false">IF($B177="","",$N177*IFERROR(INDEX(Drinks!$D$4:$D$53,MATCH($B177,Drinks!$A$4:$A$53,0)),0))</f>
        <v/>
      </c>
      <c r="R177" s="10" t="str">
        <f aca="false">IF($B177="","",$P177-$Q177)</f>
        <v/>
      </c>
      <c r="S177" s="23" t="str">
        <f aca="false">IF($B177="","",IF(COUNTIFS($A$4:$A$2003,$A177-1,$B$4:$B$2003,$B177)=0,"first day",IF(SUMIFS($M$4:$M$2003,$A$4:$A$2003,$A177-1,$B$4:$B$2003,$B177)=$J177,"OK","CHECK")))</f>
        <v/>
      </c>
      <c r="T177" s="10" t="str">
        <f aca="false">IF($B177="","",IFERROR(INDEX(Drinks!$D$4:$D$53,MATCH($B177,Drinks!$A$4:$A$53,0)),0))</f>
        <v/>
      </c>
    </row>
    <row r="178" customFormat="false" ht="15" hidden="false" customHeight="false" outlineLevel="0" collapsed="false">
      <c r="A178" s="22"/>
      <c r="B178" s="9"/>
      <c r="C178" s="9"/>
      <c r="D178" s="9"/>
      <c r="E178" s="9"/>
      <c r="F178" s="10" t="str">
        <f aca="false">IF($B178="","",$C178+$D178-$E178)</f>
        <v/>
      </c>
      <c r="G178" s="10" t="str">
        <f aca="false">IF($B178="","",IFERROR(INDEX(Drinks!$C$4:$C$53,MATCH($B178,Drinks!$A$4:$A$53,0)),0))</f>
        <v/>
      </c>
      <c r="H178" s="10" t="str">
        <f aca="false">IF($B178="","",$D178*$G178)</f>
        <v/>
      </c>
      <c r="I178" s="10" t="str">
        <f aca="false">IF($B178="","",$F178*$G178)</f>
        <v/>
      </c>
      <c r="J178" s="9"/>
      <c r="K178" s="10" t="str">
        <f aca="false">IF($B178="","",$E178*IFERROR(INDEX(Drinks!$B$4:$B$53,MATCH($B178,Drinks!$A$4:$A$53,0)),0))</f>
        <v/>
      </c>
      <c r="L178" s="10" t="str">
        <f aca="false">IF($B178="","",$J178+$K178)</f>
        <v/>
      </c>
      <c r="M178" s="9"/>
      <c r="N178" s="10" t="str">
        <f aca="false">IF($B178="","",$L178-$M178)</f>
        <v/>
      </c>
      <c r="O178" s="10" t="str">
        <f aca="false">IF($B178="","",IFERROR(INDEX(Drinks!$E$4:$E$53,MATCH($B178,Drinks!$A$4:$A$53,0)),0))</f>
        <v/>
      </c>
      <c r="P178" s="10" t="str">
        <f aca="false">IF($B178="","",$N178*$O178)</f>
        <v/>
      </c>
      <c r="Q178" s="10" t="str">
        <f aca="false">IF($B178="","",$N178*IFERROR(INDEX(Drinks!$D$4:$D$53,MATCH($B178,Drinks!$A$4:$A$53,0)),0))</f>
        <v/>
      </c>
      <c r="R178" s="10" t="str">
        <f aca="false">IF($B178="","",$P178-$Q178)</f>
        <v/>
      </c>
      <c r="S178" s="23" t="str">
        <f aca="false">IF($B178="","",IF(COUNTIFS($A$4:$A$2003,$A178-1,$B$4:$B$2003,$B178)=0,"first day",IF(SUMIFS($M$4:$M$2003,$A$4:$A$2003,$A178-1,$B$4:$B$2003,$B178)=$J178,"OK","CHECK")))</f>
        <v/>
      </c>
      <c r="T178" s="10" t="str">
        <f aca="false">IF($B178="","",IFERROR(INDEX(Drinks!$D$4:$D$53,MATCH($B178,Drinks!$A$4:$A$53,0)),0))</f>
        <v/>
      </c>
    </row>
    <row r="179" customFormat="false" ht="15" hidden="false" customHeight="false" outlineLevel="0" collapsed="false">
      <c r="A179" s="22"/>
      <c r="B179" s="9"/>
      <c r="C179" s="9"/>
      <c r="D179" s="9"/>
      <c r="E179" s="9"/>
      <c r="F179" s="10" t="str">
        <f aca="false">IF($B179="","",$C179+$D179-$E179)</f>
        <v/>
      </c>
      <c r="G179" s="10" t="str">
        <f aca="false">IF($B179="","",IFERROR(INDEX(Drinks!$C$4:$C$53,MATCH($B179,Drinks!$A$4:$A$53,0)),0))</f>
        <v/>
      </c>
      <c r="H179" s="10" t="str">
        <f aca="false">IF($B179="","",$D179*$G179)</f>
        <v/>
      </c>
      <c r="I179" s="10" t="str">
        <f aca="false">IF($B179="","",$F179*$G179)</f>
        <v/>
      </c>
      <c r="J179" s="9"/>
      <c r="K179" s="10" t="str">
        <f aca="false">IF($B179="","",$E179*IFERROR(INDEX(Drinks!$B$4:$B$53,MATCH($B179,Drinks!$A$4:$A$53,0)),0))</f>
        <v/>
      </c>
      <c r="L179" s="10" t="str">
        <f aca="false">IF($B179="","",$J179+$K179)</f>
        <v/>
      </c>
      <c r="M179" s="9"/>
      <c r="N179" s="10" t="str">
        <f aca="false">IF($B179="","",$L179-$M179)</f>
        <v/>
      </c>
      <c r="O179" s="10" t="str">
        <f aca="false">IF($B179="","",IFERROR(INDEX(Drinks!$E$4:$E$53,MATCH($B179,Drinks!$A$4:$A$53,0)),0))</f>
        <v/>
      </c>
      <c r="P179" s="10" t="str">
        <f aca="false">IF($B179="","",$N179*$O179)</f>
        <v/>
      </c>
      <c r="Q179" s="10" t="str">
        <f aca="false">IF($B179="","",$N179*IFERROR(INDEX(Drinks!$D$4:$D$53,MATCH($B179,Drinks!$A$4:$A$53,0)),0))</f>
        <v/>
      </c>
      <c r="R179" s="10" t="str">
        <f aca="false">IF($B179="","",$P179-$Q179)</f>
        <v/>
      </c>
      <c r="S179" s="23" t="str">
        <f aca="false">IF($B179="","",IF(COUNTIFS($A$4:$A$2003,$A179-1,$B$4:$B$2003,$B179)=0,"first day",IF(SUMIFS($M$4:$M$2003,$A$4:$A$2003,$A179-1,$B$4:$B$2003,$B179)=$J179,"OK","CHECK")))</f>
        <v/>
      </c>
      <c r="T179" s="10" t="str">
        <f aca="false">IF($B179="","",IFERROR(INDEX(Drinks!$D$4:$D$53,MATCH($B179,Drinks!$A$4:$A$53,0)),0))</f>
        <v/>
      </c>
    </row>
    <row r="180" customFormat="false" ht="15" hidden="false" customHeight="false" outlineLevel="0" collapsed="false">
      <c r="A180" s="22"/>
      <c r="B180" s="9"/>
      <c r="C180" s="9"/>
      <c r="D180" s="9"/>
      <c r="E180" s="9"/>
      <c r="F180" s="10" t="str">
        <f aca="false">IF($B180="","",$C180+$D180-$E180)</f>
        <v/>
      </c>
      <c r="G180" s="10" t="str">
        <f aca="false">IF($B180="","",IFERROR(INDEX(Drinks!$C$4:$C$53,MATCH($B180,Drinks!$A$4:$A$53,0)),0))</f>
        <v/>
      </c>
      <c r="H180" s="10" t="str">
        <f aca="false">IF($B180="","",$D180*$G180)</f>
        <v/>
      </c>
      <c r="I180" s="10" t="str">
        <f aca="false">IF($B180="","",$F180*$G180)</f>
        <v/>
      </c>
      <c r="J180" s="9"/>
      <c r="K180" s="10" t="str">
        <f aca="false">IF($B180="","",$E180*IFERROR(INDEX(Drinks!$B$4:$B$53,MATCH($B180,Drinks!$A$4:$A$53,0)),0))</f>
        <v/>
      </c>
      <c r="L180" s="10" t="str">
        <f aca="false">IF($B180="","",$J180+$K180)</f>
        <v/>
      </c>
      <c r="M180" s="9"/>
      <c r="N180" s="10" t="str">
        <f aca="false">IF($B180="","",$L180-$M180)</f>
        <v/>
      </c>
      <c r="O180" s="10" t="str">
        <f aca="false">IF($B180="","",IFERROR(INDEX(Drinks!$E$4:$E$53,MATCH($B180,Drinks!$A$4:$A$53,0)),0))</f>
        <v/>
      </c>
      <c r="P180" s="10" t="str">
        <f aca="false">IF($B180="","",$N180*$O180)</f>
        <v/>
      </c>
      <c r="Q180" s="10" t="str">
        <f aca="false">IF($B180="","",$N180*IFERROR(INDEX(Drinks!$D$4:$D$53,MATCH($B180,Drinks!$A$4:$A$53,0)),0))</f>
        <v/>
      </c>
      <c r="R180" s="10" t="str">
        <f aca="false">IF($B180="","",$P180-$Q180)</f>
        <v/>
      </c>
      <c r="S180" s="23" t="str">
        <f aca="false">IF($B180="","",IF(COUNTIFS($A$4:$A$2003,$A180-1,$B$4:$B$2003,$B180)=0,"first day",IF(SUMIFS($M$4:$M$2003,$A$4:$A$2003,$A180-1,$B$4:$B$2003,$B180)=$J180,"OK","CHECK")))</f>
        <v/>
      </c>
      <c r="T180" s="10" t="str">
        <f aca="false">IF($B180="","",IFERROR(INDEX(Drinks!$D$4:$D$53,MATCH($B180,Drinks!$A$4:$A$53,0)),0))</f>
        <v/>
      </c>
    </row>
    <row r="181" customFormat="false" ht="15" hidden="false" customHeight="false" outlineLevel="0" collapsed="false">
      <c r="A181" s="22"/>
      <c r="B181" s="9"/>
      <c r="C181" s="9"/>
      <c r="D181" s="9"/>
      <c r="E181" s="9"/>
      <c r="F181" s="10" t="str">
        <f aca="false">IF($B181="","",$C181+$D181-$E181)</f>
        <v/>
      </c>
      <c r="G181" s="10" t="str">
        <f aca="false">IF($B181="","",IFERROR(INDEX(Drinks!$C$4:$C$53,MATCH($B181,Drinks!$A$4:$A$53,0)),0))</f>
        <v/>
      </c>
      <c r="H181" s="10" t="str">
        <f aca="false">IF($B181="","",$D181*$G181)</f>
        <v/>
      </c>
      <c r="I181" s="10" t="str">
        <f aca="false">IF($B181="","",$F181*$G181)</f>
        <v/>
      </c>
      <c r="J181" s="9"/>
      <c r="K181" s="10" t="str">
        <f aca="false">IF($B181="","",$E181*IFERROR(INDEX(Drinks!$B$4:$B$53,MATCH($B181,Drinks!$A$4:$A$53,0)),0))</f>
        <v/>
      </c>
      <c r="L181" s="10" t="str">
        <f aca="false">IF($B181="","",$J181+$K181)</f>
        <v/>
      </c>
      <c r="M181" s="9"/>
      <c r="N181" s="10" t="str">
        <f aca="false">IF($B181="","",$L181-$M181)</f>
        <v/>
      </c>
      <c r="O181" s="10" t="str">
        <f aca="false">IF($B181="","",IFERROR(INDEX(Drinks!$E$4:$E$53,MATCH($B181,Drinks!$A$4:$A$53,0)),0))</f>
        <v/>
      </c>
      <c r="P181" s="10" t="str">
        <f aca="false">IF($B181="","",$N181*$O181)</f>
        <v/>
      </c>
      <c r="Q181" s="10" t="str">
        <f aca="false">IF($B181="","",$N181*IFERROR(INDEX(Drinks!$D$4:$D$53,MATCH($B181,Drinks!$A$4:$A$53,0)),0))</f>
        <v/>
      </c>
      <c r="R181" s="10" t="str">
        <f aca="false">IF($B181="","",$P181-$Q181)</f>
        <v/>
      </c>
      <c r="S181" s="23" t="str">
        <f aca="false">IF($B181="","",IF(COUNTIFS($A$4:$A$2003,$A181-1,$B$4:$B$2003,$B181)=0,"first day",IF(SUMIFS($M$4:$M$2003,$A$4:$A$2003,$A181-1,$B$4:$B$2003,$B181)=$J181,"OK","CHECK")))</f>
        <v/>
      </c>
      <c r="T181" s="10" t="str">
        <f aca="false">IF($B181="","",IFERROR(INDEX(Drinks!$D$4:$D$53,MATCH($B181,Drinks!$A$4:$A$53,0)),0))</f>
        <v/>
      </c>
    </row>
    <row r="182" customFormat="false" ht="15" hidden="false" customHeight="false" outlineLevel="0" collapsed="false">
      <c r="A182" s="22"/>
      <c r="B182" s="9"/>
      <c r="C182" s="9"/>
      <c r="D182" s="9"/>
      <c r="E182" s="9"/>
      <c r="F182" s="10" t="str">
        <f aca="false">IF($B182="","",$C182+$D182-$E182)</f>
        <v/>
      </c>
      <c r="G182" s="10" t="str">
        <f aca="false">IF($B182="","",IFERROR(INDEX(Drinks!$C$4:$C$53,MATCH($B182,Drinks!$A$4:$A$53,0)),0))</f>
        <v/>
      </c>
      <c r="H182" s="10" t="str">
        <f aca="false">IF($B182="","",$D182*$G182)</f>
        <v/>
      </c>
      <c r="I182" s="10" t="str">
        <f aca="false">IF($B182="","",$F182*$G182)</f>
        <v/>
      </c>
      <c r="J182" s="9"/>
      <c r="K182" s="10" t="str">
        <f aca="false">IF($B182="","",$E182*IFERROR(INDEX(Drinks!$B$4:$B$53,MATCH($B182,Drinks!$A$4:$A$53,0)),0))</f>
        <v/>
      </c>
      <c r="L182" s="10" t="str">
        <f aca="false">IF($B182="","",$J182+$K182)</f>
        <v/>
      </c>
      <c r="M182" s="9"/>
      <c r="N182" s="10" t="str">
        <f aca="false">IF($B182="","",$L182-$M182)</f>
        <v/>
      </c>
      <c r="O182" s="10" t="str">
        <f aca="false">IF($B182="","",IFERROR(INDEX(Drinks!$E$4:$E$53,MATCH($B182,Drinks!$A$4:$A$53,0)),0))</f>
        <v/>
      </c>
      <c r="P182" s="10" t="str">
        <f aca="false">IF($B182="","",$N182*$O182)</f>
        <v/>
      </c>
      <c r="Q182" s="10" t="str">
        <f aca="false">IF($B182="","",$N182*IFERROR(INDEX(Drinks!$D$4:$D$53,MATCH($B182,Drinks!$A$4:$A$53,0)),0))</f>
        <v/>
      </c>
      <c r="R182" s="10" t="str">
        <f aca="false">IF($B182="","",$P182-$Q182)</f>
        <v/>
      </c>
      <c r="S182" s="23" t="str">
        <f aca="false">IF($B182="","",IF(COUNTIFS($A$4:$A$2003,$A182-1,$B$4:$B$2003,$B182)=0,"first day",IF(SUMIFS($M$4:$M$2003,$A$4:$A$2003,$A182-1,$B$4:$B$2003,$B182)=$J182,"OK","CHECK")))</f>
        <v/>
      </c>
      <c r="T182" s="10" t="str">
        <f aca="false">IF($B182="","",IFERROR(INDEX(Drinks!$D$4:$D$53,MATCH($B182,Drinks!$A$4:$A$53,0)),0))</f>
        <v/>
      </c>
    </row>
    <row r="183" customFormat="false" ht="15" hidden="false" customHeight="false" outlineLevel="0" collapsed="false">
      <c r="A183" s="22"/>
      <c r="B183" s="9"/>
      <c r="C183" s="9"/>
      <c r="D183" s="9"/>
      <c r="E183" s="9"/>
      <c r="F183" s="10" t="str">
        <f aca="false">IF($B183="","",$C183+$D183-$E183)</f>
        <v/>
      </c>
      <c r="G183" s="10" t="str">
        <f aca="false">IF($B183="","",IFERROR(INDEX(Drinks!$C$4:$C$53,MATCH($B183,Drinks!$A$4:$A$53,0)),0))</f>
        <v/>
      </c>
      <c r="H183" s="10" t="str">
        <f aca="false">IF($B183="","",$D183*$G183)</f>
        <v/>
      </c>
      <c r="I183" s="10" t="str">
        <f aca="false">IF($B183="","",$F183*$G183)</f>
        <v/>
      </c>
      <c r="J183" s="9"/>
      <c r="K183" s="10" t="str">
        <f aca="false">IF($B183="","",$E183*IFERROR(INDEX(Drinks!$B$4:$B$53,MATCH($B183,Drinks!$A$4:$A$53,0)),0))</f>
        <v/>
      </c>
      <c r="L183" s="10" t="str">
        <f aca="false">IF($B183="","",$J183+$K183)</f>
        <v/>
      </c>
      <c r="M183" s="9"/>
      <c r="N183" s="10" t="str">
        <f aca="false">IF($B183="","",$L183-$M183)</f>
        <v/>
      </c>
      <c r="O183" s="10" t="str">
        <f aca="false">IF($B183="","",IFERROR(INDEX(Drinks!$E$4:$E$53,MATCH($B183,Drinks!$A$4:$A$53,0)),0))</f>
        <v/>
      </c>
      <c r="P183" s="10" t="str">
        <f aca="false">IF($B183="","",$N183*$O183)</f>
        <v/>
      </c>
      <c r="Q183" s="10" t="str">
        <f aca="false">IF($B183="","",$N183*IFERROR(INDEX(Drinks!$D$4:$D$53,MATCH($B183,Drinks!$A$4:$A$53,0)),0))</f>
        <v/>
      </c>
      <c r="R183" s="10" t="str">
        <f aca="false">IF($B183="","",$P183-$Q183)</f>
        <v/>
      </c>
      <c r="S183" s="23" t="str">
        <f aca="false">IF($B183="","",IF(COUNTIFS($A$4:$A$2003,$A183-1,$B$4:$B$2003,$B183)=0,"first day",IF(SUMIFS($M$4:$M$2003,$A$4:$A$2003,$A183-1,$B$4:$B$2003,$B183)=$J183,"OK","CHECK")))</f>
        <v/>
      </c>
      <c r="T183" s="10" t="str">
        <f aca="false">IF($B183="","",IFERROR(INDEX(Drinks!$D$4:$D$53,MATCH($B183,Drinks!$A$4:$A$53,0)),0))</f>
        <v/>
      </c>
    </row>
    <row r="184" customFormat="false" ht="15" hidden="false" customHeight="false" outlineLevel="0" collapsed="false">
      <c r="A184" s="22"/>
      <c r="B184" s="9"/>
      <c r="C184" s="9"/>
      <c r="D184" s="9"/>
      <c r="E184" s="9"/>
      <c r="F184" s="10" t="str">
        <f aca="false">IF($B184="","",$C184+$D184-$E184)</f>
        <v/>
      </c>
      <c r="G184" s="10" t="str">
        <f aca="false">IF($B184="","",IFERROR(INDEX(Drinks!$C$4:$C$53,MATCH($B184,Drinks!$A$4:$A$53,0)),0))</f>
        <v/>
      </c>
      <c r="H184" s="10" t="str">
        <f aca="false">IF($B184="","",$D184*$G184)</f>
        <v/>
      </c>
      <c r="I184" s="10" t="str">
        <f aca="false">IF($B184="","",$F184*$G184)</f>
        <v/>
      </c>
      <c r="J184" s="9"/>
      <c r="K184" s="10" t="str">
        <f aca="false">IF($B184="","",$E184*IFERROR(INDEX(Drinks!$B$4:$B$53,MATCH($B184,Drinks!$A$4:$A$53,0)),0))</f>
        <v/>
      </c>
      <c r="L184" s="10" t="str">
        <f aca="false">IF($B184="","",$J184+$K184)</f>
        <v/>
      </c>
      <c r="M184" s="9"/>
      <c r="N184" s="10" t="str">
        <f aca="false">IF($B184="","",$L184-$M184)</f>
        <v/>
      </c>
      <c r="O184" s="10" t="str">
        <f aca="false">IF($B184="","",IFERROR(INDEX(Drinks!$E$4:$E$53,MATCH($B184,Drinks!$A$4:$A$53,0)),0))</f>
        <v/>
      </c>
      <c r="P184" s="10" t="str">
        <f aca="false">IF($B184="","",$N184*$O184)</f>
        <v/>
      </c>
      <c r="Q184" s="10" t="str">
        <f aca="false">IF($B184="","",$N184*IFERROR(INDEX(Drinks!$D$4:$D$53,MATCH($B184,Drinks!$A$4:$A$53,0)),0))</f>
        <v/>
      </c>
      <c r="R184" s="10" t="str">
        <f aca="false">IF($B184="","",$P184-$Q184)</f>
        <v/>
      </c>
      <c r="S184" s="23" t="str">
        <f aca="false">IF($B184="","",IF(COUNTIFS($A$4:$A$2003,$A184-1,$B$4:$B$2003,$B184)=0,"first day",IF(SUMIFS($M$4:$M$2003,$A$4:$A$2003,$A184-1,$B$4:$B$2003,$B184)=$J184,"OK","CHECK")))</f>
        <v/>
      </c>
      <c r="T184" s="10" t="str">
        <f aca="false">IF($B184="","",IFERROR(INDEX(Drinks!$D$4:$D$53,MATCH($B184,Drinks!$A$4:$A$53,0)),0))</f>
        <v/>
      </c>
    </row>
    <row r="185" customFormat="false" ht="15" hidden="false" customHeight="false" outlineLevel="0" collapsed="false">
      <c r="A185" s="22"/>
      <c r="B185" s="9"/>
      <c r="C185" s="9"/>
      <c r="D185" s="9"/>
      <c r="E185" s="9"/>
      <c r="F185" s="10" t="str">
        <f aca="false">IF($B185="","",$C185+$D185-$E185)</f>
        <v/>
      </c>
      <c r="G185" s="10" t="str">
        <f aca="false">IF($B185="","",IFERROR(INDEX(Drinks!$C$4:$C$53,MATCH($B185,Drinks!$A$4:$A$53,0)),0))</f>
        <v/>
      </c>
      <c r="H185" s="10" t="str">
        <f aca="false">IF($B185="","",$D185*$G185)</f>
        <v/>
      </c>
      <c r="I185" s="10" t="str">
        <f aca="false">IF($B185="","",$F185*$G185)</f>
        <v/>
      </c>
      <c r="J185" s="9"/>
      <c r="K185" s="10" t="str">
        <f aca="false">IF($B185="","",$E185*IFERROR(INDEX(Drinks!$B$4:$B$53,MATCH($B185,Drinks!$A$4:$A$53,0)),0))</f>
        <v/>
      </c>
      <c r="L185" s="10" t="str">
        <f aca="false">IF($B185="","",$J185+$K185)</f>
        <v/>
      </c>
      <c r="M185" s="9"/>
      <c r="N185" s="10" t="str">
        <f aca="false">IF($B185="","",$L185-$M185)</f>
        <v/>
      </c>
      <c r="O185" s="10" t="str">
        <f aca="false">IF($B185="","",IFERROR(INDEX(Drinks!$E$4:$E$53,MATCH($B185,Drinks!$A$4:$A$53,0)),0))</f>
        <v/>
      </c>
      <c r="P185" s="10" t="str">
        <f aca="false">IF($B185="","",$N185*$O185)</f>
        <v/>
      </c>
      <c r="Q185" s="10" t="str">
        <f aca="false">IF($B185="","",$N185*IFERROR(INDEX(Drinks!$D$4:$D$53,MATCH($B185,Drinks!$A$4:$A$53,0)),0))</f>
        <v/>
      </c>
      <c r="R185" s="10" t="str">
        <f aca="false">IF($B185="","",$P185-$Q185)</f>
        <v/>
      </c>
      <c r="S185" s="23" t="str">
        <f aca="false">IF($B185="","",IF(COUNTIFS($A$4:$A$2003,$A185-1,$B$4:$B$2003,$B185)=0,"first day",IF(SUMIFS($M$4:$M$2003,$A$4:$A$2003,$A185-1,$B$4:$B$2003,$B185)=$J185,"OK","CHECK")))</f>
        <v/>
      </c>
      <c r="T185" s="10" t="str">
        <f aca="false">IF($B185="","",IFERROR(INDEX(Drinks!$D$4:$D$53,MATCH($B185,Drinks!$A$4:$A$53,0)),0))</f>
        <v/>
      </c>
    </row>
    <row r="186" customFormat="false" ht="15" hidden="false" customHeight="false" outlineLevel="0" collapsed="false">
      <c r="A186" s="22"/>
      <c r="B186" s="9"/>
      <c r="C186" s="9"/>
      <c r="D186" s="9"/>
      <c r="E186" s="9"/>
      <c r="F186" s="10" t="str">
        <f aca="false">IF($B186="","",$C186+$D186-$E186)</f>
        <v/>
      </c>
      <c r="G186" s="10" t="str">
        <f aca="false">IF($B186="","",IFERROR(INDEX(Drinks!$C$4:$C$53,MATCH($B186,Drinks!$A$4:$A$53,0)),0))</f>
        <v/>
      </c>
      <c r="H186" s="10" t="str">
        <f aca="false">IF($B186="","",$D186*$G186)</f>
        <v/>
      </c>
      <c r="I186" s="10" t="str">
        <f aca="false">IF($B186="","",$F186*$G186)</f>
        <v/>
      </c>
      <c r="J186" s="9"/>
      <c r="K186" s="10" t="str">
        <f aca="false">IF($B186="","",$E186*IFERROR(INDEX(Drinks!$B$4:$B$53,MATCH($B186,Drinks!$A$4:$A$53,0)),0))</f>
        <v/>
      </c>
      <c r="L186" s="10" t="str">
        <f aca="false">IF($B186="","",$J186+$K186)</f>
        <v/>
      </c>
      <c r="M186" s="9"/>
      <c r="N186" s="10" t="str">
        <f aca="false">IF($B186="","",$L186-$M186)</f>
        <v/>
      </c>
      <c r="O186" s="10" t="str">
        <f aca="false">IF($B186="","",IFERROR(INDEX(Drinks!$E$4:$E$53,MATCH($B186,Drinks!$A$4:$A$53,0)),0))</f>
        <v/>
      </c>
      <c r="P186" s="10" t="str">
        <f aca="false">IF($B186="","",$N186*$O186)</f>
        <v/>
      </c>
      <c r="Q186" s="10" t="str">
        <f aca="false">IF($B186="","",$N186*IFERROR(INDEX(Drinks!$D$4:$D$53,MATCH($B186,Drinks!$A$4:$A$53,0)),0))</f>
        <v/>
      </c>
      <c r="R186" s="10" t="str">
        <f aca="false">IF($B186="","",$P186-$Q186)</f>
        <v/>
      </c>
      <c r="S186" s="23" t="str">
        <f aca="false">IF($B186="","",IF(COUNTIFS($A$4:$A$2003,$A186-1,$B$4:$B$2003,$B186)=0,"first day",IF(SUMIFS($M$4:$M$2003,$A$4:$A$2003,$A186-1,$B$4:$B$2003,$B186)=$J186,"OK","CHECK")))</f>
        <v/>
      </c>
      <c r="T186" s="10" t="str">
        <f aca="false">IF($B186="","",IFERROR(INDEX(Drinks!$D$4:$D$53,MATCH($B186,Drinks!$A$4:$A$53,0)),0))</f>
        <v/>
      </c>
    </row>
    <row r="187" customFormat="false" ht="15" hidden="false" customHeight="false" outlineLevel="0" collapsed="false">
      <c r="A187" s="22"/>
      <c r="B187" s="9"/>
      <c r="C187" s="9"/>
      <c r="D187" s="9"/>
      <c r="E187" s="9"/>
      <c r="F187" s="10" t="str">
        <f aca="false">IF($B187="","",$C187+$D187-$E187)</f>
        <v/>
      </c>
      <c r="G187" s="10" t="str">
        <f aca="false">IF($B187="","",IFERROR(INDEX(Drinks!$C$4:$C$53,MATCH($B187,Drinks!$A$4:$A$53,0)),0))</f>
        <v/>
      </c>
      <c r="H187" s="10" t="str">
        <f aca="false">IF($B187="","",$D187*$G187)</f>
        <v/>
      </c>
      <c r="I187" s="10" t="str">
        <f aca="false">IF($B187="","",$F187*$G187)</f>
        <v/>
      </c>
      <c r="J187" s="9"/>
      <c r="K187" s="10" t="str">
        <f aca="false">IF($B187="","",$E187*IFERROR(INDEX(Drinks!$B$4:$B$53,MATCH($B187,Drinks!$A$4:$A$53,0)),0))</f>
        <v/>
      </c>
      <c r="L187" s="10" t="str">
        <f aca="false">IF($B187="","",$J187+$K187)</f>
        <v/>
      </c>
      <c r="M187" s="9"/>
      <c r="N187" s="10" t="str">
        <f aca="false">IF($B187="","",$L187-$M187)</f>
        <v/>
      </c>
      <c r="O187" s="10" t="str">
        <f aca="false">IF($B187="","",IFERROR(INDEX(Drinks!$E$4:$E$53,MATCH($B187,Drinks!$A$4:$A$53,0)),0))</f>
        <v/>
      </c>
      <c r="P187" s="10" t="str">
        <f aca="false">IF($B187="","",$N187*$O187)</f>
        <v/>
      </c>
      <c r="Q187" s="10" t="str">
        <f aca="false">IF($B187="","",$N187*IFERROR(INDEX(Drinks!$D$4:$D$53,MATCH($B187,Drinks!$A$4:$A$53,0)),0))</f>
        <v/>
      </c>
      <c r="R187" s="10" t="str">
        <f aca="false">IF($B187="","",$P187-$Q187)</f>
        <v/>
      </c>
      <c r="S187" s="23" t="str">
        <f aca="false">IF($B187="","",IF(COUNTIFS($A$4:$A$2003,$A187-1,$B$4:$B$2003,$B187)=0,"first day",IF(SUMIFS($M$4:$M$2003,$A$4:$A$2003,$A187-1,$B$4:$B$2003,$B187)=$J187,"OK","CHECK")))</f>
        <v/>
      </c>
      <c r="T187" s="10" t="str">
        <f aca="false">IF($B187="","",IFERROR(INDEX(Drinks!$D$4:$D$53,MATCH($B187,Drinks!$A$4:$A$53,0)),0))</f>
        <v/>
      </c>
    </row>
    <row r="188" customFormat="false" ht="15" hidden="false" customHeight="false" outlineLevel="0" collapsed="false">
      <c r="A188" s="22"/>
      <c r="B188" s="9"/>
      <c r="C188" s="9"/>
      <c r="D188" s="9"/>
      <c r="E188" s="9"/>
      <c r="F188" s="10" t="str">
        <f aca="false">IF($B188="","",$C188+$D188-$E188)</f>
        <v/>
      </c>
      <c r="G188" s="10" t="str">
        <f aca="false">IF($B188="","",IFERROR(INDEX(Drinks!$C$4:$C$53,MATCH($B188,Drinks!$A$4:$A$53,0)),0))</f>
        <v/>
      </c>
      <c r="H188" s="10" t="str">
        <f aca="false">IF($B188="","",$D188*$G188)</f>
        <v/>
      </c>
      <c r="I188" s="10" t="str">
        <f aca="false">IF($B188="","",$F188*$G188)</f>
        <v/>
      </c>
      <c r="J188" s="9"/>
      <c r="K188" s="10" t="str">
        <f aca="false">IF($B188="","",$E188*IFERROR(INDEX(Drinks!$B$4:$B$53,MATCH($B188,Drinks!$A$4:$A$53,0)),0))</f>
        <v/>
      </c>
      <c r="L188" s="10" t="str">
        <f aca="false">IF($B188="","",$J188+$K188)</f>
        <v/>
      </c>
      <c r="M188" s="9"/>
      <c r="N188" s="10" t="str">
        <f aca="false">IF($B188="","",$L188-$M188)</f>
        <v/>
      </c>
      <c r="O188" s="10" t="str">
        <f aca="false">IF($B188="","",IFERROR(INDEX(Drinks!$E$4:$E$53,MATCH($B188,Drinks!$A$4:$A$53,0)),0))</f>
        <v/>
      </c>
      <c r="P188" s="10" t="str">
        <f aca="false">IF($B188="","",$N188*$O188)</f>
        <v/>
      </c>
      <c r="Q188" s="10" t="str">
        <f aca="false">IF($B188="","",$N188*IFERROR(INDEX(Drinks!$D$4:$D$53,MATCH($B188,Drinks!$A$4:$A$53,0)),0))</f>
        <v/>
      </c>
      <c r="R188" s="10" t="str">
        <f aca="false">IF($B188="","",$P188-$Q188)</f>
        <v/>
      </c>
      <c r="S188" s="23" t="str">
        <f aca="false">IF($B188="","",IF(COUNTIFS($A$4:$A$2003,$A188-1,$B$4:$B$2003,$B188)=0,"first day",IF(SUMIFS($M$4:$M$2003,$A$4:$A$2003,$A188-1,$B$4:$B$2003,$B188)=$J188,"OK","CHECK")))</f>
        <v/>
      </c>
      <c r="T188" s="10" t="str">
        <f aca="false">IF($B188="","",IFERROR(INDEX(Drinks!$D$4:$D$53,MATCH($B188,Drinks!$A$4:$A$53,0)),0))</f>
        <v/>
      </c>
    </row>
    <row r="189" customFormat="false" ht="15" hidden="false" customHeight="false" outlineLevel="0" collapsed="false">
      <c r="A189" s="22"/>
      <c r="B189" s="9"/>
      <c r="C189" s="9"/>
      <c r="D189" s="9"/>
      <c r="E189" s="9"/>
      <c r="F189" s="10" t="str">
        <f aca="false">IF($B189="","",$C189+$D189-$E189)</f>
        <v/>
      </c>
      <c r="G189" s="10" t="str">
        <f aca="false">IF($B189="","",IFERROR(INDEX(Drinks!$C$4:$C$53,MATCH($B189,Drinks!$A$4:$A$53,0)),0))</f>
        <v/>
      </c>
      <c r="H189" s="10" t="str">
        <f aca="false">IF($B189="","",$D189*$G189)</f>
        <v/>
      </c>
      <c r="I189" s="10" t="str">
        <f aca="false">IF($B189="","",$F189*$G189)</f>
        <v/>
      </c>
      <c r="J189" s="9"/>
      <c r="K189" s="10" t="str">
        <f aca="false">IF($B189="","",$E189*IFERROR(INDEX(Drinks!$B$4:$B$53,MATCH($B189,Drinks!$A$4:$A$53,0)),0))</f>
        <v/>
      </c>
      <c r="L189" s="10" t="str">
        <f aca="false">IF($B189="","",$J189+$K189)</f>
        <v/>
      </c>
      <c r="M189" s="9"/>
      <c r="N189" s="10" t="str">
        <f aca="false">IF($B189="","",$L189-$M189)</f>
        <v/>
      </c>
      <c r="O189" s="10" t="str">
        <f aca="false">IF($B189="","",IFERROR(INDEX(Drinks!$E$4:$E$53,MATCH($B189,Drinks!$A$4:$A$53,0)),0))</f>
        <v/>
      </c>
      <c r="P189" s="10" t="str">
        <f aca="false">IF($B189="","",$N189*$O189)</f>
        <v/>
      </c>
      <c r="Q189" s="10" t="str">
        <f aca="false">IF($B189="","",$N189*IFERROR(INDEX(Drinks!$D$4:$D$53,MATCH($B189,Drinks!$A$4:$A$53,0)),0))</f>
        <v/>
      </c>
      <c r="R189" s="10" t="str">
        <f aca="false">IF($B189="","",$P189-$Q189)</f>
        <v/>
      </c>
      <c r="S189" s="23" t="str">
        <f aca="false">IF($B189="","",IF(COUNTIFS($A$4:$A$2003,$A189-1,$B$4:$B$2003,$B189)=0,"first day",IF(SUMIFS($M$4:$M$2003,$A$4:$A$2003,$A189-1,$B$4:$B$2003,$B189)=$J189,"OK","CHECK")))</f>
        <v/>
      </c>
      <c r="T189" s="10" t="str">
        <f aca="false">IF($B189="","",IFERROR(INDEX(Drinks!$D$4:$D$53,MATCH($B189,Drinks!$A$4:$A$53,0)),0))</f>
        <v/>
      </c>
    </row>
    <row r="190" customFormat="false" ht="15" hidden="false" customHeight="false" outlineLevel="0" collapsed="false">
      <c r="A190" s="22"/>
      <c r="B190" s="9"/>
      <c r="C190" s="9"/>
      <c r="D190" s="9"/>
      <c r="E190" s="9"/>
      <c r="F190" s="10" t="str">
        <f aca="false">IF($B190="","",$C190+$D190-$E190)</f>
        <v/>
      </c>
      <c r="G190" s="10" t="str">
        <f aca="false">IF($B190="","",IFERROR(INDEX(Drinks!$C$4:$C$53,MATCH($B190,Drinks!$A$4:$A$53,0)),0))</f>
        <v/>
      </c>
      <c r="H190" s="10" t="str">
        <f aca="false">IF($B190="","",$D190*$G190)</f>
        <v/>
      </c>
      <c r="I190" s="10" t="str">
        <f aca="false">IF($B190="","",$F190*$G190)</f>
        <v/>
      </c>
      <c r="J190" s="9"/>
      <c r="K190" s="10" t="str">
        <f aca="false">IF($B190="","",$E190*IFERROR(INDEX(Drinks!$B$4:$B$53,MATCH($B190,Drinks!$A$4:$A$53,0)),0))</f>
        <v/>
      </c>
      <c r="L190" s="10" t="str">
        <f aca="false">IF($B190="","",$J190+$K190)</f>
        <v/>
      </c>
      <c r="M190" s="9"/>
      <c r="N190" s="10" t="str">
        <f aca="false">IF($B190="","",$L190-$M190)</f>
        <v/>
      </c>
      <c r="O190" s="10" t="str">
        <f aca="false">IF($B190="","",IFERROR(INDEX(Drinks!$E$4:$E$53,MATCH($B190,Drinks!$A$4:$A$53,0)),0))</f>
        <v/>
      </c>
      <c r="P190" s="10" t="str">
        <f aca="false">IF($B190="","",$N190*$O190)</f>
        <v/>
      </c>
      <c r="Q190" s="10" t="str">
        <f aca="false">IF($B190="","",$N190*IFERROR(INDEX(Drinks!$D$4:$D$53,MATCH($B190,Drinks!$A$4:$A$53,0)),0))</f>
        <v/>
      </c>
      <c r="R190" s="10" t="str">
        <f aca="false">IF($B190="","",$P190-$Q190)</f>
        <v/>
      </c>
      <c r="S190" s="23" t="str">
        <f aca="false">IF($B190="","",IF(COUNTIFS($A$4:$A$2003,$A190-1,$B$4:$B$2003,$B190)=0,"first day",IF(SUMIFS($M$4:$M$2003,$A$4:$A$2003,$A190-1,$B$4:$B$2003,$B190)=$J190,"OK","CHECK")))</f>
        <v/>
      </c>
      <c r="T190" s="10" t="str">
        <f aca="false">IF($B190="","",IFERROR(INDEX(Drinks!$D$4:$D$53,MATCH($B190,Drinks!$A$4:$A$53,0)),0))</f>
        <v/>
      </c>
    </row>
    <row r="191" customFormat="false" ht="15" hidden="false" customHeight="false" outlineLevel="0" collapsed="false">
      <c r="A191" s="22"/>
      <c r="B191" s="9"/>
      <c r="C191" s="9"/>
      <c r="D191" s="9"/>
      <c r="E191" s="9"/>
      <c r="F191" s="10" t="str">
        <f aca="false">IF($B191="","",$C191+$D191-$E191)</f>
        <v/>
      </c>
      <c r="G191" s="10" t="str">
        <f aca="false">IF($B191="","",IFERROR(INDEX(Drinks!$C$4:$C$53,MATCH($B191,Drinks!$A$4:$A$53,0)),0))</f>
        <v/>
      </c>
      <c r="H191" s="10" t="str">
        <f aca="false">IF($B191="","",$D191*$G191)</f>
        <v/>
      </c>
      <c r="I191" s="10" t="str">
        <f aca="false">IF($B191="","",$F191*$G191)</f>
        <v/>
      </c>
      <c r="J191" s="9"/>
      <c r="K191" s="10" t="str">
        <f aca="false">IF($B191="","",$E191*IFERROR(INDEX(Drinks!$B$4:$B$53,MATCH($B191,Drinks!$A$4:$A$53,0)),0))</f>
        <v/>
      </c>
      <c r="L191" s="10" t="str">
        <f aca="false">IF($B191="","",$J191+$K191)</f>
        <v/>
      </c>
      <c r="M191" s="9"/>
      <c r="N191" s="10" t="str">
        <f aca="false">IF($B191="","",$L191-$M191)</f>
        <v/>
      </c>
      <c r="O191" s="10" t="str">
        <f aca="false">IF($B191="","",IFERROR(INDEX(Drinks!$E$4:$E$53,MATCH($B191,Drinks!$A$4:$A$53,0)),0))</f>
        <v/>
      </c>
      <c r="P191" s="10" t="str">
        <f aca="false">IF($B191="","",$N191*$O191)</f>
        <v/>
      </c>
      <c r="Q191" s="10" t="str">
        <f aca="false">IF($B191="","",$N191*IFERROR(INDEX(Drinks!$D$4:$D$53,MATCH($B191,Drinks!$A$4:$A$53,0)),0))</f>
        <v/>
      </c>
      <c r="R191" s="10" t="str">
        <f aca="false">IF($B191="","",$P191-$Q191)</f>
        <v/>
      </c>
      <c r="S191" s="23" t="str">
        <f aca="false">IF($B191="","",IF(COUNTIFS($A$4:$A$2003,$A191-1,$B$4:$B$2003,$B191)=0,"first day",IF(SUMIFS($M$4:$M$2003,$A$4:$A$2003,$A191-1,$B$4:$B$2003,$B191)=$J191,"OK","CHECK")))</f>
        <v/>
      </c>
      <c r="T191" s="10" t="str">
        <f aca="false">IF($B191="","",IFERROR(INDEX(Drinks!$D$4:$D$53,MATCH($B191,Drinks!$A$4:$A$53,0)),0))</f>
        <v/>
      </c>
    </row>
    <row r="192" customFormat="false" ht="15" hidden="false" customHeight="false" outlineLevel="0" collapsed="false">
      <c r="A192" s="22"/>
      <c r="B192" s="9"/>
      <c r="C192" s="9"/>
      <c r="D192" s="9"/>
      <c r="E192" s="9"/>
      <c r="F192" s="10" t="str">
        <f aca="false">IF($B192="","",$C192+$D192-$E192)</f>
        <v/>
      </c>
      <c r="G192" s="10" t="str">
        <f aca="false">IF($B192="","",IFERROR(INDEX(Drinks!$C$4:$C$53,MATCH($B192,Drinks!$A$4:$A$53,0)),0))</f>
        <v/>
      </c>
      <c r="H192" s="10" t="str">
        <f aca="false">IF($B192="","",$D192*$G192)</f>
        <v/>
      </c>
      <c r="I192" s="10" t="str">
        <f aca="false">IF($B192="","",$F192*$G192)</f>
        <v/>
      </c>
      <c r="J192" s="9"/>
      <c r="K192" s="10" t="str">
        <f aca="false">IF($B192="","",$E192*IFERROR(INDEX(Drinks!$B$4:$B$53,MATCH($B192,Drinks!$A$4:$A$53,0)),0))</f>
        <v/>
      </c>
      <c r="L192" s="10" t="str">
        <f aca="false">IF($B192="","",$J192+$K192)</f>
        <v/>
      </c>
      <c r="M192" s="9"/>
      <c r="N192" s="10" t="str">
        <f aca="false">IF($B192="","",$L192-$M192)</f>
        <v/>
      </c>
      <c r="O192" s="10" t="str">
        <f aca="false">IF($B192="","",IFERROR(INDEX(Drinks!$E$4:$E$53,MATCH($B192,Drinks!$A$4:$A$53,0)),0))</f>
        <v/>
      </c>
      <c r="P192" s="10" t="str">
        <f aca="false">IF($B192="","",$N192*$O192)</f>
        <v/>
      </c>
      <c r="Q192" s="10" t="str">
        <f aca="false">IF($B192="","",$N192*IFERROR(INDEX(Drinks!$D$4:$D$53,MATCH($B192,Drinks!$A$4:$A$53,0)),0))</f>
        <v/>
      </c>
      <c r="R192" s="10" t="str">
        <f aca="false">IF($B192="","",$P192-$Q192)</f>
        <v/>
      </c>
      <c r="S192" s="23" t="str">
        <f aca="false">IF($B192="","",IF(COUNTIFS($A$4:$A$2003,$A192-1,$B$4:$B$2003,$B192)=0,"first day",IF(SUMIFS($M$4:$M$2003,$A$4:$A$2003,$A192-1,$B$4:$B$2003,$B192)=$J192,"OK","CHECK")))</f>
        <v/>
      </c>
      <c r="T192" s="10" t="str">
        <f aca="false">IF($B192="","",IFERROR(INDEX(Drinks!$D$4:$D$53,MATCH($B192,Drinks!$A$4:$A$53,0)),0))</f>
        <v/>
      </c>
    </row>
    <row r="193" customFormat="false" ht="15" hidden="false" customHeight="false" outlineLevel="0" collapsed="false">
      <c r="A193" s="22"/>
      <c r="B193" s="9"/>
      <c r="C193" s="9"/>
      <c r="D193" s="9"/>
      <c r="E193" s="9"/>
      <c r="F193" s="10" t="str">
        <f aca="false">IF($B193="","",$C193+$D193-$E193)</f>
        <v/>
      </c>
      <c r="G193" s="10" t="str">
        <f aca="false">IF($B193="","",IFERROR(INDEX(Drinks!$C$4:$C$53,MATCH($B193,Drinks!$A$4:$A$53,0)),0))</f>
        <v/>
      </c>
      <c r="H193" s="10" t="str">
        <f aca="false">IF($B193="","",$D193*$G193)</f>
        <v/>
      </c>
      <c r="I193" s="10" t="str">
        <f aca="false">IF($B193="","",$F193*$G193)</f>
        <v/>
      </c>
      <c r="J193" s="9"/>
      <c r="K193" s="10" t="str">
        <f aca="false">IF($B193="","",$E193*IFERROR(INDEX(Drinks!$B$4:$B$53,MATCH($B193,Drinks!$A$4:$A$53,0)),0))</f>
        <v/>
      </c>
      <c r="L193" s="10" t="str">
        <f aca="false">IF($B193="","",$J193+$K193)</f>
        <v/>
      </c>
      <c r="M193" s="9"/>
      <c r="N193" s="10" t="str">
        <f aca="false">IF($B193="","",$L193-$M193)</f>
        <v/>
      </c>
      <c r="O193" s="10" t="str">
        <f aca="false">IF($B193="","",IFERROR(INDEX(Drinks!$E$4:$E$53,MATCH($B193,Drinks!$A$4:$A$53,0)),0))</f>
        <v/>
      </c>
      <c r="P193" s="10" t="str">
        <f aca="false">IF($B193="","",$N193*$O193)</f>
        <v/>
      </c>
      <c r="Q193" s="10" t="str">
        <f aca="false">IF($B193="","",$N193*IFERROR(INDEX(Drinks!$D$4:$D$53,MATCH($B193,Drinks!$A$4:$A$53,0)),0))</f>
        <v/>
      </c>
      <c r="R193" s="10" t="str">
        <f aca="false">IF($B193="","",$P193-$Q193)</f>
        <v/>
      </c>
      <c r="S193" s="23" t="str">
        <f aca="false">IF($B193="","",IF(COUNTIFS($A$4:$A$2003,$A193-1,$B$4:$B$2003,$B193)=0,"first day",IF(SUMIFS($M$4:$M$2003,$A$4:$A$2003,$A193-1,$B$4:$B$2003,$B193)=$J193,"OK","CHECK")))</f>
        <v/>
      </c>
      <c r="T193" s="10" t="str">
        <f aca="false">IF($B193="","",IFERROR(INDEX(Drinks!$D$4:$D$53,MATCH($B193,Drinks!$A$4:$A$53,0)),0))</f>
        <v/>
      </c>
    </row>
    <row r="194" customFormat="false" ht="15" hidden="false" customHeight="false" outlineLevel="0" collapsed="false">
      <c r="A194" s="22"/>
      <c r="B194" s="9"/>
      <c r="C194" s="9"/>
      <c r="D194" s="9"/>
      <c r="E194" s="9"/>
      <c r="F194" s="10" t="str">
        <f aca="false">IF($B194="","",$C194+$D194-$E194)</f>
        <v/>
      </c>
      <c r="G194" s="10" t="str">
        <f aca="false">IF($B194="","",IFERROR(INDEX(Drinks!$C$4:$C$53,MATCH($B194,Drinks!$A$4:$A$53,0)),0))</f>
        <v/>
      </c>
      <c r="H194" s="10" t="str">
        <f aca="false">IF($B194="","",$D194*$G194)</f>
        <v/>
      </c>
      <c r="I194" s="10" t="str">
        <f aca="false">IF($B194="","",$F194*$G194)</f>
        <v/>
      </c>
      <c r="J194" s="9"/>
      <c r="K194" s="10" t="str">
        <f aca="false">IF($B194="","",$E194*IFERROR(INDEX(Drinks!$B$4:$B$53,MATCH($B194,Drinks!$A$4:$A$53,0)),0))</f>
        <v/>
      </c>
      <c r="L194" s="10" t="str">
        <f aca="false">IF($B194="","",$J194+$K194)</f>
        <v/>
      </c>
      <c r="M194" s="9"/>
      <c r="N194" s="10" t="str">
        <f aca="false">IF($B194="","",$L194-$M194)</f>
        <v/>
      </c>
      <c r="O194" s="10" t="str">
        <f aca="false">IF($B194="","",IFERROR(INDEX(Drinks!$E$4:$E$53,MATCH($B194,Drinks!$A$4:$A$53,0)),0))</f>
        <v/>
      </c>
      <c r="P194" s="10" t="str">
        <f aca="false">IF($B194="","",$N194*$O194)</f>
        <v/>
      </c>
      <c r="Q194" s="10" t="str">
        <f aca="false">IF($B194="","",$N194*IFERROR(INDEX(Drinks!$D$4:$D$53,MATCH($B194,Drinks!$A$4:$A$53,0)),0))</f>
        <v/>
      </c>
      <c r="R194" s="10" t="str">
        <f aca="false">IF($B194="","",$P194-$Q194)</f>
        <v/>
      </c>
      <c r="S194" s="23" t="str">
        <f aca="false">IF($B194="","",IF(COUNTIFS($A$4:$A$2003,$A194-1,$B$4:$B$2003,$B194)=0,"first day",IF(SUMIFS($M$4:$M$2003,$A$4:$A$2003,$A194-1,$B$4:$B$2003,$B194)=$J194,"OK","CHECK")))</f>
        <v/>
      </c>
      <c r="T194" s="10" t="str">
        <f aca="false">IF($B194="","",IFERROR(INDEX(Drinks!$D$4:$D$53,MATCH($B194,Drinks!$A$4:$A$53,0)),0))</f>
        <v/>
      </c>
    </row>
    <row r="195" customFormat="false" ht="15" hidden="false" customHeight="false" outlineLevel="0" collapsed="false">
      <c r="A195" s="22"/>
      <c r="B195" s="9"/>
      <c r="C195" s="9"/>
      <c r="D195" s="9"/>
      <c r="E195" s="9"/>
      <c r="F195" s="10" t="str">
        <f aca="false">IF($B195="","",$C195+$D195-$E195)</f>
        <v/>
      </c>
      <c r="G195" s="10" t="str">
        <f aca="false">IF($B195="","",IFERROR(INDEX(Drinks!$C$4:$C$53,MATCH($B195,Drinks!$A$4:$A$53,0)),0))</f>
        <v/>
      </c>
      <c r="H195" s="10" t="str">
        <f aca="false">IF($B195="","",$D195*$G195)</f>
        <v/>
      </c>
      <c r="I195" s="10" t="str">
        <f aca="false">IF($B195="","",$F195*$G195)</f>
        <v/>
      </c>
      <c r="J195" s="9"/>
      <c r="K195" s="10" t="str">
        <f aca="false">IF($B195="","",$E195*IFERROR(INDEX(Drinks!$B$4:$B$53,MATCH($B195,Drinks!$A$4:$A$53,0)),0))</f>
        <v/>
      </c>
      <c r="L195" s="10" t="str">
        <f aca="false">IF($B195="","",$J195+$K195)</f>
        <v/>
      </c>
      <c r="M195" s="9"/>
      <c r="N195" s="10" t="str">
        <f aca="false">IF($B195="","",$L195-$M195)</f>
        <v/>
      </c>
      <c r="O195" s="10" t="str">
        <f aca="false">IF($B195="","",IFERROR(INDEX(Drinks!$E$4:$E$53,MATCH($B195,Drinks!$A$4:$A$53,0)),0))</f>
        <v/>
      </c>
      <c r="P195" s="10" t="str">
        <f aca="false">IF($B195="","",$N195*$O195)</f>
        <v/>
      </c>
      <c r="Q195" s="10" t="str">
        <f aca="false">IF($B195="","",$N195*IFERROR(INDEX(Drinks!$D$4:$D$53,MATCH($B195,Drinks!$A$4:$A$53,0)),0))</f>
        <v/>
      </c>
      <c r="R195" s="10" t="str">
        <f aca="false">IF($B195="","",$P195-$Q195)</f>
        <v/>
      </c>
      <c r="S195" s="23" t="str">
        <f aca="false">IF($B195="","",IF(COUNTIFS($A$4:$A$2003,$A195-1,$B$4:$B$2003,$B195)=0,"first day",IF(SUMIFS($M$4:$M$2003,$A$4:$A$2003,$A195-1,$B$4:$B$2003,$B195)=$J195,"OK","CHECK")))</f>
        <v/>
      </c>
      <c r="T195" s="10" t="str">
        <f aca="false">IF($B195="","",IFERROR(INDEX(Drinks!$D$4:$D$53,MATCH($B195,Drinks!$A$4:$A$53,0)),0))</f>
        <v/>
      </c>
    </row>
    <row r="196" customFormat="false" ht="15" hidden="false" customHeight="false" outlineLevel="0" collapsed="false">
      <c r="A196" s="22"/>
      <c r="B196" s="9"/>
      <c r="C196" s="9"/>
      <c r="D196" s="9"/>
      <c r="E196" s="9"/>
      <c r="F196" s="10" t="str">
        <f aca="false">IF($B196="","",$C196+$D196-$E196)</f>
        <v/>
      </c>
      <c r="G196" s="10" t="str">
        <f aca="false">IF($B196="","",IFERROR(INDEX(Drinks!$C$4:$C$53,MATCH($B196,Drinks!$A$4:$A$53,0)),0))</f>
        <v/>
      </c>
      <c r="H196" s="10" t="str">
        <f aca="false">IF($B196="","",$D196*$G196)</f>
        <v/>
      </c>
      <c r="I196" s="10" t="str">
        <f aca="false">IF($B196="","",$F196*$G196)</f>
        <v/>
      </c>
      <c r="J196" s="9"/>
      <c r="K196" s="10" t="str">
        <f aca="false">IF($B196="","",$E196*IFERROR(INDEX(Drinks!$B$4:$B$53,MATCH($B196,Drinks!$A$4:$A$53,0)),0))</f>
        <v/>
      </c>
      <c r="L196" s="10" t="str">
        <f aca="false">IF($B196="","",$J196+$K196)</f>
        <v/>
      </c>
      <c r="M196" s="9"/>
      <c r="N196" s="10" t="str">
        <f aca="false">IF($B196="","",$L196-$M196)</f>
        <v/>
      </c>
      <c r="O196" s="10" t="str">
        <f aca="false">IF($B196="","",IFERROR(INDEX(Drinks!$E$4:$E$53,MATCH($B196,Drinks!$A$4:$A$53,0)),0))</f>
        <v/>
      </c>
      <c r="P196" s="10" t="str">
        <f aca="false">IF($B196="","",$N196*$O196)</f>
        <v/>
      </c>
      <c r="Q196" s="10" t="str">
        <f aca="false">IF($B196="","",$N196*IFERROR(INDEX(Drinks!$D$4:$D$53,MATCH($B196,Drinks!$A$4:$A$53,0)),0))</f>
        <v/>
      </c>
      <c r="R196" s="10" t="str">
        <f aca="false">IF($B196="","",$P196-$Q196)</f>
        <v/>
      </c>
      <c r="S196" s="23" t="str">
        <f aca="false">IF($B196="","",IF(COUNTIFS($A$4:$A$2003,$A196-1,$B$4:$B$2003,$B196)=0,"first day",IF(SUMIFS($M$4:$M$2003,$A$4:$A$2003,$A196-1,$B$4:$B$2003,$B196)=$J196,"OK","CHECK")))</f>
        <v/>
      </c>
      <c r="T196" s="10" t="str">
        <f aca="false">IF($B196="","",IFERROR(INDEX(Drinks!$D$4:$D$53,MATCH($B196,Drinks!$A$4:$A$53,0)),0))</f>
        <v/>
      </c>
    </row>
    <row r="197" customFormat="false" ht="15" hidden="false" customHeight="false" outlineLevel="0" collapsed="false">
      <c r="A197" s="22"/>
      <c r="B197" s="9"/>
      <c r="C197" s="9"/>
      <c r="D197" s="9"/>
      <c r="E197" s="9"/>
      <c r="F197" s="10" t="str">
        <f aca="false">IF($B197="","",$C197+$D197-$E197)</f>
        <v/>
      </c>
      <c r="G197" s="10" t="str">
        <f aca="false">IF($B197="","",IFERROR(INDEX(Drinks!$C$4:$C$53,MATCH($B197,Drinks!$A$4:$A$53,0)),0))</f>
        <v/>
      </c>
      <c r="H197" s="10" t="str">
        <f aca="false">IF($B197="","",$D197*$G197)</f>
        <v/>
      </c>
      <c r="I197" s="10" t="str">
        <f aca="false">IF($B197="","",$F197*$G197)</f>
        <v/>
      </c>
      <c r="J197" s="9"/>
      <c r="K197" s="10" t="str">
        <f aca="false">IF($B197="","",$E197*IFERROR(INDEX(Drinks!$B$4:$B$53,MATCH($B197,Drinks!$A$4:$A$53,0)),0))</f>
        <v/>
      </c>
      <c r="L197" s="10" t="str">
        <f aca="false">IF($B197="","",$J197+$K197)</f>
        <v/>
      </c>
      <c r="M197" s="9"/>
      <c r="N197" s="10" t="str">
        <f aca="false">IF($B197="","",$L197-$M197)</f>
        <v/>
      </c>
      <c r="O197" s="10" t="str">
        <f aca="false">IF($B197="","",IFERROR(INDEX(Drinks!$E$4:$E$53,MATCH($B197,Drinks!$A$4:$A$53,0)),0))</f>
        <v/>
      </c>
      <c r="P197" s="10" t="str">
        <f aca="false">IF($B197="","",$N197*$O197)</f>
        <v/>
      </c>
      <c r="Q197" s="10" t="str">
        <f aca="false">IF($B197="","",$N197*IFERROR(INDEX(Drinks!$D$4:$D$53,MATCH($B197,Drinks!$A$4:$A$53,0)),0))</f>
        <v/>
      </c>
      <c r="R197" s="10" t="str">
        <f aca="false">IF($B197="","",$P197-$Q197)</f>
        <v/>
      </c>
      <c r="S197" s="23" t="str">
        <f aca="false">IF($B197="","",IF(COUNTIFS($A$4:$A$2003,$A197-1,$B$4:$B$2003,$B197)=0,"first day",IF(SUMIFS($M$4:$M$2003,$A$4:$A$2003,$A197-1,$B$4:$B$2003,$B197)=$J197,"OK","CHECK")))</f>
        <v/>
      </c>
      <c r="T197" s="10" t="str">
        <f aca="false">IF($B197="","",IFERROR(INDEX(Drinks!$D$4:$D$53,MATCH($B197,Drinks!$A$4:$A$53,0)),0))</f>
        <v/>
      </c>
    </row>
    <row r="198" customFormat="false" ht="15" hidden="false" customHeight="false" outlineLevel="0" collapsed="false">
      <c r="A198" s="22"/>
      <c r="B198" s="9"/>
      <c r="C198" s="9"/>
      <c r="D198" s="9"/>
      <c r="E198" s="9"/>
      <c r="F198" s="10" t="str">
        <f aca="false">IF($B198="","",$C198+$D198-$E198)</f>
        <v/>
      </c>
      <c r="G198" s="10" t="str">
        <f aca="false">IF($B198="","",IFERROR(INDEX(Drinks!$C$4:$C$53,MATCH($B198,Drinks!$A$4:$A$53,0)),0))</f>
        <v/>
      </c>
      <c r="H198" s="10" t="str">
        <f aca="false">IF($B198="","",$D198*$G198)</f>
        <v/>
      </c>
      <c r="I198" s="10" t="str">
        <f aca="false">IF($B198="","",$F198*$G198)</f>
        <v/>
      </c>
      <c r="J198" s="9"/>
      <c r="K198" s="10" t="str">
        <f aca="false">IF($B198="","",$E198*IFERROR(INDEX(Drinks!$B$4:$B$53,MATCH($B198,Drinks!$A$4:$A$53,0)),0))</f>
        <v/>
      </c>
      <c r="L198" s="10" t="str">
        <f aca="false">IF($B198="","",$J198+$K198)</f>
        <v/>
      </c>
      <c r="M198" s="9"/>
      <c r="N198" s="10" t="str">
        <f aca="false">IF($B198="","",$L198-$M198)</f>
        <v/>
      </c>
      <c r="O198" s="10" t="str">
        <f aca="false">IF($B198="","",IFERROR(INDEX(Drinks!$E$4:$E$53,MATCH($B198,Drinks!$A$4:$A$53,0)),0))</f>
        <v/>
      </c>
      <c r="P198" s="10" t="str">
        <f aca="false">IF($B198="","",$N198*$O198)</f>
        <v/>
      </c>
      <c r="Q198" s="10" t="str">
        <f aca="false">IF($B198="","",$N198*IFERROR(INDEX(Drinks!$D$4:$D$53,MATCH($B198,Drinks!$A$4:$A$53,0)),0))</f>
        <v/>
      </c>
      <c r="R198" s="10" t="str">
        <f aca="false">IF($B198="","",$P198-$Q198)</f>
        <v/>
      </c>
      <c r="S198" s="23" t="str">
        <f aca="false">IF($B198="","",IF(COUNTIFS($A$4:$A$2003,$A198-1,$B$4:$B$2003,$B198)=0,"first day",IF(SUMIFS($M$4:$M$2003,$A$4:$A$2003,$A198-1,$B$4:$B$2003,$B198)=$J198,"OK","CHECK")))</f>
        <v/>
      </c>
      <c r="T198" s="10" t="str">
        <f aca="false">IF($B198="","",IFERROR(INDEX(Drinks!$D$4:$D$53,MATCH($B198,Drinks!$A$4:$A$53,0)),0))</f>
        <v/>
      </c>
    </row>
    <row r="199" customFormat="false" ht="15" hidden="false" customHeight="false" outlineLevel="0" collapsed="false">
      <c r="A199" s="22"/>
      <c r="B199" s="9"/>
      <c r="C199" s="9"/>
      <c r="D199" s="9"/>
      <c r="E199" s="9"/>
      <c r="F199" s="10" t="str">
        <f aca="false">IF($B199="","",$C199+$D199-$E199)</f>
        <v/>
      </c>
      <c r="G199" s="10" t="str">
        <f aca="false">IF($B199="","",IFERROR(INDEX(Drinks!$C$4:$C$53,MATCH($B199,Drinks!$A$4:$A$53,0)),0))</f>
        <v/>
      </c>
      <c r="H199" s="10" t="str">
        <f aca="false">IF($B199="","",$D199*$G199)</f>
        <v/>
      </c>
      <c r="I199" s="10" t="str">
        <f aca="false">IF($B199="","",$F199*$G199)</f>
        <v/>
      </c>
      <c r="J199" s="9"/>
      <c r="K199" s="10" t="str">
        <f aca="false">IF($B199="","",$E199*IFERROR(INDEX(Drinks!$B$4:$B$53,MATCH($B199,Drinks!$A$4:$A$53,0)),0))</f>
        <v/>
      </c>
      <c r="L199" s="10" t="str">
        <f aca="false">IF($B199="","",$J199+$K199)</f>
        <v/>
      </c>
      <c r="M199" s="9"/>
      <c r="N199" s="10" t="str">
        <f aca="false">IF($B199="","",$L199-$M199)</f>
        <v/>
      </c>
      <c r="O199" s="10" t="str">
        <f aca="false">IF($B199="","",IFERROR(INDEX(Drinks!$E$4:$E$53,MATCH($B199,Drinks!$A$4:$A$53,0)),0))</f>
        <v/>
      </c>
      <c r="P199" s="10" t="str">
        <f aca="false">IF($B199="","",$N199*$O199)</f>
        <v/>
      </c>
      <c r="Q199" s="10" t="str">
        <f aca="false">IF($B199="","",$N199*IFERROR(INDEX(Drinks!$D$4:$D$53,MATCH($B199,Drinks!$A$4:$A$53,0)),0))</f>
        <v/>
      </c>
      <c r="R199" s="10" t="str">
        <f aca="false">IF($B199="","",$P199-$Q199)</f>
        <v/>
      </c>
      <c r="S199" s="23" t="str">
        <f aca="false">IF($B199="","",IF(COUNTIFS($A$4:$A$2003,$A199-1,$B$4:$B$2003,$B199)=0,"first day",IF(SUMIFS($M$4:$M$2003,$A$4:$A$2003,$A199-1,$B$4:$B$2003,$B199)=$J199,"OK","CHECK")))</f>
        <v/>
      </c>
      <c r="T199" s="10" t="str">
        <f aca="false">IF($B199="","",IFERROR(INDEX(Drinks!$D$4:$D$53,MATCH($B199,Drinks!$A$4:$A$53,0)),0))</f>
        <v/>
      </c>
    </row>
    <row r="200" customFormat="false" ht="15" hidden="false" customHeight="false" outlineLevel="0" collapsed="false">
      <c r="A200" s="22"/>
      <c r="B200" s="9"/>
      <c r="C200" s="9"/>
      <c r="D200" s="9"/>
      <c r="E200" s="9"/>
      <c r="F200" s="10" t="str">
        <f aca="false">IF($B200="","",$C200+$D200-$E200)</f>
        <v/>
      </c>
      <c r="G200" s="10" t="str">
        <f aca="false">IF($B200="","",IFERROR(INDEX(Drinks!$C$4:$C$53,MATCH($B200,Drinks!$A$4:$A$53,0)),0))</f>
        <v/>
      </c>
      <c r="H200" s="10" t="str">
        <f aca="false">IF($B200="","",$D200*$G200)</f>
        <v/>
      </c>
      <c r="I200" s="10" t="str">
        <f aca="false">IF($B200="","",$F200*$G200)</f>
        <v/>
      </c>
      <c r="J200" s="9"/>
      <c r="K200" s="10" t="str">
        <f aca="false">IF($B200="","",$E200*IFERROR(INDEX(Drinks!$B$4:$B$53,MATCH($B200,Drinks!$A$4:$A$53,0)),0))</f>
        <v/>
      </c>
      <c r="L200" s="10" t="str">
        <f aca="false">IF($B200="","",$J200+$K200)</f>
        <v/>
      </c>
      <c r="M200" s="9"/>
      <c r="N200" s="10" t="str">
        <f aca="false">IF($B200="","",$L200-$M200)</f>
        <v/>
      </c>
      <c r="O200" s="10" t="str">
        <f aca="false">IF($B200="","",IFERROR(INDEX(Drinks!$E$4:$E$53,MATCH($B200,Drinks!$A$4:$A$53,0)),0))</f>
        <v/>
      </c>
      <c r="P200" s="10" t="str">
        <f aca="false">IF($B200="","",$N200*$O200)</f>
        <v/>
      </c>
      <c r="Q200" s="10" t="str">
        <f aca="false">IF($B200="","",$N200*IFERROR(INDEX(Drinks!$D$4:$D$53,MATCH($B200,Drinks!$A$4:$A$53,0)),0))</f>
        <v/>
      </c>
      <c r="R200" s="10" t="str">
        <f aca="false">IF($B200="","",$P200-$Q200)</f>
        <v/>
      </c>
      <c r="S200" s="23" t="str">
        <f aca="false">IF($B200="","",IF(COUNTIFS($A$4:$A$2003,$A200-1,$B$4:$B$2003,$B200)=0,"first day",IF(SUMIFS($M$4:$M$2003,$A$4:$A$2003,$A200-1,$B$4:$B$2003,$B200)=$J200,"OK","CHECK")))</f>
        <v/>
      </c>
      <c r="T200" s="10" t="str">
        <f aca="false">IF($B200="","",IFERROR(INDEX(Drinks!$D$4:$D$53,MATCH($B200,Drinks!$A$4:$A$53,0)),0))</f>
        <v/>
      </c>
    </row>
    <row r="201" customFormat="false" ht="15" hidden="false" customHeight="false" outlineLevel="0" collapsed="false">
      <c r="A201" s="22"/>
      <c r="B201" s="9"/>
      <c r="C201" s="9"/>
      <c r="D201" s="9"/>
      <c r="E201" s="9"/>
      <c r="F201" s="10" t="str">
        <f aca="false">IF($B201="","",$C201+$D201-$E201)</f>
        <v/>
      </c>
      <c r="G201" s="10" t="str">
        <f aca="false">IF($B201="","",IFERROR(INDEX(Drinks!$C$4:$C$53,MATCH($B201,Drinks!$A$4:$A$53,0)),0))</f>
        <v/>
      </c>
      <c r="H201" s="10" t="str">
        <f aca="false">IF($B201="","",$D201*$G201)</f>
        <v/>
      </c>
      <c r="I201" s="10" t="str">
        <f aca="false">IF($B201="","",$F201*$G201)</f>
        <v/>
      </c>
      <c r="J201" s="9"/>
      <c r="K201" s="10" t="str">
        <f aca="false">IF($B201="","",$E201*IFERROR(INDEX(Drinks!$B$4:$B$53,MATCH($B201,Drinks!$A$4:$A$53,0)),0))</f>
        <v/>
      </c>
      <c r="L201" s="10" t="str">
        <f aca="false">IF($B201="","",$J201+$K201)</f>
        <v/>
      </c>
      <c r="M201" s="9"/>
      <c r="N201" s="10" t="str">
        <f aca="false">IF($B201="","",$L201-$M201)</f>
        <v/>
      </c>
      <c r="O201" s="10" t="str">
        <f aca="false">IF($B201="","",IFERROR(INDEX(Drinks!$E$4:$E$53,MATCH($B201,Drinks!$A$4:$A$53,0)),0))</f>
        <v/>
      </c>
      <c r="P201" s="10" t="str">
        <f aca="false">IF($B201="","",$N201*$O201)</f>
        <v/>
      </c>
      <c r="Q201" s="10" t="str">
        <f aca="false">IF($B201="","",$N201*IFERROR(INDEX(Drinks!$D$4:$D$53,MATCH($B201,Drinks!$A$4:$A$53,0)),0))</f>
        <v/>
      </c>
      <c r="R201" s="10" t="str">
        <f aca="false">IF($B201="","",$P201-$Q201)</f>
        <v/>
      </c>
      <c r="S201" s="23" t="str">
        <f aca="false">IF($B201="","",IF(COUNTIFS($A$4:$A$2003,$A201-1,$B$4:$B$2003,$B201)=0,"first day",IF(SUMIFS($M$4:$M$2003,$A$4:$A$2003,$A201-1,$B$4:$B$2003,$B201)=$J201,"OK","CHECK")))</f>
        <v/>
      </c>
      <c r="T201" s="10" t="str">
        <f aca="false">IF($B201="","",IFERROR(INDEX(Drinks!$D$4:$D$53,MATCH($B201,Drinks!$A$4:$A$53,0)),0))</f>
        <v/>
      </c>
    </row>
    <row r="202" customFormat="false" ht="15" hidden="false" customHeight="false" outlineLevel="0" collapsed="false">
      <c r="A202" s="22"/>
      <c r="B202" s="9"/>
      <c r="C202" s="9"/>
      <c r="D202" s="9"/>
      <c r="E202" s="9"/>
      <c r="F202" s="10" t="str">
        <f aca="false">IF($B202="","",$C202+$D202-$E202)</f>
        <v/>
      </c>
      <c r="G202" s="10" t="str">
        <f aca="false">IF($B202="","",IFERROR(INDEX(Drinks!$C$4:$C$53,MATCH($B202,Drinks!$A$4:$A$53,0)),0))</f>
        <v/>
      </c>
      <c r="H202" s="10" t="str">
        <f aca="false">IF($B202="","",$D202*$G202)</f>
        <v/>
      </c>
      <c r="I202" s="10" t="str">
        <f aca="false">IF($B202="","",$F202*$G202)</f>
        <v/>
      </c>
      <c r="J202" s="9"/>
      <c r="K202" s="10" t="str">
        <f aca="false">IF($B202="","",$E202*IFERROR(INDEX(Drinks!$B$4:$B$53,MATCH($B202,Drinks!$A$4:$A$53,0)),0))</f>
        <v/>
      </c>
      <c r="L202" s="10" t="str">
        <f aca="false">IF($B202="","",$J202+$K202)</f>
        <v/>
      </c>
      <c r="M202" s="9"/>
      <c r="N202" s="10" t="str">
        <f aca="false">IF($B202="","",$L202-$M202)</f>
        <v/>
      </c>
      <c r="O202" s="10" t="str">
        <f aca="false">IF($B202="","",IFERROR(INDEX(Drinks!$E$4:$E$53,MATCH($B202,Drinks!$A$4:$A$53,0)),0))</f>
        <v/>
      </c>
      <c r="P202" s="10" t="str">
        <f aca="false">IF($B202="","",$N202*$O202)</f>
        <v/>
      </c>
      <c r="Q202" s="10" t="str">
        <f aca="false">IF($B202="","",$N202*IFERROR(INDEX(Drinks!$D$4:$D$53,MATCH($B202,Drinks!$A$4:$A$53,0)),0))</f>
        <v/>
      </c>
      <c r="R202" s="10" t="str">
        <f aca="false">IF($B202="","",$P202-$Q202)</f>
        <v/>
      </c>
      <c r="S202" s="23" t="str">
        <f aca="false">IF($B202="","",IF(COUNTIFS($A$4:$A$2003,$A202-1,$B$4:$B$2003,$B202)=0,"first day",IF(SUMIFS($M$4:$M$2003,$A$4:$A$2003,$A202-1,$B$4:$B$2003,$B202)=$J202,"OK","CHECK")))</f>
        <v/>
      </c>
      <c r="T202" s="10" t="str">
        <f aca="false">IF($B202="","",IFERROR(INDEX(Drinks!$D$4:$D$53,MATCH($B202,Drinks!$A$4:$A$53,0)),0))</f>
        <v/>
      </c>
    </row>
    <row r="203" customFormat="false" ht="15" hidden="false" customHeight="false" outlineLevel="0" collapsed="false">
      <c r="A203" s="22"/>
      <c r="B203" s="9"/>
      <c r="C203" s="9"/>
      <c r="D203" s="9"/>
      <c r="E203" s="9"/>
      <c r="F203" s="10" t="str">
        <f aca="false">IF($B203="","",$C203+$D203-$E203)</f>
        <v/>
      </c>
      <c r="G203" s="10" t="str">
        <f aca="false">IF($B203="","",IFERROR(INDEX(Drinks!$C$4:$C$53,MATCH($B203,Drinks!$A$4:$A$53,0)),0))</f>
        <v/>
      </c>
      <c r="H203" s="10" t="str">
        <f aca="false">IF($B203="","",$D203*$G203)</f>
        <v/>
      </c>
      <c r="I203" s="10" t="str">
        <f aca="false">IF($B203="","",$F203*$G203)</f>
        <v/>
      </c>
      <c r="J203" s="9"/>
      <c r="K203" s="10" t="str">
        <f aca="false">IF($B203="","",$E203*IFERROR(INDEX(Drinks!$B$4:$B$53,MATCH($B203,Drinks!$A$4:$A$53,0)),0))</f>
        <v/>
      </c>
      <c r="L203" s="10" t="str">
        <f aca="false">IF($B203="","",$J203+$K203)</f>
        <v/>
      </c>
      <c r="M203" s="9"/>
      <c r="N203" s="10" t="str">
        <f aca="false">IF($B203="","",$L203-$M203)</f>
        <v/>
      </c>
      <c r="O203" s="10" t="str">
        <f aca="false">IF($B203="","",IFERROR(INDEX(Drinks!$E$4:$E$53,MATCH($B203,Drinks!$A$4:$A$53,0)),0))</f>
        <v/>
      </c>
      <c r="P203" s="10" t="str">
        <f aca="false">IF($B203="","",$N203*$O203)</f>
        <v/>
      </c>
      <c r="Q203" s="10" t="str">
        <f aca="false">IF($B203="","",$N203*IFERROR(INDEX(Drinks!$D$4:$D$53,MATCH($B203,Drinks!$A$4:$A$53,0)),0))</f>
        <v/>
      </c>
      <c r="R203" s="10" t="str">
        <f aca="false">IF($B203="","",$P203-$Q203)</f>
        <v/>
      </c>
      <c r="S203" s="23" t="str">
        <f aca="false">IF($B203="","",IF(COUNTIFS($A$4:$A$2003,$A203-1,$B$4:$B$2003,$B203)=0,"first day",IF(SUMIFS($M$4:$M$2003,$A$4:$A$2003,$A203-1,$B$4:$B$2003,$B203)=$J203,"OK","CHECK")))</f>
        <v/>
      </c>
      <c r="T203" s="10" t="str">
        <f aca="false">IF($B203="","",IFERROR(INDEX(Drinks!$D$4:$D$53,MATCH($B203,Drinks!$A$4:$A$53,0)),0))</f>
        <v/>
      </c>
    </row>
    <row r="204" customFormat="false" ht="15" hidden="false" customHeight="false" outlineLevel="0" collapsed="false">
      <c r="A204" s="22"/>
      <c r="B204" s="9"/>
      <c r="C204" s="9"/>
      <c r="D204" s="9"/>
      <c r="E204" s="9"/>
      <c r="F204" s="10" t="str">
        <f aca="false">IF($B204="","",$C204+$D204-$E204)</f>
        <v/>
      </c>
      <c r="G204" s="10" t="str">
        <f aca="false">IF($B204="","",IFERROR(INDEX(Drinks!$C$4:$C$53,MATCH($B204,Drinks!$A$4:$A$53,0)),0))</f>
        <v/>
      </c>
      <c r="H204" s="10" t="str">
        <f aca="false">IF($B204="","",$D204*$G204)</f>
        <v/>
      </c>
      <c r="I204" s="10" t="str">
        <f aca="false">IF($B204="","",$F204*$G204)</f>
        <v/>
      </c>
      <c r="J204" s="9"/>
      <c r="K204" s="10" t="str">
        <f aca="false">IF($B204="","",$E204*IFERROR(INDEX(Drinks!$B$4:$B$53,MATCH($B204,Drinks!$A$4:$A$53,0)),0))</f>
        <v/>
      </c>
      <c r="L204" s="10" t="str">
        <f aca="false">IF($B204="","",$J204+$K204)</f>
        <v/>
      </c>
      <c r="M204" s="9"/>
      <c r="N204" s="10" t="str">
        <f aca="false">IF($B204="","",$L204-$M204)</f>
        <v/>
      </c>
      <c r="O204" s="10" t="str">
        <f aca="false">IF($B204="","",IFERROR(INDEX(Drinks!$E$4:$E$53,MATCH($B204,Drinks!$A$4:$A$53,0)),0))</f>
        <v/>
      </c>
      <c r="P204" s="10" t="str">
        <f aca="false">IF($B204="","",$N204*$O204)</f>
        <v/>
      </c>
      <c r="Q204" s="10" t="str">
        <f aca="false">IF($B204="","",$N204*IFERROR(INDEX(Drinks!$D$4:$D$53,MATCH($B204,Drinks!$A$4:$A$53,0)),0))</f>
        <v/>
      </c>
      <c r="R204" s="10" t="str">
        <f aca="false">IF($B204="","",$P204-$Q204)</f>
        <v/>
      </c>
      <c r="S204" s="23" t="str">
        <f aca="false">IF($B204="","",IF(COUNTIFS($A$4:$A$2003,$A204-1,$B$4:$B$2003,$B204)=0,"first day",IF(SUMIFS($M$4:$M$2003,$A$4:$A$2003,$A204-1,$B$4:$B$2003,$B204)=$J204,"OK","CHECK")))</f>
        <v/>
      </c>
      <c r="T204" s="10" t="str">
        <f aca="false">IF($B204="","",IFERROR(INDEX(Drinks!$D$4:$D$53,MATCH($B204,Drinks!$A$4:$A$53,0)),0))</f>
        <v/>
      </c>
    </row>
    <row r="205" customFormat="false" ht="15" hidden="false" customHeight="false" outlineLevel="0" collapsed="false">
      <c r="A205" s="22"/>
      <c r="B205" s="9"/>
      <c r="C205" s="9"/>
      <c r="D205" s="9"/>
      <c r="E205" s="9"/>
      <c r="F205" s="10" t="str">
        <f aca="false">IF($B205="","",$C205+$D205-$E205)</f>
        <v/>
      </c>
      <c r="G205" s="10" t="str">
        <f aca="false">IF($B205="","",IFERROR(INDEX(Drinks!$C$4:$C$53,MATCH($B205,Drinks!$A$4:$A$53,0)),0))</f>
        <v/>
      </c>
      <c r="H205" s="10" t="str">
        <f aca="false">IF($B205="","",$D205*$G205)</f>
        <v/>
      </c>
      <c r="I205" s="10" t="str">
        <f aca="false">IF($B205="","",$F205*$G205)</f>
        <v/>
      </c>
      <c r="J205" s="9"/>
      <c r="K205" s="10" t="str">
        <f aca="false">IF($B205="","",$E205*IFERROR(INDEX(Drinks!$B$4:$B$53,MATCH($B205,Drinks!$A$4:$A$53,0)),0))</f>
        <v/>
      </c>
      <c r="L205" s="10" t="str">
        <f aca="false">IF($B205="","",$J205+$K205)</f>
        <v/>
      </c>
      <c r="M205" s="9"/>
      <c r="N205" s="10" t="str">
        <f aca="false">IF($B205="","",$L205-$M205)</f>
        <v/>
      </c>
      <c r="O205" s="10" t="str">
        <f aca="false">IF($B205="","",IFERROR(INDEX(Drinks!$E$4:$E$53,MATCH($B205,Drinks!$A$4:$A$53,0)),0))</f>
        <v/>
      </c>
      <c r="P205" s="10" t="str">
        <f aca="false">IF($B205="","",$N205*$O205)</f>
        <v/>
      </c>
      <c r="Q205" s="10" t="str">
        <f aca="false">IF($B205="","",$N205*IFERROR(INDEX(Drinks!$D$4:$D$53,MATCH($B205,Drinks!$A$4:$A$53,0)),0))</f>
        <v/>
      </c>
      <c r="R205" s="10" t="str">
        <f aca="false">IF($B205="","",$P205-$Q205)</f>
        <v/>
      </c>
      <c r="S205" s="23" t="str">
        <f aca="false">IF($B205="","",IF(COUNTIFS($A$4:$A$2003,$A205-1,$B$4:$B$2003,$B205)=0,"first day",IF(SUMIFS($M$4:$M$2003,$A$4:$A$2003,$A205-1,$B$4:$B$2003,$B205)=$J205,"OK","CHECK")))</f>
        <v/>
      </c>
      <c r="T205" s="10" t="str">
        <f aca="false">IF($B205="","",IFERROR(INDEX(Drinks!$D$4:$D$53,MATCH($B205,Drinks!$A$4:$A$53,0)),0))</f>
        <v/>
      </c>
    </row>
    <row r="206" customFormat="false" ht="15" hidden="false" customHeight="false" outlineLevel="0" collapsed="false">
      <c r="A206" s="22"/>
      <c r="B206" s="9"/>
      <c r="C206" s="9"/>
      <c r="D206" s="9"/>
      <c r="E206" s="9"/>
      <c r="F206" s="10" t="str">
        <f aca="false">IF($B206="","",$C206+$D206-$E206)</f>
        <v/>
      </c>
      <c r="G206" s="10" t="str">
        <f aca="false">IF($B206="","",IFERROR(INDEX(Drinks!$C$4:$C$53,MATCH($B206,Drinks!$A$4:$A$53,0)),0))</f>
        <v/>
      </c>
      <c r="H206" s="10" t="str">
        <f aca="false">IF($B206="","",$D206*$G206)</f>
        <v/>
      </c>
      <c r="I206" s="10" t="str">
        <f aca="false">IF($B206="","",$F206*$G206)</f>
        <v/>
      </c>
      <c r="J206" s="9"/>
      <c r="K206" s="10" t="str">
        <f aca="false">IF($B206="","",$E206*IFERROR(INDEX(Drinks!$B$4:$B$53,MATCH($B206,Drinks!$A$4:$A$53,0)),0))</f>
        <v/>
      </c>
      <c r="L206" s="10" t="str">
        <f aca="false">IF($B206="","",$J206+$K206)</f>
        <v/>
      </c>
      <c r="M206" s="9"/>
      <c r="N206" s="10" t="str">
        <f aca="false">IF($B206="","",$L206-$M206)</f>
        <v/>
      </c>
      <c r="O206" s="10" t="str">
        <f aca="false">IF($B206="","",IFERROR(INDEX(Drinks!$E$4:$E$53,MATCH($B206,Drinks!$A$4:$A$53,0)),0))</f>
        <v/>
      </c>
      <c r="P206" s="10" t="str">
        <f aca="false">IF($B206="","",$N206*$O206)</f>
        <v/>
      </c>
      <c r="Q206" s="10" t="str">
        <f aca="false">IF($B206="","",$N206*IFERROR(INDEX(Drinks!$D$4:$D$53,MATCH($B206,Drinks!$A$4:$A$53,0)),0))</f>
        <v/>
      </c>
      <c r="R206" s="10" t="str">
        <f aca="false">IF($B206="","",$P206-$Q206)</f>
        <v/>
      </c>
      <c r="S206" s="23" t="str">
        <f aca="false">IF($B206="","",IF(COUNTIFS($A$4:$A$2003,$A206-1,$B$4:$B$2003,$B206)=0,"first day",IF(SUMIFS($M$4:$M$2003,$A$4:$A$2003,$A206-1,$B$4:$B$2003,$B206)=$J206,"OK","CHECK")))</f>
        <v/>
      </c>
      <c r="T206" s="10" t="str">
        <f aca="false">IF($B206="","",IFERROR(INDEX(Drinks!$D$4:$D$53,MATCH($B206,Drinks!$A$4:$A$53,0)),0))</f>
        <v/>
      </c>
    </row>
    <row r="207" customFormat="false" ht="15" hidden="false" customHeight="false" outlineLevel="0" collapsed="false">
      <c r="A207" s="22"/>
      <c r="B207" s="9"/>
      <c r="C207" s="9"/>
      <c r="D207" s="9"/>
      <c r="E207" s="9"/>
      <c r="F207" s="10" t="str">
        <f aca="false">IF($B207="","",$C207+$D207-$E207)</f>
        <v/>
      </c>
      <c r="G207" s="10" t="str">
        <f aca="false">IF($B207="","",IFERROR(INDEX(Drinks!$C$4:$C$53,MATCH($B207,Drinks!$A$4:$A$53,0)),0))</f>
        <v/>
      </c>
      <c r="H207" s="10" t="str">
        <f aca="false">IF($B207="","",$D207*$G207)</f>
        <v/>
      </c>
      <c r="I207" s="10" t="str">
        <f aca="false">IF($B207="","",$F207*$G207)</f>
        <v/>
      </c>
      <c r="J207" s="9"/>
      <c r="K207" s="10" t="str">
        <f aca="false">IF($B207="","",$E207*IFERROR(INDEX(Drinks!$B$4:$B$53,MATCH($B207,Drinks!$A$4:$A$53,0)),0))</f>
        <v/>
      </c>
      <c r="L207" s="10" t="str">
        <f aca="false">IF($B207="","",$J207+$K207)</f>
        <v/>
      </c>
      <c r="M207" s="9"/>
      <c r="N207" s="10" t="str">
        <f aca="false">IF($B207="","",$L207-$M207)</f>
        <v/>
      </c>
      <c r="O207" s="10" t="str">
        <f aca="false">IF($B207="","",IFERROR(INDEX(Drinks!$E$4:$E$53,MATCH($B207,Drinks!$A$4:$A$53,0)),0))</f>
        <v/>
      </c>
      <c r="P207" s="10" t="str">
        <f aca="false">IF($B207="","",$N207*$O207)</f>
        <v/>
      </c>
      <c r="Q207" s="10" t="str">
        <f aca="false">IF($B207="","",$N207*IFERROR(INDEX(Drinks!$D$4:$D$53,MATCH($B207,Drinks!$A$4:$A$53,0)),0))</f>
        <v/>
      </c>
      <c r="R207" s="10" t="str">
        <f aca="false">IF($B207="","",$P207-$Q207)</f>
        <v/>
      </c>
      <c r="S207" s="23" t="str">
        <f aca="false">IF($B207="","",IF(COUNTIFS($A$4:$A$2003,$A207-1,$B$4:$B$2003,$B207)=0,"first day",IF(SUMIFS($M$4:$M$2003,$A$4:$A$2003,$A207-1,$B$4:$B$2003,$B207)=$J207,"OK","CHECK")))</f>
        <v/>
      </c>
      <c r="T207" s="10" t="str">
        <f aca="false">IF($B207="","",IFERROR(INDEX(Drinks!$D$4:$D$53,MATCH($B207,Drinks!$A$4:$A$53,0)),0))</f>
        <v/>
      </c>
    </row>
    <row r="208" customFormat="false" ht="15" hidden="false" customHeight="false" outlineLevel="0" collapsed="false">
      <c r="A208" s="22"/>
      <c r="B208" s="9"/>
      <c r="C208" s="9"/>
      <c r="D208" s="9"/>
      <c r="E208" s="9"/>
      <c r="F208" s="10" t="str">
        <f aca="false">IF($B208="","",$C208+$D208-$E208)</f>
        <v/>
      </c>
      <c r="G208" s="10" t="str">
        <f aca="false">IF($B208="","",IFERROR(INDEX(Drinks!$C$4:$C$53,MATCH($B208,Drinks!$A$4:$A$53,0)),0))</f>
        <v/>
      </c>
      <c r="H208" s="10" t="str">
        <f aca="false">IF($B208="","",$D208*$G208)</f>
        <v/>
      </c>
      <c r="I208" s="10" t="str">
        <f aca="false">IF($B208="","",$F208*$G208)</f>
        <v/>
      </c>
      <c r="J208" s="9"/>
      <c r="K208" s="10" t="str">
        <f aca="false">IF($B208="","",$E208*IFERROR(INDEX(Drinks!$B$4:$B$53,MATCH($B208,Drinks!$A$4:$A$53,0)),0))</f>
        <v/>
      </c>
      <c r="L208" s="10" t="str">
        <f aca="false">IF($B208="","",$J208+$K208)</f>
        <v/>
      </c>
      <c r="M208" s="9"/>
      <c r="N208" s="10" t="str">
        <f aca="false">IF($B208="","",$L208-$M208)</f>
        <v/>
      </c>
      <c r="O208" s="10" t="str">
        <f aca="false">IF($B208="","",IFERROR(INDEX(Drinks!$E$4:$E$53,MATCH($B208,Drinks!$A$4:$A$53,0)),0))</f>
        <v/>
      </c>
      <c r="P208" s="10" t="str">
        <f aca="false">IF($B208="","",$N208*$O208)</f>
        <v/>
      </c>
      <c r="Q208" s="10" t="str">
        <f aca="false">IF($B208="","",$N208*IFERROR(INDEX(Drinks!$D$4:$D$53,MATCH($B208,Drinks!$A$4:$A$53,0)),0))</f>
        <v/>
      </c>
      <c r="R208" s="10" t="str">
        <f aca="false">IF($B208="","",$P208-$Q208)</f>
        <v/>
      </c>
      <c r="S208" s="23" t="str">
        <f aca="false">IF($B208="","",IF(COUNTIFS($A$4:$A$2003,$A208-1,$B$4:$B$2003,$B208)=0,"first day",IF(SUMIFS($M$4:$M$2003,$A$4:$A$2003,$A208-1,$B$4:$B$2003,$B208)=$J208,"OK","CHECK")))</f>
        <v/>
      </c>
      <c r="T208" s="10" t="str">
        <f aca="false">IF($B208="","",IFERROR(INDEX(Drinks!$D$4:$D$53,MATCH($B208,Drinks!$A$4:$A$53,0)),0))</f>
        <v/>
      </c>
    </row>
    <row r="209" customFormat="false" ht="15" hidden="false" customHeight="false" outlineLevel="0" collapsed="false">
      <c r="A209" s="22"/>
      <c r="B209" s="9"/>
      <c r="C209" s="9"/>
      <c r="D209" s="9"/>
      <c r="E209" s="9"/>
      <c r="F209" s="10" t="str">
        <f aca="false">IF($B209="","",$C209+$D209-$E209)</f>
        <v/>
      </c>
      <c r="G209" s="10" t="str">
        <f aca="false">IF($B209="","",IFERROR(INDEX(Drinks!$C$4:$C$53,MATCH($B209,Drinks!$A$4:$A$53,0)),0))</f>
        <v/>
      </c>
      <c r="H209" s="10" t="str">
        <f aca="false">IF($B209="","",$D209*$G209)</f>
        <v/>
      </c>
      <c r="I209" s="10" t="str">
        <f aca="false">IF($B209="","",$F209*$G209)</f>
        <v/>
      </c>
      <c r="J209" s="9"/>
      <c r="K209" s="10" t="str">
        <f aca="false">IF($B209="","",$E209*IFERROR(INDEX(Drinks!$B$4:$B$53,MATCH($B209,Drinks!$A$4:$A$53,0)),0))</f>
        <v/>
      </c>
      <c r="L209" s="10" t="str">
        <f aca="false">IF($B209="","",$J209+$K209)</f>
        <v/>
      </c>
      <c r="M209" s="9"/>
      <c r="N209" s="10" t="str">
        <f aca="false">IF($B209="","",$L209-$M209)</f>
        <v/>
      </c>
      <c r="O209" s="10" t="str">
        <f aca="false">IF($B209="","",IFERROR(INDEX(Drinks!$E$4:$E$53,MATCH($B209,Drinks!$A$4:$A$53,0)),0))</f>
        <v/>
      </c>
      <c r="P209" s="10" t="str">
        <f aca="false">IF($B209="","",$N209*$O209)</f>
        <v/>
      </c>
      <c r="Q209" s="10" t="str">
        <f aca="false">IF($B209="","",$N209*IFERROR(INDEX(Drinks!$D$4:$D$53,MATCH($B209,Drinks!$A$4:$A$53,0)),0))</f>
        <v/>
      </c>
      <c r="R209" s="10" t="str">
        <f aca="false">IF($B209="","",$P209-$Q209)</f>
        <v/>
      </c>
      <c r="S209" s="23" t="str">
        <f aca="false">IF($B209="","",IF(COUNTIFS($A$4:$A$2003,$A209-1,$B$4:$B$2003,$B209)=0,"first day",IF(SUMIFS($M$4:$M$2003,$A$4:$A$2003,$A209-1,$B$4:$B$2003,$B209)=$J209,"OK","CHECK")))</f>
        <v/>
      </c>
      <c r="T209" s="10" t="str">
        <f aca="false">IF($B209="","",IFERROR(INDEX(Drinks!$D$4:$D$53,MATCH($B209,Drinks!$A$4:$A$53,0)),0))</f>
        <v/>
      </c>
    </row>
    <row r="210" customFormat="false" ht="15" hidden="false" customHeight="false" outlineLevel="0" collapsed="false">
      <c r="A210" s="22"/>
      <c r="B210" s="9"/>
      <c r="C210" s="9"/>
      <c r="D210" s="9"/>
      <c r="E210" s="9"/>
      <c r="F210" s="10" t="str">
        <f aca="false">IF($B210="","",$C210+$D210-$E210)</f>
        <v/>
      </c>
      <c r="G210" s="10" t="str">
        <f aca="false">IF($B210="","",IFERROR(INDEX(Drinks!$C$4:$C$53,MATCH($B210,Drinks!$A$4:$A$53,0)),0))</f>
        <v/>
      </c>
      <c r="H210" s="10" t="str">
        <f aca="false">IF($B210="","",$D210*$G210)</f>
        <v/>
      </c>
      <c r="I210" s="10" t="str">
        <f aca="false">IF($B210="","",$F210*$G210)</f>
        <v/>
      </c>
      <c r="J210" s="9"/>
      <c r="K210" s="10" t="str">
        <f aca="false">IF($B210="","",$E210*IFERROR(INDEX(Drinks!$B$4:$B$53,MATCH($B210,Drinks!$A$4:$A$53,0)),0))</f>
        <v/>
      </c>
      <c r="L210" s="10" t="str">
        <f aca="false">IF($B210="","",$J210+$K210)</f>
        <v/>
      </c>
      <c r="M210" s="9"/>
      <c r="N210" s="10" t="str">
        <f aca="false">IF($B210="","",$L210-$M210)</f>
        <v/>
      </c>
      <c r="O210" s="10" t="str">
        <f aca="false">IF($B210="","",IFERROR(INDEX(Drinks!$E$4:$E$53,MATCH($B210,Drinks!$A$4:$A$53,0)),0))</f>
        <v/>
      </c>
      <c r="P210" s="10" t="str">
        <f aca="false">IF($B210="","",$N210*$O210)</f>
        <v/>
      </c>
      <c r="Q210" s="10" t="str">
        <f aca="false">IF($B210="","",$N210*IFERROR(INDEX(Drinks!$D$4:$D$53,MATCH($B210,Drinks!$A$4:$A$53,0)),0))</f>
        <v/>
      </c>
      <c r="R210" s="10" t="str">
        <f aca="false">IF($B210="","",$P210-$Q210)</f>
        <v/>
      </c>
      <c r="S210" s="23" t="str">
        <f aca="false">IF($B210="","",IF(COUNTIFS($A$4:$A$2003,$A210-1,$B$4:$B$2003,$B210)=0,"first day",IF(SUMIFS($M$4:$M$2003,$A$4:$A$2003,$A210-1,$B$4:$B$2003,$B210)=$J210,"OK","CHECK")))</f>
        <v/>
      </c>
      <c r="T210" s="10" t="str">
        <f aca="false">IF($B210="","",IFERROR(INDEX(Drinks!$D$4:$D$53,MATCH($B210,Drinks!$A$4:$A$53,0)),0))</f>
        <v/>
      </c>
    </row>
    <row r="211" customFormat="false" ht="15" hidden="false" customHeight="false" outlineLevel="0" collapsed="false">
      <c r="A211" s="22"/>
      <c r="B211" s="9"/>
      <c r="C211" s="9"/>
      <c r="D211" s="9"/>
      <c r="E211" s="9"/>
      <c r="F211" s="10" t="str">
        <f aca="false">IF($B211="","",$C211+$D211-$E211)</f>
        <v/>
      </c>
      <c r="G211" s="10" t="str">
        <f aca="false">IF($B211="","",IFERROR(INDEX(Drinks!$C$4:$C$53,MATCH($B211,Drinks!$A$4:$A$53,0)),0))</f>
        <v/>
      </c>
      <c r="H211" s="10" t="str">
        <f aca="false">IF($B211="","",$D211*$G211)</f>
        <v/>
      </c>
      <c r="I211" s="10" t="str">
        <f aca="false">IF($B211="","",$F211*$G211)</f>
        <v/>
      </c>
      <c r="J211" s="9"/>
      <c r="K211" s="10" t="str">
        <f aca="false">IF($B211="","",$E211*IFERROR(INDEX(Drinks!$B$4:$B$53,MATCH($B211,Drinks!$A$4:$A$53,0)),0))</f>
        <v/>
      </c>
      <c r="L211" s="10" t="str">
        <f aca="false">IF($B211="","",$J211+$K211)</f>
        <v/>
      </c>
      <c r="M211" s="9"/>
      <c r="N211" s="10" t="str">
        <f aca="false">IF($B211="","",$L211-$M211)</f>
        <v/>
      </c>
      <c r="O211" s="10" t="str">
        <f aca="false">IF($B211="","",IFERROR(INDEX(Drinks!$E$4:$E$53,MATCH($B211,Drinks!$A$4:$A$53,0)),0))</f>
        <v/>
      </c>
      <c r="P211" s="10" t="str">
        <f aca="false">IF($B211="","",$N211*$O211)</f>
        <v/>
      </c>
      <c r="Q211" s="10" t="str">
        <f aca="false">IF($B211="","",$N211*IFERROR(INDEX(Drinks!$D$4:$D$53,MATCH($B211,Drinks!$A$4:$A$53,0)),0))</f>
        <v/>
      </c>
      <c r="R211" s="10" t="str">
        <f aca="false">IF($B211="","",$P211-$Q211)</f>
        <v/>
      </c>
      <c r="S211" s="23" t="str">
        <f aca="false">IF($B211="","",IF(COUNTIFS($A$4:$A$2003,$A211-1,$B$4:$B$2003,$B211)=0,"first day",IF(SUMIFS($M$4:$M$2003,$A$4:$A$2003,$A211-1,$B$4:$B$2003,$B211)=$J211,"OK","CHECK")))</f>
        <v/>
      </c>
      <c r="T211" s="10" t="str">
        <f aca="false">IF($B211="","",IFERROR(INDEX(Drinks!$D$4:$D$53,MATCH($B211,Drinks!$A$4:$A$53,0)),0))</f>
        <v/>
      </c>
    </row>
    <row r="212" customFormat="false" ht="15" hidden="false" customHeight="false" outlineLevel="0" collapsed="false">
      <c r="A212" s="22"/>
      <c r="B212" s="9"/>
      <c r="C212" s="9"/>
      <c r="D212" s="9"/>
      <c r="E212" s="9"/>
      <c r="F212" s="10" t="str">
        <f aca="false">IF($B212="","",$C212+$D212-$E212)</f>
        <v/>
      </c>
      <c r="G212" s="10" t="str">
        <f aca="false">IF($B212="","",IFERROR(INDEX(Drinks!$C$4:$C$53,MATCH($B212,Drinks!$A$4:$A$53,0)),0))</f>
        <v/>
      </c>
      <c r="H212" s="10" t="str">
        <f aca="false">IF($B212="","",$D212*$G212)</f>
        <v/>
      </c>
      <c r="I212" s="10" t="str">
        <f aca="false">IF($B212="","",$F212*$G212)</f>
        <v/>
      </c>
      <c r="J212" s="9"/>
      <c r="K212" s="10" t="str">
        <f aca="false">IF($B212="","",$E212*IFERROR(INDEX(Drinks!$B$4:$B$53,MATCH($B212,Drinks!$A$4:$A$53,0)),0))</f>
        <v/>
      </c>
      <c r="L212" s="10" t="str">
        <f aca="false">IF($B212="","",$J212+$K212)</f>
        <v/>
      </c>
      <c r="M212" s="9"/>
      <c r="N212" s="10" t="str">
        <f aca="false">IF($B212="","",$L212-$M212)</f>
        <v/>
      </c>
      <c r="O212" s="10" t="str">
        <f aca="false">IF($B212="","",IFERROR(INDEX(Drinks!$E$4:$E$53,MATCH($B212,Drinks!$A$4:$A$53,0)),0))</f>
        <v/>
      </c>
      <c r="P212" s="10" t="str">
        <f aca="false">IF($B212="","",$N212*$O212)</f>
        <v/>
      </c>
      <c r="Q212" s="10" t="str">
        <f aca="false">IF($B212="","",$N212*IFERROR(INDEX(Drinks!$D$4:$D$53,MATCH($B212,Drinks!$A$4:$A$53,0)),0))</f>
        <v/>
      </c>
      <c r="R212" s="10" t="str">
        <f aca="false">IF($B212="","",$P212-$Q212)</f>
        <v/>
      </c>
      <c r="S212" s="23" t="str">
        <f aca="false">IF($B212="","",IF(COUNTIFS($A$4:$A$2003,$A212-1,$B$4:$B$2003,$B212)=0,"first day",IF(SUMIFS($M$4:$M$2003,$A$4:$A$2003,$A212-1,$B$4:$B$2003,$B212)=$J212,"OK","CHECK")))</f>
        <v/>
      </c>
      <c r="T212" s="10" t="str">
        <f aca="false">IF($B212="","",IFERROR(INDEX(Drinks!$D$4:$D$53,MATCH($B212,Drinks!$A$4:$A$53,0)),0))</f>
        <v/>
      </c>
    </row>
    <row r="213" customFormat="false" ht="15" hidden="false" customHeight="false" outlineLevel="0" collapsed="false">
      <c r="A213" s="22"/>
      <c r="B213" s="9"/>
      <c r="C213" s="9"/>
      <c r="D213" s="9"/>
      <c r="E213" s="9"/>
      <c r="F213" s="10" t="str">
        <f aca="false">IF($B213="","",$C213+$D213-$E213)</f>
        <v/>
      </c>
      <c r="G213" s="10" t="str">
        <f aca="false">IF($B213="","",IFERROR(INDEX(Drinks!$C$4:$C$53,MATCH($B213,Drinks!$A$4:$A$53,0)),0))</f>
        <v/>
      </c>
      <c r="H213" s="10" t="str">
        <f aca="false">IF($B213="","",$D213*$G213)</f>
        <v/>
      </c>
      <c r="I213" s="10" t="str">
        <f aca="false">IF($B213="","",$F213*$G213)</f>
        <v/>
      </c>
      <c r="J213" s="9"/>
      <c r="K213" s="10" t="str">
        <f aca="false">IF($B213="","",$E213*IFERROR(INDEX(Drinks!$B$4:$B$53,MATCH($B213,Drinks!$A$4:$A$53,0)),0))</f>
        <v/>
      </c>
      <c r="L213" s="10" t="str">
        <f aca="false">IF($B213="","",$J213+$K213)</f>
        <v/>
      </c>
      <c r="M213" s="9"/>
      <c r="N213" s="10" t="str">
        <f aca="false">IF($B213="","",$L213-$M213)</f>
        <v/>
      </c>
      <c r="O213" s="10" t="str">
        <f aca="false">IF($B213="","",IFERROR(INDEX(Drinks!$E$4:$E$53,MATCH($B213,Drinks!$A$4:$A$53,0)),0))</f>
        <v/>
      </c>
      <c r="P213" s="10" t="str">
        <f aca="false">IF($B213="","",$N213*$O213)</f>
        <v/>
      </c>
      <c r="Q213" s="10" t="str">
        <f aca="false">IF($B213="","",$N213*IFERROR(INDEX(Drinks!$D$4:$D$53,MATCH($B213,Drinks!$A$4:$A$53,0)),0))</f>
        <v/>
      </c>
      <c r="R213" s="10" t="str">
        <f aca="false">IF($B213="","",$P213-$Q213)</f>
        <v/>
      </c>
      <c r="S213" s="23" t="str">
        <f aca="false">IF($B213="","",IF(COUNTIFS($A$4:$A$2003,$A213-1,$B$4:$B$2003,$B213)=0,"first day",IF(SUMIFS($M$4:$M$2003,$A$4:$A$2003,$A213-1,$B$4:$B$2003,$B213)=$J213,"OK","CHECK")))</f>
        <v/>
      </c>
      <c r="T213" s="10" t="str">
        <f aca="false">IF($B213="","",IFERROR(INDEX(Drinks!$D$4:$D$53,MATCH($B213,Drinks!$A$4:$A$53,0)),0))</f>
        <v/>
      </c>
    </row>
    <row r="214" customFormat="false" ht="15" hidden="false" customHeight="false" outlineLevel="0" collapsed="false">
      <c r="A214" s="22"/>
      <c r="B214" s="9"/>
      <c r="C214" s="9"/>
      <c r="D214" s="9"/>
      <c r="E214" s="9"/>
      <c r="F214" s="10" t="str">
        <f aca="false">IF($B214="","",$C214+$D214-$E214)</f>
        <v/>
      </c>
      <c r="G214" s="10" t="str">
        <f aca="false">IF($B214="","",IFERROR(INDEX(Drinks!$C$4:$C$53,MATCH($B214,Drinks!$A$4:$A$53,0)),0))</f>
        <v/>
      </c>
      <c r="H214" s="10" t="str">
        <f aca="false">IF($B214="","",$D214*$G214)</f>
        <v/>
      </c>
      <c r="I214" s="10" t="str">
        <f aca="false">IF($B214="","",$F214*$G214)</f>
        <v/>
      </c>
      <c r="J214" s="9"/>
      <c r="K214" s="10" t="str">
        <f aca="false">IF($B214="","",$E214*IFERROR(INDEX(Drinks!$B$4:$B$53,MATCH($B214,Drinks!$A$4:$A$53,0)),0))</f>
        <v/>
      </c>
      <c r="L214" s="10" t="str">
        <f aca="false">IF($B214="","",$J214+$K214)</f>
        <v/>
      </c>
      <c r="M214" s="9"/>
      <c r="N214" s="10" t="str">
        <f aca="false">IF($B214="","",$L214-$M214)</f>
        <v/>
      </c>
      <c r="O214" s="10" t="str">
        <f aca="false">IF($B214="","",IFERROR(INDEX(Drinks!$E$4:$E$53,MATCH($B214,Drinks!$A$4:$A$53,0)),0))</f>
        <v/>
      </c>
      <c r="P214" s="10" t="str">
        <f aca="false">IF($B214="","",$N214*$O214)</f>
        <v/>
      </c>
      <c r="Q214" s="10" t="str">
        <f aca="false">IF($B214="","",$N214*IFERROR(INDEX(Drinks!$D$4:$D$53,MATCH($B214,Drinks!$A$4:$A$53,0)),0))</f>
        <v/>
      </c>
      <c r="R214" s="10" t="str">
        <f aca="false">IF($B214="","",$P214-$Q214)</f>
        <v/>
      </c>
      <c r="S214" s="23" t="str">
        <f aca="false">IF($B214="","",IF(COUNTIFS($A$4:$A$2003,$A214-1,$B$4:$B$2003,$B214)=0,"first day",IF(SUMIFS($M$4:$M$2003,$A$4:$A$2003,$A214-1,$B$4:$B$2003,$B214)=$J214,"OK","CHECK")))</f>
        <v/>
      </c>
      <c r="T214" s="10" t="str">
        <f aca="false">IF($B214="","",IFERROR(INDEX(Drinks!$D$4:$D$53,MATCH($B214,Drinks!$A$4:$A$53,0)),0))</f>
        <v/>
      </c>
    </row>
    <row r="215" customFormat="false" ht="15" hidden="false" customHeight="false" outlineLevel="0" collapsed="false">
      <c r="A215" s="22"/>
      <c r="B215" s="9"/>
      <c r="C215" s="9"/>
      <c r="D215" s="9"/>
      <c r="E215" s="9"/>
      <c r="F215" s="10" t="str">
        <f aca="false">IF($B215="","",$C215+$D215-$E215)</f>
        <v/>
      </c>
      <c r="G215" s="10" t="str">
        <f aca="false">IF($B215="","",IFERROR(INDEX(Drinks!$C$4:$C$53,MATCH($B215,Drinks!$A$4:$A$53,0)),0))</f>
        <v/>
      </c>
      <c r="H215" s="10" t="str">
        <f aca="false">IF($B215="","",$D215*$G215)</f>
        <v/>
      </c>
      <c r="I215" s="10" t="str">
        <f aca="false">IF($B215="","",$F215*$G215)</f>
        <v/>
      </c>
      <c r="J215" s="9"/>
      <c r="K215" s="10" t="str">
        <f aca="false">IF($B215="","",$E215*IFERROR(INDEX(Drinks!$B$4:$B$53,MATCH($B215,Drinks!$A$4:$A$53,0)),0))</f>
        <v/>
      </c>
      <c r="L215" s="10" t="str">
        <f aca="false">IF($B215="","",$J215+$K215)</f>
        <v/>
      </c>
      <c r="M215" s="9"/>
      <c r="N215" s="10" t="str">
        <f aca="false">IF($B215="","",$L215-$M215)</f>
        <v/>
      </c>
      <c r="O215" s="10" t="str">
        <f aca="false">IF($B215="","",IFERROR(INDEX(Drinks!$E$4:$E$53,MATCH($B215,Drinks!$A$4:$A$53,0)),0))</f>
        <v/>
      </c>
      <c r="P215" s="10" t="str">
        <f aca="false">IF($B215="","",$N215*$O215)</f>
        <v/>
      </c>
      <c r="Q215" s="10" t="str">
        <f aca="false">IF($B215="","",$N215*IFERROR(INDEX(Drinks!$D$4:$D$53,MATCH($B215,Drinks!$A$4:$A$53,0)),0))</f>
        <v/>
      </c>
      <c r="R215" s="10" t="str">
        <f aca="false">IF($B215="","",$P215-$Q215)</f>
        <v/>
      </c>
      <c r="S215" s="23" t="str">
        <f aca="false">IF($B215="","",IF(COUNTIFS($A$4:$A$2003,$A215-1,$B$4:$B$2003,$B215)=0,"first day",IF(SUMIFS($M$4:$M$2003,$A$4:$A$2003,$A215-1,$B$4:$B$2003,$B215)=$J215,"OK","CHECK")))</f>
        <v/>
      </c>
      <c r="T215" s="10" t="str">
        <f aca="false">IF($B215="","",IFERROR(INDEX(Drinks!$D$4:$D$53,MATCH($B215,Drinks!$A$4:$A$53,0)),0))</f>
        <v/>
      </c>
    </row>
    <row r="216" customFormat="false" ht="15" hidden="false" customHeight="false" outlineLevel="0" collapsed="false">
      <c r="A216" s="22"/>
      <c r="B216" s="9"/>
      <c r="C216" s="9"/>
      <c r="D216" s="9"/>
      <c r="E216" s="9"/>
      <c r="F216" s="10" t="str">
        <f aca="false">IF($B216="","",$C216+$D216-$E216)</f>
        <v/>
      </c>
      <c r="G216" s="10" t="str">
        <f aca="false">IF($B216="","",IFERROR(INDEX(Drinks!$C$4:$C$53,MATCH($B216,Drinks!$A$4:$A$53,0)),0))</f>
        <v/>
      </c>
      <c r="H216" s="10" t="str">
        <f aca="false">IF($B216="","",$D216*$G216)</f>
        <v/>
      </c>
      <c r="I216" s="10" t="str">
        <f aca="false">IF($B216="","",$F216*$G216)</f>
        <v/>
      </c>
      <c r="J216" s="9"/>
      <c r="K216" s="10" t="str">
        <f aca="false">IF($B216="","",$E216*IFERROR(INDEX(Drinks!$B$4:$B$53,MATCH($B216,Drinks!$A$4:$A$53,0)),0))</f>
        <v/>
      </c>
      <c r="L216" s="10" t="str">
        <f aca="false">IF($B216="","",$J216+$K216)</f>
        <v/>
      </c>
      <c r="M216" s="9"/>
      <c r="N216" s="10" t="str">
        <f aca="false">IF($B216="","",$L216-$M216)</f>
        <v/>
      </c>
      <c r="O216" s="10" t="str">
        <f aca="false">IF($B216="","",IFERROR(INDEX(Drinks!$E$4:$E$53,MATCH($B216,Drinks!$A$4:$A$53,0)),0))</f>
        <v/>
      </c>
      <c r="P216" s="10" t="str">
        <f aca="false">IF($B216="","",$N216*$O216)</f>
        <v/>
      </c>
      <c r="Q216" s="10" t="str">
        <f aca="false">IF($B216="","",$N216*IFERROR(INDEX(Drinks!$D$4:$D$53,MATCH($B216,Drinks!$A$4:$A$53,0)),0))</f>
        <v/>
      </c>
      <c r="R216" s="10" t="str">
        <f aca="false">IF($B216="","",$P216-$Q216)</f>
        <v/>
      </c>
      <c r="S216" s="23" t="str">
        <f aca="false">IF($B216="","",IF(COUNTIFS($A$4:$A$2003,$A216-1,$B$4:$B$2003,$B216)=0,"first day",IF(SUMIFS($M$4:$M$2003,$A$4:$A$2003,$A216-1,$B$4:$B$2003,$B216)=$J216,"OK","CHECK")))</f>
        <v/>
      </c>
      <c r="T216" s="10" t="str">
        <f aca="false">IF($B216="","",IFERROR(INDEX(Drinks!$D$4:$D$53,MATCH($B216,Drinks!$A$4:$A$53,0)),0))</f>
        <v/>
      </c>
    </row>
    <row r="217" customFormat="false" ht="15" hidden="false" customHeight="false" outlineLevel="0" collapsed="false">
      <c r="A217" s="22"/>
      <c r="B217" s="9"/>
      <c r="C217" s="9"/>
      <c r="D217" s="9"/>
      <c r="E217" s="9"/>
      <c r="F217" s="10" t="str">
        <f aca="false">IF($B217="","",$C217+$D217-$E217)</f>
        <v/>
      </c>
      <c r="G217" s="10" t="str">
        <f aca="false">IF($B217="","",IFERROR(INDEX(Drinks!$C$4:$C$53,MATCH($B217,Drinks!$A$4:$A$53,0)),0))</f>
        <v/>
      </c>
      <c r="H217" s="10" t="str">
        <f aca="false">IF($B217="","",$D217*$G217)</f>
        <v/>
      </c>
      <c r="I217" s="10" t="str">
        <f aca="false">IF($B217="","",$F217*$G217)</f>
        <v/>
      </c>
      <c r="J217" s="9"/>
      <c r="K217" s="10" t="str">
        <f aca="false">IF($B217="","",$E217*IFERROR(INDEX(Drinks!$B$4:$B$53,MATCH($B217,Drinks!$A$4:$A$53,0)),0))</f>
        <v/>
      </c>
      <c r="L217" s="10" t="str">
        <f aca="false">IF($B217="","",$J217+$K217)</f>
        <v/>
      </c>
      <c r="M217" s="9"/>
      <c r="N217" s="10" t="str">
        <f aca="false">IF($B217="","",$L217-$M217)</f>
        <v/>
      </c>
      <c r="O217" s="10" t="str">
        <f aca="false">IF($B217="","",IFERROR(INDEX(Drinks!$E$4:$E$53,MATCH($B217,Drinks!$A$4:$A$53,0)),0))</f>
        <v/>
      </c>
      <c r="P217" s="10" t="str">
        <f aca="false">IF($B217="","",$N217*$O217)</f>
        <v/>
      </c>
      <c r="Q217" s="10" t="str">
        <f aca="false">IF($B217="","",$N217*IFERROR(INDEX(Drinks!$D$4:$D$53,MATCH($B217,Drinks!$A$4:$A$53,0)),0))</f>
        <v/>
      </c>
      <c r="R217" s="10" t="str">
        <f aca="false">IF($B217="","",$P217-$Q217)</f>
        <v/>
      </c>
      <c r="S217" s="23" t="str">
        <f aca="false">IF($B217="","",IF(COUNTIFS($A$4:$A$2003,$A217-1,$B$4:$B$2003,$B217)=0,"first day",IF(SUMIFS($M$4:$M$2003,$A$4:$A$2003,$A217-1,$B$4:$B$2003,$B217)=$J217,"OK","CHECK")))</f>
        <v/>
      </c>
      <c r="T217" s="10" t="str">
        <f aca="false">IF($B217="","",IFERROR(INDEX(Drinks!$D$4:$D$53,MATCH($B217,Drinks!$A$4:$A$53,0)),0))</f>
        <v/>
      </c>
    </row>
    <row r="218" customFormat="false" ht="15" hidden="false" customHeight="false" outlineLevel="0" collapsed="false">
      <c r="A218" s="22"/>
      <c r="B218" s="9"/>
      <c r="C218" s="9"/>
      <c r="D218" s="9"/>
      <c r="E218" s="9"/>
      <c r="F218" s="10" t="str">
        <f aca="false">IF($B218="","",$C218+$D218-$E218)</f>
        <v/>
      </c>
      <c r="G218" s="10" t="str">
        <f aca="false">IF($B218="","",IFERROR(INDEX(Drinks!$C$4:$C$53,MATCH($B218,Drinks!$A$4:$A$53,0)),0))</f>
        <v/>
      </c>
      <c r="H218" s="10" t="str">
        <f aca="false">IF($B218="","",$D218*$G218)</f>
        <v/>
      </c>
      <c r="I218" s="10" t="str">
        <f aca="false">IF($B218="","",$F218*$G218)</f>
        <v/>
      </c>
      <c r="J218" s="9"/>
      <c r="K218" s="10" t="str">
        <f aca="false">IF($B218="","",$E218*IFERROR(INDEX(Drinks!$B$4:$B$53,MATCH($B218,Drinks!$A$4:$A$53,0)),0))</f>
        <v/>
      </c>
      <c r="L218" s="10" t="str">
        <f aca="false">IF($B218="","",$J218+$K218)</f>
        <v/>
      </c>
      <c r="M218" s="9"/>
      <c r="N218" s="10" t="str">
        <f aca="false">IF($B218="","",$L218-$M218)</f>
        <v/>
      </c>
      <c r="O218" s="10" t="str">
        <f aca="false">IF($B218="","",IFERROR(INDEX(Drinks!$E$4:$E$53,MATCH($B218,Drinks!$A$4:$A$53,0)),0))</f>
        <v/>
      </c>
      <c r="P218" s="10" t="str">
        <f aca="false">IF($B218="","",$N218*$O218)</f>
        <v/>
      </c>
      <c r="Q218" s="10" t="str">
        <f aca="false">IF($B218="","",$N218*IFERROR(INDEX(Drinks!$D$4:$D$53,MATCH($B218,Drinks!$A$4:$A$53,0)),0))</f>
        <v/>
      </c>
      <c r="R218" s="10" t="str">
        <f aca="false">IF($B218="","",$P218-$Q218)</f>
        <v/>
      </c>
      <c r="S218" s="23" t="str">
        <f aca="false">IF($B218="","",IF(COUNTIFS($A$4:$A$2003,$A218-1,$B$4:$B$2003,$B218)=0,"first day",IF(SUMIFS($M$4:$M$2003,$A$4:$A$2003,$A218-1,$B$4:$B$2003,$B218)=$J218,"OK","CHECK")))</f>
        <v/>
      </c>
      <c r="T218" s="10" t="str">
        <f aca="false">IF($B218="","",IFERROR(INDEX(Drinks!$D$4:$D$53,MATCH($B218,Drinks!$A$4:$A$53,0)),0))</f>
        <v/>
      </c>
    </row>
    <row r="219" customFormat="false" ht="15" hidden="false" customHeight="false" outlineLevel="0" collapsed="false">
      <c r="A219" s="22"/>
      <c r="B219" s="9"/>
      <c r="C219" s="9"/>
      <c r="D219" s="9"/>
      <c r="E219" s="9"/>
      <c r="F219" s="10" t="str">
        <f aca="false">IF($B219="","",$C219+$D219-$E219)</f>
        <v/>
      </c>
      <c r="G219" s="10" t="str">
        <f aca="false">IF($B219="","",IFERROR(INDEX(Drinks!$C$4:$C$53,MATCH($B219,Drinks!$A$4:$A$53,0)),0))</f>
        <v/>
      </c>
      <c r="H219" s="10" t="str">
        <f aca="false">IF($B219="","",$D219*$G219)</f>
        <v/>
      </c>
      <c r="I219" s="10" t="str">
        <f aca="false">IF($B219="","",$F219*$G219)</f>
        <v/>
      </c>
      <c r="J219" s="9"/>
      <c r="K219" s="10" t="str">
        <f aca="false">IF($B219="","",$E219*IFERROR(INDEX(Drinks!$B$4:$B$53,MATCH($B219,Drinks!$A$4:$A$53,0)),0))</f>
        <v/>
      </c>
      <c r="L219" s="10" t="str">
        <f aca="false">IF($B219="","",$J219+$K219)</f>
        <v/>
      </c>
      <c r="M219" s="9"/>
      <c r="N219" s="10" t="str">
        <f aca="false">IF($B219="","",$L219-$M219)</f>
        <v/>
      </c>
      <c r="O219" s="10" t="str">
        <f aca="false">IF($B219="","",IFERROR(INDEX(Drinks!$E$4:$E$53,MATCH($B219,Drinks!$A$4:$A$53,0)),0))</f>
        <v/>
      </c>
      <c r="P219" s="10" t="str">
        <f aca="false">IF($B219="","",$N219*$O219)</f>
        <v/>
      </c>
      <c r="Q219" s="10" t="str">
        <f aca="false">IF($B219="","",$N219*IFERROR(INDEX(Drinks!$D$4:$D$53,MATCH($B219,Drinks!$A$4:$A$53,0)),0))</f>
        <v/>
      </c>
      <c r="R219" s="10" t="str">
        <f aca="false">IF($B219="","",$P219-$Q219)</f>
        <v/>
      </c>
      <c r="S219" s="23" t="str">
        <f aca="false">IF($B219="","",IF(COUNTIFS($A$4:$A$2003,$A219-1,$B$4:$B$2003,$B219)=0,"first day",IF(SUMIFS($M$4:$M$2003,$A$4:$A$2003,$A219-1,$B$4:$B$2003,$B219)=$J219,"OK","CHECK")))</f>
        <v/>
      </c>
      <c r="T219" s="10" t="str">
        <f aca="false">IF($B219="","",IFERROR(INDEX(Drinks!$D$4:$D$53,MATCH($B219,Drinks!$A$4:$A$53,0)),0))</f>
        <v/>
      </c>
    </row>
    <row r="220" customFormat="false" ht="15" hidden="false" customHeight="false" outlineLevel="0" collapsed="false">
      <c r="A220" s="22"/>
      <c r="B220" s="9"/>
      <c r="C220" s="9"/>
      <c r="D220" s="9"/>
      <c r="E220" s="9"/>
      <c r="F220" s="10" t="str">
        <f aca="false">IF($B220="","",$C220+$D220-$E220)</f>
        <v/>
      </c>
      <c r="G220" s="10" t="str">
        <f aca="false">IF($B220="","",IFERROR(INDEX(Drinks!$C$4:$C$53,MATCH($B220,Drinks!$A$4:$A$53,0)),0))</f>
        <v/>
      </c>
      <c r="H220" s="10" t="str">
        <f aca="false">IF($B220="","",$D220*$G220)</f>
        <v/>
      </c>
      <c r="I220" s="10" t="str">
        <f aca="false">IF($B220="","",$F220*$G220)</f>
        <v/>
      </c>
      <c r="J220" s="9"/>
      <c r="K220" s="10" t="str">
        <f aca="false">IF($B220="","",$E220*IFERROR(INDEX(Drinks!$B$4:$B$53,MATCH($B220,Drinks!$A$4:$A$53,0)),0))</f>
        <v/>
      </c>
      <c r="L220" s="10" t="str">
        <f aca="false">IF($B220="","",$J220+$K220)</f>
        <v/>
      </c>
      <c r="M220" s="9"/>
      <c r="N220" s="10" t="str">
        <f aca="false">IF($B220="","",$L220-$M220)</f>
        <v/>
      </c>
      <c r="O220" s="10" t="str">
        <f aca="false">IF($B220="","",IFERROR(INDEX(Drinks!$E$4:$E$53,MATCH($B220,Drinks!$A$4:$A$53,0)),0))</f>
        <v/>
      </c>
      <c r="P220" s="10" t="str">
        <f aca="false">IF($B220="","",$N220*$O220)</f>
        <v/>
      </c>
      <c r="Q220" s="10" t="str">
        <f aca="false">IF($B220="","",$N220*IFERROR(INDEX(Drinks!$D$4:$D$53,MATCH($B220,Drinks!$A$4:$A$53,0)),0))</f>
        <v/>
      </c>
      <c r="R220" s="10" t="str">
        <f aca="false">IF($B220="","",$P220-$Q220)</f>
        <v/>
      </c>
      <c r="S220" s="23" t="str">
        <f aca="false">IF($B220="","",IF(COUNTIFS($A$4:$A$2003,$A220-1,$B$4:$B$2003,$B220)=0,"first day",IF(SUMIFS($M$4:$M$2003,$A$4:$A$2003,$A220-1,$B$4:$B$2003,$B220)=$J220,"OK","CHECK")))</f>
        <v/>
      </c>
      <c r="T220" s="10" t="str">
        <f aca="false">IF($B220="","",IFERROR(INDEX(Drinks!$D$4:$D$53,MATCH($B220,Drinks!$A$4:$A$53,0)),0))</f>
        <v/>
      </c>
    </row>
    <row r="221" customFormat="false" ht="15" hidden="false" customHeight="false" outlineLevel="0" collapsed="false">
      <c r="A221" s="22"/>
      <c r="B221" s="9"/>
      <c r="C221" s="9"/>
      <c r="D221" s="9"/>
      <c r="E221" s="9"/>
      <c r="F221" s="10" t="str">
        <f aca="false">IF($B221="","",$C221+$D221-$E221)</f>
        <v/>
      </c>
      <c r="G221" s="10" t="str">
        <f aca="false">IF($B221="","",IFERROR(INDEX(Drinks!$C$4:$C$53,MATCH($B221,Drinks!$A$4:$A$53,0)),0))</f>
        <v/>
      </c>
      <c r="H221" s="10" t="str">
        <f aca="false">IF($B221="","",$D221*$G221)</f>
        <v/>
      </c>
      <c r="I221" s="10" t="str">
        <f aca="false">IF($B221="","",$F221*$G221)</f>
        <v/>
      </c>
      <c r="J221" s="9"/>
      <c r="K221" s="10" t="str">
        <f aca="false">IF($B221="","",$E221*IFERROR(INDEX(Drinks!$B$4:$B$53,MATCH($B221,Drinks!$A$4:$A$53,0)),0))</f>
        <v/>
      </c>
      <c r="L221" s="10" t="str">
        <f aca="false">IF($B221="","",$J221+$K221)</f>
        <v/>
      </c>
      <c r="M221" s="9"/>
      <c r="N221" s="10" t="str">
        <f aca="false">IF($B221="","",$L221-$M221)</f>
        <v/>
      </c>
      <c r="O221" s="10" t="str">
        <f aca="false">IF($B221="","",IFERROR(INDEX(Drinks!$E$4:$E$53,MATCH($B221,Drinks!$A$4:$A$53,0)),0))</f>
        <v/>
      </c>
      <c r="P221" s="10" t="str">
        <f aca="false">IF($B221="","",$N221*$O221)</f>
        <v/>
      </c>
      <c r="Q221" s="10" t="str">
        <f aca="false">IF($B221="","",$N221*IFERROR(INDEX(Drinks!$D$4:$D$53,MATCH($B221,Drinks!$A$4:$A$53,0)),0))</f>
        <v/>
      </c>
      <c r="R221" s="10" t="str">
        <f aca="false">IF($B221="","",$P221-$Q221)</f>
        <v/>
      </c>
      <c r="S221" s="23" t="str">
        <f aca="false">IF($B221="","",IF(COUNTIFS($A$4:$A$2003,$A221-1,$B$4:$B$2003,$B221)=0,"first day",IF(SUMIFS($M$4:$M$2003,$A$4:$A$2003,$A221-1,$B$4:$B$2003,$B221)=$J221,"OK","CHECK")))</f>
        <v/>
      </c>
      <c r="T221" s="10" t="str">
        <f aca="false">IF($B221="","",IFERROR(INDEX(Drinks!$D$4:$D$53,MATCH($B221,Drinks!$A$4:$A$53,0)),0))</f>
        <v/>
      </c>
    </row>
    <row r="222" customFormat="false" ht="15" hidden="false" customHeight="false" outlineLevel="0" collapsed="false">
      <c r="A222" s="22"/>
      <c r="B222" s="9"/>
      <c r="C222" s="9"/>
      <c r="D222" s="9"/>
      <c r="E222" s="9"/>
      <c r="F222" s="10" t="str">
        <f aca="false">IF($B222="","",$C222+$D222-$E222)</f>
        <v/>
      </c>
      <c r="G222" s="10" t="str">
        <f aca="false">IF($B222="","",IFERROR(INDEX(Drinks!$C$4:$C$53,MATCH($B222,Drinks!$A$4:$A$53,0)),0))</f>
        <v/>
      </c>
      <c r="H222" s="10" t="str">
        <f aca="false">IF($B222="","",$D222*$G222)</f>
        <v/>
      </c>
      <c r="I222" s="10" t="str">
        <f aca="false">IF($B222="","",$F222*$G222)</f>
        <v/>
      </c>
      <c r="J222" s="9"/>
      <c r="K222" s="10" t="str">
        <f aca="false">IF($B222="","",$E222*IFERROR(INDEX(Drinks!$B$4:$B$53,MATCH($B222,Drinks!$A$4:$A$53,0)),0))</f>
        <v/>
      </c>
      <c r="L222" s="10" t="str">
        <f aca="false">IF($B222="","",$J222+$K222)</f>
        <v/>
      </c>
      <c r="M222" s="9"/>
      <c r="N222" s="10" t="str">
        <f aca="false">IF($B222="","",$L222-$M222)</f>
        <v/>
      </c>
      <c r="O222" s="10" t="str">
        <f aca="false">IF($B222="","",IFERROR(INDEX(Drinks!$E$4:$E$53,MATCH($B222,Drinks!$A$4:$A$53,0)),0))</f>
        <v/>
      </c>
      <c r="P222" s="10" t="str">
        <f aca="false">IF($B222="","",$N222*$O222)</f>
        <v/>
      </c>
      <c r="Q222" s="10" t="str">
        <f aca="false">IF($B222="","",$N222*IFERROR(INDEX(Drinks!$D$4:$D$53,MATCH($B222,Drinks!$A$4:$A$53,0)),0))</f>
        <v/>
      </c>
      <c r="R222" s="10" t="str">
        <f aca="false">IF($B222="","",$P222-$Q222)</f>
        <v/>
      </c>
      <c r="S222" s="23" t="str">
        <f aca="false">IF($B222="","",IF(COUNTIFS($A$4:$A$2003,$A222-1,$B$4:$B$2003,$B222)=0,"first day",IF(SUMIFS($M$4:$M$2003,$A$4:$A$2003,$A222-1,$B$4:$B$2003,$B222)=$J222,"OK","CHECK")))</f>
        <v/>
      </c>
      <c r="T222" s="10" t="str">
        <f aca="false">IF($B222="","",IFERROR(INDEX(Drinks!$D$4:$D$53,MATCH($B222,Drinks!$A$4:$A$53,0)),0))</f>
        <v/>
      </c>
    </row>
    <row r="223" customFormat="false" ht="15" hidden="false" customHeight="false" outlineLevel="0" collapsed="false">
      <c r="A223" s="22"/>
      <c r="B223" s="9"/>
      <c r="C223" s="9"/>
      <c r="D223" s="9"/>
      <c r="E223" s="9"/>
      <c r="F223" s="10" t="str">
        <f aca="false">IF($B223="","",$C223+$D223-$E223)</f>
        <v/>
      </c>
      <c r="G223" s="10" t="str">
        <f aca="false">IF($B223="","",IFERROR(INDEX(Drinks!$C$4:$C$53,MATCH($B223,Drinks!$A$4:$A$53,0)),0))</f>
        <v/>
      </c>
      <c r="H223" s="10" t="str">
        <f aca="false">IF($B223="","",$D223*$G223)</f>
        <v/>
      </c>
      <c r="I223" s="10" t="str">
        <f aca="false">IF($B223="","",$F223*$G223)</f>
        <v/>
      </c>
      <c r="J223" s="9"/>
      <c r="K223" s="10" t="str">
        <f aca="false">IF($B223="","",$E223*IFERROR(INDEX(Drinks!$B$4:$B$53,MATCH($B223,Drinks!$A$4:$A$53,0)),0))</f>
        <v/>
      </c>
      <c r="L223" s="10" t="str">
        <f aca="false">IF($B223="","",$J223+$K223)</f>
        <v/>
      </c>
      <c r="M223" s="9"/>
      <c r="N223" s="10" t="str">
        <f aca="false">IF($B223="","",$L223-$M223)</f>
        <v/>
      </c>
      <c r="O223" s="10" t="str">
        <f aca="false">IF($B223="","",IFERROR(INDEX(Drinks!$E$4:$E$53,MATCH($B223,Drinks!$A$4:$A$53,0)),0))</f>
        <v/>
      </c>
      <c r="P223" s="10" t="str">
        <f aca="false">IF($B223="","",$N223*$O223)</f>
        <v/>
      </c>
      <c r="Q223" s="10" t="str">
        <f aca="false">IF($B223="","",$N223*IFERROR(INDEX(Drinks!$D$4:$D$53,MATCH($B223,Drinks!$A$4:$A$53,0)),0))</f>
        <v/>
      </c>
      <c r="R223" s="10" t="str">
        <f aca="false">IF($B223="","",$P223-$Q223)</f>
        <v/>
      </c>
      <c r="S223" s="23" t="str">
        <f aca="false">IF($B223="","",IF(COUNTIFS($A$4:$A$2003,$A223-1,$B$4:$B$2003,$B223)=0,"first day",IF(SUMIFS($M$4:$M$2003,$A$4:$A$2003,$A223-1,$B$4:$B$2003,$B223)=$J223,"OK","CHECK")))</f>
        <v/>
      </c>
      <c r="T223" s="10" t="str">
        <f aca="false">IF($B223="","",IFERROR(INDEX(Drinks!$D$4:$D$53,MATCH($B223,Drinks!$A$4:$A$53,0)),0))</f>
        <v/>
      </c>
    </row>
    <row r="224" customFormat="false" ht="15" hidden="false" customHeight="false" outlineLevel="0" collapsed="false">
      <c r="A224" s="22"/>
      <c r="B224" s="9"/>
      <c r="C224" s="9"/>
      <c r="D224" s="9"/>
      <c r="E224" s="9"/>
      <c r="F224" s="10" t="str">
        <f aca="false">IF($B224="","",$C224+$D224-$E224)</f>
        <v/>
      </c>
      <c r="G224" s="10" t="str">
        <f aca="false">IF($B224="","",IFERROR(INDEX(Drinks!$C$4:$C$53,MATCH($B224,Drinks!$A$4:$A$53,0)),0))</f>
        <v/>
      </c>
      <c r="H224" s="10" t="str">
        <f aca="false">IF($B224="","",$D224*$G224)</f>
        <v/>
      </c>
      <c r="I224" s="10" t="str">
        <f aca="false">IF($B224="","",$F224*$G224)</f>
        <v/>
      </c>
      <c r="J224" s="9"/>
      <c r="K224" s="10" t="str">
        <f aca="false">IF($B224="","",$E224*IFERROR(INDEX(Drinks!$B$4:$B$53,MATCH($B224,Drinks!$A$4:$A$53,0)),0))</f>
        <v/>
      </c>
      <c r="L224" s="10" t="str">
        <f aca="false">IF($B224="","",$J224+$K224)</f>
        <v/>
      </c>
      <c r="M224" s="9"/>
      <c r="N224" s="10" t="str">
        <f aca="false">IF($B224="","",$L224-$M224)</f>
        <v/>
      </c>
      <c r="O224" s="10" t="str">
        <f aca="false">IF($B224="","",IFERROR(INDEX(Drinks!$E$4:$E$53,MATCH($B224,Drinks!$A$4:$A$53,0)),0))</f>
        <v/>
      </c>
      <c r="P224" s="10" t="str">
        <f aca="false">IF($B224="","",$N224*$O224)</f>
        <v/>
      </c>
      <c r="Q224" s="10" t="str">
        <f aca="false">IF($B224="","",$N224*IFERROR(INDEX(Drinks!$D$4:$D$53,MATCH($B224,Drinks!$A$4:$A$53,0)),0))</f>
        <v/>
      </c>
      <c r="R224" s="10" t="str">
        <f aca="false">IF($B224="","",$P224-$Q224)</f>
        <v/>
      </c>
      <c r="S224" s="23" t="str">
        <f aca="false">IF($B224="","",IF(COUNTIFS($A$4:$A$2003,$A224-1,$B$4:$B$2003,$B224)=0,"first day",IF(SUMIFS($M$4:$M$2003,$A$4:$A$2003,$A224-1,$B$4:$B$2003,$B224)=$J224,"OK","CHECK")))</f>
        <v/>
      </c>
      <c r="T224" s="10" t="str">
        <f aca="false">IF($B224="","",IFERROR(INDEX(Drinks!$D$4:$D$53,MATCH($B224,Drinks!$A$4:$A$53,0)),0))</f>
        <v/>
      </c>
    </row>
    <row r="225" customFormat="false" ht="15" hidden="false" customHeight="false" outlineLevel="0" collapsed="false">
      <c r="A225" s="22"/>
      <c r="B225" s="9"/>
      <c r="C225" s="9"/>
      <c r="D225" s="9"/>
      <c r="E225" s="9"/>
      <c r="F225" s="10" t="str">
        <f aca="false">IF($B225="","",$C225+$D225-$E225)</f>
        <v/>
      </c>
      <c r="G225" s="10" t="str">
        <f aca="false">IF($B225="","",IFERROR(INDEX(Drinks!$C$4:$C$53,MATCH($B225,Drinks!$A$4:$A$53,0)),0))</f>
        <v/>
      </c>
      <c r="H225" s="10" t="str">
        <f aca="false">IF($B225="","",$D225*$G225)</f>
        <v/>
      </c>
      <c r="I225" s="10" t="str">
        <f aca="false">IF($B225="","",$F225*$G225)</f>
        <v/>
      </c>
      <c r="J225" s="9"/>
      <c r="K225" s="10" t="str">
        <f aca="false">IF($B225="","",$E225*IFERROR(INDEX(Drinks!$B$4:$B$53,MATCH($B225,Drinks!$A$4:$A$53,0)),0))</f>
        <v/>
      </c>
      <c r="L225" s="10" t="str">
        <f aca="false">IF($B225="","",$J225+$K225)</f>
        <v/>
      </c>
      <c r="M225" s="9"/>
      <c r="N225" s="10" t="str">
        <f aca="false">IF($B225="","",$L225-$M225)</f>
        <v/>
      </c>
      <c r="O225" s="10" t="str">
        <f aca="false">IF($B225="","",IFERROR(INDEX(Drinks!$E$4:$E$53,MATCH($B225,Drinks!$A$4:$A$53,0)),0))</f>
        <v/>
      </c>
      <c r="P225" s="10" t="str">
        <f aca="false">IF($B225="","",$N225*$O225)</f>
        <v/>
      </c>
      <c r="Q225" s="10" t="str">
        <f aca="false">IF($B225="","",$N225*IFERROR(INDEX(Drinks!$D$4:$D$53,MATCH($B225,Drinks!$A$4:$A$53,0)),0))</f>
        <v/>
      </c>
      <c r="R225" s="10" t="str">
        <f aca="false">IF($B225="","",$P225-$Q225)</f>
        <v/>
      </c>
      <c r="S225" s="23" t="str">
        <f aca="false">IF($B225="","",IF(COUNTIFS($A$4:$A$2003,$A225-1,$B$4:$B$2003,$B225)=0,"first day",IF(SUMIFS($M$4:$M$2003,$A$4:$A$2003,$A225-1,$B$4:$B$2003,$B225)=$J225,"OK","CHECK")))</f>
        <v/>
      </c>
      <c r="T225" s="10" t="str">
        <f aca="false">IF($B225="","",IFERROR(INDEX(Drinks!$D$4:$D$53,MATCH($B225,Drinks!$A$4:$A$53,0)),0))</f>
        <v/>
      </c>
    </row>
    <row r="226" customFormat="false" ht="15" hidden="false" customHeight="false" outlineLevel="0" collapsed="false">
      <c r="A226" s="22"/>
      <c r="B226" s="9"/>
      <c r="C226" s="9"/>
      <c r="D226" s="9"/>
      <c r="E226" s="9"/>
      <c r="F226" s="10" t="str">
        <f aca="false">IF($B226="","",$C226+$D226-$E226)</f>
        <v/>
      </c>
      <c r="G226" s="10" t="str">
        <f aca="false">IF($B226="","",IFERROR(INDEX(Drinks!$C$4:$C$53,MATCH($B226,Drinks!$A$4:$A$53,0)),0))</f>
        <v/>
      </c>
      <c r="H226" s="10" t="str">
        <f aca="false">IF($B226="","",$D226*$G226)</f>
        <v/>
      </c>
      <c r="I226" s="10" t="str">
        <f aca="false">IF($B226="","",$F226*$G226)</f>
        <v/>
      </c>
      <c r="J226" s="9"/>
      <c r="K226" s="10" t="str">
        <f aca="false">IF($B226="","",$E226*IFERROR(INDEX(Drinks!$B$4:$B$53,MATCH($B226,Drinks!$A$4:$A$53,0)),0))</f>
        <v/>
      </c>
      <c r="L226" s="10" t="str">
        <f aca="false">IF($B226="","",$J226+$K226)</f>
        <v/>
      </c>
      <c r="M226" s="9"/>
      <c r="N226" s="10" t="str">
        <f aca="false">IF($B226="","",$L226-$M226)</f>
        <v/>
      </c>
      <c r="O226" s="10" t="str">
        <f aca="false">IF($B226="","",IFERROR(INDEX(Drinks!$E$4:$E$53,MATCH($B226,Drinks!$A$4:$A$53,0)),0))</f>
        <v/>
      </c>
      <c r="P226" s="10" t="str">
        <f aca="false">IF($B226="","",$N226*$O226)</f>
        <v/>
      </c>
      <c r="Q226" s="10" t="str">
        <f aca="false">IF($B226="","",$N226*IFERROR(INDEX(Drinks!$D$4:$D$53,MATCH($B226,Drinks!$A$4:$A$53,0)),0))</f>
        <v/>
      </c>
      <c r="R226" s="10" t="str">
        <f aca="false">IF($B226="","",$P226-$Q226)</f>
        <v/>
      </c>
      <c r="S226" s="23" t="str">
        <f aca="false">IF($B226="","",IF(COUNTIFS($A$4:$A$2003,$A226-1,$B$4:$B$2003,$B226)=0,"first day",IF(SUMIFS($M$4:$M$2003,$A$4:$A$2003,$A226-1,$B$4:$B$2003,$B226)=$J226,"OK","CHECK")))</f>
        <v/>
      </c>
      <c r="T226" s="10" t="str">
        <f aca="false">IF($B226="","",IFERROR(INDEX(Drinks!$D$4:$D$53,MATCH($B226,Drinks!$A$4:$A$53,0)),0))</f>
        <v/>
      </c>
    </row>
    <row r="227" customFormat="false" ht="15" hidden="false" customHeight="false" outlineLevel="0" collapsed="false">
      <c r="A227" s="22"/>
      <c r="B227" s="9"/>
      <c r="C227" s="9"/>
      <c r="D227" s="9"/>
      <c r="E227" s="9"/>
      <c r="F227" s="10" t="str">
        <f aca="false">IF($B227="","",$C227+$D227-$E227)</f>
        <v/>
      </c>
      <c r="G227" s="10" t="str">
        <f aca="false">IF($B227="","",IFERROR(INDEX(Drinks!$C$4:$C$53,MATCH($B227,Drinks!$A$4:$A$53,0)),0))</f>
        <v/>
      </c>
      <c r="H227" s="10" t="str">
        <f aca="false">IF($B227="","",$D227*$G227)</f>
        <v/>
      </c>
      <c r="I227" s="10" t="str">
        <f aca="false">IF($B227="","",$F227*$G227)</f>
        <v/>
      </c>
      <c r="J227" s="9"/>
      <c r="K227" s="10" t="str">
        <f aca="false">IF($B227="","",$E227*IFERROR(INDEX(Drinks!$B$4:$B$53,MATCH($B227,Drinks!$A$4:$A$53,0)),0))</f>
        <v/>
      </c>
      <c r="L227" s="10" t="str">
        <f aca="false">IF($B227="","",$J227+$K227)</f>
        <v/>
      </c>
      <c r="M227" s="9"/>
      <c r="N227" s="10" t="str">
        <f aca="false">IF($B227="","",$L227-$M227)</f>
        <v/>
      </c>
      <c r="O227" s="10" t="str">
        <f aca="false">IF($B227="","",IFERROR(INDEX(Drinks!$E$4:$E$53,MATCH($B227,Drinks!$A$4:$A$53,0)),0))</f>
        <v/>
      </c>
      <c r="P227" s="10" t="str">
        <f aca="false">IF($B227="","",$N227*$O227)</f>
        <v/>
      </c>
      <c r="Q227" s="10" t="str">
        <f aca="false">IF($B227="","",$N227*IFERROR(INDEX(Drinks!$D$4:$D$53,MATCH($B227,Drinks!$A$4:$A$53,0)),0))</f>
        <v/>
      </c>
      <c r="R227" s="10" t="str">
        <f aca="false">IF($B227="","",$P227-$Q227)</f>
        <v/>
      </c>
      <c r="S227" s="23" t="str">
        <f aca="false">IF($B227="","",IF(COUNTIFS($A$4:$A$2003,$A227-1,$B$4:$B$2003,$B227)=0,"first day",IF(SUMIFS($M$4:$M$2003,$A$4:$A$2003,$A227-1,$B$4:$B$2003,$B227)=$J227,"OK","CHECK")))</f>
        <v/>
      </c>
      <c r="T227" s="10" t="str">
        <f aca="false">IF($B227="","",IFERROR(INDEX(Drinks!$D$4:$D$53,MATCH($B227,Drinks!$A$4:$A$53,0)),0))</f>
        <v/>
      </c>
    </row>
    <row r="228" customFormat="false" ht="15" hidden="false" customHeight="false" outlineLevel="0" collapsed="false">
      <c r="A228" s="22"/>
      <c r="B228" s="9"/>
      <c r="C228" s="9"/>
      <c r="D228" s="9"/>
      <c r="E228" s="9"/>
      <c r="F228" s="10" t="str">
        <f aca="false">IF($B228="","",$C228+$D228-$E228)</f>
        <v/>
      </c>
      <c r="G228" s="10" t="str">
        <f aca="false">IF($B228="","",IFERROR(INDEX(Drinks!$C$4:$C$53,MATCH($B228,Drinks!$A$4:$A$53,0)),0))</f>
        <v/>
      </c>
      <c r="H228" s="10" t="str">
        <f aca="false">IF($B228="","",$D228*$G228)</f>
        <v/>
      </c>
      <c r="I228" s="10" t="str">
        <f aca="false">IF($B228="","",$F228*$G228)</f>
        <v/>
      </c>
      <c r="J228" s="9"/>
      <c r="K228" s="10" t="str">
        <f aca="false">IF($B228="","",$E228*IFERROR(INDEX(Drinks!$B$4:$B$53,MATCH($B228,Drinks!$A$4:$A$53,0)),0))</f>
        <v/>
      </c>
      <c r="L228" s="10" t="str">
        <f aca="false">IF($B228="","",$J228+$K228)</f>
        <v/>
      </c>
      <c r="M228" s="9"/>
      <c r="N228" s="10" t="str">
        <f aca="false">IF($B228="","",$L228-$M228)</f>
        <v/>
      </c>
      <c r="O228" s="10" t="str">
        <f aca="false">IF($B228="","",IFERROR(INDEX(Drinks!$E$4:$E$53,MATCH($B228,Drinks!$A$4:$A$53,0)),0))</f>
        <v/>
      </c>
      <c r="P228" s="10" t="str">
        <f aca="false">IF($B228="","",$N228*$O228)</f>
        <v/>
      </c>
      <c r="Q228" s="10" t="str">
        <f aca="false">IF($B228="","",$N228*IFERROR(INDEX(Drinks!$D$4:$D$53,MATCH($B228,Drinks!$A$4:$A$53,0)),0))</f>
        <v/>
      </c>
      <c r="R228" s="10" t="str">
        <f aca="false">IF($B228="","",$P228-$Q228)</f>
        <v/>
      </c>
      <c r="S228" s="23" t="str">
        <f aca="false">IF($B228="","",IF(COUNTIFS($A$4:$A$2003,$A228-1,$B$4:$B$2003,$B228)=0,"first day",IF(SUMIFS($M$4:$M$2003,$A$4:$A$2003,$A228-1,$B$4:$B$2003,$B228)=$J228,"OK","CHECK")))</f>
        <v/>
      </c>
      <c r="T228" s="10" t="str">
        <f aca="false">IF($B228="","",IFERROR(INDEX(Drinks!$D$4:$D$53,MATCH($B228,Drinks!$A$4:$A$53,0)),0))</f>
        <v/>
      </c>
    </row>
    <row r="229" customFormat="false" ht="15" hidden="false" customHeight="false" outlineLevel="0" collapsed="false">
      <c r="A229" s="22"/>
      <c r="B229" s="9"/>
      <c r="C229" s="9"/>
      <c r="D229" s="9"/>
      <c r="E229" s="9"/>
      <c r="F229" s="10" t="str">
        <f aca="false">IF($B229="","",$C229+$D229-$E229)</f>
        <v/>
      </c>
      <c r="G229" s="10" t="str">
        <f aca="false">IF($B229="","",IFERROR(INDEX(Drinks!$C$4:$C$53,MATCH($B229,Drinks!$A$4:$A$53,0)),0))</f>
        <v/>
      </c>
      <c r="H229" s="10" t="str">
        <f aca="false">IF($B229="","",$D229*$G229)</f>
        <v/>
      </c>
      <c r="I229" s="10" t="str">
        <f aca="false">IF($B229="","",$F229*$G229)</f>
        <v/>
      </c>
      <c r="J229" s="9"/>
      <c r="K229" s="10" t="str">
        <f aca="false">IF($B229="","",$E229*IFERROR(INDEX(Drinks!$B$4:$B$53,MATCH($B229,Drinks!$A$4:$A$53,0)),0))</f>
        <v/>
      </c>
      <c r="L229" s="10" t="str">
        <f aca="false">IF($B229="","",$J229+$K229)</f>
        <v/>
      </c>
      <c r="M229" s="9"/>
      <c r="N229" s="10" t="str">
        <f aca="false">IF($B229="","",$L229-$M229)</f>
        <v/>
      </c>
      <c r="O229" s="10" t="str">
        <f aca="false">IF($B229="","",IFERROR(INDEX(Drinks!$E$4:$E$53,MATCH($B229,Drinks!$A$4:$A$53,0)),0))</f>
        <v/>
      </c>
      <c r="P229" s="10" t="str">
        <f aca="false">IF($B229="","",$N229*$O229)</f>
        <v/>
      </c>
      <c r="Q229" s="10" t="str">
        <f aca="false">IF($B229="","",$N229*IFERROR(INDEX(Drinks!$D$4:$D$53,MATCH($B229,Drinks!$A$4:$A$53,0)),0))</f>
        <v/>
      </c>
      <c r="R229" s="10" t="str">
        <f aca="false">IF($B229="","",$P229-$Q229)</f>
        <v/>
      </c>
      <c r="S229" s="23" t="str">
        <f aca="false">IF($B229="","",IF(COUNTIFS($A$4:$A$2003,$A229-1,$B$4:$B$2003,$B229)=0,"first day",IF(SUMIFS($M$4:$M$2003,$A$4:$A$2003,$A229-1,$B$4:$B$2003,$B229)=$J229,"OK","CHECK")))</f>
        <v/>
      </c>
      <c r="T229" s="10" t="str">
        <f aca="false">IF($B229="","",IFERROR(INDEX(Drinks!$D$4:$D$53,MATCH($B229,Drinks!$A$4:$A$53,0)),0))</f>
        <v/>
      </c>
    </row>
    <row r="230" customFormat="false" ht="15" hidden="false" customHeight="false" outlineLevel="0" collapsed="false">
      <c r="A230" s="22"/>
      <c r="B230" s="9"/>
      <c r="C230" s="9"/>
      <c r="D230" s="9"/>
      <c r="E230" s="9"/>
      <c r="F230" s="10" t="str">
        <f aca="false">IF($B230="","",$C230+$D230-$E230)</f>
        <v/>
      </c>
      <c r="G230" s="10" t="str">
        <f aca="false">IF($B230="","",IFERROR(INDEX(Drinks!$C$4:$C$53,MATCH($B230,Drinks!$A$4:$A$53,0)),0))</f>
        <v/>
      </c>
      <c r="H230" s="10" t="str">
        <f aca="false">IF($B230="","",$D230*$G230)</f>
        <v/>
      </c>
      <c r="I230" s="10" t="str">
        <f aca="false">IF($B230="","",$F230*$G230)</f>
        <v/>
      </c>
      <c r="J230" s="9"/>
      <c r="K230" s="10" t="str">
        <f aca="false">IF($B230="","",$E230*IFERROR(INDEX(Drinks!$B$4:$B$53,MATCH($B230,Drinks!$A$4:$A$53,0)),0))</f>
        <v/>
      </c>
      <c r="L230" s="10" t="str">
        <f aca="false">IF($B230="","",$J230+$K230)</f>
        <v/>
      </c>
      <c r="M230" s="9"/>
      <c r="N230" s="10" t="str">
        <f aca="false">IF($B230="","",$L230-$M230)</f>
        <v/>
      </c>
      <c r="O230" s="10" t="str">
        <f aca="false">IF($B230="","",IFERROR(INDEX(Drinks!$E$4:$E$53,MATCH($B230,Drinks!$A$4:$A$53,0)),0))</f>
        <v/>
      </c>
      <c r="P230" s="10" t="str">
        <f aca="false">IF($B230="","",$N230*$O230)</f>
        <v/>
      </c>
      <c r="Q230" s="10" t="str">
        <f aca="false">IF($B230="","",$N230*IFERROR(INDEX(Drinks!$D$4:$D$53,MATCH($B230,Drinks!$A$4:$A$53,0)),0))</f>
        <v/>
      </c>
      <c r="R230" s="10" t="str">
        <f aca="false">IF($B230="","",$P230-$Q230)</f>
        <v/>
      </c>
      <c r="S230" s="23" t="str">
        <f aca="false">IF($B230="","",IF(COUNTIFS($A$4:$A$2003,$A230-1,$B$4:$B$2003,$B230)=0,"first day",IF(SUMIFS($M$4:$M$2003,$A$4:$A$2003,$A230-1,$B$4:$B$2003,$B230)=$J230,"OK","CHECK")))</f>
        <v/>
      </c>
      <c r="T230" s="10" t="str">
        <f aca="false">IF($B230="","",IFERROR(INDEX(Drinks!$D$4:$D$53,MATCH($B230,Drinks!$A$4:$A$53,0)),0))</f>
        <v/>
      </c>
    </row>
    <row r="231" customFormat="false" ht="15" hidden="false" customHeight="false" outlineLevel="0" collapsed="false">
      <c r="A231" s="22"/>
      <c r="B231" s="9"/>
      <c r="C231" s="9"/>
      <c r="D231" s="9"/>
      <c r="E231" s="9"/>
      <c r="F231" s="10" t="str">
        <f aca="false">IF($B231="","",$C231+$D231-$E231)</f>
        <v/>
      </c>
      <c r="G231" s="10" t="str">
        <f aca="false">IF($B231="","",IFERROR(INDEX(Drinks!$C$4:$C$53,MATCH($B231,Drinks!$A$4:$A$53,0)),0))</f>
        <v/>
      </c>
      <c r="H231" s="10" t="str">
        <f aca="false">IF($B231="","",$D231*$G231)</f>
        <v/>
      </c>
      <c r="I231" s="10" t="str">
        <f aca="false">IF($B231="","",$F231*$G231)</f>
        <v/>
      </c>
      <c r="J231" s="9"/>
      <c r="K231" s="10" t="str">
        <f aca="false">IF($B231="","",$E231*IFERROR(INDEX(Drinks!$B$4:$B$53,MATCH($B231,Drinks!$A$4:$A$53,0)),0))</f>
        <v/>
      </c>
      <c r="L231" s="10" t="str">
        <f aca="false">IF($B231="","",$J231+$K231)</f>
        <v/>
      </c>
      <c r="M231" s="9"/>
      <c r="N231" s="10" t="str">
        <f aca="false">IF($B231="","",$L231-$M231)</f>
        <v/>
      </c>
      <c r="O231" s="10" t="str">
        <f aca="false">IF($B231="","",IFERROR(INDEX(Drinks!$E$4:$E$53,MATCH($B231,Drinks!$A$4:$A$53,0)),0))</f>
        <v/>
      </c>
      <c r="P231" s="10" t="str">
        <f aca="false">IF($B231="","",$N231*$O231)</f>
        <v/>
      </c>
      <c r="Q231" s="10" t="str">
        <f aca="false">IF($B231="","",$N231*IFERROR(INDEX(Drinks!$D$4:$D$53,MATCH($B231,Drinks!$A$4:$A$53,0)),0))</f>
        <v/>
      </c>
      <c r="R231" s="10" t="str">
        <f aca="false">IF($B231="","",$P231-$Q231)</f>
        <v/>
      </c>
      <c r="S231" s="23" t="str">
        <f aca="false">IF($B231="","",IF(COUNTIFS($A$4:$A$2003,$A231-1,$B$4:$B$2003,$B231)=0,"first day",IF(SUMIFS($M$4:$M$2003,$A$4:$A$2003,$A231-1,$B$4:$B$2003,$B231)=$J231,"OK","CHECK")))</f>
        <v/>
      </c>
      <c r="T231" s="10" t="str">
        <f aca="false">IF($B231="","",IFERROR(INDEX(Drinks!$D$4:$D$53,MATCH($B231,Drinks!$A$4:$A$53,0)),0))</f>
        <v/>
      </c>
    </row>
    <row r="232" customFormat="false" ht="15" hidden="false" customHeight="false" outlineLevel="0" collapsed="false">
      <c r="A232" s="22"/>
      <c r="B232" s="9"/>
      <c r="C232" s="9"/>
      <c r="D232" s="9"/>
      <c r="E232" s="9"/>
      <c r="F232" s="10" t="str">
        <f aca="false">IF($B232="","",$C232+$D232-$E232)</f>
        <v/>
      </c>
      <c r="G232" s="10" t="str">
        <f aca="false">IF($B232="","",IFERROR(INDEX(Drinks!$C$4:$C$53,MATCH($B232,Drinks!$A$4:$A$53,0)),0))</f>
        <v/>
      </c>
      <c r="H232" s="10" t="str">
        <f aca="false">IF($B232="","",$D232*$G232)</f>
        <v/>
      </c>
      <c r="I232" s="10" t="str">
        <f aca="false">IF($B232="","",$F232*$G232)</f>
        <v/>
      </c>
      <c r="J232" s="9"/>
      <c r="K232" s="10" t="str">
        <f aca="false">IF($B232="","",$E232*IFERROR(INDEX(Drinks!$B$4:$B$53,MATCH($B232,Drinks!$A$4:$A$53,0)),0))</f>
        <v/>
      </c>
      <c r="L232" s="10" t="str">
        <f aca="false">IF($B232="","",$J232+$K232)</f>
        <v/>
      </c>
      <c r="M232" s="9"/>
      <c r="N232" s="10" t="str">
        <f aca="false">IF($B232="","",$L232-$M232)</f>
        <v/>
      </c>
      <c r="O232" s="10" t="str">
        <f aca="false">IF($B232="","",IFERROR(INDEX(Drinks!$E$4:$E$53,MATCH($B232,Drinks!$A$4:$A$53,0)),0))</f>
        <v/>
      </c>
      <c r="P232" s="10" t="str">
        <f aca="false">IF($B232="","",$N232*$O232)</f>
        <v/>
      </c>
      <c r="Q232" s="10" t="str">
        <f aca="false">IF($B232="","",$N232*IFERROR(INDEX(Drinks!$D$4:$D$53,MATCH($B232,Drinks!$A$4:$A$53,0)),0))</f>
        <v/>
      </c>
      <c r="R232" s="10" t="str">
        <f aca="false">IF($B232="","",$P232-$Q232)</f>
        <v/>
      </c>
      <c r="S232" s="23" t="str">
        <f aca="false">IF($B232="","",IF(COUNTIFS($A$4:$A$2003,$A232-1,$B$4:$B$2003,$B232)=0,"first day",IF(SUMIFS($M$4:$M$2003,$A$4:$A$2003,$A232-1,$B$4:$B$2003,$B232)=$J232,"OK","CHECK")))</f>
        <v/>
      </c>
      <c r="T232" s="10" t="str">
        <f aca="false">IF($B232="","",IFERROR(INDEX(Drinks!$D$4:$D$53,MATCH($B232,Drinks!$A$4:$A$53,0)),0))</f>
        <v/>
      </c>
    </row>
    <row r="233" customFormat="false" ht="15" hidden="false" customHeight="false" outlineLevel="0" collapsed="false">
      <c r="A233" s="22"/>
      <c r="B233" s="9"/>
      <c r="C233" s="9"/>
      <c r="D233" s="9"/>
      <c r="E233" s="9"/>
      <c r="F233" s="10" t="str">
        <f aca="false">IF($B233="","",$C233+$D233-$E233)</f>
        <v/>
      </c>
      <c r="G233" s="10" t="str">
        <f aca="false">IF($B233="","",IFERROR(INDEX(Drinks!$C$4:$C$53,MATCH($B233,Drinks!$A$4:$A$53,0)),0))</f>
        <v/>
      </c>
      <c r="H233" s="10" t="str">
        <f aca="false">IF($B233="","",$D233*$G233)</f>
        <v/>
      </c>
      <c r="I233" s="10" t="str">
        <f aca="false">IF($B233="","",$F233*$G233)</f>
        <v/>
      </c>
      <c r="J233" s="9"/>
      <c r="K233" s="10" t="str">
        <f aca="false">IF($B233="","",$E233*IFERROR(INDEX(Drinks!$B$4:$B$53,MATCH($B233,Drinks!$A$4:$A$53,0)),0))</f>
        <v/>
      </c>
      <c r="L233" s="10" t="str">
        <f aca="false">IF($B233="","",$J233+$K233)</f>
        <v/>
      </c>
      <c r="M233" s="9"/>
      <c r="N233" s="10" t="str">
        <f aca="false">IF($B233="","",$L233-$M233)</f>
        <v/>
      </c>
      <c r="O233" s="10" t="str">
        <f aca="false">IF($B233="","",IFERROR(INDEX(Drinks!$E$4:$E$53,MATCH($B233,Drinks!$A$4:$A$53,0)),0))</f>
        <v/>
      </c>
      <c r="P233" s="10" t="str">
        <f aca="false">IF($B233="","",$N233*$O233)</f>
        <v/>
      </c>
      <c r="Q233" s="10" t="str">
        <f aca="false">IF($B233="","",$N233*IFERROR(INDEX(Drinks!$D$4:$D$53,MATCH($B233,Drinks!$A$4:$A$53,0)),0))</f>
        <v/>
      </c>
      <c r="R233" s="10" t="str">
        <f aca="false">IF($B233="","",$P233-$Q233)</f>
        <v/>
      </c>
      <c r="S233" s="23" t="str">
        <f aca="false">IF($B233="","",IF(COUNTIFS($A$4:$A$2003,$A233-1,$B$4:$B$2003,$B233)=0,"first day",IF(SUMIFS($M$4:$M$2003,$A$4:$A$2003,$A233-1,$B$4:$B$2003,$B233)=$J233,"OK","CHECK")))</f>
        <v/>
      </c>
      <c r="T233" s="10" t="str">
        <f aca="false">IF($B233="","",IFERROR(INDEX(Drinks!$D$4:$D$53,MATCH($B233,Drinks!$A$4:$A$53,0)),0))</f>
        <v/>
      </c>
    </row>
    <row r="234" customFormat="false" ht="15" hidden="false" customHeight="false" outlineLevel="0" collapsed="false">
      <c r="A234" s="22"/>
      <c r="B234" s="9"/>
      <c r="C234" s="9"/>
      <c r="D234" s="9"/>
      <c r="E234" s="9"/>
      <c r="F234" s="10" t="str">
        <f aca="false">IF($B234="","",$C234+$D234-$E234)</f>
        <v/>
      </c>
      <c r="G234" s="10" t="str">
        <f aca="false">IF($B234="","",IFERROR(INDEX(Drinks!$C$4:$C$53,MATCH($B234,Drinks!$A$4:$A$53,0)),0))</f>
        <v/>
      </c>
      <c r="H234" s="10" t="str">
        <f aca="false">IF($B234="","",$D234*$G234)</f>
        <v/>
      </c>
      <c r="I234" s="10" t="str">
        <f aca="false">IF($B234="","",$F234*$G234)</f>
        <v/>
      </c>
      <c r="J234" s="9"/>
      <c r="K234" s="10" t="str">
        <f aca="false">IF($B234="","",$E234*IFERROR(INDEX(Drinks!$B$4:$B$53,MATCH($B234,Drinks!$A$4:$A$53,0)),0))</f>
        <v/>
      </c>
      <c r="L234" s="10" t="str">
        <f aca="false">IF($B234="","",$J234+$K234)</f>
        <v/>
      </c>
      <c r="M234" s="9"/>
      <c r="N234" s="10" t="str">
        <f aca="false">IF($B234="","",$L234-$M234)</f>
        <v/>
      </c>
      <c r="O234" s="10" t="str">
        <f aca="false">IF($B234="","",IFERROR(INDEX(Drinks!$E$4:$E$53,MATCH($B234,Drinks!$A$4:$A$53,0)),0))</f>
        <v/>
      </c>
      <c r="P234" s="10" t="str">
        <f aca="false">IF($B234="","",$N234*$O234)</f>
        <v/>
      </c>
      <c r="Q234" s="10" t="str">
        <f aca="false">IF($B234="","",$N234*IFERROR(INDEX(Drinks!$D$4:$D$53,MATCH($B234,Drinks!$A$4:$A$53,0)),0))</f>
        <v/>
      </c>
      <c r="R234" s="10" t="str">
        <f aca="false">IF($B234="","",$P234-$Q234)</f>
        <v/>
      </c>
      <c r="S234" s="23" t="str">
        <f aca="false">IF($B234="","",IF(COUNTIFS($A$4:$A$2003,$A234-1,$B$4:$B$2003,$B234)=0,"first day",IF(SUMIFS($M$4:$M$2003,$A$4:$A$2003,$A234-1,$B$4:$B$2003,$B234)=$J234,"OK","CHECK")))</f>
        <v/>
      </c>
      <c r="T234" s="10" t="str">
        <f aca="false">IF($B234="","",IFERROR(INDEX(Drinks!$D$4:$D$53,MATCH($B234,Drinks!$A$4:$A$53,0)),0))</f>
        <v/>
      </c>
    </row>
    <row r="235" customFormat="false" ht="15" hidden="false" customHeight="false" outlineLevel="0" collapsed="false">
      <c r="A235" s="22"/>
      <c r="B235" s="9"/>
      <c r="C235" s="9"/>
      <c r="D235" s="9"/>
      <c r="E235" s="9"/>
      <c r="F235" s="10" t="str">
        <f aca="false">IF($B235="","",$C235+$D235-$E235)</f>
        <v/>
      </c>
      <c r="G235" s="10" t="str">
        <f aca="false">IF($B235="","",IFERROR(INDEX(Drinks!$C$4:$C$53,MATCH($B235,Drinks!$A$4:$A$53,0)),0))</f>
        <v/>
      </c>
      <c r="H235" s="10" t="str">
        <f aca="false">IF($B235="","",$D235*$G235)</f>
        <v/>
      </c>
      <c r="I235" s="10" t="str">
        <f aca="false">IF($B235="","",$F235*$G235)</f>
        <v/>
      </c>
      <c r="J235" s="9"/>
      <c r="K235" s="10" t="str">
        <f aca="false">IF($B235="","",$E235*IFERROR(INDEX(Drinks!$B$4:$B$53,MATCH($B235,Drinks!$A$4:$A$53,0)),0))</f>
        <v/>
      </c>
      <c r="L235" s="10" t="str">
        <f aca="false">IF($B235="","",$J235+$K235)</f>
        <v/>
      </c>
      <c r="M235" s="9"/>
      <c r="N235" s="10" t="str">
        <f aca="false">IF($B235="","",$L235-$M235)</f>
        <v/>
      </c>
      <c r="O235" s="10" t="str">
        <f aca="false">IF($B235="","",IFERROR(INDEX(Drinks!$E$4:$E$53,MATCH($B235,Drinks!$A$4:$A$53,0)),0))</f>
        <v/>
      </c>
      <c r="P235" s="10" t="str">
        <f aca="false">IF($B235="","",$N235*$O235)</f>
        <v/>
      </c>
      <c r="Q235" s="10" t="str">
        <f aca="false">IF($B235="","",$N235*IFERROR(INDEX(Drinks!$D$4:$D$53,MATCH($B235,Drinks!$A$4:$A$53,0)),0))</f>
        <v/>
      </c>
      <c r="R235" s="10" t="str">
        <f aca="false">IF($B235="","",$P235-$Q235)</f>
        <v/>
      </c>
      <c r="S235" s="23" t="str">
        <f aca="false">IF($B235="","",IF(COUNTIFS($A$4:$A$2003,$A235-1,$B$4:$B$2003,$B235)=0,"first day",IF(SUMIFS($M$4:$M$2003,$A$4:$A$2003,$A235-1,$B$4:$B$2003,$B235)=$J235,"OK","CHECK")))</f>
        <v/>
      </c>
      <c r="T235" s="10" t="str">
        <f aca="false">IF($B235="","",IFERROR(INDEX(Drinks!$D$4:$D$53,MATCH($B235,Drinks!$A$4:$A$53,0)),0))</f>
        <v/>
      </c>
    </row>
    <row r="236" customFormat="false" ht="15" hidden="false" customHeight="false" outlineLevel="0" collapsed="false">
      <c r="A236" s="22"/>
      <c r="B236" s="9"/>
      <c r="C236" s="9"/>
      <c r="D236" s="9"/>
      <c r="E236" s="9"/>
      <c r="F236" s="10" t="str">
        <f aca="false">IF($B236="","",$C236+$D236-$E236)</f>
        <v/>
      </c>
      <c r="G236" s="10" t="str">
        <f aca="false">IF($B236="","",IFERROR(INDEX(Drinks!$C$4:$C$53,MATCH($B236,Drinks!$A$4:$A$53,0)),0))</f>
        <v/>
      </c>
      <c r="H236" s="10" t="str">
        <f aca="false">IF($B236="","",$D236*$G236)</f>
        <v/>
      </c>
      <c r="I236" s="10" t="str">
        <f aca="false">IF($B236="","",$F236*$G236)</f>
        <v/>
      </c>
      <c r="J236" s="9"/>
      <c r="K236" s="10" t="str">
        <f aca="false">IF($B236="","",$E236*IFERROR(INDEX(Drinks!$B$4:$B$53,MATCH($B236,Drinks!$A$4:$A$53,0)),0))</f>
        <v/>
      </c>
      <c r="L236" s="10" t="str">
        <f aca="false">IF($B236="","",$J236+$K236)</f>
        <v/>
      </c>
      <c r="M236" s="9"/>
      <c r="N236" s="10" t="str">
        <f aca="false">IF($B236="","",$L236-$M236)</f>
        <v/>
      </c>
      <c r="O236" s="10" t="str">
        <f aca="false">IF($B236="","",IFERROR(INDEX(Drinks!$E$4:$E$53,MATCH($B236,Drinks!$A$4:$A$53,0)),0))</f>
        <v/>
      </c>
      <c r="P236" s="10" t="str">
        <f aca="false">IF($B236="","",$N236*$O236)</f>
        <v/>
      </c>
      <c r="Q236" s="10" t="str">
        <f aca="false">IF($B236="","",$N236*IFERROR(INDEX(Drinks!$D$4:$D$53,MATCH($B236,Drinks!$A$4:$A$53,0)),0))</f>
        <v/>
      </c>
      <c r="R236" s="10" t="str">
        <f aca="false">IF($B236="","",$P236-$Q236)</f>
        <v/>
      </c>
      <c r="S236" s="23" t="str">
        <f aca="false">IF($B236="","",IF(COUNTIFS($A$4:$A$2003,$A236-1,$B$4:$B$2003,$B236)=0,"first day",IF(SUMIFS($M$4:$M$2003,$A$4:$A$2003,$A236-1,$B$4:$B$2003,$B236)=$J236,"OK","CHECK")))</f>
        <v/>
      </c>
      <c r="T236" s="10" t="str">
        <f aca="false">IF($B236="","",IFERROR(INDEX(Drinks!$D$4:$D$53,MATCH($B236,Drinks!$A$4:$A$53,0)),0))</f>
        <v/>
      </c>
    </row>
    <row r="237" customFormat="false" ht="15" hidden="false" customHeight="false" outlineLevel="0" collapsed="false">
      <c r="A237" s="22"/>
      <c r="B237" s="9"/>
      <c r="C237" s="9"/>
      <c r="D237" s="9"/>
      <c r="E237" s="9"/>
      <c r="F237" s="10" t="str">
        <f aca="false">IF($B237="","",$C237+$D237-$E237)</f>
        <v/>
      </c>
      <c r="G237" s="10" t="str">
        <f aca="false">IF($B237="","",IFERROR(INDEX(Drinks!$C$4:$C$53,MATCH($B237,Drinks!$A$4:$A$53,0)),0))</f>
        <v/>
      </c>
      <c r="H237" s="10" t="str">
        <f aca="false">IF($B237="","",$D237*$G237)</f>
        <v/>
      </c>
      <c r="I237" s="10" t="str">
        <f aca="false">IF($B237="","",$F237*$G237)</f>
        <v/>
      </c>
      <c r="J237" s="9"/>
      <c r="K237" s="10" t="str">
        <f aca="false">IF($B237="","",$E237*IFERROR(INDEX(Drinks!$B$4:$B$53,MATCH($B237,Drinks!$A$4:$A$53,0)),0))</f>
        <v/>
      </c>
      <c r="L237" s="10" t="str">
        <f aca="false">IF($B237="","",$J237+$K237)</f>
        <v/>
      </c>
      <c r="M237" s="9"/>
      <c r="N237" s="10" t="str">
        <f aca="false">IF($B237="","",$L237-$M237)</f>
        <v/>
      </c>
      <c r="O237" s="10" t="str">
        <f aca="false">IF($B237="","",IFERROR(INDEX(Drinks!$E$4:$E$53,MATCH($B237,Drinks!$A$4:$A$53,0)),0))</f>
        <v/>
      </c>
      <c r="P237" s="10" t="str">
        <f aca="false">IF($B237="","",$N237*$O237)</f>
        <v/>
      </c>
      <c r="Q237" s="10" t="str">
        <f aca="false">IF($B237="","",$N237*IFERROR(INDEX(Drinks!$D$4:$D$53,MATCH($B237,Drinks!$A$4:$A$53,0)),0))</f>
        <v/>
      </c>
      <c r="R237" s="10" t="str">
        <f aca="false">IF($B237="","",$P237-$Q237)</f>
        <v/>
      </c>
      <c r="S237" s="23" t="str">
        <f aca="false">IF($B237="","",IF(COUNTIFS($A$4:$A$2003,$A237-1,$B$4:$B$2003,$B237)=0,"first day",IF(SUMIFS($M$4:$M$2003,$A$4:$A$2003,$A237-1,$B$4:$B$2003,$B237)=$J237,"OK","CHECK")))</f>
        <v/>
      </c>
      <c r="T237" s="10" t="str">
        <f aca="false">IF($B237="","",IFERROR(INDEX(Drinks!$D$4:$D$53,MATCH($B237,Drinks!$A$4:$A$53,0)),0))</f>
        <v/>
      </c>
    </row>
    <row r="238" customFormat="false" ht="15" hidden="false" customHeight="false" outlineLevel="0" collapsed="false">
      <c r="A238" s="22"/>
      <c r="B238" s="9"/>
      <c r="C238" s="9"/>
      <c r="D238" s="9"/>
      <c r="E238" s="9"/>
      <c r="F238" s="10" t="str">
        <f aca="false">IF($B238="","",$C238+$D238-$E238)</f>
        <v/>
      </c>
      <c r="G238" s="10" t="str">
        <f aca="false">IF($B238="","",IFERROR(INDEX(Drinks!$C$4:$C$53,MATCH($B238,Drinks!$A$4:$A$53,0)),0))</f>
        <v/>
      </c>
      <c r="H238" s="10" t="str">
        <f aca="false">IF($B238="","",$D238*$G238)</f>
        <v/>
      </c>
      <c r="I238" s="10" t="str">
        <f aca="false">IF($B238="","",$F238*$G238)</f>
        <v/>
      </c>
      <c r="J238" s="9"/>
      <c r="K238" s="10" t="str">
        <f aca="false">IF($B238="","",$E238*IFERROR(INDEX(Drinks!$B$4:$B$53,MATCH($B238,Drinks!$A$4:$A$53,0)),0))</f>
        <v/>
      </c>
      <c r="L238" s="10" t="str">
        <f aca="false">IF($B238="","",$J238+$K238)</f>
        <v/>
      </c>
      <c r="M238" s="9"/>
      <c r="N238" s="10" t="str">
        <f aca="false">IF($B238="","",$L238-$M238)</f>
        <v/>
      </c>
      <c r="O238" s="10" t="str">
        <f aca="false">IF($B238="","",IFERROR(INDEX(Drinks!$E$4:$E$53,MATCH($B238,Drinks!$A$4:$A$53,0)),0))</f>
        <v/>
      </c>
      <c r="P238" s="10" t="str">
        <f aca="false">IF($B238="","",$N238*$O238)</f>
        <v/>
      </c>
      <c r="Q238" s="10" t="str">
        <f aca="false">IF($B238="","",$N238*IFERROR(INDEX(Drinks!$D$4:$D$53,MATCH($B238,Drinks!$A$4:$A$53,0)),0))</f>
        <v/>
      </c>
      <c r="R238" s="10" t="str">
        <f aca="false">IF($B238="","",$P238-$Q238)</f>
        <v/>
      </c>
      <c r="S238" s="23" t="str">
        <f aca="false">IF($B238="","",IF(COUNTIFS($A$4:$A$2003,$A238-1,$B$4:$B$2003,$B238)=0,"first day",IF(SUMIFS($M$4:$M$2003,$A$4:$A$2003,$A238-1,$B$4:$B$2003,$B238)=$J238,"OK","CHECK")))</f>
        <v/>
      </c>
      <c r="T238" s="10" t="str">
        <f aca="false">IF($B238="","",IFERROR(INDEX(Drinks!$D$4:$D$53,MATCH($B238,Drinks!$A$4:$A$53,0)),0))</f>
        <v/>
      </c>
    </row>
    <row r="239" customFormat="false" ht="15" hidden="false" customHeight="false" outlineLevel="0" collapsed="false">
      <c r="A239" s="22"/>
      <c r="B239" s="9"/>
      <c r="C239" s="9"/>
      <c r="D239" s="9"/>
      <c r="E239" s="9"/>
      <c r="F239" s="10" t="str">
        <f aca="false">IF($B239="","",$C239+$D239-$E239)</f>
        <v/>
      </c>
      <c r="G239" s="10" t="str">
        <f aca="false">IF($B239="","",IFERROR(INDEX(Drinks!$C$4:$C$53,MATCH($B239,Drinks!$A$4:$A$53,0)),0))</f>
        <v/>
      </c>
      <c r="H239" s="10" t="str">
        <f aca="false">IF($B239="","",$D239*$G239)</f>
        <v/>
      </c>
      <c r="I239" s="10" t="str">
        <f aca="false">IF($B239="","",$F239*$G239)</f>
        <v/>
      </c>
      <c r="J239" s="9"/>
      <c r="K239" s="10" t="str">
        <f aca="false">IF($B239="","",$E239*IFERROR(INDEX(Drinks!$B$4:$B$53,MATCH($B239,Drinks!$A$4:$A$53,0)),0))</f>
        <v/>
      </c>
      <c r="L239" s="10" t="str">
        <f aca="false">IF($B239="","",$J239+$K239)</f>
        <v/>
      </c>
      <c r="M239" s="9"/>
      <c r="N239" s="10" t="str">
        <f aca="false">IF($B239="","",$L239-$M239)</f>
        <v/>
      </c>
      <c r="O239" s="10" t="str">
        <f aca="false">IF($B239="","",IFERROR(INDEX(Drinks!$E$4:$E$53,MATCH($B239,Drinks!$A$4:$A$53,0)),0))</f>
        <v/>
      </c>
      <c r="P239" s="10" t="str">
        <f aca="false">IF($B239="","",$N239*$O239)</f>
        <v/>
      </c>
      <c r="Q239" s="10" t="str">
        <f aca="false">IF($B239="","",$N239*IFERROR(INDEX(Drinks!$D$4:$D$53,MATCH($B239,Drinks!$A$4:$A$53,0)),0))</f>
        <v/>
      </c>
      <c r="R239" s="10" t="str">
        <f aca="false">IF($B239="","",$P239-$Q239)</f>
        <v/>
      </c>
      <c r="S239" s="23" t="str">
        <f aca="false">IF($B239="","",IF(COUNTIFS($A$4:$A$2003,$A239-1,$B$4:$B$2003,$B239)=0,"first day",IF(SUMIFS($M$4:$M$2003,$A$4:$A$2003,$A239-1,$B$4:$B$2003,$B239)=$J239,"OK","CHECK")))</f>
        <v/>
      </c>
      <c r="T239" s="10" t="str">
        <f aca="false">IF($B239="","",IFERROR(INDEX(Drinks!$D$4:$D$53,MATCH($B239,Drinks!$A$4:$A$53,0)),0))</f>
        <v/>
      </c>
    </row>
    <row r="240" customFormat="false" ht="15" hidden="false" customHeight="false" outlineLevel="0" collapsed="false">
      <c r="A240" s="22"/>
      <c r="B240" s="9"/>
      <c r="C240" s="9"/>
      <c r="D240" s="9"/>
      <c r="E240" s="9"/>
      <c r="F240" s="10" t="str">
        <f aca="false">IF($B240="","",$C240+$D240-$E240)</f>
        <v/>
      </c>
      <c r="G240" s="10" t="str">
        <f aca="false">IF($B240="","",IFERROR(INDEX(Drinks!$C$4:$C$53,MATCH($B240,Drinks!$A$4:$A$53,0)),0))</f>
        <v/>
      </c>
      <c r="H240" s="10" t="str">
        <f aca="false">IF($B240="","",$D240*$G240)</f>
        <v/>
      </c>
      <c r="I240" s="10" t="str">
        <f aca="false">IF($B240="","",$F240*$G240)</f>
        <v/>
      </c>
      <c r="J240" s="9"/>
      <c r="K240" s="10" t="str">
        <f aca="false">IF($B240="","",$E240*IFERROR(INDEX(Drinks!$B$4:$B$53,MATCH($B240,Drinks!$A$4:$A$53,0)),0))</f>
        <v/>
      </c>
      <c r="L240" s="10" t="str">
        <f aca="false">IF($B240="","",$J240+$K240)</f>
        <v/>
      </c>
      <c r="M240" s="9"/>
      <c r="N240" s="10" t="str">
        <f aca="false">IF($B240="","",$L240-$M240)</f>
        <v/>
      </c>
      <c r="O240" s="10" t="str">
        <f aca="false">IF($B240="","",IFERROR(INDEX(Drinks!$E$4:$E$53,MATCH($B240,Drinks!$A$4:$A$53,0)),0))</f>
        <v/>
      </c>
      <c r="P240" s="10" t="str">
        <f aca="false">IF($B240="","",$N240*$O240)</f>
        <v/>
      </c>
      <c r="Q240" s="10" t="str">
        <f aca="false">IF($B240="","",$N240*IFERROR(INDEX(Drinks!$D$4:$D$53,MATCH($B240,Drinks!$A$4:$A$53,0)),0))</f>
        <v/>
      </c>
      <c r="R240" s="10" t="str">
        <f aca="false">IF($B240="","",$P240-$Q240)</f>
        <v/>
      </c>
      <c r="S240" s="23" t="str">
        <f aca="false">IF($B240="","",IF(COUNTIFS($A$4:$A$2003,$A240-1,$B$4:$B$2003,$B240)=0,"first day",IF(SUMIFS($M$4:$M$2003,$A$4:$A$2003,$A240-1,$B$4:$B$2003,$B240)=$J240,"OK","CHECK")))</f>
        <v/>
      </c>
      <c r="T240" s="10" t="str">
        <f aca="false">IF($B240="","",IFERROR(INDEX(Drinks!$D$4:$D$53,MATCH($B240,Drinks!$A$4:$A$53,0)),0))</f>
        <v/>
      </c>
    </row>
    <row r="241" customFormat="false" ht="15" hidden="false" customHeight="false" outlineLevel="0" collapsed="false">
      <c r="A241" s="22"/>
      <c r="B241" s="9"/>
      <c r="C241" s="9"/>
      <c r="D241" s="9"/>
      <c r="E241" s="9"/>
      <c r="F241" s="10" t="str">
        <f aca="false">IF($B241="","",$C241+$D241-$E241)</f>
        <v/>
      </c>
      <c r="G241" s="10" t="str">
        <f aca="false">IF($B241="","",IFERROR(INDEX(Drinks!$C$4:$C$53,MATCH($B241,Drinks!$A$4:$A$53,0)),0))</f>
        <v/>
      </c>
      <c r="H241" s="10" t="str">
        <f aca="false">IF($B241="","",$D241*$G241)</f>
        <v/>
      </c>
      <c r="I241" s="10" t="str">
        <f aca="false">IF($B241="","",$F241*$G241)</f>
        <v/>
      </c>
      <c r="J241" s="9"/>
      <c r="K241" s="10" t="str">
        <f aca="false">IF($B241="","",$E241*IFERROR(INDEX(Drinks!$B$4:$B$53,MATCH($B241,Drinks!$A$4:$A$53,0)),0))</f>
        <v/>
      </c>
      <c r="L241" s="10" t="str">
        <f aca="false">IF($B241="","",$J241+$K241)</f>
        <v/>
      </c>
      <c r="M241" s="9"/>
      <c r="N241" s="10" t="str">
        <f aca="false">IF($B241="","",$L241-$M241)</f>
        <v/>
      </c>
      <c r="O241" s="10" t="str">
        <f aca="false">IF($B241="","",IFERROR(INDEX(Drinks!$E$4:$E$53,MATCH($B241,Drinks!$A$4:$A$53,0)),0))</f>
        <v/>
      </c>
      <c r="P241" s="10" t="str">
        <f aca="false">IF($B241="","",$N241*$O241)</f>
        <v/>
      </c>
      <c r="Q241" s="10" t="str">
        <f aca="false">IF($B241="","",$N241*IFERROR(INDEX(Drinks!$D$4:$D$53,MATCH($B241,Drinks!$A$4:$A$53,0)),0))</f>
        <v/>
      </c>
      <c r="R241" s="10" t="str">
        <f aca="false">IF($B241="","",$P241-$Q241)</f>
        <v/>
      </c>
      <c r="S241" s="23" t="str">
        <f aca="false">IF($B241="","",IF(COUNTIFS($A$4:$A$2003,$A241-1,$B$4:$B$2003,$B241)=0,"first day",IF(SUMIFS($M$4:$M$2003,$A$4:$A$2003,$A241-1,$B$4:$B$2003,$B241)=$J241,"OK","CHECK")))</f>
        <v/>
      </c>
      <c r="T241" s="10" t="str">
        <f aca="false">IF($B241="","",IFERROR(INDEX(Drinks!$D$4:$D$53,MATCH($B241,Drinks!$A$4:$A$53,0)),0))</f>
        <v/>
      </c>
    </row>
    <row r="242" customFormat="false" ht="15" hidden="false" customHeight="false" outlineLevel="0" collapsed="false">
      <c r="A242" s="22"/>
      <c r="B242" s="9"/>
      <c r="C242" s="9"/>
      <c r="D242" s="9"/>
      <c r="E242" s="9"/>
      <c r="F242" s="10" t="str">
        <f aca="false">IF($B242="","",$C242+$D242-$E242)</f>
        <v/>
      </c>
      <c r="G242" s="10" t="str">
        <f aca="false">IF($B242="","",IFERROR(INDEX(Drinks!$C$4:$C$53,MATCH($B242,Drinks!$A$4:$A$53,0)),0))</f>
        <v/>
      </c>
      <c r="H242" s="10" t="str">
        <f aca="false">IF($B242="","",$D242*$G242)</f>
        <v/>
      </c>
      <c r="I242" s="10" t="str">
        <f aca="false">IF($B242="","",$F242*$G242)</f>
        <v/>
      </c>
      <c r="J242" s="9"/>
      <c r="K242" s="10" t="str">
        <f aca="false">IF($B242="","",$E242*IFERROR(INDEX(Drinks!$B$4:$B$53,MATCH($B242,Drinks!$A$4:$A$53,0)),0))</f>
        <v/>
      </c>
      <c r="L242" s="10" t="str">
        <f aca="false">IF($B242="","",$J242+$K242)</f>
        <v/>
      </c>
      <c r="M242" s="9"/>
      <c r="N242" s="10" t="str">
        <f aca="false">IF($B242="","",$L242-$M242)</f>
        <v/>
      </c>
      <c r="O242" s="10" t="str">
        <f aca="false">IF($B242="","",IFERROR(INDEX(Drinks!$E$4:$E$53,MATCH($B242,Drinks!$A$4:$A$53,0)),0))</f>
        <v/>
      </c>
      <c r="P242" s="10" t="str">
        <f aca="false">IF($B242="","",$N242*$O242)</f>
        <v/>
      </c>
      <c r="Q242" s="10" t="str">
        <f aca="false">IF($B242="","",$N242*IFERROR(INDEX(Drinks!$D$4:$D$53,MATCH($B242,Drinks!$A$4:$A$53,0)),0))</f>
        <v/>
      </c>
      <c r="R242" s="10" t="str">
        <f aca="false">IF($B242="","",$P242-$Q242)</f>
        <v/>
      </c>
      <c r="S242" s="23" t="str">
        <f aca="false">IF($B242="","",IF(COUNTIFS($A$4:$A$2003,$A242-1,$B$4:$B$2003,$B242)=0,"first day",IF(SUMIFS($M$4:$M$2003,$A$4:$A$2003,$A242-1,$B$4:$B$2003,$B242)=$J242,"OK","CHECK")))</f>
        <v/>
      </c>
      <c r="T242" s="10" t="str">
        <f aca="false">IF($B242="","",IFERROR(INDEX(Drinks!$D$4:$D$53,MATCH($B242,Drinks!$A$4:$A$53,0)),0))</f>
        <v/>
      </c>
    </row>
    <row r="243" customFormat="false" ht="15" hidden="false" customHeight="false" outlineLevel="0" collapsed="false">
      <c r="A243" s="22"/>
      <c r="B243" s="9"/>
      <c r="C243" s="9"/>
      <c r="D243" s="9"/>
      <c r="E243" s="9"/>
      <c r="F243" s="10" t="str">
        <f aca="false">IF($B243="","",$C243+$D243-$E243)</f>
        <v/>
      </c>
      <c r="G243" s="10" t="str">
        <f aca="false">IF($B243="","",IFERROR(INDEX(Drinks!$C$4:$C$53,MATCH($B243,Drinks!$A$4:$A$53,0)),0))</f>
        <v/>
      </c>
      <c r="H243" s="10" t="str">
        <f aca="false">IF($B243="","",$D243*$G243)</f>
        <v/>
      </c>
      <c r="I243" s="10" t="str">
        <f aca="false">IF($B243="","",$F243*$G243)</f>
        <v/>
      </c>
      <c r="J243" s="9"/>
      <c r="K243" s="10" t="str">
        <f aca="false">IF($B243="","",$E243*IFERROR(INDEX(Drinks!$B$4:$B$53,MATCH($B243,Drinks!$A$4:$A$53,0)),0))</f>
        <v/>
      </c>
      <c r="L243" s="10" t="str">
        <f aca="false">IF($B243="","",$J243+$K243)</f>
        <v/>
      </c>
      <c r="M243" s="9"/>
      <c r="N243" s="10" t="str">
        <f aca="false">IF($B243="","",$L243-$M243)</f>
        <v/>
      </c>
      <c r="O243" s="10" t="str">
        <f aca="false">IF($B243="","",IFERROR(INDEX(Drinks!$E$4:$E$53,MATCH($B243,Drinks!$A$4:$A$53,0)),0))</f>
        <v/>
      </c>
      <c r="P243" s="10" t="str">
        <f aca="false">IF($B243="","",$N243*$O243)</f>
        <v/>
      </c>
      <c r="Q243" s="10" t="str">
        <f aca="false">IF($B243="","",$N243*IFERROR(INDEX(Drinks!$D$4:$D$53,MATCH($B243,Drinks!$A$4:$A$53,0)),0))</f>
        <v/>
      </c>
      <c r="R243" s="10" t="str">
        <f aca="false">IF($B243="","",$P243-$Q243)</f>
        <v/>
      </c>
      <c r="S243" s="23" t="str">
        <f aca="false">IF($B243="","",IF(COUNTIFS($A$4:$A$2003,$A243-1,$B$4:$B$2003,$B243)=0,"first day",IF(SUMIFS($M$4:$M$2003,$A$4:$A$2003,$A243-1,$B$4:$B$2003,$B243)=$J243,"OK","CHECK")))</f>
        <v/>
      </c>
      <c r="T243" s="10" t="str">
        <f aca="false">IF($B243="","",IFERROR(INDEX(Drinks!$D$4:$D$53,MATCH($B243,Drinks!$A$4:$A$53,0)),0))</f>
        <v/>
      </c>
    </row>
    <row r="244" customFormat="false" ht="15" hidden="false" customHeight="false" outlineLevel="0" collapsed="false">
      <c r="A244" s="22"/>
      <c r="B244" s="9"/>
      <c r="C244" s="9"/>
      <c r="D244" s="9"/>
      <c r="E244" s="9"/>
      <c r="F244" s="10" t="str">
        <f aca="false">IF($B244="","",$C244+$D244-$E244)</f>
        <v/>
      </c>
      <c r="G244" s="10" t="str">
        <f aca="false">IF($B244="","",IFERROR(INDEX(Drinks!$C$4:$C$53,MATCH($B244,Drinks!$A$4:$A$53,0)),0))</f>
        <v/>
      </c>
      <c r="H244" s="10" t="str">
        <f aca="false">IF($B244="","",$D244*$G244)</f>
        <v/>
      </c>
      <c r="I244" s="10" t="str">
        <f aca="false">IF($B244="","",$F244*$G244)</f>
        <v/>
      </c>
      <c r="J244" s="9"/>
      <c r="K244" s="10" t="str">
        <f aca="false">IF($B244="","",$E244*IFERROR(INDEX(Drinks!$B$4:$B$53,MATCH($B244,Drinks!$A$4:$A$53,0)),0))</f>
        <v/>
      </c>
      <c r="L244" s="10" t="str">
        <f aca="false">IF($B244="","",$J244+$K244)</f>
        <v/>
      </c>
      <c r="M244" s="9"/>
      <c r="N244" s="10" t="str">
        <f aca="false">IF($B244="","",$L244-$M244)</f>
        <v/>
      </c>
      <c r="O244" s="10" t="str">
        <f aca="false">IF($B244="","",IFERROR(INDEX(Drinks!$E$4:$E$53,MATCH($B244,Drinks!$A$4:$A$53,0)),0))</f>
        <v/>
      </c>
      <c r="P244" s="10" t="str">
        <f aca="false">IF($B244="","",$N244*$O244)</f>
        <v/>
      </c>
      <c r="Q244" s="10" t="str">
        <f aca="false">IF($B244="","",$N244*IFERROR(INDEX(Drinks!$D$4:$D$53,MATCH($B244,Drinks!$A$4:$A$53,0)),0))</f>
        <v/>
      </c>
      <c r="R244" s="10" t="str">
        <f aca="false">IF($B244="","",$P244-$Q244)</f>
        <v/>
      </c>
      <c r="S244" s="23" t="str">
        <f aca="false">IF($B244="","",IF(COUNTIFS($A$4:$A$2003,$A244-1,$B$4:$B$2003,$B244)=0,"first day",IF(SUMIFS($M$4:$M$2003,$A$4:$A$2003,$A244-1,$B$4:$B$2003,$B244)=$J244,"OK","CHECK")))</f>
        <v/>
      </c>
      <c r="T244" s="10" t="str">
        <f aca="false">IF($B244="","",IFERROR(INDEX(Drinks!$D$4:$D$53,MATCH($B244,Drinks!$A$4:$A$53,0)),0))</f>
        <v/>
      </c>
    </row>
    <row r="245" customFormat="false" ht="15" hidden="false" customHeight="false" outlineLevel="0" collapsed="false">
      <c r="A245" s="22"/>
      <c r="B245" s="9"/>
      <c r="C245" s="9"/>
      <c r="D245" s="9"/>
      <c r="E245" s="9"/>
      <c r="F245" s="10" t="str">
        <f aca="false">IF($B245="","",$C245+$D245-$E245)</f>
        <v/>
      </c>
      <c r="G245" s="10" t="str">
        <f aca="false">IF($B245="","",IFERROR(INDEX(Drinks!$C$4:$C$53,MATCH($B245,Drinks!$A$4:$A$53,0)),0))</f>
        <v/>
      </c>
      <c r="H245" s="10" t="str">
        <f aca="false">IF($B245="","",$D245*$G245)</f>
        <v/>
      </c>
      <c r="I245" s="10" t="str">
        <f aca="false">IF($B245="","",$F245*$G245)</f>
        <v/>
      </c>
      <c r="J245" s="9"/>
      <c r="K245" s="10" t="str">
        <f aca="false">IF($B245="","",$E245*IFERROR(INDEX(Drinks!$B$4:$B$53,MATCH($B245,Drinks!$A$4:$A$53,0)),0))</f>
        <v/>
      </c>
      <c r="L245" s="10" t="str">
        <f aca="false">IF($B245="","",$J245+$K245)</f>
        <v/>
      </c>
      <c r="M245" s="9"/>
      <c r="N245" s="10" t="str">
        <f aca="false">IF($B245="","",$L245-$M245)</f>
        <v/>
      </c>
      <c r="O245" s="10" t="str">
        <f aca="false">IF($B245="","",IFERROR(INDEX(Drinks!$E$4:$E$53,MATCH($B245,Drinks!$A$4:$A$53,0)),0))</f>
        <v/>
      </c>
      <c r="P245" s="10" t="str">
        <f aca="false">IF($B245="","",$N245*$O245)</f>
        <v/>
      </c>
      <c r="Q245" s="10" t="str">
        <f aca="false">IF($B245="","",$N245*IFERROR(INDEX(Drinks!$D$4:$D$53,MATCH($B245,Drinks!$A$4:$A$53,0)),0))</f>
        <v/>
      </c>
      <c r="R245" s="10" t="str">
        <f aca="false">IF($B245="","",$P245-$Q245)</f>
        <v/>
      </c>
      <c r="S245" s="23" t="str">
        <f aca="false">IF($B245="","",IF(COUNTIFS($A$4:$A$2003,$A245-1,$B$4:$B$2003,$B245)=0,"first day",IF(SUMIFS($M$4:$M$2003,$A$4:$A$2003,$A245-1,$B$4:$B$2003,$B245)=$J245,"OK","CHECK")))</f>
        <v/>
      </c>
      <c r="T245" s="10" t="str">
        <f aca="false">IF($B245="","",IFERROR(INDEX(Drinks!$D$4:$D$53,MATCH($B245,Drinks!$A$4:$A$53,0)),0))</f>
        <v/>
      </c>
    </row>
    <row r="246" customFormat="false" ht="15" hidden="false" customHeight="false" outlineLevel="0" collapsed="false">
      <c r="A246" s="22"/>
      <c r="B246" s="9"/>
      <c r="C246" s="9"/>
      <c r="D246" s="9"/>
      <c r="E246" s="9"/>
      <c r="F246" s="10" t="str">
        <f aca="false">IF($B246="","",$C246+$D246-$E246)</f>
        <v/>
      </c>
      <c r="G246" s="10" t="str">
        <f aca="false">IF($B246="","",IFERROR(INDEX(Drinks!$C$4:$C$53,MATCH($B246,Drinks!$A$4:$A$53,0)),0))</f>
        <v/>
      </c>
      <c r="H246" s="10" t="str">
        <f aca="false">IF($B246="","",$D246*$G246)</f>
        <v/>
      </c>
      <c r="I246" s="10" t="str">
        <f aca="false">IF($B246="","",$F246*$G246)</f>
        <v/>
      </c>
      <c r="J246" s="9"/>
      <c r="K246" s="10" t="str">
        <f aca="false">IF($B246="","",$E246*IFERROR(INDEX(Drinks!$B$4:$B$53,MATCH($B246,Drinks!$A$4:$A$53,0)),0))</f>
        <v/>
      </c>
      <c r="L246" s="10" t="str">
        <f aca="false">IF($B246="","",$J246+$K246)</f>
        <v/>
      </c>
      <c r="M246" s="9"/>
      <c r="N246" s="10" t="str">
        <f aca="false">IF($B246="","",$L246-$M246)</f>
        <v/>
      </c>
      <c r="O246" s="10" t="str">
        <f aca="false">IF($B246="","",IFERROR(INDEX(Drinks!$E$4:$E$53,MATCH($B246,Drinks!$A$4:$A$53,0)),0))</f>
        <v/>
      </c>
      <c r="P246" s="10" t="str">
        <f aca="false">IF($B246="","",$N246*$O246)</f>
        <v/>
      </c>
      <c r="Q246" s="10" t="str">
        <f aca="false">IF($B246="","",$N246*IFERROR(INDEX(Drinks!$D$4:$D$53,MATCH($B246,Drinks!$A$4:$A$53,0)),0))</f>
        <v/>
      </c>
      <c r="R246" s="10" t="str">
        <f aca="false">IF($B246="","",$P246-$Q246)</f>
        <v/>
      </c>
      <c r="S246" s="23" t="str">
        <f aca="false">IF($B246="","",IF(COUNTIFS($A$4:$A$2003,$A246-1,$B$4:$B$2003,$B246)=0,"first day",IF(SUMIFS($M$4:$M$2003,$A$4:$A$2003,$A246-1,$B$4:$B$2003,$B246)=$J246,"OK","CHECK")))</f>
        <v/>
      </c>
      <c r="T246" s="10" t="str">
        <f aca="false">IF($B246="","",IFERROR(INDEX(Drinks!$D$4:$D$53,MATCH($B246,Drinks!$A$4:$A$53,0)),0))</f>
        <v/>
      </c>
    </row>
    <row r="247" customFormat="false" ht="15" hidden="false" customHeight="false" outlineLevel="0" collapsed="false">
      <c r="A247" s="22"/>
      <c r="B247" s="9"/>
      <c r="C247" s="9"/>
      <c r="D247" s="9"/>
      <c r="E247" s="9"/>
      <c r="F247" s="10" t="str">
        <f aca="false">IF($B247="","",$C247+$D247-$E247)</f>
        <v/>
      </c>
      <c r="G247" s="10" t="str">
        <f aca="false">IF($B247="","",IFERROR(INDEX(Drinks!$C$4:$C$53,MATCH($B247,Drinks!$A$4:$A$53,0)),0))</f>
        <v/>
      </c>
      <c r="H247" s="10" t="str">
        <f aca="false">IF($B247="","",$D247*$G247)</f>
        <v/>
      </c>
      <c r="I247" s="10" t="str">
        <f aca="false">IF($B247="","",$F247*$G247)</f>
        <v/>
      </c>
      <c r="J247" s="9"/>
      <c r="K247" s="10" t="str">
        <f aca="false">IF($B247="","",$E247*IFERROR(INDEX(Drinks!$B$4:$B$53,MATCH($B247,Drinks!$A$4:$A$53,0)),0))</f>
        <v/>
      </c>
      <c r="L247" s="10" t="str">
        <f aca="false">IF($B247="","",$J247+$K247)</f>
        <v/>
      </c>
      <c r="M247" s="9"/>
      <c r="N247" s="10" t="str">
        <f aca="false">IF($B247="","",$L247-$M247)</f>
        <v/>
      </c>
      <c r="O247" s="10" t="str">
        <f aca="false">IF($B247="","",IFERROR(INDEX(Drinks!$E$4:$E$53,MATCH($B247,Drinks!$A$4:$A$53,0)),0))</f>
        <v/>
      </c>
      <c r="P247" s="10" t="str">
        <f aca="false">IF($B247="","",$N247*$O247)</f>
        <v/>
      </c>
      <c r="Q247" s="10" t="str">
        <f aca="false">IF($B247="","",$N247*IFERROR(INDEX(Drinks!$D$4:$D$53,MATCH($B247,Drinks!$A$4:$A$53,0)),0))</f>
        <v/>
      </c>
      <c r="R247" s="10" t="str">
        <f aca="false">IF($B247="","",$P247-$Q247)</f>
        <v/>
      </c>
      <c r="S247" s="23" t="str">
        <f aca="false">IF($B247="","",IF(COUNTIFS($A$4:$A$2003,$A247-1,$B$4:$B$2003,$B247)=0,"first day",IF(SUMIFS($M$4:$M$2003,$A$4:$A$2003,$A247-1,$B$4:$B$2003,$B247)=$J247,"OK","CHECK")))</f>
        <v/>
      </c>
      <c r="T247" s="10" t="str">
        <f aca="false">IF($B247="","",IFERROR(INDEX(Drinks!$D$4:$D$53,MATCH($B247,Drinks!$A$4:$A$53,0)),0))</f>
        <v/>
      </c>
    </row>
    <row r="248" customFormat="false" ht="15" hidden="false" customHeight="false" outlineLevel="0" collapsed="false">
      <c r="A248" s="22"/>
      <c r="B248" s="9"/>
      <c r="C248" s="9"/>
      <c r="D248" s="9"/>
      <c r="E248" s="9"/>
      <c r="F248" s="10" t="str">
        <f aca="false">IF($B248="","",$C248+$D248-$E248)</f>
        <v/>
      </c>
      <c r="G248" s="10" t="str">
        <f aca="false">IF($B248="","",IFERROR(INDEX(Drinks!$C$4:$C$53,MATCH($B248,Drinks!$A$4:$A$53,0)),0))</f>
        <v/>
      </c>
      <c r="H248" s="10" t="str">
        <f aca="false">IF($B248="","",$D248*$G248)</f>
        <v/>
      </c>
      <c r="I248" s="10" t="str">
        <f aca="false">IF($B248="","",$F248*$G248)</f>
        <v/>
      </c>
      <c r="J248" s="9"/>
      <c r="K248" s="10" t="str">
        <f aca="false">IF($B248="","",$E248*IFERROR(INDEX(Drinks!$B$4:$B$53,MATCH($B248,Drinks!$A$4:$A$53,0)),0))</f>
        <v/>
      </c>
      <c r="L248" s="10" t="str">
        <f aca="false">IF($B248="","",$J248+$K248)</f>
        <v/>
      </c>
      <c r="M248" s="9"/>
      <c r="N248" s="10" t="str">
        <f aca="false">IF($B248="","",$L248-$M248)</f>
        <v/>
      </c>
      <c r="O248" s="10" t="str">
        <f aca="false">IF($B248="","",IFERROR(INDEX(Drinks!$E$4:$E$53,MATCH($B248,Drinks!$A$4:$A$53,0)),0))</f>
        <v/>
      </c>
      <c r="P248" s="10" t="str">
        <f aca="false">IF($B248="","",$N248*$O248)</f>
        <v/>
      </c>
      <c r="Q248" s="10" t="str">
        <f aca="false">IF($B248="","",$N248*IFERROR(INDEX(Drinks!$D$4:$D$53,MATCH($B248,Drinks!$A$4:$A$53,0)),0))</f>
        <v/>
      </c>
      <c r="R248" s="10" t="str">
        <f aca="false">IF($B248="","",$P248-$Q248)</f>
        <v/>
      </c>
      <c r="S248" s="23" t="str">
        <f aca="false">IF($B248="","",IF(COUNTIFS($A$4:$A$2003,$A248-1,$B$4:$B$2003,$B248)=0,"first day",IF(SUMIFS($M$4:$M$2003,$A$4:$A$2003,$A248-1,$B$4:$B$2003,$B248)=$J248,"OK","CHECK")))</f>
        <v/>
      </c>
      <c r="T248" s="10" t="str">
        <f aca="false">IF($B248="","",IFERROR(INDEX(Drinks!$D$4:$D$53,MATCH($B248,Drinks!$A$4:$A$53,0)),0))</f>
        <v/>
      </c>
    </row>
    <row r="249" customFormat="false" ht="15" hidden="false" customHeight="false" outlineLevel="0" collapsed="false">
      <c r="A249" s="22"/>
      <c r="B249" s="9"/>
      <c r="C249" s="9"/>
      <c r="D249" s="9"/>
      <c r="E249" s="9"/>
      <c r="F249" s="10" t="str">
        <f aca="false">IF($B249="","",$C249+$D249-$E249)</f>
        <v/>
      </c>
      <c r="G249" s="10" t="str">
        <f aca="false">IF($B249="","",IFERROR(INDEX(Drinks!$C$4:$C$53,MATCH($B249,Drinks!$A$4:$A$53,0)),0))</f>
        <v/>
      </c>
      <c r="H249" s="10" t="str">
        <f aca="false">IF($B249="","",$D249*$G249)</f>
        <v/>
      </c>
      <c r="I249" s="10" t="str">
        <f aca="false">IF($B249="","",$F249*$G249)</f>
        <v/>
      </c>
      <c r="J249" s="9"/>
      <c r="K249" s="10" t="str">
        <f aca="false">IF($B249="","",$E249*IFERROR(INDEX(Drinks!$B$4:$B$53,MATCH($B249,Drinks!$A$4:$A$53,0)),0))</f>
        <v/>
      </c>
      <c r="L249" s="10" t="str">
        <f aca="false">IF($B249="","",$J249+$K249)</f>
        <v/>
      </c>
      <c r="M249" s="9"/>
      <c r="N249" s="10" t="str">
        <f aca="false">IF($B249="","",$L249-$M249)</f>
        <v/>
      </c>
      <c r="O249" s="10" t="str">
        <f aca="false">IF($B249="","",IFERROR(INDEX(Drinks!$E$4:$E$53,MATCH($B249,Drinks!$A$4:$A$53,0)),0))</f>
        <v/>
      </c>
      <c r="P249" s="10" t="str">
        <f aca="false">IF($B249="","",$N249*$O249)</f>
        <v/>
      </c>
      <c r="Q249" s="10" t="str">
        <f aca="false">IF($B249="","",$N249*IFERROR(INDEX(Drinks!$D$4:$D$53,MATCH($B249,Drinks!$A$4:$A$53,0)),0))</f>
        <v/>
      </c>
      <c r="R249" s="10" t="str">
        <f aca="false">IF($B249="","",$P249-$Q249)</f>
        <v/>
      </c>
      <c r="S249" s="23" t="str">
        <f aca="false">IF($B249="","",IF(COUNTIFS($A$4:$A$2003,$A249-1,$B$4:$B$2003,$B249)=0,"first day",IF(SUMIFS($M$4:$M$2003,$A$4:$A$2003,$A249-1,$B$4:$B$2003,$B249)=$J249,"OK","CHECK")))</f>
        <v/>
      </c>
      <c r="T249" s="10" t="str">
        <f aca="false">IF($B249="","",IFERROR(INDEX(Drinks!$D$4:$D$53,MATCH($B249,Drinks!$A$4:$A$53,0)),0))</f>
        <v/>
      </c>
    </row>
    <row r="250" customFormat="false" ht="15" hidden="false" customHeight="false" outlineLevel="0" collapsed="false">
      <c r="A250" s="22"/>
      <c r="B250" s="9"/>
      <c r="C250" s="9"/>
      <c r="D250" s="9"/>
      <c r="E250" s="9"/>
      <c r="F250" s="10" t="str">
        <f aca="false">IF($B250="","",$C250+$D250-$E250)</f>
        <v/>
      </c>
      <c r="G250" s="10" t="str">
        <f aca="false">IF($B250="","",IFERROR(INDEX(Drinks!$C$4:$C$53,MATCH($B250,Drinks!$A$4:$A$53,0)),0))</f>
        <v/>
      </c>
      <c r="H250" s="10" t="str">
        <f aca="false">IF($B250="","",$D250*$G250)</f>
        <v/>
      </c>
      <c r="I250" s="10" t="str">
        <f aca="false">IF($B250="","",$F250*$G250)</f>
        <v/>
      </c>
      <c r="J250" s="9"/>
      <c r="K250" s="10" t="str">
        <f aca="false">IF($B250="","",$E250*IFERROR(INDEX(Drinks!$B$4:$B$53,MATCH($B250,Drinks!$A$4:$A$53,0)),0))</f>
        <v/>
      </c>
      <c r="L250" s="10" t="str">
        <f aca="false">IF($B250="","",$J250+$K250)</f>
        <v/>
      </c>
      <c r="M250" s="9"/>
      <c r="N250" s="10" t="str">
        <f aca="false">IF($B250="","",$L250-$M250)</f>
        <v/>
      </c>
      <c r="O250" s="10" t="str">
        <f aca="false">IF($B250="","",IFERROR(INDEX(Drinks!$E$4:$E$53,MATCH($B250,Drinks!$A$4:$A$53,0)),0))</f>
        <v/>
      </c>
      <c r="P250" s="10" t="str">
        <f aca="false">IF($B250="","",$N250*$O250)</f>
        <v/>
      </c>
      <c r="Q250" s="10" t="str">
        <f aca="false">IF($B250="","",$N250*IFERROR(INDEX(Drinks!$D$4:$D$53,MATCH($B250,Drinks!$A$4:$A$53,0)),0))</f>
        <v/>
      </c>
      <c r="R250" s="10" t="str">
        <f aca="false">IF($B250="","",$P250-$Q250)</f>
        <v/>
      </c>
      <c r="S250" s="23" t="str">
        <f aca="false">IF($B250="","",IF(COUNTIFS($A$4:$A$2003,$A250-1,$B$4:$B$2003,$B250)=0,"first day",IF(SUMIFS($M$4:$M$2003,$A$4:$A$2003,$A250-1,$B$4:$B$2003,$B250)=$J250,"OK","CHECK")))</f>
        <v/>
      </c>
      <c r="T250" s="10" t="str">
        <f aca="false">IF($B250="","",IFERROR(INDEX(Drinks!$D$4:$D$53,MATCH($B250,Drinks!$A$4:$A$53,0)),0))</f>
        <v/>
      </c>
    </row>
    <row r="251" customFormat="false" ht="15" hidden="false" customHeight="false" outlineLevel="0" collapsed="false">
      <c r="A251" s="22"/>
      <c r="B251" s="9"/>
      <c r="C251" s="9"/>
      <c r="D251" s="9"/>
      <c r="E251" s="9"/>
      <c r="F251" s="10" t="str">
        <f aca="false">IF($B251="","",$C251+$D251-$E251)</f>
        <v/>
      </c>
      <c r="G251" s="10" t="str">
        <f aca="false">IF($B251="","",IFERROR(INDEX(Drinks!$C$4:$C$53,MATCH($B251,Drinks!$A$4:$A$53,0)),0))</f>
        <v/>
      </c>
      <c r="H251" s="10" t="str">
        <f aca="false">IF($B251="","",$D251*$G251)</f>
        <v/>
      </c>
      <c r="I251" s="10" t="str">
        <f aca="false">IF($B251="","",$F251*$G251)</f>
        <v/>
      </c>
      <c r="J251" s="9"/>
      <c r="K251" s="10" t="str">
        <f aca="false">IF($B251="","",$E251*IFERROR(INDEX(Drinks!$B$4:$B$53,MATCH($B251,Drinks!$A$4:$A$53,0)),0))</f>
        <v/>
      </c>
      <c r="L251" s="10" t="str">
        <f aca="false">IF($B251="","",$J251+$K251)</f>
        <v/>
      </c>
      <c r="M251" s="9"/>
      <c r="N251" s="10" t="str">
        <f aca="false">IF($B251="","",$L251-$M251)</f>
        <v/>
      </c>
      <c r="O251" s="10" t="str">
        <f aca="false">IF($B251="","",IFERROR(INDEX(Drinks!$E$4:$E$53,MATCH($B251,Drinks!$A$4:$A$53,0)),0))</f>
        <v/>
      </c>
      <c r="P251" s="10" t="str">
        <f aca="false">IF($B251="","",$N251*$O251)</f>
        <v/>
      </c>
      <c r="Q251" s="10" t="str">
        <f aca="false">IF($B251="","",$N251*IFERROR(INDEX(Drinks!$D$4:$D$53,MATCH($B251,Drinks!$A$4:$A$53,0)),0))</f>
        <v/>
      </c>
      <c r="R251" s="10" t="str">
        <f aca="false">IF($B251="","",$P251-$Q251)</f>
        <v/>
      </c>
      <c r="S251" s="23" t="str">
        <f aca="false">IF($B251="","",IF(COUNTIFS($A$4:$A$2003,$A251-1,$B$4:$B$2003,$B251)=0,"first day",IF(SUMIFS($M$4:$M$2003,$A$4:$A$2003,$A251-1,$B$4:$B$2003,$B251)=$J251,"OK","CHECK")))</f>
        <v/>
      </c>
      <c r="T251" s="10" t="str">
        <f aca="false">IF($B251="","",IFERROR(INDEX(Drinks!$D$4:$D$53,MATCH($B251,Drinks!$A$4:$A$53,0)),0))</f>
        <v/>
      </c>
    </row>
    <row r="252" customFormat="false" ht="15" hidden="false" customHeight="false" outlineLevel="0" collapsed="false">
      <c r="A252" s="22"/>
      <c r="B252" s="9"/>
      <c r="C252" s="9"/>
      <c r="D252" s="9"/>
      <c r="E252" s="9"/>
      <c r="F252" s="10" t="str">
        <f aca="false">IF($B252="","",$C252+$D252-$E252)</f>
        <v/>
      </c>
      <c r="G252" s="10" t="str">
        <f aca="false">IF($B252="","",IFERROR(INDEX(Drinks!$C$4:$C$53,MATCH($B252,Drinks!$A$4:$A$53,0)),0))</f>
        <v/>
      </c>
      <c r="H252" s="10" t="str">
        <f aca="false">IF($B252="","",$D252*$G252)</f>
        <v/>
      </c>
      <c r="I252" s="10" t="str">
        <f aca="false">IF($B252="","",$F252*$G252)</f>
        <v/>
      </c>
      <c r="J252" s="9"/>
      <c r="K252" s="10" t="str">
        <f aca="false">IF($B252="","",$E252*IFERROR(INDEX(Drinks!$B$4:$B$53,MATCH($B252,Drinks!$A$4:$A$53,0)),0))</f>
        <v/>
      </c>
      <c r="L252" s="10" t="str">
        <f aca="false">IF($B252="","",$J252+$K252)</f>
        <v/>
      </c>
      <c r="M252" s="9"/>
      <c r="N252" s="10" t="str">
        <f aca="false">IF($B252="","",$L252-$M252)</f>
        <v/>
      </c>
      <c r="O252" s="10" t="str">
        <f aca="false">IF($B252="","",IFERROR(INDEX(Drinks!$E$4:$E$53,MATCH($B252,Drinks!$A$4:$A$53,0)),0))</f>
        <v/>
      </c>
      <c r="P252" s="10" t="str">
        <f aca="false">IF($B252="","",$N252*$O252)</f>
        <v/>
      </c>
      <c r="Q252" s="10" t="str">
        <f aca="false">IF($B252="","",$N252*IFERROR(INDEX(Drinks!$D$4:$D$53,MATCH($B252,Drinks!$A$4:$A$53,0)),0))</f>
        <v/>
      </c>
      <c r="R252" s="10" t="str">
        <f aca="false">IF($B252="","",$P252-$Q252)</f>
        <v/>
      </c>
      <c r="S252" s="23" t="str">
        <f aca="false">IF($B252="","",IF(COUNTIFS($A$4:$A$2003,$A252-1,$B$4:$B$2003,$B252)=0,"first day",IF(SUMIFS($M$4:$M$2003,$A$4:$A$2003,$A252-1,$B$4:$B$2003,$B252)=$J252,"OK","CHECK")))</f>
        <v/>
      </c>
      <c r="T252" s="10" t="str">
        <f aca="false">IF($B252="","",IFERROR(INDEX(Drinks!$D$4:$D$53,MATCH($B252,Drinks!$A$4:$A$53,0)),0))</f>
        <v/>
      </c>
    </row>
    <row r="253" customFormat="false" ht="15" hidden="false" customHeight="false" outlineLevel="0" collapsed="false">
      <c r="A253" s="22"/>
      <c r="B253" s="9"/>
      <c r="C253" s="9"/>
      <c r="D253" s="9"/>
      <c r="E253" s="9"/>
      <c r="F253" s="10" t="str">
        <f aca="false">IF($B253="","",$C253+$D253-$E253)</f>
        <v/>
      </c>
      <c r="G253" s="10" t="str">
        <f aca="false">IF($B253="","",IFERROR(INDEX(Drinks!$C$4:$C$53,MATCH($B253,Drinks!$A$4:$A$53,0)),0))</f>
        <v/>
      </c>
      <c r="H253" s="10" t="str">
        <f aca="false">IF($B253="","",$D253*$G253)</f>
        <v/>
      </c>
      <c r="I253" s="10" t="str">
        <f aca="false">IF($B253="","",$F253*$G253)</f>
        <v/>
      </c>
      <c r="J253" s="9"/>
      <c r="K253" s="10" t="str">
        <f aca="false">IF($B253="","",$E253*IFERROR(INDEX(Drinks!$B$4:$B$53,MATCH($B253,Drinks!$A$4:$A$53,0)),0))</f>
        <v/>
      </c>
      <c r="L253" s="10" t="str">
        <f aca="false">IF($B253="","",$J253+$K253)</f>
        <v/>
      </c>
      <c r="M253" s="9"/>
      <c r="N253" s="10" t="str">
        <f aca="false">IF($B253="","",$L253-$M253)</f>
        <v/>
      </c>
      <c r="O253" s="10" t="str">
        <f aca="false">IF($B253="","",IFERROR(INDEX(Drinks!$E$4:$E$53,MATCH($B253,Drinks!$A$4:$A$53,0)),0))</f>
        <v/>
      </c>
      <c r="P253" s="10" t="str">
        <f aca="false">IF($B253="","",$N253*$O253)</f>
        <v/>
      </c>
      <c r="Q253" s="10" t="str">
        <f aca="false">IF($B253="","",$N253*IFERROR(INDEX(Drinks!$D$4:$D$53,MATCH($B253,Drinks!$A$4:$A$53,0)),0))</f>
        <v/>
      </c>
      <c r="R253" s="10" t="str">
        <f aca="false">IF($B253="","",$P253-$Q253)</f>
        <v/>
      </c>
      <c r="S253" s="23" t="str">
        <f aca="false">IF($B253="","",IF(COUNTIFS($A$4:$A$2003,$A253-1,$B$4:$B$2003,$B253)=0,"first day",IF(SUMIFS($M$4:$M$2003,$A$4:$A$2003,$A253-1,$B$4:$B$2003,$B253)=$J253,"OK","CHECK")))</f>
        <v/>
      </c>
      <c r="T253" s="10" t="str">
        <f aca="false">IF($B253="","",IFERROR(INDEX(Drinks!$D$4:$D$53,MATCH($B253,Drinks!$A$4:$A$53,0)),0))</f>
        <v/>
      </c>
    </row>
    <row r="254" customFormat="false" ht="15" hidden="false" customHeight="false" outlineLevel="0" collapsed="false">
      <c r="A254" s="22"/>
      <c r="B254" s="9"/>
      <c r="C254" s="9"/>
      <c r="D254" s="9"/>
      <c r="E254" s="9"/>
      <c r="F254" s="10" t="str">
        <f aca="false">IF($B254="","",$C254+$D254-$E254)</f>
        <v/>
      </c>
      <c r="G254" s="10" t="str">
        <f aca="false">IF($B254="","",IFERROR(INDEX(Drinks!$C$4:$C$53,MATCH($B254,Drinks!$A$4:$A$53,0)),0))</f>
        <v/>
      </c>
      <c r="H254" s="10" t="str">
        <f aca="false">IF($B254="","",$D254*$G254)</f>
        <v/>
      </c>
      <c r="I254" s="10" t="str">
        <f aca="false">IF($B254="","",$F254*$G254)</f>
        <v/>
      </c>
      <c r="J254" s="9"/>
      <c r="K254" s="10" t="str">
        <f aca="false">IF($B254="","",$E254*IFERROR(INDEX(Drinks!$B$4:$B$53,MATCH($B254,Drinks!$A$4:$A$53,0)),0))</f>
        <v/>
      </c>
      <c r="L254" s="10" t="str">
        <f aca="false">IF($B254="","",$J254+$K254)</f>
        <v/>
      </c>
      <c r="M254" s="9"/>
      <c r="N254" s="10" t="str">
        <f aca="false">IF($B254="","",$L254-$M254)</f>
        <v/>
      </c>
      <c r="O254" s="10" t="str">
        <f aca="false">IF($B254="","",IFERROR(INDEX(Drinks!$E$4:$E$53,MATCH($B254,Drinks!$A$4:$A$53,0)),0))</f>
        <v/>
      </c>
      <c r="P254" s="10" t="str">
        <f aca="false">IF($B254="","",$N254*$O254)</f>
        <v/>
      </c>
      <c r="Q254" s="10" t="str">
        <f aca="false">IF($B254="","",$N254*IFERROR(INDEX(Drinks!$D$4:$D$53,MATCH($B254,Drinks!$A$4:$A$53,0)),0))</f>
        <v/>
      </c>
      <c r="R254" s="10" t="str">
        <f aca="false">IF($B254="","",$P254-$Q254)</f>
        <v/>
      </c>
      <c r="S254" s="23" t="str">
        <f aca="false">IF($B254="","",IF(COUNTIFS($A$4:$A$2003,$A254-1,$B$4:$B$2003,$B254)=0,"first day",IF(SUMIFS($M$4:$M$2003,$A$4:$A$2003,$A254-1,$B$4:$B$2003,$B254)=$J254,"OK","CHECK")))</f>
        <v/>
      </c>
      <c r="T254" s="10" t="str">
        <f aca="false">IF($B254="","",IFERROR(INDEX(Drinks!$D$4:$D$53,MATCH($B254,Drinks!$A$4:$A$53,0)),0))</f>
        <v/>
      </c>
    </row>
    <row r="255" customFormat="false" ht="15" hidden="false" customHeight="false" outlineLevel="0" collapsed="false">
      <c r="A255" s="22"/>
      <c r="B255" s="9"/>
      <c r="C255" s="9"/>
      <c r="D255" s="9"/>
      <c r="E255" s="9"/>
      <c r="F255" s="10" t="str">
        <f aca="false">IF($B255="","",$C255+$D255-$E255)</f>
        <v/>
      </c>
      <c r="G255" s="10" t="str">
        <f aca="false">IF($B255="","",IFERROR(INDEX(Drinks!$C$4:$C$53,MATCH($B255,Drinks!$A$4:$A$53,0)),0))</f>
        <v/>
      </c>
      <c r="H255" s="10" t="str">
        <f aca="false">IF($B255="","",$D255*$G255)</f>
        <v/>
      </c>
      <c r="I255" s="10" t="str">
        <f aca="false">IF($B255="","",$F255*$G255)</f>
        <v/>
      </c>
      <c r="J255" s="9"/>
      <c r="K255" s="10" t="str">
        <f aca="false">IF($B255="","",$E255*IFERROR(INDEX(Drinks!$B$4:$B$53,MATCH($B255,Drinks!$A$4:$A$53,0)),0))</f>
        <v/>
      </c>
      <c r="L255" s="10" t="str">
        <f aca="false">IF($B255="","",$J255+$K255)</f>
        <v/>
      </c>
      <c r="M255" s="9"/>
      <c r="N255" s="10" t="str">
        <f aca="false">IF($B255="","",$L255-$M255)</f>
        <v/>
      </c>
      <c r="O255" s="10" t="str">
        <f aca="false">IF($B255="","",IFERROR(INDEX(Drinks!$E$4:$E$53,MATCH($B255,Drinks!$A$4:$A$53,0)),0))</f>
        <v/>
      </c>
      <c r="P255" s="10" t="str">
        <f aca="false">IF($B255="","",$N255*$O255)</f>
        <v/>
      </c>
      <c r="Q255" s="10" t="str">
        <f aca="false">IF($B255="","",$N255*IFERROR(INDEX(Drinks!$D$4:$D$53,MATCH($B255,Drinks!$A$4:$A$53,0)),0))</f>
        <v/>
      </c>
      <c r="R255" s="10" t="str">
        <f aca="false">IF($B255="","",$P255-$Q255)</f>
        <v/>
      </c>
      <c r="S255" s="23" t="str">
        <f aca="false">IF($B255="","",IF(COUNTIFS($A$4:$A$2003,$A255-1,$B$4:$B$2003,$B255)=0,"first day",IF(SUMIFS($M$4:$M$2003,$A$4:$A$2003,$A255-1,$B$4:$B$2003,$B255)=$J255,"OK","CHECK")))</f>
        <v/>
      </c>
      <c r="T255" s="10" t="str">
        <f aca="false">IF($B255="","",IFERROR(INDEX(Drinks!$D$4:$D$53,MATCH($B255,Drinks!$A$4:$A$53,0)),0))</f>
        <v/>
      </c>
    </row>
    <row r="256" customFormat="false" ht="15" hidden="false" customHeight="false" outlineLevel="0" collapsed="false">
      <c r="A256" s="22"/>
      <c r="B256" s="9"/>
      <c r="C256" s="9"/>
      <c r="D256" s="9"/>
      <c r="E256" s="9"/>
      <c r="F256" s="10" t="str">
        <f aca="false">IF($B256="","",$C256+$D256-$E256)</f>
        <v/>
      </c>
      <c r="G256" s="10" t="str">
        <f aca="false">IF($B256="","",IFERROR(INDEX(Drinks!$C$4:$C$53,MATCH($B256,Drinks!$A$4:$A$53,0)),0))</f>
        <v/>
      </c>
      <c r="H256" s="10" t="str">
        <f aca="false">IF($B256="","",$D256*$G256)</f>
        <v/>
      </c>
      <c r="I256" s="10" t="str">
        <f aca="false">IF($B256="","",$F256*$G256)</f>
        <v/>
      </c>
      <c r="J256" s="9"/>
      <c r="K256" s="10" t="str">
        <f aca="false">IF($B256="","",$E256*IFERROR(INDEX(Drinks!$B$4:$B$53,MATCH($B256,Drinks!$A$4:$A$53,0)),0))</f>
        <v/>
      </c>
      <c r="L256" s="10" t="str">
        <f aca="false">IF($B256="","",$J256+$K256)</f>
        <v/>
      </c>
      <c r="M256" s="9"/>
      <c r="N256" s="10" t="str">
        <f aca="false">IF($B256="","",$L256-$M256)</f>
        <v/>
      </c>
      <c r="O256" s="10" t="str">
        <f aca="false">IF($B256="","",IFERROR(INDEX(Drinks!$E$4:$E$53,MATCH($B256,Drinks!$A$4:$A$53,0)),0))</f>
        <v/>
      </c>
      <c r="P256" s="10" t="str">
        <f aca="false">IF($B256="","",$N256*$O256)</f>
        <v/>
      </c>
      <c r="Q256" s="10" t="str">
        <f aca="false">IF($B256="","",$N256*IFERROR(INDEX(Drinks!$D$4:$D$53,MATCH($B256,Drinks!$A$4:$A$53,0)),0))</f>
        <v/>
      </c>
      <c r="R256" s="10" t="str">
        <f aca="false">IF($B256="","",$P256-$Q256)</f>
        <v/>
      </c>
      <c r="S256" s="23" t="str">
        <f aca="false">IF($B256="","",IF(COUNTIFS($A$4:$A$2003,$A256-1,$B$4:$B$2003,$B256)=0,"first day",IF(SUMIFS($M$4:$M$2003,$A$4:$A$2003,$A256-1,$B$4:$B$2003,$B256)=$J256,"OK","CHECK")))</f>
        <v/>
      </c>
      <c r="T256" s="10" t="str">
        <f aca="false">IF($B256="","",IFERROR(INDEX(Drinks!$D$4:$D$53,MATCH($B256,Drinks!$A$4:$A$53,0)),0))</f>
        <v/>
      </c>
    </row>
    <row r="257" customFormat="false" ht="15" hidden="false" customHeight="false" outlineLevel="0" collapsed="false">
      <c r="A257" s="22"/>
      <c r="B257" s="9"/>
      <c r="C257" s="9"/>
      <c r="D257" s="9"/>
      <c r="E257" s="9"/>
      <c r="F257" s="10" t="str">
        <f aca="false">IF($B257="","",$C257+$D257-$E257)</f>
        <v/>
      </c>
      <c r="G257" s="10" t="str">
        <f aca="false">IF($B257="","",IFERROR(INDEX(Drinks!$C$4:$C$53,MATCH($B257,Drinks!$A$4:$A$53,0)),0))</f>
        <v/>
      </c>
      <c r="H257" s="10" t="str">
        <f aca="false">IF($B257="","",$D257*$G257)</f>
        <v/>
      </c>
      <c r="I257" s="10" t="str">
        <f aca="false">IF($B257="","",$F257*$G257)</f>
        <v/>
      </c>
      <c r="J257" s="9"/>
      <c r="K257" s="10" t="str">
        <f aca="false">IF($B257="","",$E257*IFERROR(INDEX(Drinks!$B$4:$B$53,MATCH($B257,Drinks!$A$4:$A$53,0)),0))</f>
        <v/>
      </c>
      <c r="L257" s="10" t="str">
        <f aca="false">IF($B257="","",$J257+$K257)</f>
        <v/>
      </c>
      <c r="M257" s="9"/>
      <c r="N257" s="10" t="str">
        <f aca="false">IF($B257="","",$L257-$M257)</f>
        <v/>
      </c>
      <c r="O257" s="10" t="str">
        <f aca="false">IF($B257="","",IFERROR(INDEX(Drinks!$E$4:$E$53,MATCH($B257,Drinks!$A$4:$A$53,0)),0))</f>
        <v/>
      </c>
      <c r="P257" s="10" t="str">
        <f aca="false">IF($B257="","",$N257*$O257)</f>
        <v/>
      </c>
      <c r="Q257" s="10" t="str">
        <f aca="false">IF($B257="","",$N257*IFERROR(INDEX(Drinks!$D$4:$D$53,MATCH($B257,Drinks!$A$4:$A$53,0)),0))</f>
        <v/>
      </c>
      <c r="R257" s="10" t="str">
        <f aca="false">IF($B257="","",$P257-$Q257)</f>
        <v/>
      </c>
      <c r="S257" s="23" t="str">
        <f aca="false">IF($B257="","",IF(COUNTIFS($A$4:$A$2003,$A257-1,$B$4:$B$2003,$B257)=0,"first day",IF(SUMIFS($M$4:$M$2003,$A$4:$A$2003,$A257-1,$B$4:$B$2003,$B257)=$J257,"OK","CHECK")))</f>
        <v/>
      </c>
      <c r="T257" s="10" t="str">
        <f aca="false">IF($B257="","",IFERROR(INDEX(Drinks!$D$4:$D$53,MATCH($B257,Drinks!$A$4:$A$53,0)),0))</f>
        <v/>
      </c>
    </row>
    <row r="258" customFormat="false" ht="15" hidden="false" customHeight="false" outlineLevel="0" collapsed="false">
      <c r="A258" s="22"/>
      <c r="B258" s="9"/>
      <c r="C258" s="9"/>
      <c r="D258" s="9"/>
      <c r="E258" s="9"/>
      <c r="F258" s="10" t="str">
        <f aca="false">IF($B258="","",$C258+$D258-$E258)</f>
        <v/>
      </c>
      <c r="G258" s="10" t="str">
        <f aca="false">IF($B258="","",IFERROR(INDEX(Drinks!$C$4:$C$53,MATCH($B258,Drinks!$A$4:$A$53,0)),0))</f>
        <v/>
      </c>
      <c r="H258" s="10" t="str">
        <f aca="false">IF($B258="","",$D258*$G258)</f>
        <v/>
      </c>
      <c r="I258" s="10" t="str">
        <f aca="false">IF($B258="","",$F258*$G258)</f>
        <v/>
      </c>
      <c r="J258" s="9"/>
      <c r="K258" s="10" t="str">
        <f aca="false">IF($B258="","",$E258*IFERROR(INDEX(Drinks!$B$4:$B$53,MATCH($B258,Drinks!$A$4:$A$53,0)),0))</f>
        <v/>
      </c>
      <c r="L258" s="10" t="str">
        <f aca="false">IF($B258="","",$J258+$K258)</f>
        <v/>
      </c>
      <c r="M258" s="9"/>
      <c r="N258" s="10" t="str">
        <f aca="false">IF($B258="","",$L258-$M258)</f>
        <v/>
      </c>
      <c r="O258" s="10" t="str">
        <f aca="false">IF($B258="","",IFERROR(INDEX(Drinks!$E$4:$E$53,MATCH($B258,Drinks!$A$4:$A$53,0)),0))</f>
        <v/>
      </c>
      <c r="P258" s="10" t="str">
        <f aca="false">IF($B258="","",$N258*$O258)</f>
        <v/>
      </c>
      <c r="Q258" s="10" t="str">
        <f aca="false">IF($B258="","",$N258*IFERROR(INDEX(Drinks!$D$4:$D$53,MATCH($B258,Drinks!$A$4:$A$53,0)),0))</f>
        <v/>
      </c>
      <c r="R258" s="10" t="str">
        <f aca="false">IF($B258="","",$P258-$Q258)</f>
        <v/>
      </c>
      <c r="S258" s="23" t="str">
        <f aca="false">IF($B258="","",IF(COUNTIFS($A$4:$A$2003,$A258-1,$B$4:$B$2003,$B258)=0,"first day",IF(SUMIFS($M$4:$M$2003,$A$4:$A$2003,$A258-1,$B$4:$B$2003,$B258)=$J258,"OK","CHECK")))</f>
        <v/>
      </c>
      <c r="T258" s="10" t="str">
        <f aca="false">IF($B258="","",IFERROR(INDEX(Drinks!$D$4:$D$53,MATCH($B258,Drinks!$A$4:$A$53,0)),0))</f>
        <v/>
      </c>
    </row>
    <row r="259" customFormat="false" ht="15" hidden="false" customHeight="false" outlineLevel="0" collapsed="false">
      <c r="A259" s="22"/>
      <c r="B259" s="9"/>
      <c r="C259" s="9"/>
      <c r="D259" s="9"/>
      <c r="E259" s="9"/>
      <c r="F259" s="10" t="str">
        <f aca="false">IF($B259="","",$C259+$D259-$E259)</f>
        <v/>
      </c>
      <c r="G259" s="10" t="str">
        <f aca="false">IF($B259="","",IFERROR(INDEX(Drinks!$C$4:$C$53,MATCH($B259,Drinks!$A$4:$A$53,0)),0))</f>
        <v/>
      </c>
      <c r="H259" s="10" t="str">
        <f aca="false">IF($B259="","",$D259*$G259)</f>
        <v/>
      </c>
      <c r="I259" s="10" t="str">
        <f aca="false">IF($B259="","",$F259*$G259)</f>
        <v/>
      </c>
      <c r="J259" s="9"/>
      <c r="K259" s="10" t="str">
        <f aca="false">IF($B259="","",$E259*IFERROR(INDEX(Drinks!$B$4:$B$53,MATCH($B259,Drinks!$A$4:$A$53,0)),0))</f>
        <v/>
      </c>
      <c r="L259" s="10" t="str">
        <f aca="false">IF($B259="","",$J259+$K259)</f>
        <v/>
      </c>
      <c r="M259" s="9"/>
      <c r="N259" s="10" t="str">
        <f aca="false">IF($B259="","",$L259-$M259)</f>
        <v/>
      </c>
      <c r="O259" s="10" t="str">
        <f aca="false">IF($B259="","",IFERROR(INDEX(Drinks!$E$4:$E$53,MATCH($B259,Drinks!$A$4:$A$53,0)),0))</f>
        <v/>
      </c>
      <c r="P259" s="10" t="str">
        <f aca="false">IF($B259="","",$N259*$O259)</f>
        <v/>
      </c>
      <c r="Q259" s="10" t="str">
        <f aca="false">IF($B259="","",$N259*IFERROR(INDEX(Drinks!$D$4:$D$53,MATCH($B259,Drinks!$A$4:$A$53,0)),0))</f>
        <v/>
      </c>
      <c r="R259" s="10" t="str">
        <f aca="false">IF($B259="","",$P259-$Q259)</f>
        <v/>
      </c>
      <c r="S259" s="23" t="str">
        <f aca="false">IF($B259="","",IF(COUNTIFS($A$4:$A$2003,$A259-1,$B$4:$B$2003,$B259)=0,"first day",IF(SUMIFS($M$4:$M$2003,$A$4:$A$2003,$A259-1,$B$4:$B$2003,$B259)=$J259,"OK","CHECK")))</f>
        <v/>
      </c>
      <c r="T259" s="10" t="str">
        <f aca="false">IF($B259="","",IFERROR(INDEX(Drinks!$D$4:$D$53,MATCH($B259,Drinks!$A$4:$A$53,0)),0))</f>
        <v/>
      </c>
    </row>
    <row r="260" customFormat="false" ht="15" hidden="false" customHeight="false" outlineLevel="0" collapsed="false">
      <c r="A260" s="22"/>
      <c r="B260" s="9"/>
      <c r="C260" s="9"/>
      <c r="D260" s="9"/>
      <c r="E260" s="9"/>
      <c r="F260" s="10" t="str">
        <f aca="false">IF($B260="","",$C260+$D260-$E260)</f>
        <v/>
      </c>
      <c r="G260" s="10" t="str">
        <f aca="false">IF($B260="","",IFERROR(INDEX(Drinks!$C$4:$C$53,MATCH($B260,Drinks!$A$4:$A$53,0)),0))</f>
        <v/>
      </c>
      <c r="H260" s="10" t="str">
        <f aca="false">IF($B260="","",$D260*$G260)</f>
        <v/>
      </c>
      <c r="I260" s="10" t="str">
        <f aca="false">IF($B260="","",$F260*$G260)</f>
        <v/>
      </c>
      <c r="J260" s="9"/>
      <c r="K260" s="10" t="str">
        <f aca="false">IF($B260="","",$E260*IFERROR(INDEX(Drinks!$B$4:$B$53,MATCH($B260,Drinks!$A$4:$A$53,0)),0))</f>
        <v/>
      </c>
      <c r="L260" s="10" t="str">
        <f aca="false">IF($B260="","",$J260+$K260)</f>
        <v/>
      </c>
      <c r="M260" s="9"/>
      <c r="N260" s="10" t="str">
        <f aca="false">IF($B260="","",$L260-$M260)</f>
        <v/>
      </c>
      <c r="O260" s="10" t="str">
        <f aca="false">IF($B260="","",IFERROR(INDEX(Drinks!$E$4:$E$53,MATCH($B260,Drinks!$A$4:$A$53,0)),0))</f>
        <v/>
      </c>
      <c r="P260" s="10" t="str">
        <f aca="false">IF($B260="","",$N260*$O260)</f>
        <v/>
      </c>
      <c r="Q260" s="10" t="str">
        <f aca="false">IF($B260="","",$N260*IFERROR(INDEX(Drinks!$D$4:$D$53,MATCH($B260,Drinks!$A$4:$A$53,0)),0))</f>
        <v/>
      </c>
      <c r="R260" s="10" t="str">
        <f aca="false">IF($B260="","",$P260-$Q260)</f>
        <v/>
      </c>
      <c r="S260" s="23" t="str">
        <f aca="false">IF($B260="","",IF(COUNTIFS($A$4:$A$2003,$A260-1,$B$4:$B$2003,$B260)=0,"first day",IF(SUMIFS($M$4:$M$2003,$A$4:$A$2003,$A260-1,$B$4:$B$2003,$B260)=$J260,"OK","CHECK")))</f>
        <v/>
      </c>
      <c r="T260" s="10" t="str">
        <f aca="false">IF($B260="","",IFERROR(INDEX(Drinks!$D$4:$D$53,MATCH($B260,Drinks!$A$4:$A$53,0)),0))</f>
        <v/>
      </c>
    </row>
    <row r="261" customFormat="false" ht="15" hidden="false" customHeight="false" outlineLevel="0" collapsed="false">
      <c r="A261" s="22"/>
      <c r="B261" s="9"/>
      <c r="C261" s="9"/>
      <c r="D261" s="9"/>
      <c r="E261" s="9"/>
      <c r="F261" s="10" t="str">
        <f aca="false">IF($B261="","",$C261+$D261-$E261)</f>
        <v/>
      </c>
      <c r="G261" s="10" t="str">
        <f aca="false">IF($B261="","",IFERROR(INDEX(Drinks!$C$4:$C$53,MATCH($B261,Drinks!$A$4:$A$53,0)),0))</f>
        <v/>
      </c>
      <c r="H261" s="10" t="str">
        <f aca="false">IF($B261="","",$D261*$G261)</f>
        <v/>
      </c>
      <c r="I261" s="10" t="str">
        <f aca="false">IF($B261="","",$F261*$G261)</f>
        <v/>
      </c>
      <c r="J261" s="9"/>
      <c r="K261" s="10" t="str">
        <f aca="false">IF($B261="","",$E261*IFERROR(INDEX(Drinks!$B$4:$B$53,MATCH($B261,Drinks!$A$4:$A$53,0)),0))</f>
        <v/>
      </c>
      <c r="L261" s="10" t="str">
        <f aca="false">IF($B261="","",$J261+$K261)</f>
        <v/>
      </c>
      <c r="M261" s="9"/>
      <c r="N261" s="10" t="str">
        <f aca="false">IF($B261="","",$L261-$M261)</f>
        <v/>
      </c>
      <c r="O261" s="10" t="str">
        <f aca="false">IF($B261="","",IFERROR(INDEX(Drinks!$E$4:$E$53,MATCH($B261,Drinks!$A$4:$A$53,0)),0))</f>
        <v/>
      </c>
      <c r="P261" s="10" t="str">
        <f aca="false">IF($B261="","",$N261*$O261)</f>
        <v/>
      </c>
      <c r="Q261" s="10" t="str">
        <f aca="false">IF($B261="","",$N261*IFERROR(INDEX(Drinks!$D$4:$D$53,MATCH($B261,Drinks!$A$4:$A$53,0)),0))</f>
        <v/>
      </c>
      <c r="R261" s="10" t="str">
        <f aca="false">IF($B261="","",$P261-$Q261)</f>
        <v/>
      </c>
      <c r="S261" s="23" t="str">
        <f aca="false">IF($B261="","",IF(COUNTIFS($A$4:$A$2003,$A261-1,$B$4:$B$2003,$B261)=0,"first day",IF(SUMIFS($M$4:$M$2003,$A$4:$A$2003,$A261-1,$B$4:$B$2003,$B261)=$J261,"OK","CHECK")))</f>
        <v/>
      </c>
      <c r="T261" s="10" t="str">
        <f aca="false">IF($B261="","",IFERROR(INDEX(Drinks!$D$4:$D$53,MATCH($B261,Drinks!$A$4:$A$53,0)),0))</f>
        <v/>
      </c>
    </row>
    <row r="262" customFormat="false" ht="15" hidden="false" customHeight="false" outlineLevel="0" collapsed="false">
      <c r="A262" s="22"/>
      <c r="B262" s="9"/>
      <c r="C262" s="9"/>
      <c r="D262" s="9"/>
      <c r="E262" s="9"/>
      <c r="F262" s="10" t="str">
        <f aca="false">IF($B262="","",$C262+$D262-$E262)</f>
        <v/>
      </c>
      <c r="G262" s="10" t="str">
        <f aca="false">IF($B262="","",IFERROR(INDEX(Drinks!$C$4:$C$53,MATCH($B262,Drinks!$A$4:$A$53,0)),0))</f>
        <v/>
      </c>
      <c r="H262" s="10" t="str">
        <f aca="false">IF($B262="","",$D262*$G262)</f>
        <v/>
      </c>
      <c r="I262" s="10" t="str">
        <f aca="false">IF($B262="","",$F262*$G262)</f>
        <v/>
      </c>
      <c r="J262" s="9"/>
      <c r="K262" s="10" t="str">
        <f aca="false">IF($B262="","",$E262*IFERROR(INDEX(Drinks!$B$4:$B$53,MATCH($B262,Drinks!$A$4:$A$53,0)),0))</f>
        <v/>
      </c>
      <c r="L262" s="10" t="str">
        <f aca="false">IF($B262="","",$J262+$K262)</f>
        <v/>
      </c>
      <c r="M262" s="9"/>
      <c r="N262" s="10" t="str">
        <f aca="false">IF($B262="","",$L262-$M262)</f>
        <v/>
      </c>
      <c r="O262" s="10" t="str">
        <f aca="false">IF($B262="","",IFERROR(INDEX(Drinks!$E$4:$E$53,MATCH($B262,Drinks!$A$4:$A$53,0)),0))</f>
        <v/>
      </c>
      <c r="P262" s="10" t="str">
        <f aca="false">IF($B262="","",$N262*$O262)</f>
        <v/>
      </c>
      <c r="Q262" s="10" t="str">
        <f aca="false">IF($B262="","",$N262*IFERROR(INDEX(Drinks!$D$4:$D$53,MATCH($B262,Drinks!$A$4:$A$53,0)),0))</f>
        <v/>
      </c>
      <c r="R262" s="10" t="str">
        <f aca="false">IF($B262="","",$P262-$Q262)</f>
        <v/>
      </c>
      <c r="S262" s="23" t="str">
        <f aca="false">IF($B262="","",IF(COUNTIFS($A$4:$A$2003,$A262-1,$B$4:$B$2003,$B262)=0,"first day",IF(SUMIFS($M$4:$M$2003,$A$4:$A$2003,$A262-1,$B$4:$B$2003,$B262)=$J262,"OK","CHECK")))</f>
        <v/>
      </c>
      <c r="T262" s="10" t="str">
        <f aca="false">IF($B262="","",IFERROR(INDEX(Drinks!$D$4:$D$53,MATCH($B262,Drinks!$A$4:$A$53,0)),0))</f>
        <v/>
      </c>
    </row>
    <row r="263" customFormat="false" ht="15" hidden="false" customHeight="false" outlineLevel="0" collapsed="false">
      <c r="A263" s="22"/>
      <c r="B263" s="9"/>
      <c r="C263" s="9"/>
      <c r="D263" s="9"/>
      <c r="E263" s="9"/>
      <c r="F263" s="10" t="str">
        <f aca="false">IF($B263="","",$C263+$D263-$E263)</f>
        <v/>
      </c>
      <c r="G263" s="10" t="str">
        <f aca="false">IF($B263="","",IFERROR(INDEX(Drinks!$C$4:$C$53,MATCH($B263,Drinks!$A$4:$A$53,0)),0))</f>
        <v/>
      </c>
      <c r="H263" s="10" t="str">
        <f aca="false">IF($B263="","",$D263*$G263)</f>
        <v/>
      </c>
      <c r="I263" s="10" t="str">
        <f aca="false">IF($B263="","",$F263*$G263)</f>
        <v/>
      </c>
      <c r="J263" s="9"/>
      <c r="K263" s="10" t="str">
        <f aca="false">IF($B263="","",$E263*IFERROR(INDEX(Drinks!$B$4:$B$53,MATCH($B263,Drinks!$A$4:$A$53,0)),0))</f>
        <v/>
      </c>
      <c r="L263" s="10" t="str">
        <f aca="false">IF($B263="","",$J263+$K263)</f>
        <v/>
      </c>
      <c r="M263" s="9"/>
      <c r="N263" s="10" t="str">
        <f aca="false">IF($B263="","",$L263-$M263)</f>
        <v/>
      </c>
      <c r="O263" s="10" t="str">
        <f aca="false">IF($B263="","",IFERROR(INDEX(Drinks!$E$4:$E$53,MATCH($B263,Drinks!$A$4:$A$53,0)),0))</f>
        <v/>
      </c>
      <c r="P263" s="10" t="str">
        <f aca="false">IF($B263="","",$N263*$O263)</f>
        <v/>
      </c>
      <c r="Q263" s="10" t="str">
        <f aca="false">IF($B263="","",$N263*IFERROR(INDEX(Drinks!$D$4:$D$53,MATCH($B263,Drinks!$A$4:$A$53,0)),0))</f>
        <v/>
      </c>
      <c r="R263" s="10" t="str">
        <f aca="false">IF($B263="","",$P263-$Q263)</f>
        <v/>
      </c>
      <c r="S263" s="23" t="str">
        <f aca="false">IF($B263="","",IF(COUNTIFS($A$4:$A$2003,$A263-1,$B$4:$B$2003,$B263)=0,"first day",IF(SUMIFS($M$4:$M$2003,$A$4:$A$2003,$A263-1,$B$4:$B$2003,$B263)=$J263,"OK","CHECK")))</f>
        <v/>
      </c>
      <c r="T263" s="10" t="str">
        <f aca="false">IF($B263="","",IFERROR(INDEX(Drinks!$D$4:$D$53,MATCH($B263,Drinks!$A$4:$A$53,0)),0))</f>
        <v/>
      </c>
    </row>
    <row r="264" customFormat="false" ht="15" hidden="false" customHeight="false" outlineLevel="0" collapsed="false">
      <c r="A264" s="22"/>
      <c r="B264" s="9"/>
      <c r="C264" s="9"/>
      <c r="D264" s="9"/>
      <c r="E264" s="9"/>
      <c r="F264" s="10" t="str">
        <f aca="false">IF($B264="","",$C264+$D264-$E264)</f>
        <v/>
      </c>
      <c r="G264" s="10" t="str">
        <f aca="false">IF($B264="","",IFERROR(INDEX(Drinks!$C$4:$C$53,MATCH($B264,Drinks!$A$4:$A$53,0)),0))</f>
        <v/>
      </c>
      <c r="H264" s="10" t="str">
        <f aca="false">IF($B264="","",$D264*$G264)</f>
        <v/>
      </c>
      <c r="I264" s="10" t="str">
        <f aca="false">IF($B264="","",$F264*$G264)</f>
        <v/>
      </c>
      <c r="J264" s="9"/>
      <c r="K264" s="10" t="str">
        <f aca="false">IF($B264="","",$E264*IFERROR(INDEX(Drinks!$B$4:$B$53,MATCH($B264,Drinks!$A$4:$A$53,0)),0))</f>
        <v/>
      </c>
      <c r="L264" s="10" t="str">
        <f aca="false">IF($B264="","",$J264+$K264)</f>
        <v/>
      </c>
      <c r="M264" s="9"/>
      <c r="N264" s="10" t="str">
        <f aca="false">IF($B264="","",$L264-$M264)</f>
        <v/>
      </c>
      <c r="O264" s="10" t="str">
        <f aca="false">IF($B264="","",IFERROR(INDEX(Drinks!$E$4:$E$53,MATCH($B264,Drinks!$A$4:$A$53,0)),0))</f>
        <v/>
      </c>
      <c r="P264" s="10" t="str">
        <f aca="false">IF($B264="","",$N264*$O264)</f>
        <v/>
      </c>
      <c r="Q264" s="10" t="str">
        <f aca="false">IF($B264="","",$N264*IFERROR(INDEX(Drinks!$D$4:$D$53,MATCH($B264,Drinks!$A$4:$A$53,0)),0))</f>
        <v/>
      </c>
      <c r="R264" s="10" t="str">
        <f aca="false">IF($B264="","",$P264-$Q264)</f>
        <v/>
      </c>
      <c r="S264" s="23" t="str">
        <f aca="false">IF($B264="","",IF(COUNTIFS($A$4:$A$2003,$A264-1,$B$4:$B$2003,$B264)=0,"first day",IF(SUMIFS($M$4:$M$2003,$A$4:$A$2003,$A264-1,$B$4:$B$2003,$B264)=$J264,"OK","CHECK")))</f>
        <v/>
      </c>
      <c r="T264" s="10" t="str">
        <f aca="false">IF($B264="","",IFERROR(INDEX(Drinks!$D$4:$D$53,MATCH($B264,Drinks!$A$4:$A$53,0)),0))</f>
        <v/>
      </c>
    </row>
    <row r="265" customFormat="false" ht="15" hidden="false" customHeight="false" outlineLevel="0" collapsed="false">
      <c r="A265" s="22"/>
      <c r="B265" s="9"/>
      <c r="C265" s="9"/>
      <c r="D265" s="9"/>
      <c r="E265" s="9"/>
      <c r="F265" s="10" t="str">
        <f aca="false">IF($B265="","",$C265+$D265-$E265)</f>
        <v/>
      </c>
      <c r="G265" s="10" t="str">
        <f aca="false">IF($B265="","",IFERROR(INDEX(Drinks!$C$4:$C$53,MATCH($B265,Drinks!$A$4:$A$53,0)),0))</f>
        <v/>
      </c>
      <c r="H265" s="10" t="str">
        <f aca="false">IF($B265="","",$D265*$G265)</f>
        <v/>
      </c>
      <c r="I265" s="10" t="str">
        <f aca="false">IF($B265="","",$F265*$G265)</f>
        <v/>
      </c>
      <c r="J265" s="9"/>
      <c r="K265" s="10" t="str">
        <f aca="false">IF($B265="","",$E265*IFERROR(INDEX(Drinks!$B$4:$B$53,MATCH($B265,Drinks!$A$4:$A$53,0)),0))</f>
        <v/>
      </c>
      <c r="L265" s="10" t="str">
        <f aca="false">IF($B265="","",$J265+$K265)</f>
        <v/>
      </c>
      <c r="M265" s="9"/>
      <c r="N265" s="10" t="str">
        <f aca="false">IF($B265="","",$L265-$M265)</f>
        <v/>
      </c>
      <c r="O265" s="10" t="str">
        <f aca="false">IF($B265="","",IFERROR(INDEX(Drinks!$E$4:$E$53,MATCH($B265,Drinks!$A$4:$A$53,0)),0))</f>
        <v/>
      </c>
      <c r="P265" s="10" t="str">
        <f aca="false">IF($B265="","",$N265*$O265)</f>
        <v/>
      </c>
      <c r="Q265" s="10" t="str">
        <f aca="false">IF($B265="","",$N265*IFERROR(INDEX(Drinks!$D$4:$D$53,MATCH($B265,Drinks!$A$4:$A$53,0)),0))</f>
        <v/>
      </c>
      <c r="R265" s="10" t="str">
        <f aca="false">IF($B265="","",$P265-$Q265)</f>
        <v/>
      </c>
      <c r="S265" s="23" t="str">
        <f aca="false">IF($B265="","",IF(COUNTIFS($A$4:$A$2003,$A265-1,$B$4:$B$2003,$B265)=0,"first day",IF(SUMIFS($M$4:$M$2003,$A$4:$A$2003,$A265-1,$B$4:$B$2003,$B265)=$J265,"OK","CHECK")))</f>
        <v/>
      </c>
      <c r="T265" s="10" t="str">
        <f aca="false">IF($B265="","",IFERROR(INDEX(Drinks!$D$4:$D$53,MATCH($B265,Drinks!$A$4:$A$53,0)),0))</f>
        <v/>
      </c>
    </row>
    <row r="266" customFormat="false" ht="15" hidden="false" customHeight="false" outlineLevel="0" collapsed="false">
      <c r="A266" s="22"/>
      <c r="B266" s="9"/>
      <c r="C266" s="9"/>
      <c r="D266" s="9"/>
      <c r="E266" s="9"/>
      <c r="F266" s="10" t="str">
        <f aca="false">IF($B266="","",$C266+$D266-$E266)</f>
        <v/>
      </c>
      <c r="G266" s="10" t="str">
        <f aca="false">IF($B266="","",IFERROR(INDEX(Drinks!$C$4:$C$53,MATCH($B266,Drinks!$A$4:$A$53,0)),0))</f>
        <v/>
      </c>
      <c r="H266" s="10" t="str">
        <f aca="false">IF($B266="","",$D266*$G266)</f>
        <v/>
      </c>
      <c r="I266" s="10" t="str">
        <f aca="false">IF($B266="","",$F266*$G266)</f>
        <v/>
      </c>
      <c r="J266" s="9"/>
      <c r="K266" s="10" t="str">
        <f aca="false">IF($B266="","",$E266*IFERROR(INDEX(Drinks!$B$4:$B$53,MATCH($B266,Drinks!$A$4:$A$53,0)),0))</f>
        <v/>
      </c>
      <c r="L266" s="10" t="str">
        <f aca="false">IF($B266="","",$J266+$K266)</f>
        <v/>
      </c>
      <c r="M266" s="9"/>
      <c r="N266" s="10" t="str">
        <f aca="false">IF($B266="","",$L266-$M266)</f>
        <v/>
      </c>
      <c r="O266" s="10" t="str">
        <f aca="false">IF($B266="","",IFERROR(INDEX(Drinks!$E$4:$E$53,MATCH($B266,Drinks!$A$4:$A$53,0)),0))</f>
        <v/>
      </c>
      <c r="P266" s="10" t="str">
        <f aca="false">IF($B266="","",$N266*$O266)</f>
        <v/>
      </c>
      <c r="Q266" s="10" t="str">
        <f aca="false">IF($B266="","",$N266*IFERROR(INDEX(Drinks!$D$4:$D$53,MATCH($B266,Drinks!$A$4:$A$53,0)),0))</f>
        <v/>
      </c>
      <c r="R266" s="10" t="str">
        <f aca="false">IF($B266="","",$P266-$Q266)</f>
        <v/>
      </c>
      <c r="S266" s="23" t="str">
        <f aca="false">IF($B266="","",IF(COUNTIFS($A$4:$A$2003,$A266-1,$B$4:$B$2003,$B266)=0,"first day",IF(SUMIFS($M$4:$M$2003,$A$4:$A$2003,$A266-1,$B$4:$B$2003,$B266)=$J266,"OK","CHECK")))</f>
        <v/>
      </c>
      <c r="T266" s="10" t="str">
        <f aca="false">IF($B266="","",IFERROR(INDEX(Drinks!$D$4:$D$53,MATCH($B266,Drinks!$A$4:$A$53,0)),0))</f>
        <v/>
      </c>
    </row>
    <row r="267" customFormat="false" ht="15" hidden="false" customHeight="false" outlineLevel="0" collapsed="false">
      <c r="A267" s="22"/>
      <c r="B267" s="9"/>
      <c r="C267" s="9"/>
      <c r="D267" s="9"/>
      <c r="E267" s="9"/>
      <c r="F267" s="10" t="str">
        <f aca="false">IF($B267="","",$C267+$D267-$E267)</f>
        <v/>
      </c>
      <c r="G267" s="10" t="str">
        <f aca="false">IF($B267="","",IFERROR(INDEX(Drinks!$C$4:$C$53,MATCH($B267,Drinks!$A$4:$A$53,0)),0))</f>
        <v/>
      </c>
      <c r="H267" s="10" t="str">
        <f aca="false">IF($B267="","",$D267*$G267)</f>
        <v/>
      </c>
      <c r="I267" s="10" t="str">
        <f aca="false">IF($B267="","",$F267*$G267)</f>
        <v/>
      </c>
      <c r="J267" s="9"/>
      <c r="K267" s="10" t="str">
        <f aca="false">IF($B267="","",$E267*IFERROR(INDEX(Drinks!$B$4:$B$53,MATCH($B267,Drinks!$A$4:$A$53,0)),0))</f>
        <v/>
      </c>
      <c r="L267" s="10" t="str">
        <f aca="false">IF($B267="","",$J267+$K267)</f>
        <v/>
      </c>
      <c r="M267" s="9"/>
      <c r="N267" s="10" t="str">
        <f aca="false">IF($B267="","",$L267-$M267)</f>
        <v/>
      </c>
      <c r="O267" s="10" t="str">
        <f aca="false">IF($B267="","",IFERROR(INDEX(Drinks!$E$4:$E$53,MATCH($B267,Drinks!$A$4:$A$53,0)),0))</f>
        <v/>
      </c>
      <c r="P267" s="10" t="str">
        <f aca="false">IF($B267="","",$N267*$O267)</f>
        <v/>
      </c>
      <c r="Q267" s="10" t="str">
        <f aca="false">IF($B267="","",$N267*IFERROR(INDEX(Drinks!$D$4:$D$53,MATCH($B267,Drinks!$A$4:$A$53,0)),0))</f>
        <v/>
      </c>
      <c r="R267" s="10" t="str">
        <f aca="false">IF($B267="","",$P267-$Q267)</f>
        <v/>
      </c>
      <c r="S267" s="23" t="str">
        <f aca="false">IF($B267="","",IF(COUNTIFS($A$4:$A$2003,$A267-1,$B$4:$B$2003,$B267)=0,"first day",IF(SUMIFS($M$4:$M$2003,$A$4:$A$2003,$A267-1,$B$4:$B$2003,$B267)=$J267,"OK","CHECK")))</f>
        <v/>
      </c>
      <c r="T267" s="10" t="str">
        <f aca="false">IF($B267="","",IFERROR(INDEX(Drinks!$D$4:$D$53,MATCH($B267,Drinks!$A$4:$A$53,0)),0))</f>
        <v/>
      </c>
    </row>
    <row r="268" customFormat="false" ht="15" hidden="false" customHeight="false" outlineLevel="0" collapsed="false">
      <c r="A268" s="22"/>
      <c r="B268" s="9"/>
      <c r="C268" s="9"/>
      <c r="D268" s="9"/>
      <c r="E268" s="9"/>
      <c r="F268" s="10" t="str">
        <f aca="false">IF($B268="","",$C268+$D268-$E268)</f>
        <v/>
      </c>
      <c r="G268" s="10" t="str">
        <f aca="false">IF($B268="","",IFERROR(INDEX(Drinks!$C$4:$C$53,MATCH($B268,Drinks!$A$4:$A$53,0)),0))</f>
        <v/>
      </c>
      <c r="H268" s="10" t="str">
        <f aca="false">IF($B268="","",$D268*$G268)</f>
        <v/>
      </c>
      <c r="I268" s="10" t="str">
        <f aca="false">IF($B268="","",$F268*$G268)</f>
        <v/>
      </c>
      <c r="J268" s="9"/>
      <c r="K268" s="10" t="str">
        <f aca="false">IF($B268="","",$E268*IFERROR(INDEX(Drinks!$B$4:$B$53,MATCH($B268,Drinks!$A$4:$A$53,0)),0))</f>
        <v/>
      </c>
      <c r="L268" s="10" t="str">
        <f aca="false">IF($B268="","",$J268+$K268)</f>
        <v/>
      </c>
      <c r="M268" s="9"/>
      <c r="N268" s="10" t="str">
        <f aca="false">IF($B268="","",$L268-$M268)</f>
        <v/>
      </c>
      <c r="O268" s="10" t="str">
        <f aca="false">IF($B268="","",IFERROR(INDEX(Drinks!$E$4:$E$53,MATCH($B268,Drinks!$A$4:$A$53,0)),0))</f>
        <v/>
      </c>
      <c r="P268" s="10" t="str">
        <f aca="false">IF($B268="","",$N268*$O268)</f>
        <v/>
      </c>
      <c r="Q268" s="10" t="str">
        <f aca="false">IF($B268="","",$N268*IFERROR(INDEX(Drinks!$D$4:$D$53,MATCH($B268,Drinks!$A$4:$A$53,0)),0))</f>
        <v/>
      </c>
      <c r="R268" s="10" t="str">
        <f aca="false">IF($B268="","",$P268-$Q268)</f>
        <v/>
      </c>
      <c r="S268" s="23" t="str">
        <f aca="false">IF($B268="","",IF(COUNTIFS($A$4:$A$2003,$A268-1,$B$4:$B$2003,$B268)=0,"first day",IF(SUMIFS($M$4:$M$2003,$A$4:$A$2003,$A268-1,$B$4:$B$2003,$B268)=$J268,"OK","CHECK")))</f>
        <v/>
      </c>
      <c r="T268" s="10" t="str">
        <f aca="false">IF($B268="","",IFERROR(INDEX(Drinks!$D$4:$D$53,MATCH($B268,Drinks!$A$4:$A$53,0)),0))</f>
        <v/>
      </c>
    </row>
    <row r="269" customFormat="false" ht="15" hidden="false" customHeight="false" outlineLevel="0" collapsed="false">
      <c r="A269" s="22"/>
      <c r="B269" s="9"/>
      <c r="C269" s="9"/>
      <c r="D269" s="9"/>
      <c r="E269" s="9"/>
      <c r="F269" s="10" t="str">
        <f aca="false">IF($B269="","",$C269+$D269-$E269)</f>
        <v/>
      </c>
      <c r="G269" s="10" t="str">
        <f aca="false">IF($B269="","",IFERROR(INDEX(Drinks!$C$4:$C$53,MATCH($B269,Drinks!$A$4:$A$53,0)),0))</f>
        <v/>
      </c>
      <c r="H269" s="10" t="str">
        <f aca="false">IF($B269="","",$D269*$G269)</f>
        <v/>
      </c>
      <c r="I269" s="10" t="str">
        <f aca="false">IF($B269="","",$F269*$G269)</f>
        <v/>
      </c>
      <c r="J269" s="9"/>
      <c r="K269" s="10" t="str">
        <f aca="false">IF($B269="","",$E269*IFERROR(INDEX(Drinks!$B$4:$B$53,MATCH($B269,Drinks!$A$4:$A$53,0)),0))</f>
        <v/>
      </c>
      <c r="L269" s="10" t="str">
        <f aca="false">IF($B269="","",$J269+$K269)</f>
        <v/>
      </c>
      <c r="M269" s="9"/>
      <c r="N269" s="10" t="str">
        <f aca="false">IF($B269="","",$L269-$M269)</f>
        <v/>
      </c>
      <c r="O269" s="10" t="str">
        <f aca="false">IF($B269="","",IFERROR(INDEX(Drinks!$E$4:$E$53,MATCH($B269,Drinks!$A$4:$A$53,0)),0))</f>
        <v/>
      </c>
      <c r="P269" s="10" t="str">
        <f aca="false">IF($B269="","",$N269*$O269)</f>
        <v/>
      </c>
      <c r="Q269" s="10" t="str">
        <f aca="false">IF($B269="","",$N269*IFERROR(INDEX(Drinks!$D$4:$D$53,MATCH($B269,Drinks!$A$4:$A$53,0)),0))</f>
        <v/>
      </c>
      <c r="R269" s="10" t="str">
        <f aca="false">IF($B269="","",$P269-$Q269)</f>
        <v/>
      </c>
      <c r="S269" s="23" t="str">
        <f aca="false">IF($B269="","",IF(COUNTIFS($A$4:$A$2003,$A269-1,$B$4:$B$2003,$B269)=0,"first day",IF(SUMIFS($M$4:$M$2003,$A$4:$A$2003,$A269-1,$B$4:$B$2003,$B269)=$J269,"OK","CHECK")))</f>
        <v/>
      </c>
      <c r="T269" s="10" t="str">
        <f aca="false">IF($B269="","",IFERROR(INDEX(Drinks!$D$4:$D$53,MATCH($B269,Drinks!$A$4:$A$53,0)),0))</f>
        <v/>
      </c>
    </row>
    <row r="270" customFormat="false" ht="15" hidden="false" customHeight="false" outlineLevel="0" collapsed="false">
      <c r="A270" s="22"/>
      <c r="B270" s="9"/>
      <c r="C270" s="9"/>
      <c r="D270" s="9"/>
      <c r="E270" s="9"/>
      <c r="F270" s="10" t="str">
        <f aca="false">IF($B270="","",$C270+$D270-$E270)</f>
        <v/>
      </c>
      <c r="G270" s="10" t="str">
        <f aca="false">IF($B270="","",IFERROR(INDEX(Drinks!$C$4:$C$53,MATCH($B270,Drinks!$A$4:$A$53,0)),0))</f>
        <v/>
      </c>
      <c r="H270" s="10" t="str">
        <f aca="false">IF($B270="","",$D270*$G270)</f>
        <v/>
      </c>
      <c r="I270" s="10" t="str">
        <f aca="false">IF($B270="","",$F270*$G270)</f>
        <v/>
      </c>
      <c r="J270" s="9"/>
      <c r="K270" s="10" t="str">
        <f aca="false">IF($B270="","",$E270*IFERROR(INDEX(Drinks!$B$4:$B$53,MATCH($B270,Drinks!$A$4:$A$53,0)),0))</f>
        <v/>
      </c>
      <c r="L270" s="10" t="str">
        <f aca="false">IF($B270="","",$J270+$K270)</f>
        <v/>
      </c>
      <c r="M270" s="9"/>
      <c r="N270" s="10" t="str">
        <f aca="false">IF($B270="","",$L270-$M270)</f>
        <v/>
      </c>
      <c r="O270" s="10" t="str">
        <f aca="false">IF($B270="","",IFERROR(INDEX(Drinks!$E$4:$E$53,MATCH($B270,Drinks!$A$4:$A$53,0)),0))</f>
        <v/>
      </c>
      <c r="P270" s="10" t="str">
        <f aca="false">IF($B270="","",$N270*$O270)</f>
        <v/>
      </c>
      <c r="Q270" s="10" t="str">
        <f aca="false">IF($B270="","",$N270*IFERROR(INDEX(Drinks!$D$4:$D$53,MATCH($B270,Drinks!$A$4:$A$53,0)),0))</f>
        <v/>
      </c>
      <c r="R270" s="10" t="str">
        <f aca="false">IF($B270="","",$P270-$Q270)</f>
        <v/>
      </c>
      <c r="S270" s="23" t="str">
        <f aca="false">IF($B270="","",IF(COUNTIFS($A$4:$A$2003,$A270-1,$B$4:$B$2003,$B270)=0,"first day",IF(SUMIFS($M$4:$M$2003,$A$4:$A$2003,$A270-1,$B$4:$B$2003,$B270)=$J270,"OK","CHECK")))</f>
        <v/>
      </c>
      <c r="T270" s="10" t="str">
        <f aca="false">IF($B270="","",IFERROR(INDEX(Drinks!$D$4:$D$53,MATCH($B270,Drinks!$A$4:$A$53,0)),0))</f>
        <v/>
      </c>
    </row>
    <row r="271" customFormat="false" ht="15" hidden="false" customHeight="false" outlineLevel="0" collapsed="false">
      <c r="A271" s="22"/>
      <c r="B271" s="9"/>
      <c r="C271" s="9"/>
      <c r="D271" s="9"/>
      <c r="E271" s="9"/>
      <c r="F271" s="10" t="str">
        <f aca="false">IF($B271="","",$C271+$D271-$E271)</f>
        <v/>
      </c>
      <c r="G271" s="10" t="str">
        <f aca="false">IF($B271="","",IFERROR(INDEX(Drinks!$C$4:$C$53,MATCH($B271,Drinks!$A$4:$A$53,0)),0))</f>
        <v/>
      </c>
      <c r="H271" s="10" t="str">
        <f aca="false">IF($B271="","",$D271*$G271)</f>
        <v/>
      </c>
      <c r="I271" s="10" t="str">
        <f aca="false">IF($B271="","",$F271*$G271)</f>
        <v/>
      </c>
      <c r="J271" s="9"/>
      <c r="K271" s="10" t="str">
        <f aca="false">IF($B271="","",$E271*IFERROR(INDEX(Drinks!$B$4:$B$53,MATCH($B271,Drinks!$A$4:$A$53,0)),0))</f>
        <v/>
      </c>
      <c r="L271" s="10" t="str">
        <f aca="false">IF($B271="","",$J271+$K271)</f>
        <v/>
      </c>
      <c r="M271" s="9"/>
      <c r="N271" s="10" t="str">
        <f aca="false">IF($B271="","",$L271-$M271)</f>
        <v/>
      </c>
      <c r="O271" s="10" t="str">
        <f aca="false">IF($B271="","",IFERROR(INDEX(Drinks!$E$4:$E$53,MATCH($B271,Drinks!$A$4:$A$53,0)),0))</f>
        <v/>
      </c>
      <c r="P271" s="10" t="str">
        <f aca="false">IF($B271="","",$N271*$O271)</f>
        <v/>
      </c>
      <c r="Q271" s="10" t="str">
        <f aca="false">IF($B271="","",$N271*IFERROR(INDEX(Drinks!$D$4:$D$53,MATCH($B271,Drinks!$A$4:$A$53,0)),0))</f>
        <v/>
      </c>
      <c r="R271" s="10" t="str">
        <f aca="false">IF($B271="","",$P271-$Q271)</f>
        <v/>
      </c>
      <c r="S271" s="23" t="str">
        <f aca="false">IF($B271="","",IF(COUNTIFS($A$4:$A$2003,$A271-1,$B$4:$B$2003,$B271)=0,"first day",IF(SUMIFS($M$4:$M$2003,$A$4:$A$2003,$A271-1,$B$4:$B$2003,$B271)=$J271,"OK","CHECK")))</f>
        <v/>
      </c>
      <c r="T271" s="10" t="str">
        <f aca="false">IF($B271="","",IFERROR(INDEX(Drinks!$D$4:$D$53,MATCH($B271,Drinks!$A$4:$A$53,0)),0))</f>
        <v/>
      </c>
    </row>
    <row r="272" customFormat="false" ht="15" hidden="false" customHeight="false" outlineLevel="0" collapsed="false">
      <c r="A272" s="22"/>
      <c r="B272" s="9"/>
      <c r="C272" s="9"/>
      <c r="D272" s="9"/>
      <c r="E272" s="9"/>
      <c r="F272" s="10" t="str">
        <f aca="false">IF($B272="","",$C272+$D272-$E272)</f>
        <v/>
      </c>
      <c r="G272" s="10" t="str">
        <f aca="false">IF($B272="","",IFERROR(INDEX(Drinks!$C$4:$C$53,MATCH($B272,Drinks!$A$4:$A$53,0)),0))</f>
        <v/>
      </c>
      <c r="H272" s="10" t="str">
        <f aca="false">IF($B272="","",$D272*$G272)</f>
        <v/>
      </c>
      <c r="I272" s="10" t="str">
        <f aca="false">IF($B272="","",$F272*$G272)</f>
        <v/>
      </c>
      <c r="J272" s="9"/>
      <c r="K272" s="10" t="str">
        <f aca="false">IF($B272="","",$E272*IFERROR(INDEX(Drinks!$B$4:$B$53,MATCH($B272,Drinks!$A$4:$A$53,0)),0))</f>
        <v/>
      </c>
      <c r="L272" s="10" t="str">
        <f aca="false">IF($B272="","",$J272+$K272)</f>
        <v/>
      </c>
      <c r="M272" s="9"/>
      <c r="N272" s="10" t="str">
        <f aca="false">IF($B272="","",$L272-$M272)</f>
        <v/>
      </c>
      <c r="O272" s="10" t="str">
        <f aca="false">IF($B272="","",IFERROR(INDEX(Drinks!$E$4:$E$53,MATCH($B272,Drinks!$A$4:$A$53,0)),0))</f>
        <v/>
      </c>
      <c r="P272" s="10" t="str">
        <f aca="false">IF($B272="","",$N272*$O272)</f>
        <v/>
      </c>
      <c r="Q272" s="10" t="str">
        <f aca="false">IF($B272="","",$N272*IFERROR(INDEX(Drinks!$D$4:$D$53,MATCH($B272,Drinks!$A$4:$A$53,0)),0))</f>
        <v/>
      </c>
      <c r="R272" s="10" t="str">
        <f aca="false">IF($B272="","",$P272-$Q272)</f>
        <v/>
      </c>
      <c r="S272" s="23" t="str">
        <f aca="false">IF($B272="","",IF(COUNTIFS($A$4:$A$2003,$A272-1,$B$4:$B$2003,$B272)=0,"first day",IF(SUMIFS($M$4:$M$2003,$A$4:$A$2003,$A272-1,$B$4:$B$2003,$B272)=$J272,"OK","CHECK")))</f>
        <v/>
      </c>
      <c r="T272" s="10" t="str">
        <f aca="false">IF($B272="","",IFERROR(INDEX(Drinks!$D$4:$D$53,MATCH($B272,Drinks!$A$4:$A$53,0)),0))</f>
        <v/>
      </c>
    </row>
    <row r="273" customFormat="false" ht="15" hidden="false" customHeight="false" outlineLevel="0" collapsed="false">
      <c r="A273" s="22"/>
      <c r="B273" s="9"/>
      <c r="C273" s="9"/>
      <c r="D273" s="9"/>
      <c r="E273" s="9"/>
      <c r="F273" s="10" t="str">
        <f aca="false">IF($B273="","",$C273+$D273-$E273)</f>
        <v/>
      </c>
      <c r="G273" s="10" t="str">
        <f aca="false">IF($B273="","",IFERROR(INDEX(Drinks!$C$4:$C$53,MATCH($B273,Drinks!$A$4:$A$53,0)),0))</f>
        <v/>
      </c>
      <c r="H273" s="10" t="str">
        <f aca="false">IF($B273="","",$D273*$G273)</f>
        <v/>
      </c>
      <c r="I273" s="10" t="str">
        <f aca="false">IF($B273="","",$F273*$G273)</f>
        <v/>
      </c>
      <c r="J273" s="9"/>
      <c r="K273" s="10" t="str">
        <f aca="false">IF($B273="","",$E273*IFERROR(INDEX(Drinks!$B$4:$B$53,MATCH($B273,Drinks!$A$4:$A$53,0)),0))</f>
        <v/>
      </c>
      <c r="L273" s="10" t="str">
        <f aca="false">IF($B273="","",$J273+$K273)</f>
        <v/>
      </c>
      <c r="M273" s="9"/>
      <c r="N273" s="10" t="str">
        <f aca="false">IF($B273="","",$L273-$M273)</f>
        <v/>
      </c>
      <c r="O273" s="10" t="str">
        <f aca="false">IF($B273="","",IFERROR(INDEX(Drinks!$E$4:$E$53,MATCH($B273,Drinks!$A$4:$A$53,0)),0))</f>
        <v/>
      </c>
      <c r="P273" s="10" t="str">
        <f aca="false">IF($B273="","",$N273*$O273)</f>
        <v/>
      </c>
      <c r="Q273" s="10" t="str">
        <f aca="false">IF($B273="","",$N273*IFERROR(INDEX(Drinks!$D$4:$D$53,MATCH($B273,Drinks!$A$4:$A$53,0)),0))</f>
        <v/>
      </c>
      <c r="R273" s="10" t="str">
        <f aca="false">IF($B273="","",$P273-$Q273)</f>
        <v/>
      </c>
      <c r="S273" s="23" t="str">
        <f aca="false">IF($B273="","",IF(COUNTIFS($A$4:$A$2003,$A273-1,$B$4:$B$2003,$B273)=0,"first day",IF(SUMIFS($M$4:$M$2003,$A$4:$A$2003,$A273-1,$B$4:$B$2003,$B273)=$J273,"OK","CHECK")))</f>
        <v/>
      </c>
      <c r="T273" s="10" t="str">
        <f aca="false">IF($B273="","",IFERROR(INDEX(Drinks!$D$4:$D$53,MATCH($B273,Drinks!$A$4:$A$53,0)),0))</f>
        <v/>
      </c>
    </row>
    <row r="274" customFormat="false" ht="15" hidden="false" customHeight="false" outlineLevel="0" collapsed="false">
      <c r="A274" s="22"/>
      <c r="B274" s="9"/>
      <c r="C274" s="9"/>
      <c r="D274" s="9"/>
      <c r="E274" s="9"/>
      <c r="F274" s="10" t="str">
        <f aca="false">IF($B274="","",$C274+$D274-$E274)</f>
        <v/>
      </c>
      <c r="G274" s="10" t="str">
        <f aca="false">IF($B274="","",IFERROR(INDEX(Drinks!$C$4:$C$53,MATCH($B274,Drinks!$A$4:$A$53,0)),0))</f>
        <v/>
      </c>
      <c r="H274" s="10" t="str">
        <f aca="false">IF($B274="","",$D274*$G274)</f>
        <v/>
      </c>
      <c r="I274" s="10" t="str">
        <f aca="false">IF($B274="","",$F274*$G274)</f>
        <v/>
      </c>
      <c r="J274" s="9"/>
      <c r="K274" s="10" t="str">
        <f aca="false">IF($B274="","",$E274*IFERROR(INDEX(Drinks!$B$4:$B$53,MATCH($B274,Drinks!$A$4:$A$53,0)),0))</f>
        <v/>
      </c>
      <c r="L274" s="10" t="str">
        <f aca="false">IF($B274="","",$J274+$K274)</f>
        <v/>
      </c>
      <c r="M274" s="9"/>
      <c r="N274" s="10" t="str">
        <f aca="false">IF($B274="","",$L274-$M274)</f>
        <v/>
      </c>
      <c r="O274" s="10" t="str">
        <f aca="false">IF($B274="","",IFERROR(INDEX(Drinks!$E$4:$E$53,MATCH($B274,Drinks!$A$4:$A$53,0)),0))</f>
        <v/>
      </c>
      <c r="P274" s="10" t="str">
        <f aca="false">IF($B274="","",$N274*$O274)</f>
        <v/>
      </c>
      <c r="Q274" s="10" t="str">
        <f aca="false">IF($B274="","",$N274*IFERROR(INDEX(Drinks!$D$4:$D$53,MATCH($B274,Drinks!$A$4:$A$53,0)),0))</f>
        <v/>
      </c>
      <c r="R274" s="10" t="str">
        <f aca="false">IF($B274="","",$P274-$Q274)</f>
        <v/>
      </c>
      <c r="S274" s="23" t="str">
        <f aca="false">IF($B274="","",IF(COUNTIFS($A$4:$A$2003,$A274-1,$B$4:$B$2003,$B274)=0,"first day",IF(SUMIFS($M$4:$M$2003,$A$4:$A$2003,$A274-1,$B$4:$B$2003,$B274)=$J274,"OK","CHECK")))</f>
        <v/>
      </c>
      <c r="T274" s="10" t="str">
        <f aca="false">IF($B274="","",IFERROR(INDEX(Drinks!$D$4:$D$53,MATCH($B274,Drinks!$A$4:$A$53,0)),0))</f>
        <v/>
      </c>
    </row>
    <row r="275" customFormat="false" ht="15" hidden="false" customHeight="false" outlineLevel="0" collapsed="false">
      <c r="A275" s="22"/>
      <c r="B275" s="9"/>
      <c r="C275" s="9"/>
      <c r="D275" s="9"/>
      <c r="E275" s="9"/>
      <c r="F275" s="10" t="str">
        <f aca="false">IF($B275="","",$C275+$D275-$E275)</f>
        <v/>
      </c>
      <c r="G275" s="10" t="str">
        <f aca="false">IF($B275="","",IFERROR(INDEX(Drinks!$C$4:$C$53,MATCH($B275,Drinks!$A$4:$A$53,0)),0))</f>
        <v/>
      </c>
      <c r="H275" s="10" t="str">
        <f aca="false">IF($B275="","",$D275*$G275)</f>
        <v/>
      </c>
      <c r="I275" s="10" t="str">
        <f aca="false">IF($B275="","",$F275*$G275)</f>
        <v/>
      </c>
      <c r="J275" s="9"/>
      <c r="K275" s="10" t="str">
        <f aca="false">IF($B275="","",$E275*IFERROR(INDEX(Drinks!$B$4:$B$53,MATCH($B275,Drinks!$A$4:$A$53,0)),0))</f>
        <v/>
      </c>
      <c r="L275" s="10" t="str">
        <f aca="false">IF($B275="","",$J275+$K275)</f>
        <v/>
      </c>
      <c r="M275" s="9"/>
      <c r="N275" s="10" t="str">
        <f aca="false">IF($B275="","",$L275-$M275)</f>
        <v/>
      </c>
      <c r="O275" s="10" t="str">
        <f aca="false">IF($B275="","",IFERROR(INDEX(Drinks!$E$4:$E$53,MATCH($B275,Drinks!$A$4:$A$53,0)),0))</f>
        <v/>
      </c>
      <c r="P275" s="10" t="str">
        <f aca="false">IF($B275="","",$N275*$O275)</f>
        <v/>
      </c>
      <c r="Q275" s="10" t="str">
        <f aca="false">IF($B275="","",$N275*IFERROR(INDEX(Drinks!$D$4:$D$53,MATCH($B275,Drinks!$A$4:$A$53,0)),0))</f>
        <v/>
      </c>
      <c r="R275" s="10" t="str">
        <f aca="false">IF($B275="","",$P275-$Q275)</f>
        <v/>
      </c>
      <c r="S275" s="23" t="str">
        <f aca="false">IF($B275="","",IF(COUNTIFS($A$4:$A$2003,$A275-1,$B$4:$B$2003,$B275)=0,"first day",IF(SUMIFS($M$4:$M$2003,$A$4:$A$2003,$A275-1,$B$4:$B$2003,$B275)=$J275,"OK","CHECK")))</f>
        <v/>
      </c>
      <c r="T275" s="10" t="str">
        <f aca="false">IF($B275="","",IFERROR(INDEX(Drinks!$D$4:$D$53,MATCH($B275,Drinks!$A$4:$A$53,0)),0))</f>
        <v/>
      </c>
    </row>
    <row r="276" customFormat="false" ht="15" hidden="false" customHeight="false" outlineLevel="0" collapsed="false">
      <c r="A276" s="22"/>
      <c r="B276" s="9"/>
      <c r="C276" s="9"/>
      <c r="D276" s="9"/>
      <c r="E276" s="9"/>
      <c r="F276" s="10" t="str">
        <f aca="false">IF($B276="","",$C276+$D276-$E276)</f>
        <v/>
      </c>
      <c r="G276" s="10" t="str">
        <f aca="false">IF($B276="","",IFERROR(INDEX(Drinks!$C$4:$C$53,MATCH($B276,Drinks!$A$4:$A$53,0)),0))</f>
        <v/>
      </c>
      <c r="H276" s="10" t="str">
        <f aca="false">IF($B276="","",$D276*$G276)</f>
        <v/>
      </c>
      <c r="I276" s="10" t="str">
        <f aca="false">IF($B276="","",$F276*$G276)</f>
        <v/>
      </c>
      <c r="J276" s="9"/>
      <c r="K276" s="10" t="str">
        <f aca="false">IF($B276="","",$E276*IFERROR(INDEX(Drinks!$B$4:$B$53,MATCH($B276,Drinks!$A$4:$A$53,0)),0))</f>
        <v/>
      </c>
      <c r="L276" s="10" t="str">
        <f aca="false">IF($B276="","",$J276+$K276)</f>
        <v/>
      </c>
      <c r="M276" s="9"/>
      <c r="N276" s="10" t="str">
        <f aca="false">IF($B276="","",$L276-$M276)</f>
        <v/>
      </c>
      <c r="O276" s="10" t="str">
        <f aca="false">IF($B276="","",IFERROR(INDEX(Drinks!$E$4:$E$53,MATCH($B276,Drinks!$A$4:$A$53,0)),0))</f>
        <v/>
      </c>
      <c r="P276" s="10" t="str">
        <f aca="false">IF($B276="","",$N276*$O276)</f>
        <v/>
      </c>
      <c r="Q276" s="10" t="str">
        <f aca="false">IF($B276="","",$N276*IFERROR(INDEX(Drinks!$D$4:$D$53,MATCH($B276,Drinks!$A$4:$A$53,0)),0))</f>
        <v/>
      </c>
      <c r="R276" s="10" t="str">
        <f aca="false">IF($B276="","",$P276-$Q276)</f>
        <v/>
      </c>
      <c r="S276" s="23" t="str">
        <f aca="false">IF($B276="","",IF(COUNTIFS($A$4:$A$2003,$A276-1,$B$4:$B$2003,$B276)=0,"first day",IF(SUMIFS($M$4:$M$2003,$A$4:$A$2003,$A276-1,$B$4:$B$2003,$B276)=$J276,"OK","CHECK")))</f>
        <v/>
      </c>
      <c r="T276" s="10" t="str">
        <f aca="false">IF($B276="","",IFERROR(INDEX(Drinks!$D$4:$D$53,MATCH($B276,Drinks!$A$4:$A$53,0)),0))</f>
        <v/>
      </c>
    </row>
    <row r="277" customFormat="false" ht="15" hidden="false" customHeight="false" outlineLevel="0" collapsed="false">
      <c r="A277" s="22"/>
      <c r="B277" s="9"/>
      <c r="C277" s="9"/>
      <c r="D277" s="9"/>
      <c r="E277" s="9"/>
      <c r="F277" s="10" t="str">
        <f aca="false">IF($B277="","",$C277+$D277-$E277)</f>
        <v/>
      </c>
      <c r="G277" s="10" t="str">
        <f aca="false">IF($B277="","",IFERROR(INDEX(Drinks!$C$4:$C$53,MATCH($B277,Drinks!$A$4:$A$53,0)),0))</f>
        <v/>
      </c>
      <c r="H277" s="10" t="str">
        <f aca="false">IF($B277="","",$D277*$G277)</f>
        <v/>
      </c>
      <c r="I277" s="10" t="str">
        <f aca="false">IF($B277="","",$F277*$G277)</f>
        <v/>
      </c>
      <c r="J277" s="9"/>
      <c r="K277" s="10" t="str">
        <f aca="false">IF($B277="","",$E277*IFERROR(INDEX(Drinks!$B$4:$B$53,MATCH($B277,Drinks!$A$4:$A$53,0)),0))</f>
        <v/>
      </c>
      <c r="L277" s="10" t="str">
        <f aca="false">IF($B277="","",$J277+$K277)</f>
        <v/>
      </c>
      <c r="M277" s="9"/>
      <c r="N277" s="10" t="str">
        <f aca="false">IF($B277="","",$L277-$M277)</f>
        <v/>
      </c>
      <c r="O277" s="10" t="str">
        <f aca="false">IF($B277="","",IFERROR(INDEX(Drinks!$E$4:$E$53,MATCH($B277,Drinks!$A$4:$A$53,0)),0))</f>
        <v/>
      </c>
      <c r="P277" s="10" t="str">
        <f aca="false">IF($B277="","",$N277*$O277)</f>
        <v/>
      </c>
      <c r="Q277" s="10" t="str">
        <f aca="false">IF($B277="","",$N277*IFERROR(INDEX(Drinks!$D$4:$D$53,MATCH($B277,Drinks!$A$4:$A$53,0)),0))</f>
        <v/>
      </c>
      <c r="R277" s="10" t="str">
        <f aca="false">IF($B277="","",$P277-$Q277)</f>
        <v/>
      </c>
      <c r="S277" s="23" t="str">
        <f aca="false">IF($B277="","",IF(COUNTIFS($A$4:$A$2003,$A277-1,$B$4:$B$2003,$B277)=0,"first day",IF(SUMIFS($M$4:$M$2003,$A$4:$A$2003,$A277-1,$B$4:$B$2003,$B277)=$J277,"OK","CHECK")))</f>
        <v/>
      </c>
      <c r="T277" s="10" t="str">
        <f aca="false">IF($B277="","",IFERROR(INDEX(Drinks!$D$4:$D$53,MATCH($B277,Drinks!$A$4:$A$53,0)),0))</f>
        <v/>
      </c>
    </row>
    <row r="278" customFormat="false" ht="15" hidden="false" customHeight="false" outlineLevel="0" collapsed="false">
      <c r="A278" s="22"/>
      <c r="B278" s="9"/>
      <c r="C278" s="9"/>
      <c r="D278" s="9"/>
      <c r="E278" s="9"/>
      <c r="F278" s="10" t="str">
        <f aca="false">IF($B278="","",$C278+$D278-$E278)</f>
        <v/>
      </c>
      <c r="G278" s="10" t="str">
        <f aca="false">IF($B278="","",IFERROR(INDEX(Drinks!$C$4:$C$53,MATCH($B278,Drinks!$A$4:$A$53,0)),0))</f>
        <v/>
      </c>
      <c r="H278" s="10" t="str">
        <f aca="false">IF($B278="","",$D278*$G278)</f>
        <v/>
      </c>
      <c r="I278" s="10" t="str">
        <f aca="false">IF($B278="","",$F278*$G278)</f>
        <v/>
      </c>
      <c r="J278" s="9"/>
      <c r="K278" s="10" t="str">
        <f aca="false">IF($B278="","",$E278*IFERROR(INDEX(Drinks!$B$4:$B$53,MATCH($B278,Drinks!$A$4:$A$53,0)),0))</f>
        <v/>
      </c>
      <c r="L278" s="10" t="str">
        <f aca="false">IF($B278="","",$J278+$K278)</f>
        <v/>
      </c>
      <c r="M278" s="9"/>
      <c r="N278" s="10" t="str">
        <f aca="false">IF($B278="","",$L278-$M278)</f>
        <v/>
      </c>
      <c r="O278" s="10" t="str">
        <f aca="false">IF($B278="","",IFERROR(INDEX(Drinks!$E$4:$E$53,MATCH($B278,Drinks!$A$4:$A$53,0)),0))</f>
        <v/>
      </c>
      <c r="P278" s="10" t="str">
        <f aca="false">IF($B278="","",$N278*$O278)</f>
        <v/>
      </c>
      <c r="Q278" s="10" t="str">
        <f aca="false">IF($B278="","",$N278*IFERROR(INDEX(Drinks!$D$4:$D$53,MATCH($B278,Drinks!$A$4:$A$53,0)),0))</f>
        <v/>
      </c>
      <c r="R278" s="10" t="str">
        <f aca="false">IF($B278="","",$P278-$Q278)</f>
        <v/>
      </c>
      <c r="S278" s="23" t="str">
        <f aca="false">IF($B278="","",IF(COUNTIFS($A$4:$A$2003,$A278-1,$B$4:$B$2003,$B278)=0,"first day",IF(SUMIFS($M$4:$M$2003,$A$4:$A$2003,$A278-1,$B$4:$B$2003,$B278)=$J278,"OK","CHECK")))</f>
        <v/>
      </c>
      <c r="T278" s="10" t="str">
        <f aca="false">IF($B278="","",IFERROR(INDEX(Drinks!$D$4:$D$53,MATCH($B278,Drinks!$A$4:$A$53,0)),0))</f>
        <v/>
      </c>
    </row>
    <row r="279" customFormat="false" ht="15" hidden="false" customHeight="false" outlineLevel="0" collapsed="false">
      <c r="A279" s="22"/>
      <c r="B279" s="9"/>
      <c r="C279" s="9"/>
      <c r="D279" s="9"/>
      <c r="E279" s="9"/>
      <c r="F279" s="10" t="str">
        <f aca="false">IF($B279="","",$C279+$D279-$E279)</f>
        <v/>
      </c>
      <c r="G279" s="10" t="str">
        <f aca="false">IF($B279="","",IFERROR(INDEX(Drinks!$C$4:$C$53,MATCH($B279,Drinks!$A$4:$A$53,0)),0))</f>
        <v/>
      </c>
      <c r="H279" s="10" t="str">
        <f aca="false">IF($B279="","",$D279*$G279)</f>
        <v/>
      </c>
      <c r="I279" s="10" t="str">
        <f aca="false">IF($B279="","",$F279*$G279)</f>
        <v/>
      </c>
      <c r="J279" s="9"/>
      <c r="K279" s="10" t="str">
        <f aca="false">IF($B279="","",$E279*IFERROR(INDEX(Drinks!$B$4:$B$53,MATCH($B279,Drinks!$A$4:$A$53,0)),0))</f>
        <v/>
      </c>
      <c r="L279" s="10" t="str">
        <f aca="false">IF($B279="","",$J279+$K279)</f>
        <v/>
      </c>
      <c r="M279" s="9"/>
      <c r="N279" s="10" t="str">
        <f aca="false">IF($B279="","",$L279-$M279)</f>
        <v/>
      </c>
      <c r="O279" s="10" t="str">
        <f aca="false">IF($B279="","",IFERROR(INDEX(Drinks!$E$4:$E$53,MATCH($B279,Drinks!$A$4:$A$53,0)),0))</f>
        <v/>
      </c>
      <c r="P279" s="10" t="str">
        <f aca="false">IF($B279="","",$N279*$O279)</f>
        <v/>
      </c>
      <c r="Q279" s="10" t="str">
        <f aca="false">IF($B279="","",$N279*IFERROR(INDEX(Drinks!$D$4:$D$53,MATCH($B279,Drinks!$A$4:$A$53,0)),0))</f>
        <v/>
      </c>
      <c r="R279" s="10" t="str">
        <f aca="false">IF($B279="","",$P279-$Q279)</f>
        <v/>
      </c>
      <c r="S279" s="23" t="str">
        <f aca="false">IF($B279="","",IF(COUNTIFS($A$4:$A$2003,$A279-1,$B$4:$B$2003,$B279)=0,"first day",IF(SUMIFS($M$4:$M$2003,$A$4:$A$2003,$A279-1,$B$4:$B$2003,$B279)=$J279,"OK","CHECK")))</f>
        <v/>
      </c>
      <c r="T279" s="10" t="str">
        <f aca="false">IF($B279="","",IFERROR(INDEX(Drinks!$D$4:$D$53,MATCH($B279,Drinks!$A$4:$A$53,0)),0))</f>
        <v/>
      </c>
    </row>
    <row r="280" customFormat="false" ht="15" hidden="false" customHeight="false" outlineLevel="0" collapsed="false">
      <c r="A280" s="22"/>
      <c r="B280" s="9"/>
      <c r="C280" s="9"/>
      <c r="D280" s="9"/>
      <c r="E280" s="9"/>
      <c r="F280" s="10" t="str">
        <f aca="false">IF($B280="","",$C280+$D280-$E280)</f>
        <v/>
      </c>
      <c r="G280" s="10" t="str">
        <f aca="false">IF($B280="","",IFERROR(INDEX(Drinks!$C$4:$C$53,MATCH($B280,Drinks!$A$4:$A$53,0)),0))</f>
        <v/>
      </c>
      <c r="H280" s="10" t="str">
        <f aca="false">IF($B280="","",$D280*$G280)</f>
        <v/>
      </c>
      <c r="I280" s="10" t="str">
        <f aca="false">IF($B280="","",$F280*$G280)</f>
        <v/>
      </c>
      <c r="J280" s="9"/>
      <c r="K280" s="10" t="str">
        <f aca="false">IF($B280="","",$E280*IFERROR(INDEX(Drinks!$B$4:$B$53,MATCH($B280,Drinks!$A$4:$A$53,0)),0))</f>
        <v/>
      </c>
      <c r="L280" s="10" t="str">
        <f aca="false">IF($B280="","",$J280+$K280)</f>
        <v/>
      </c>
      <c r="M280" s="9"/>
      <c r="N280" s="10" t="str">
        <f aca="false">IF($B280="","",$L280-$M280)</f>
        <v/>
      </c>
      <c r="O280" s="10" t="str">
        <f aca="false">IF($B280="","",IFERROR(INDEX(Drinks!$E$4:$E$53,MATCH($B280,Drinks!$A$4:$A$53,0)),0))</f>
        <v/>
      </c>
      <c r="P280" s="10" t="str">
        <f aca="false">IF($B280="","",$N280*$O280)</f>
        <v/>
      </c>
      <c r="Q280" s="10" t="str">
        <f aca="false">IF($B280="","",$N280*IFERROR(INDEX(Drinks!$D$4:$D$53,MATCH($B280,Drinks!$A$4:$A$53,0)),0))</f>
        <v/>
      </c>
      <c r="R280" s="10" t="str">
        <f aca="false">IF($B280="","",$P280-$Q280)</f>
        <v/>
      </c>
      <c r="S280" s="23" t="str">
        <f aca="false">IF($B280="","",IF(COUNTIFS($A$4:$A$2003,$A280-1,$B$4:$B$2003,$B280)=0,"first day",IF(SUMIFS($M$4:$M$2003,$A$4:$A$2003,$A280-1,$B$4:$B$2003,$B280)=$J280,"OK","CHECK")))</f>
        <v/>
      </c>
      <c r="T280" s="10" t="str">
        <f aca="false">IF($B280="","",IFERROR(INDEX(Drinks!$D$4:$D$53,MATCH($B280,Drinks!$A$4:$A$53,0)),0))</f>
        <v/>
      </c>
    </row>
    <row r="281" customFormat="false" ht="15" hidden="false" customHeight="false" outlineLevel="0" collapsed="false">
      <c r="A281" s="22"/>
      <c r="B281" s="9"/>
      <c r="C281" s="9"/>
      <c r="D281" s="9"/>
      <c r="E281" s="9"/>
      <c r="F281" s="10" t="str">
        <f aca="false">IF($B281="","",$C281+$D281-$E281)</f>
        <v/>
      </c>
      <c r="G281" s="10" t="str">
        <f aca="false">IF($B281="","",IFERROR(INDEX(Drinks!$C$4:$C$53,MATCH($B281,Drinks!$A$4:$A$53,0)),0))</f>
        <v/>
      </c>
      <c r="H281" s="10" t="str">
        <f aca="false">IF($B281="","",$D281*$G281)</f>
        <v/>
      </c>
      <c r="I281" s="10" t="str">
        <f aca="false">IF($B281="","",$F281*$G281)</f>
        <v/>
      </c>
      <c r="J281" s="9"/>
      <c r="K281" s="10" t="str">
        <f aca="false">IF($B281="","",$E281*IFERROR(INDEX(Drinks!$B$4:$B$53,MATCH($B281,Drinks!$A$4:$A$53,0)),0))</f>
        <v/>
      </c>
      <c r="L281" s="10" t="str">
        <f aca="false">IF($B281="","",$J281+$K281)</f>
        <v/>
      </c>
      <c r="M281" s="9"/>
      <c r="N281" s="10" t="str">
        <f aca="false">IF($B281="","",$L281-$M281)</f>
        <v/>
      </c>
      <c r="O281" s="10" t="str">
        <f aca="false">IF($B281="","",IFERROR(INDEX(Drinks!$E$4:$E$53,MATCH($B281,Drinks!$A$4:$A$53,0)),0))</f>
        <v/>
      </c>
      <c r="P281" s="10" t="str">
        <f aca="false">IF($B281="","",$N281*$O281)</f>
        <v/>
      </c>
      <c r="Q281" s="10" t="str">
        <f aca="false">IF($B281="","",$N281*IFERROR(INDEX(Drinks!$D$4:$D$53,MATCH($B281,Drinks!$A$4:$A$53,0)),0))</f>
        <v/>
      </c>
      <c r="R281" s="10" t="str">
        <f aca="false">IF($B281="","",$P281-$Q281)</f>
        <v/>
      </c>
      <c r="S281" s="23" t="str">
        <f aca="false">IF($B281="","",IF(COUNTIFS($A$4:$A$2003,$A281-1,$B$4:$B$2003,$B281)=0,"first day",IF(SUMIFS($M$4:$M$2003,$A$4:$A$2003,$A281-1,$B$4:$B$2003,$B281)=$J281,"OK","CHECK")))</f>
        <v/>
      </c>
      <c r="T281" s="10" t="str">
        <f aca="false">IF($B281="","",IFERROR(INDEX(Drinks!$D$4:$D$53,MATCH($B281,Drinks!$A$4:$A$53,0)),0))</f>
        <v/>
      </c>
    </row>
    <row r="282" customFormat="false" ht="15" hidden="false" customHeight="false" outlineLevel="0" collapsed="false">
      <c r="A282" s="22"/>
      <c r="B282" s="9"/>
      <c r="C282" s="9"/>
      <c r="D282" s="9"/>
      <c r="E282" s="9"/>
      <c r="F282" s="10" t="str">
        <f aca="false">IF($B282="","",$C282+$D282-$E282)</f>
        <v/>
      </c>
      <c r="G282" s="10" t="str">
        <f aca="false">IF($B282="","",IFERROR(INDEX(Drinks!$C$4:$C$53,MATCH($B282,Drinks!$A$4:$A$53,0)),0))</f>
        <v/>
      </c>
      <c r="H282" s="10" t="str">
        <f aca="false">IF($B282="","",$D282*$G282)</f>
        <v/>
      </c>
      <c r="I282" s="10" t="str">
        <f aca="false">IF($B282="","",$F282*$G282)</f>
        <v/>
      </c>
      <c r="J282" s="9"/>
      <c r="K282" s="10" t="str">
        <f aca="false">IF($B282="","",$E282*IFERROR(INDEX(Drinks!$B$4:$B$53,MATCH($B282,Drinks!$A$4:$A$53,0)),0))</f>
        <v/>
      </c>
      <c r="L282" s="10" t="str">
        <f aca="false">IF($B282="","",$J282+$K282)</f>
        <v/>
      </c>
      <c r="M282" s="9"/>
      <c r="N282" s="10" t="str">
        <f aca="false">IF($B282="","",$L282-$M282)</f>
        <v/>
      </c>
      <c r="O282" s="10" t="str">
        <f aca="false">IF($B282="","",IFERROR(INDEX(Drinks!$E$4:$E$53,MATCH($B282,Drinks!$A$4:$A$53,0)),0))</f>
        <v/>
      </c>
      <c r="P282" s="10" t="str">
        <f aca="false">IF($B282="","",$N282*$O282)</f>
        <v/>
      </c>
      <c r="Q282" s="10" t="str">
        <f aca="false">IF($B282="","",$N282*IFERROR(INDEX(Drinks!$D$4:$D$53,MATCH($B282,Drinks!$A$4:$A$53,0)),0))</f>
        <v/>
      </c>
      <c r="R282" s="10" t="str">
        <f aca="false">IF($B282="","",$P282-$Q282)</f>
        <v/>
      </c>
      <c r="S282" s="23" t="str">
        <f aca="false">IF($B282="","",IF(COUNTIFS($A$4:$A$2003,$A282-1,$B$4:$B$2003,$B282)=0,"first day",IF(SUMIFS($M$4:$M$2003,$A$4:$A$2003,$A282-1,$B$4:$B$2003,$B282)=$J282,"OK","CHECK")))</f>
        <v/>
      </c>
      <c r="T282" s="10" t="str">
        <f aca="false">IF($B282="","",IFERROR(INDEX(Drinks!$D$4:$D$53,MATCH($B282,Drinks!$A$4:$A$53,0)),0))</f>
        <v/>
      </c>
    </row>
    <row r="283" customFormat="false" ht="15" hidden="false" customHeight="false" outlineLevel="0" collapsed="false">
      <c r="A283" s="22"/>
      <c r="B283" s="9"/>
      <c r="C283" s="9"/>
      <c r="D283" s="9"/>
      <c r="E283" s="9"/>
      <c r="F283" s="10" t="str">
        <f aca="false">IF($B283="","",$C283+$D283-$E283)</f>
        <v/>
      </c>
      <c r="G283" s="10" t="str">
        <f aca="false">IF($B283="","",IFERROR(INDEX(Drinks!$C$4:$C$53,MATCH($B283,Drinks!$A$4:$A$53,0)),0))</f>
        <v/>
      </c>
      <c r="H283" s="10" t="str">
        <f aca="false">IF($B283="","",$D283*$G283)</f>
        <v/>
      </c>
      <c r="I283" s="10" t="str">
        <f aca="false">IF($B283="","",$F283*$G283)</f>
        <v/>
      </c>
      <c r="J283" s="9"/>
      <c r="K283" s="10" t="str">
        <f aca="false">IF($B283="","",$E283*IFERROR(INDEX(Drinks!$B$4:$B$53,MATCH($B283,Drinks!$A$4:$A$53,0)),0))</f>
        <v/>
      </c>
      <c r="L283" s="10" t="str">
        <f aca="false">IF($B283="","",$J283+$K283)</f>
        <v/>
      </c>
      <c r="M283" s="9"/>
      <c r="N283" s="10" t="str">
        <f aca="false">IF($B283="","",$L283-$M283)</f>
        <v/>
      </c>
      <c r="O283" s="10" t="str">
        <f aca="false">IF($B283="","",IFERROR(INDEX(Drinks!$E$4:$E$53,MATCH($B283,Drinks!$A$4:$A$53,0)),0))</f>
        <v/>
      </c>
      <c r="P283" s="10" t="str">
        <f aca="false">IF($B283="","",$N283*$O283)</f>
        <v/>
      </c>
      <c r="Q283" s="10" t="str">
        <f aca="false">IF($B283="","",$N283*IFERROR(INDEX(Drinks!$D$4:$D$53,MATCH($B283,Drinks!$A$4:$A$53,0)),0))</f>
        <v/>
      </c>
      <c r="R283" s="10" t="str">
        <f aca="false">IF($B283="","",$P283-$Q283)</f>
        <v/>
      </c>
      <c r="S283" s="23" t="str">
        <f aca="false">IF($B283="","",IF(COUNTIFS($A$4:$A$2003,$A283-1,$B$4:$B$2003,$B283)=0,"first day",IF(SUMIFS($M$4:$M$2003,$A$4:$A$2003,$A283-1,$B$4:$B$2003,$B283)=$J283,"OK","CHECK")))</f>
        <v/>
      </c>
      <c r="T283" s="10" t="str">
        <f aca="false">IF($B283="","",IFERROR(INDEX(Drinks!$D$4:$D$53,MATCH($B283,Drinks!$A$4:$A$53,0)),0))</f>
        <v/>
      </c>
    </row>
    <row r="284" customFormat="false" ht="15" hidden="false" customHeight="false" outlineLevel="0" collapsed="false">
      <c r="A284" s="22"/>
      <c r="B284" s="9"/>
      <c r="C284" s="9"/>
      <c r="D284" s="9"/>
      <c r="E284" s="9"/>
      <c r="F284" s="10" t="str">
        <f aca="false">IF($B284="","",$C284+$D284-$E284)</f>
        <v/>
      </c>
      <c r="G284" s="10" t="str">
        <f aca="false">IF($B284="","",IFERROR(INDEX(Drinks!$C$4:$C$53,MATCH($B284,Drinks!$A$4:$A$53,0)),0))</f>
        <v/>
      </c>
      <c r="H284" s="10" t="str">
        <f aca="false">IF($B284="","",$D284*$G284)</f>
        <v/>
      </c>
      <c r="I284" s="10" t="str">
        <f aca="false">IF($B284="","",$F284*$G284)</f>
        <v/>
      </c>
      <c r="J284" s="9"/>
      <c r="K284" s="10" t="str">
        <f aca="false">IF($B284="","",$E284*IFERROR(INDEX(Drinks!$B$4:$B$53,MATCH($B284,Drinks!$A$4:$A$53,0)),0))</f>
        <v/>
      </c>
      <c r="L284" s="10" t="str">
        <f aca="false">IF($B284="","",$J284+$K284)</f>
        <v/>
      </c>
      <c r="M284" s="9"/>
      <c r="N284" s="10" t="str">
        <f aca="false">IF($B284="","",$L284-$M284)</f>
        <v/>
      </c>
      <c r="O284" s="10" t="str">
        <f aca="false">IF($B284="","",IFERROR(INDEX(Drinks!$E$4:$E$53,MATCH($B284,Drinks!$A$4:$A$53,0)),0))</f>
        <v/>
      </c>
      <c r="P284" s="10" t="str">
        <f aca="false">IF($B284="","",$N284*$O284)</f>
        <v/>
      </c>
      <c r="Q284" s="10" t="str">
        <f aca="false">IF($B284="","",$N284*IFERROR(INDEX(Drinks!$D$4:$D$53,MATCH($B284,Drinks!$A$4:$A$53,0)),0))</f>
        <v/>
      </c>
      <c r="R284" s="10" t="str">
        <f aca="false">IF($B284="","",$P284-$Q284)</f>
        <v/>
      </c>
      <c r="S284" s="23" t="str">
        <f aca="false">IF($B284="","",IF(COUNTIFS($A$4:$A$2003,$A284-1,$B$4:$B$2003,$B284)=0,"first day",IF(SUMIFS($M$4:$M$2003,$A$4:$A$2003,$A284-1,$B$4:$B$2003,$B284)=$J284,"OK","CHECK")))</f>
        <v/>
      </c>
      <c r="T284" s="10" t="str">
        <f aca="false">IF($B284="","",IFERROR(INDEX(Drinks!$D$4:$D$53,MATCH($B284,Drinks!$A$4:$A$53,0)),0))</f>
        <v/>
      </c>
    </row>
    <row r="285" customFormat="false" ht="15" hidden="false" customHeight="false" outlineLevel="0" collapsed="false">
      <c r="A285" s="22"/>
      <c r="B285" s="9"/>
      <c r="C285" s="9"/>
      <c r="D285" s="9"/>
      <c r="E285" s="9"/>
      <c r="F285" s="10" t="str">
        <f aca="false">IF($B285="","",$C285+$D285-$E285)</f>
        <v/>
      </c>
      <c r="G285" s="10" t="str">
        <f aca="false">IF($B285="","",IFERROR(INDEX(Drinks!$C$4:$C$53,MATCH($B285,Drinks!$A$4:$A$53,0)),0))</f>
        <v/>
      </c>
      <c r="H285" s="10" t="str">
        <f aca="false">IF($B285="","",$D285*$G285)</f>
        <v/>
      </c>
      <c r="I285" s="10" t="str">
        <f aca="false">IF($B285="","",$F285*$G285)</f>
        <v/>
      </c>
      <c r="J285" s="9"/>
      <c r="K285" s="10" t="str">
        <f aca="false">IF($B285="","",$E285*IFERROR(INDEX(Drinks!$B$4:$B$53,MATCH($B285,Drinks!$A$4:$A$53,0)),0))</f>
        <v/>
      </c>
      <c r="L285" s="10" t="str">
        <f aca="false">IF($B285="","",$J285+$K285)</f>
        <v/>
      </c>
      <c r="M285" s="9"/>
      <c r="N285" s="10" t="str">
        <f aca="false">IF($B285="","",$L285-$M285)</f>
        <v/>
      </c>
      <c r="O285" s="10" t="str">
        <f aca="false">IF($B285="","",IFERROR(INDEX(Drinks!$E$4:$E$53,MATCH($B285,Drinks!$A$4:$A$53,0)),0))</f>
        <v/>
      </c>
      <c r="P285" s="10" t="str">
        <f aca="false">IF($B285="","",$N285*$O285)</f>
        <v/>
      </c>
      <c r="Q285" s="10" t="str">
        <f aca="false">IF($B285="","",$N285*IFERROR(INDEX(Drinks!$D$4:$D$53,MATCH($B285,Drinks!$A$4:$A$53,0)),0))</f>
        <v/>
      </c>
      <c r="R285" s="10" t="str">
        <f aca="false">IF($B285="","",$P285-$Q285)</f>
        <v/>
      </c>
      <c r="S285" s="23" t="str">
        <f aca="false">IF($B285="","",IF(COUNTIFS($A$4:$A$2003,$A285-1,$B$4:$B$2003,$B285)=0,"first day",IF(SUMIFS($M$4:$M$2003,$A$4:$A$2003,$A285-1,$B$4:$B$2003,$B285)=$J285,"OK","CHECK")))</f>
        <v/>
      </c>
      <c r="T285" s="10" t="str">
        <f aca="false">IF($B285="","",IFERROR(INDEX(Drinks!$D$4:$D$53,MATCH($B285,Drinks!$A$4:$A$53,0)),0))</f>
        <v/>
      </c>
    </row>
    <row r="286" customFormat="false" ht="15" hidden="false" customHeight="false" outlineLevel="0" collapsed="false">
      <c r="A286" s="22"/>
      <c r="B286" s="9"/>
      <c r="C286" s="9"/>
      <c r="D286" s="9"/>
      <c r="E286" s="9"/>
      <c r="F286" s="10" t="str">
        <f aca="false">IF($B286="","",$C286+$D286-$E286)</f>
        <v/>
      </c>
      <c r="G286" s="10" t="str">
        <f aca="false">IF($B286="","",IFERROR(INDEX(Drinks!$C$4:$C$53,MATCH($B286,Drinks!$A$4:$A$53,0)),0))</f>
        <v/>
      </c>
      <c r="H286" s="10" t="str">
        <f aca="false">IF($B286="","",$D286*$G286)</f>
        <v/>
      </c>
      <c r="I286" s="10" t="str">
        <f aca="false">IF($B286="","",$F286*$G286)</f>
        <v/>
      </c>
      <c r="J286" s="9"/>
      <c r="K286" s="10" t="str">
        <f aca="false">IF($B286="","",$E286*IFERROR(INDEX(Drinks!$B$4:$B$53,MATCH($B286,Drinks!$A$4:$A$53,0)),0))</f>
        <v/>
      </c>
      <c r="L286" s="10" t="str">
        <f aca="false">IF($B286="","",$J286+$K286)</f>
        <v/>
      </c>
      <c r="M286" s="9"/>
      <c r="N286" s="10" t="str">
        <f aca="false">IF($B286="","",$L286-$M286)</f>
        <v/>
      </c>
      <c r="O286" s="10" t="str">
        <f aca="false">IF($B286="","",IFERROR(INDEX(Drinks!$E$4:$E$53,MATCH($B286,Drinks!$A$4:$A$53,0)),0))</f>
        <v/>
      </c>
      <c r="P286" s="10" t="str">
        <f aca="false">IF($B286="","",$N286*$O286)</f>
        <v/>
      </c>
      <c r="Q286" s="10" t="str">
        <f aca="false">IF($B286="","",$N286*IFERROR(INDEX(Drinks!$D$4:$D$53,MATCH($B286,Drinks!$A$4:$A$53,0)),0))</f>
        <v/>
      </c>
      <c r="R286" s="10" t="str">
        <f aca="false">IF($B286="","",$P286-$Q286)</f>
        <v/>
      </c>
      <c r="S286" s="23" t="str">
        <f aca="false">IF($B286="","",IF(COUNTIFS($A$4:$A$2003,$A286-1,$B$4:$B$2003,$B286)=0,"first day",IF(SUMIFS($M$4:$M$2003,$A$4:$A$2003,$A286-1,$B$4:$B$2003,$B286)=$J286,"OK","CHECK")))</f>
        <v/>
      </c>
      <c r="T286" s="10" t="str">
        <f aca="false">IF($B286="","",IFERROR(INDEX(Drinks!$D$4:$D$53,MATCH($B286,Drinks!$A$4:$A$53,0)),0))</f>
        <v/>
      </c>
    </row>
    <row r="287" customFormat="false" ht="15" hidden="false" customHeight="false" outlineLevel="0" collapsed="false">
      <c r="A287" s="22"/>
      <c r="B287" s="9"/>
      <c r="C287" s="9"/>
      <c r="D287" s="9"/>
      <c r="E287" s="9"/>
      <c r="F287" s="10" t="str">
        <f aca="false">IF($B287="","",$C287+$D287-$E287)</f>
        <v/>
      </c>
      <c r="G287" s="10" t="str">
        <f aca="false">IF($B287="","",IFERROR(INDEX(Drinks!$C$4:$C$53,MATCH($B287,Drinks!$A$4:$A$53,0)),0))</f>
        <v/>
      </c>
      <c r="H287" s="10" t="str">
        <f aca="false">IF($B287="","",$D287*$G287)</f>
        <v/>
      </c>
      <c r="I287" s="10" t="str">
        <f aca="false">IF($B287="","",$F287*$G287)</f>
        <v/>
      </c>
      <c r="J287" s="9"/>
      <c r="K287" s="10" t="str">
        <f aca="false">IF($B287="","",$E287*IFERROR(INDEX(Drinks!$B$4:$B$53,MATCH($B287,Drinks!$A$4:$A$53,0)),0))</f>
        <v/>
      </c>
      <c r="L287" s="10" t="str">
        <f aca="false">IF($B287="","",$J287+$K287)</f>
        <v/>
      </c>
      <c r="M287" s="9"/>
      <c r="N287" s="10" t="str">
        <f aca="false">IF($B287="","",$L287-$M287)</f>
        <v/>
      </c>
      <c r="O287" s="10" t="str">
        <f aca="false">IF($B287="","",IFERROR(INDEX(Drinks!$E$4:$E$53,MATCH($B287,Drinks!$A$4:$A$53,0)),0))</f>
        <v/>
      </c>
      <c r="P287" s="10" t="str">
        <f aca="false">IF($B287="","",$N287*$O287)</f>
        <v/>
      </c>
      <c r="Q287" s="10" t="str">
        <f aca="false">IF($B287="","",$N287*IFERROR(INDEX(Drinks!$D$4:$D$53,MATCH($B287,Drinks!$A$4:$A$53,0)),0))</f>
        <v/>
      </c>
      <c r="R287" s="10" t="str">
        <f aca="false">IF($B287="","",$P287-$Q287)</f>
        <v/>
      </c>
      <c r="S287" s="23" t="str">
        <f aca="false">IF($B287="","",IF(COUNTIFS($A$4:$A$2003,$A287-1,$B$4:$B$2003,$B287)=0,"first day",IF(SUMIFS($M$4:$M$2003,$A$4:$A$2003,$A287-1,$B$4:$B$2003,$B287)=$J287,"OK","CHECK")))</f>
        <v/>
      </c>
      <c r="T287" s="10" t="str">
        <f aca="false">IF($B287="","",IFERROR(INDEX(Drinks!$D$4:$D$53,MATCH($B287,Drinks!$A$4:$A$53,0)),0))</f>
        <v/>
      </c>
    </row>
    <row r="288" customFormat="false" ht="15" hidden="false" customHeight="false" outlineLevel="0" collapsed="false">
      <c r="A288" s="22"/>
      <c r="B288" s="9"/>
      <c r="C288" s="9"/>
      <c r="D288" s="9"/>
      <c r="E288" s="9"/>
      <c r="F288" s="10" t="str">
        <f aca="false">IF($B288="","",$C288+$D288-$E288)</f>
        <v/>
      </c>
      <c r="G288" s="10" t="str">
        <f aca="false">IF($B288="","",IFERROR(INDEX(Drinks!$C$4:$C$53,MATCH($B288,Drinks!$A$4:$A$53,0)),0))</f>
        <v/>
      </c>
      <c r="H288" s="10" t="str">
        <f aca="false">IF($B288="","",$D288*$G288)</f>
        <v/>
      </c>
      <c r="I288" s="10" t="str">
        <f aca="false">IF($B288="","",$F288*$G288)</f>
        <v/>
      </c>
      <c r="J288" s="9"/>
      <c r="K288" s="10" t="str">
        <f aca="false">IF($B288="","",$E288*IFERROR(INDEX(Drinks!$B$4:$B$53,MATCH($B288,Drinks!$A$4:$A$53,0)),0))</f>
        <v/>
      </c>
      <c r="L288" s="10" t="str">
        <f aca="false">IF($B288="","",$J288+$K288)</f>
        <v/>
      </c>
      <c r="M288" s="9"/>
      <c r="N288" s="10" t="str">
        <f aca="false">IF($B288="","",$L288-$M288)</f>
        <v/>
      </c>
      <c r="O288" s="10" t="str">
        <f aca="false">IF($B288="","",IFERROR(INDEX(Drinks!$E$4:$E$53,MATCH($B288,Drinks!$A$4:$A$53,0)),0))</f>
        <v/>
      </c>
      <c r="P288" s="10" t="str">
        <f aca="false">IF($B288="","",$N288*$O288)</f>
        <v/>
      </c>
      <c r="Q288" s="10" t="str">
        <f aca="false">IF($B288="","",$N288*IFERROR(INDEX(Drinks!$D$4:$D$53,MATCH($B288,Drinks!$A$4:$A$53,0)),0))</f>
        <v/>
      </c>
      <c r="R288" s="10" t="str">
        <f aca="false">IF($B288="","",$P288-$Q288)</f>
        <v/>
      </c>
      <c r="S288" s="23" t="str">
        <f aca="false">IF($B288="","",IF(COUNTIFS($A$4:$A$2003,$A288-1,$B$4:$B$2003,$B288)=0,"first day",IF(SUMIFS($M$4:$M$2003,$A$4:$A$2003,$A288-1,$B$4:$B$2003,$B288)=$J288,"OK","CHECK")))</f>
        <v/>
      </c>
      <c r="T288" s="10" t="str">
        <f aca="false">IF($B288="","",IFERROR(INDEX(Drinks!$D$4:$D$53,MATCH($B288,Drinks!$A$4:$A$53,0)),0))</f>
        <v/>
      </c>
    </row>
    <row r="289" customFormat="false" ht="15" hidden="false" customHeight="false" outlineLevel="0" collapsed="false">
      <c r="A289" s="22"/>
      <c r="B289" s="9"/>
      <c r="C289" s="9"/>
      <c r="D289" s="9"/>
      <c r="E289" s="9"/>
      <c r="F289" s="10" t="str">
        <f aca="false">IF($B289="","",$C289+$D289-$E289)</f>
        <v/>
      </c>
      <c r="G289" s="10" t="str">
        <f aca="false">IF($B289="","",IFERROR(INDEX(Drinks!$C$4:$C$53,MATCH($B289,Drinks!$A$4:$A$53,0)),0))</f>
        <v/>
      </c>
      <c r="H289" s="10" t="str">
        <f aca="false">IF($B289="","",$D289*$G289)</f>
        <v/>
      </c>
      <c r="I289" s="10" t="str">
        <f aca="false">IF($B289="","",$F289*$G289)</f>
        <v/>
      </c>
      <c r="J289" s="9"/>
      <c r="K289" s="10" t="str">
        <f aca="false">IF($B289="","",$E289*IFERROR(INDEX(Drinks!$B$4:$B$53,MATCH($B289,Drinks!$A$4:$A$53,0)),0))</f>
        <v/>
      </c>
      <c r="L289" s="10" t="str">
        <f aca="false">IF($B289="","",$J289+$K289)</f>
        <v/>
      </c>
      <c r="M289" s="9"/>
      <c r="N289" s="10" t="str">
        <f aca="false">IF($B289="","",$L289-$M289)</f>
        <v/>
      </c>
      <c r="O289" s="10" t="str">
        <f aca="false">IF($B289="","",IFERROR(INDEX(Drinks!$E$4:$E$53,MATCH($B289,Drinks!$A$4:$A$53,0)),0))</f>
        <v/>
      </c>
      <c r="P289" s="10" t="str">
        <f aca="false">IF($B289="","",$N289*$O289)</f>
        <v/>
      </c>
      <c r="Q289" s="10" t="str">
        <f aca="false">IF($B289="","",$N289*IFERROR(INDEX(Drinks!$D$4:$D$53,MATCH($B289,Drinks!$A$4:$A$53,0)),0))</f>
        <v/>
      </c>
      <c r="R289" s="10" t="str">
        <f aca="false">IF($B289="","",$P289-$Q289)</f>
        <v/>
      </c>
      <c r="S289" s="23" t="str">
        <f aca="false">IF($B289="","",IF(COUNTIFS($A$4:$A$2003,$A289-1,$B$4:$B$2003,$B289)=0,"first day",IF(SUMIFS($M$4:$M$2003,$A$4:$A$2003,$A289-1,$B$4:$B$2003,$B289)=$J289,"OK","CHECK")))</f>
        <v/>
      </c>
      <c r="T289" s="10" t="str">
        <f aca="false">IF($B289="","",IFERROR(INDEX(Drinks!$D$4:$D$53,MATCH($B289,Drinks!$A$4:$A$53,0)),0))</f>
        <v/>
      </c>
    </row>
    <row r="290" customFormat="false" ht="15" hidden="false" customHeight="false" outlineLevel="0" collapsed="false">
      <c r="A290" s="22"/>
      <c r="B290" s="9"/>
      <c r="C290" s="9"/>
      <c r="D290" s="9"/>
      <c r="E290" s="9"/>
      <c r="F290" s="10" t="str">
        <f aca="false">IF($B290="","",$C290+$D290-$E290)</f>
        <v/>
      </c>
      <c r="G290" s="10" t="str">
        <f aca="false">IF($B290="","",IFERROR(INDEX(Drinks!$C$4:$C$53,MATCH($B290,Drinks!$A$4:$A$53,0)),0))</f>
        <v/>
      </c>
      <c r="H290" s="10" t="str">
        <f aca="false">IF($B290="","",$D290*$G290)</f>
        <v/>
      </c>
      <c r="I290" s="10" t="str">
        <f aca="false">IF($B290="","",$F290*$G290)</f>
        <v/>
      </c>
      <c r="J290" s="9"/>
      <c r="K290" s="10" t="str">
        <f aca="false">IF($B290="","",$E290*IFERROR(INDEX(Drinks!$B$4:$B$53,MATCH($B290,Drinks!$A$4:$A$53,0)),0))</f>
        <v/>
      </c>
      <c r="L290" s="10" t="str">
        <f aca="false">IF($B290="","",$J290+$K290)</f>
        <v/>
      </c>
      <c r="M290" s="9"/>
      <c r="N290" s="10" t="str">
        <f aca="false">IF($B290="","",$L290-$M290)</f>
        <v/>
      </c>
      <c r="O290" s="10" t="str">
        <f aca="false">IF($B290="","",IFERROR(INDEX(Drinks!$E$4:$E$53,MATCH($B290,Drinks!$A$4:$A$53,0)),0))</f>
        <v/>
      </c>
      <c r="P290" s="10" t="str">
        <f aca="false">IF($B290="","",$N290*$O290)</f>
        <v/>
      </c>
      <c r="Q290" s="10" t="str">
        <f aca="false">IF($B290="","",$N290*IFERROR(INDEX(Drinks!$D$4:$D$53,MATCH($B290,Drinks!$A$4:$A$53,0)),0))</f>
        <v/>
      </c>
      <c r="R290" s="10" t="str">
        <f aca="false">IF($B290="","",$P290-$Q290)</f>
        <v/>
      </c>
      <c r="S290" s="23" t="str">
        <f aca="false">IF($B290="","",IF(COUNTIFS($A$4:$A$2003,$A290-1,$B$4:$B$2003,$B290)=0,"first day",IF(SUMIFS($M$4:$M$2003,$A$4:$A$2003,$A290-1,$B$4:$B$2003,$B290)=$J290,"OK","CHECK")))</f>
        <v/>
      </c>
      <c r="T290" s="10" t="str">
        <f aca="false">IF($B290="","",IFERROR(INDEX(Drinks!$D$4:$D$53,MATCH($B290,Drinks!$A$4:$A$53,0)),0))</f>
        <v/>
      </c>
    </row>
    <row r="291" customFormat="false" ht="15" hidden="false" customHeight="false" outlineLevel="0" collapsed="false">
      <c r="A291" s="22"/>
      <c r="B291" s="9"/>
      <c r="C291" s="9"/>
      <c r="D291" s="9"/>
      <c r="E291" s="9"/>
      <c r="F291" s="10" t="str">
        <f aca="false">IF($B291="","",$C291+$D291-$E291)</f>
        <v/>
      </c>
      <c r="G291" s="10" t="str">
        <f aca="false">IF($B291="","",IFERROR(INDEX(Drinks!$C$4:$C$53,MATCH($B291,Drinks!$A$4:$A$53,0)),0))</f>
        <v/>
      </c>
      <c r="H291" s="10" t="str">
        <f aca="false">IF($B291="","",$D291*$G291)</f>
        <v/>
      </c>
      <c r="I291" s="10" t="str">
        <f aca="false">IF($B291="","",$F291*$G291)</f>
        <v/>
      </c>
      <c r="J291" s="9"/>
      <c r="K291" s="10" t="str">
        <f aca="false">IF($B291="","",$E291*IFERROR(INDEX(Drinks!$B$4:$B$53,MATCH($B291,Drinks!$A$4:$A$53,0)),0))</f>
        <v/>
      </c>
      <c r="L291" s="10" t="str">
        <f aca="false">IF($B291="","",$J291+$K291)</f>
        <v/>
      </c>
      <c r="M291" s="9"/>
      <c r="N291" s="10" t="str">
        <f aca="false">IF($B291="","",$L291-$M291)</f>
        <v/>
      </c>
      <c r="O291" s="10" t="str">
        <f aca="false">IF($B291="","",IFERROR(INDEX(Drinks!$E$4:$E$53,MATCH($B291,Drinks!$A$4:$A$53,0)),0))</f>
        <v/>
      </c>
      <c r="P291" s="10" t="str">
        <f aca="false">IF($B291="","",$N291*$O291)</f>
        <v/>
      </c>
      <c r="Q291" s="10" t="str">
        <f aca="false">IF($B291="","",$N291*IFERROR(INDEX(Drinks!$D$4:$D$53,MATCH($B291,Drinks!$A$4:$A$53,0)),0))</f>
        <v/>
      </c>
      <c r="R291" s="10" t="str">
        <f aca="false">IF($B291="","",$P291-$Q291)</f>
        <v/>
      </c>
      <c r="S291" s="23" t="str">
        <f aca="false">IF($B291="","",IF(COUNTIFS($A$4:$A$2003,$A291-1,$B$4:$B$2003,$B291)=0,"first day",IF(SUMIFS($M$4:$M$2003,$A$4:$A$2003,$A291-1,$B$4:$B$2003,$B291)=$J291,"OK","CHECK")))</f>
        <v/>
      </c>
      <c r="T291" s="10" t="str">
        <f aca="false">IF($B291="","",IFERROR(INDEX(Drinks!$D$4:$D$53,MATCH($B291,Drinks!$A$4:$A$53,0)),0))</f>
        <v/>
      </c>
    </row>
    <row r="292" customFormat="false" ht="15" hidden="false" customHeight="false" outlineLevel="0" collapsed="false">
      <c r="A292" s="22"/>
      <c r="B292" s="9"/>
      <c r="C292" s="9"/>
      <c r="D292" s="9"/>
      <c r="E292" s="9"/>
      <c r="F292" s="10" t="str">
        <f aca="false">IF($B292="","",$C292+$D292-$E292)</f>
        <v/>
      </c>
      <c r="G292" s="10" t="str">
        <f aca="false">IF($B292="","",IFERROR(INDEX(Drinks!$C$4:$C$53,MATCH($B292,Drinks!$A$4:$A$53,0)),0))</f>
        <v/>
      </c>
      <c r="H292" s="10" t="str">
        <f aca="false">IF($B292="","",$D292*$G292)</f>
        <v/>
      </c>
      <c r="I292" s="10" t="str">
        <f aca="false">IF($B292="","",$F292*$G292)</f>
        <v/>
      </c>
      <c r="J292" s="9"/>
      <c r="K292" s="10" t="str">
        <f aca="false">IF($B292="","",$E292*IFERROR(INDEX(Drinks!$B$4:$B$53,MATCH($B292,Drinks!$A$4:$A$53,0)),0))</f>
        <v/>
      </c>
      <c r="L292" s="10" t="str">
        <f aca="false">IF($B292="","",$J292+$K292)</f>
        <v/>
      </c>
      <c r="M292" s="9"/>
      <c r="N292" s="10" t="str">
        <f aca="false">IF($B292="","",$L292-$M292)</f>
        <v/>
      </c>
      <c r="O292" s="10" t="str">
        <f aca="false">IF($B292="","",IFERROR(INDEX(Drinks!$E$4:$E$53,MATCH($B292,Drinks!$A$4:$A$53,0)),0))</f>
        <v/>
      </c>
      <c r="P292" s="10" t="str">
        <f aca="false">IF($B292="","",$N292*$O292)</f>
        <v/>
      </c>
      <c r="Q292" s="10" t="str">
        <f aca="false">IF($B292="","",$N292*IFERROR(INDEX(Drinks!$D$4:$D$53,MATCH($B292,Drinks!$A$4:$A$53,0)),0))</f>
        <v/>
      </c>
      <c r="R292" s="10" t="str">
        <f aca="false">IF($B292="","",$P292-$Q292)</f>
        <v/>
      </c>
      <c r="S292" s="23" t="str">
        <f aca="false">IF($B292="","",IF(COUNTIFS($A$4:$A$2003,$A292-1,$B$4:$B$2003,$B292)=0,"first day",IF(SUMIFS($M$4:$M$2003,$A$4:$A$2003,$A292-1,$B$4:$B$2003,$B292)=$J292,"OK","CHECK")))</f>
        <v/>
      </c>
      <c r="T292" s="10" t="str">
        <f aca="false">IF($B292="","",IFERROR(INDEX(Drinks!$D$4:$D$53,MATCH($B292,Drinks!$A$4:$A$53,0)),0))</f>
        <v/>
      </c>
    </row>
    <row r="293" customFormat="false" ht="15" hidden="false" customHeight="false" outlineLevel="0" collapsed="false">
      <c r="A293" s="22"/>
      <c r="B293" s="9"/>
      <c r="C293" s="9"/>
      <c r="D293" s="9"/>
      <c r="E293" s="9"/>
      <c r="F293" s="10" t="str">
        <f aca="false">IF($B293="","",$C293+$D293-$E293)</f>
        <v/>
      </c>
      <c r="G293" s="10" t="str">
        <f aca="false">IF($B293="","",IFERROR(INDEX(Drinks!$C$4:$C$53,MATCH($B293,Drinks!$A$4:$A$53,0)),0))</f>
        <v/>
      </c>
      <c r="H293" s="10" t="str">
        <f aca="false">IF($B293="","",$D293*$G293)</f>
        <v/>
      </c>
      <c r="I293" s="10" t="str">
        <f aca="false">IF($B293="","",$F293*$G293)</f>
        <v/>
      </c>
      <c r="J293" s="9"/>
      <c r="K293" s="10" t="str">
        <f aca="false">IF($B293="","",$E293*IFERROR(INDEX(Drinks!$B$4:$B$53,MATCH($B293,Drinks!$A$4:$A$53,0)),0))</f>
        <v/>
      </c>
      <c r="L293" s="10" t="str">
        <f aca="false">IF($B293="","",$J293+$K293)</f>
        <v/>
      </c>
      <c r="M293" s="9"/>
      <c r="N293" s="10" t="str">
        <f aca="false">IF($B293="","",$L293-$M293)</f>
        <v/>
      </c>
      <c r="O293" s="10" t="str">
        <f aca="false">IF($B293="","",IFERROR(INDEX(Drinks!$E$4:$E$53,MATCH($B293,Drinks!$A$4:$A$53,0)),0))</f>
        <v/>
      </c>
      <c r="P293" s="10" t="str">
        <f aca="false">IF($B293="","",$N293*$O293)</f>
        <v/>
      </c>
      <c r="Q293" s="10" t="str">
        <f aca="false">IF($B293="","",$N293*IFERROR(INDEX(Drinks!$D$4:$D$53,MATCH($B293,Drinks!$A$4:$A$53,0)),0))</f>
        <v/>
      </c>
      <c r="R293" s="10" t="str">
        <f aca="false">IF($B293="","",$P293-$Q293)</f>
        <v/>
      </c>
      <c r="S293" s="23" t="str">
        <f aca="false">IF($B293="","",IF(COUNTIFS($A$4:$A$2003,$A293-1,$B$4:$B$2003,$B293)=0,"first day",IF(SUMIFS($M$4:$M$2003,$A$4:$A$2003,$A293-1,$B$4:$B$2003,$B293)=$J293,"OK","CHECK")))</f>
        <v/>
      </c>
      <c r="T293" s="10" t="str">
        <f aca="false">IF($B293="","",IFERROR(INDEX(Drinks!$D$4:$D$53,MATCH($B293,Drinks!$A$4:$A$53,0)),0))</f>
        <v/>
      </c>
    </row>
    <row r="294" customFormat="false" ht="15" hidden="false" customHeight="false" outlineLevel="0" collapsed="false">
      <c r="A294" s="22"/>
      <c r="B294" s="9"/>
      <c r="C294" s="9"/>
      <c r="D294" s="9"/>
      <c r="E294" s="9"/>
      <c r="F294" s="10" t="str">
        <f aca="false">IF($B294="","",$C294+$D294-$E294)</f>
        <v/>
      </c>
      <c r="G294" s="10" t="str">
        <f aca="false">IF($B294="","",IFERROR(INDEX(Drinks!$C$4:$C$53,MATCH($B294,Drinks!$A$4:$A$53,0)),0))</f>
        <v/>
      </c>
      <c r="H294" s="10" t="str">
        <f aca="false">IF($B294="","",$D294*$G294)</f>
        <v/>
      </c>
      <c r="I294" s="10" t="str">
        <f aca="false">IF($B294="","",$F294*$G294)</f>
        <v/>
      </c>
      <c r="J294" s="9"/>
      <c r="K294" s="10" t="str">
        <f aca="false">IF($B294="","",$E294*IFERROR(INDEX(Drinks!$B$4:$B$53,MATCH($B294,Drinks!$A$4:$A$53,0)),0))</f>
        <v/>
      </c>
      <c r="L294" s="10" t="str">
        <f aca="false">IF($B294="","",$J294+$K294)</f>
        <v/>
      </c>
      <c r="M294" s="9"/>
      <c r="N294" s="10" t="str">
        <f aca="false">IF($B294="","",$L294-$M294)</f>
        <v/>
      </c>
      <c r="O294" s="10" t="str">
        <f aca="false">IF($B294="","",IFERROR(INDEX(Drinks!$E$4:$E$53,MATCH($B294,Drinks!$A$4:$A$53,0)),0))</f>
        <v/>
      </c>
      <c r="P294" s="10" t="str">
        <f aca="false">IF($B294="","",$N294*$O294)</f>
        <v/>
      </c>
      <c r="Q294" s="10" t="str">
        <f aca="false">IF($B294="","",$N294*IFERROR(INDEX(Drinks!$D$4:$D$53,MATCH($B294,Drinks!$A$4:$A$53,0)),0))</f>
        <v/>
      </c>
      <c r="R294" s="10" t="str">
        <f aca="false">IF($B294="","",$P294-$Q294)</f>
        <v/>
      </c>
      <c r="S294" s="23" t="str">
        <f aca="false">IF($B294="","",IF(COUNTIFS($A$4:$A$2003,$A294-1,$B$4:$B$2003,$B294)=0,"first day",IF(SUMIFS($M$4:$M$2003,$A$4:$A$2003,$A294-1,$B$4:$B$2003,$B294)=$J294,"OK","CHECK")))</f>
        <v/>
      </c>
      <c r="T294" s="10" t="str">
        <f aca="false">IF($B294="","",IFERROR(INDEX(Drinks!$D$4:$D$53,MATCH($B294,Drinks!$A$4:$A$53,0)),0))</f>
        <v/>
      </c>
    </row>
    <row r="295" customFormat="false" ht="15" hidden="false" customHeight="false" outlineLevel="0" collapsed="false">
      <c r="A295" s="22"/>
      <c r="B295" s="9"/>
      <c r="C295" s="9"/>
      <c r="D295" s="9"/>
      <c r="E295" s="9"/>
      <c r="F295" s="10" t="str">
        <f aca="false">IF($B295="","",$C295+$D295-$E295)</f>
        <v/>
      </c>
      <c r="G295" s="10" t="str">
        <f aca="false">IF($B295="","",IFERROR(INDEX(Drinks!$C$4:$C$53,MATCH($B295,Drinks!$A$4:$A$53,0)),0))</f>
        <v/>
      </c>
      <c r="H295" s="10" t="str">
        <f aca="false">IF($B295="","",$D295*$G295)</f>
        <v/>
      </c>
      <c r="I295" s="10" t="str">
        <f aca="false">IF($B295="","",$F295*$G295)</f>
        <v/>
      </c>
      <c r="J295" s="9"/>
      <c r="K295" s="10" t="str">
        <f aca="false">IF($B295="","",$E295*IFERROR(INDEX(Drinks!$B$4:$B$53,MATCH($B295,Drinks!$A$4:$A$53,0)),0))</f>
        <v/>
      </c>
      <c r="L295" s="10" t="str">
        <f aca="false">IF($B295="","",$J295+$K295)</f>
        <v/>
      </c>
      <c r="M295" s="9"/>
      <c r="N295" s="10" t="str">
        <f aca="false">IF($B295="","",$L295-$M295)</f>
        <v/>
      </c>
      <c r="O295" s="10" t="str">
        <f aca="false">IF($B295="","",IFERROR(INDEX(Drinks!$E$4:$E$53,MATCH($B295,Drinks!$A$4:$A$53,0)),0))</f>
        <v/>
      </c>
      <c r="P295" s="10" t="str">
        <f aca="false">IF($B295="","",$N295*$O295)</f>
        <v/>
      </c>
      <c r="Q295" s="10" t="str">
        <f aca="false">IF($B295="","",$N295*IFERROR(INDEX(Drinks!$D$4:$D$53,MATCH($B295,Drinks!$A$4:$A$53,0)),0))</f>
        <v/>
      </c>
      <c r="R295" s="10" t="str">
        <f aca="false">IF($B295="","",$P295-$Q295)</f>
        <v/>
      </c>
      <c r="S295" s="23" t="str">
        <f aca="false">IF($B295="","",IF(COUNTIFS($A$4:$A$2003,$A295-1,$B$4:$B$2003,$B295)=0,"first day",IF(SUMIFS($M$4:$M$2003,$A$4:$A$2003,$A295-1,$B$4:$B$2003,$B295)=$J295,"OK","CHECK")))</f>
        <v/>
      </c>
      <c r="T295" s="10" t="str">
        <f aca="false">IF($B295="","",IFERROR(INDEX(Drinks!$D$4:$D$53,MATCH($B295,Drinks!$A$4:$A$53,0)),0))</f>
        <v/>
      </c>
    </row>
    <row r="296" customFormat="false" ht="15" hidden="false" customHeight="false" outlineLevel="0" collapsed="false">
      <c r="A296" s="22"/>
      <c r="B296" s="9"/>
      <c r="C296" s="9"/>
      <c r="D296" s="9"/>
      <c r="E296" s="9"/>
      <c r="F296" s="10" t="str">
        <f aca="false">IF($B296="","",$C296+$D296-$E296)</f>
        <v/>
      </c>
      <c r="G296" s="10" t="str">
        <f aca="false">IF($B296="","",IFERROR(INDEX(Drinks!$C$4:$C$53,MATCH($B296,Drinks!$A$4:$A$53,0)),0))</f>
        <v/>
      </c>
      <c r="H296" s="10" t="str">
        <f aca="false">IF($B296="","",$D296*$G296)</f>
        <v/>
      </c>
      <c r="I296" s="10" t="str">
        <f aca="false">IF($B296="","",$F296*$G296)</f>
        <v/>
      </c>
      <c r="J296" s="9"/>
      <c r="K296" s="10" t="str">
        <f aca="false">IF($B296="","",$E296*IFERROR(INDEX(Drinks!$B$4:$B$53,MATCH($B296,Drinks!$A$4:$A$53,0)),0))</f>
        <v/>
      </c>
      <c r="L296" s="10" t="str">
        <f aca="false">IF($B296="","",$J296+$K296)</f>
        <v/>
      </c>
      <c r="M296" s="9"/>
      <c r="N296" s="10" t="str">
        <f aca="false">IF($B296="","",$L296-$M296)</f>
        <v/>
      </c>
      <c r="O296" s="10" t="str">
        <f aca="false">IF($B296="","",IFERROR(INDEX(Drinks!$E$4:$E$53,MATCH($B296,Drinks!$A$4:$A$53,0)),0))</f>
        <v/>
      </c>
      <c r="P296" s="10" t="str">
        <f aca="false">IF($B296="","",$N296*$O296)</f>
        <v/>
      </c>
      <c r="Q296" s="10" t="str">
        <f aca="false">IF($B296="","",$N296*IFERROR(INDEX(Drinks!$D$4:$D$53,MATCH($B296,Drinks!$A$4:$A$53,0)),0))</f>
        <v/>
      </c>
      <c r="R296" s="10" t="str">
        <f aca="false">IF($B296="","",$P296-$Q296)</f>
        <v/>
      </c>
      <c r="S296" s="23" t="str">
        <f aca="false">IF($B296="","",IF(COUNTIFS($A$4:$A$2003,$A296-1,$B$4:$B$2003,$B296)=0,"first day",IF(SUMIFS($M$4:$M$2003,$A$4:$A$2003,$A296-1,$B$4:$B$2003,$B296)=$J296,"OK","CHECK")))</f>
        <v/>
      </c>
      <c r="T296" s="10" t="str">
        <f aca="false">IF($B296="","",IFERROR(INDEX(Drinks!$D$4:$D$53,MATCH($B296,Drinks!$A$4:$A$53,0)),0))</f>
        <v/>
      </c>
    </row>
    <row r="297" customFormat="false" ht="15" hidden="false" customHeight="false" outlineLevel="0" collapsed="false">
      <c r="A297" s="22"/>
      <c r="B297" s="9"/>
      <c r="C297" s="9"/>
      <c r="D297" s="9"/>
      <c r="E297" s="9"/>
      <c r="F297" s="10" t="str">
        <f aca="false">IF($B297="","",$C297+$D297-$E297)</f>
        <v/>
      </c>
      <c r="G297" s="10" t="str">
        <f aca="false">IF($B297="","",IFERROR(INDEX(Drinks!$C$4:$C$53,MATCH($B297,Drinks!$A$4:$A$53,0)),0))</f>
        <v/>
      </c>
      <c r="H297" s="10" t="str">
        <f aca="false">IF($B297="","",$D297*$G297)</f>
        <v/>
      </c>
      <c r="I297" s="10" t="str">
        <f aca="false">IF($B297="","",$F297*$G297)</f>
        <v/>
      </c>
      <c r="J297" s="9"/>
      <c r="K297" s="10" t="str">
        <f aca="false">IF($B297="","",$E297*IFERROR(INDEX(Drinks!$B$4:$B$53,MATCH($B297,Drinks!$A$4:$A$53,0)),0))</f>
        <v/>
      </c>
      <c r="L297" s="10" t="str">
        <f aca="false">IF($B297="","",$J297+$K297)</f>
        <v/>
      </c>
      <c r="M297" s="9"/>
      <c r="N297" s="10" t="str">
        <f aca="false">IF($B297="","",$L297-$M297)</f>
        <v/>
      </c>
      <c r="O297" s="10" t="str">
        <f aca="false">IF($B297="","",IFERROR(INDEX(Drinks!$E$4:$E$53,MATCH($B297,Drinks!$A$4:$A$53,0)),0))</f>
        <v/>
      </c>
      <c r="P297" s="10" t="str">
        <f aca="false">IF($B297="","",$N297*$O297)</f>
        <v/>
      </c>
      <c r="Q297" s="10" t="str">
        <f aca="false">IF($B297="","",$N297*IFERROR(INDEX(Drinks!$D$4:$D$53,MATCH($B297,Drinks!$A$4:$A$53,0)),0))</f>
        <v/>
      </c>
      <c r="R297" s="10" t="str">
        <f aca="false">IF($B297="","",$P297-$Q297)</f>
        <v/>
      </c>
      <c r="S297" s="23" t="str">
        <f aca="false">IF($B297="","",IF(COUNTIFS($A$4:$A$2003,$A297-1,$B$4:$B$2003,$B297)=0,"first day",IF(SUMIFS($M$4:$M$2003,$A$4:$A$2003,$A297-1,$B$4:$B$2003,$B297)=$J297,"OK","CHECK")))</f>
        <v/>
      </c>
      <c r="T297" s="10" t="str">
        <f aca="false">IF($B297="","",IFERROR(INDEX(Drinks!$D$4:$D$53,MATCH($B297,Drinks!$A$4:$A$53,0)),0))</f>
        <v/>
      </c>
    </row>
    <row r="298" customFormat="false" ht="15" hidden="false" customHeight="false" outlineLevel="0" collapsed="false">
      <c r="A298" s="22"/>
      <c r="B298" s="9"/>
      <c r="C298" s="9"/>
      <c r="D298" s="9"/>
      <c r="E298" s="9"/>
      <c r="F298" s="10" t="str">
        <f aca="false">IF($B298="","",$C298+$D298-$E298)</f>
        <v/>
      </c>
      <c r="G298" s="10" t="str">
        <f aca="false">IF($B298="","",IFERROR(INDEX(Drinks!$C$4:$C$53,MATCH($B298,Drinks!$A$4:$A$53,0)),0))</f>
        <v/>
      </c>
      <c r="H298" s="10" t="str">
        <f aca="false">IF($B298="","",$D298*$G298)</f>
        <v/>
      </c>
      <c r="I298" s="10" t="str">
        <f aca="false">IF($B298="","",$F298*$G298)</f>
        <v/>
      </c>
      <c r="J298" s="9"/>
      <c r="K298" s="10" t="str">
        <f aca="false">IF($B298="","",$E298*IFERROR(INDEX(Drinks!$B$4:$B$53,MATCH($B298,Drinks!$A$4:$A$53,0)),0))</f>
        <v/>
      </c>
      <c r="L298" s="10" t="str">
        <f aca="false">IF($B298="","",$J298+$K298)</f>
        <v/>
      </c>
      <c r="M298" s="9"/>
      <c r="N298" s="10" t="str">
        <f aca="false">IF($B298="","",$L298-$M298)</f>
        <v/>
      </c>
      <c r="O298" s="10" t="str">
        <f aca="false">IF($B298="","",IFERROR(INDEX(Drinks!$E$4:$E$53,MATCH($B298,Drinks!$A$4:$A$53,0)),0))</f>
        <v/>
      </c>
      <c r="P298" s="10" t="str">
        <f aca="false">IF($B298="","",$N298*$O298)</f>
        <v/>
      </c>
      <c r="Q298" s="10" t="str">
        <f aca="false">IF($B298="","",$N298*IFERROR(INDEX(Drinks!$D$4:$D$53,MATCH($B298,Drinks!$A$4:$A$53,0)),0))</f>
        <v/>
      </c>
      <c r="R298" s="10" t="str">
        <f aca="false">IF($B298="","",$P298-$Q298)</f>
        <v/>
      </c>
      <c r="S298" s="23" t="str">
        <f aca="false">IF($B298="","",IF(COUNTIFS($A$4:$A$2003,$A298-1,$B$4:$B$2003,$B298)=0,"first day",IF(SUMIFS($M$4:$M$2003,$A$4:$A$2003,$A298-1,$B$4:$B$2003,$B298)=$J298,"OK","CHECK")))</f>
        <v/>
      </c>
      <c r="T298" s="10" t="str">
        <f aca="false">IF($B298="","",IFERROR(INDEX(Drinks!$D$4:$D$53,MATCH($B298,Drinks!$A$4:$A$53,0)),0))</f>
        <v/>
      </c>
    </row>
    <row r="299" customFormat="false" ht="15" hidden="false" customHeight="false" outlineLevel="0" collapsed="false">
      <c r="A299" s="22"/>
      <c r="B299" s="9"/>
      <c r="C299" s="9"/>
      <c r="D299" s="9"/>
      <c r="E299" s="9"/>
      <c r="F299" s="10" t="str">
        <f aca="false">IF($B299="","",$C299+$D299-$E299)</f>
        <v/>
      </c>
      <c r="G299" s="10" t="str">
        <f aca="false">IF($B299="","",IFERROR(INDEX(Drinks!$C$4:$C$53,MATCH($B299,Drinks!$A$4:$A$53,0)),0))</f>
        <v/>
      </c>
      <c r="H299" s="10" t="str">
        <f aca="false">IF($B299="","",$D299*$G299)</f>
        <v/>
      </c>
      <c r="I299" s="10" t="str">
        <f aca="false">IF($B299="","",$F299*$G299)</f>
        <v/>
      </c>
      <c r="J299" s="9"/>
      <c r="K299" s="10" t="str">
        <f aca="false">IF($B299="","",$E299*IFERROR(INDEX(Drinks!$B$4:$B$53,MATCH($B299,Drinks!$A$4:$A$53,0)),0))</f>
        <v/>
      </c>
      <c r="L299" s="10" t="str">
        <f aca="false">IF($B299="","",$J299+$K299)</f>
        <v/>
      </c>
      <c r="M299" s="9"/>
      <c r="N299" s="10" t="str">
        <f aca="false">IF($B299="","",$L299-$M299)</f>
        <v/>
      </c>
      <c r="O299" s="10" t="str">
        <f aca="false">IF($B299="","",IFERROR(INDEX(Drinks!$E$4:$E$53,MATCH($B299,Drinks!$A$4:$A$53,0)),0))</f>
        <v/>
      </c>
      <c r="P299" s="10" t="str">
        <f aca="false">IF($B299="","",$N299*$O299)</f>
        <v/>
      </c>
      <c r="Q299" s="10" t="str">
        <f aca="false">IF($B299="","",$N299*IFERROR(INDEX(Drinks!$D$4:$D$53,MATCH($B299,Drinks!$A$4:$A$53,0)),0))</f>
        <v/>
      </c>
      <c r="R299" s="10" t="str">
        <f aca="false">IF($B299="","",$P299-$Q299)</f>
        <v/>
      </c>
      <c r="S299" s="23" t="str">
        <f aca="false">IF($B299="","",IF(COUNTIFS($A$4:$A$2003,$A299-1,$B$4:$B$2003,$B299)=0,"first day",IF(SUMIFS($M$4:$M$2003,$A$4:$A$2003,$A299-1,$B$4:$B$2003,$B299)=$J299,"OK","CHECK")))</f>
        <v/>
      </c>
      <c r="T299" s="10" t="str">
        <f aca="false">IF($B299="","",IFERROR(INDEX(Drinks!$D$4:$D$53,MATCH($B299,Drinks!$A$4:$A$53,0)),0))</f>
        <v/>
      </c>
    </row>
    <row r="300" customFormat="false" ht="15" hidden="false" customHeight="false" outlineLevel="0" collapsed="false">
      <c r="A300" s="22"/>
      <c r="B300" s="9"/>
      <c r="C300" s="9"/>
      <c r="D300" s="9"/>
      <c r="E300" s="9"/>
      <c r="F300" s="10" t="str">
        <f aca="false">IF($B300="","",$C300+$D300-$E300)</f>
        <v/>
      </c>
      <c r="G300" s="10" t="str">
        <f aca="false">IF($B300="","",IFERROR(INDEX(Drinks!$C$4:$C$53,MATCH($B300,Drinks!$A$4:$A$53,0)),0))</f>
        <v/>
      </c>
      <c r="H300" s="10" t="str">
        <f aca="false">IF($B300="","",$D300*$G300)</f>
        <v/>
      </c>
      <c r="I300" s="10" t="str">
        <f aca="false">IF($B300="","",$F300*$G300)</f>
        <v/>
      </c>
      <c r="J300" s="9"/>
      <c r="K300" s="10" t="str">
        <f aca="false">IF($B300="","",$E300*IFERROR(INDEX(Drinks!$B$4:$B$53,MATCH($B300,Drinks!$A$4:$A$53,0)),0))</f>
        <v/>
      </c>
      <c r="L300" s="10" t="str">
        <f aca="false">IF($B300="","",$J300+$K300)</f>
        <v/>
      </c>
      <c r="M300" s="9"/>
      <c r="N300" s="10" t="str">
        <f aca="false">IF($B300="","",$L300-$M300)</f>
        <v/>
      </c>
      <c r="O300" s="10" t="str">
        <f aca="false">IF($B300="","",IFERROR(INDEX(Drinks!$E$4:$E$53,MATCH($B300,Drinks!$A$4:$A$53,0)),0))</f>
        <v/>
      </c>
      <c r="P300" s="10" t="str">
        <f aca="false">IF($B300="","",$N300*$O300)</f>
        <v/>
      </c>
      <c r="Q300" s="10" t="str">
        <f aca="false">IF($B300="","",$N300*IFERROR(INDEX(Drinks!$D$4:$D$53,MATCH($B300,Drinks!$A$4:$A$53,0)),0))</f>
        <v/>
      </c>
      <c r="R300" s="10" t="str">
        <f aca="false">IF($B300="","",$P300-$Q300)</f>
        <v/>
      </c>
      <c r="S300" s="23" t="str">
        <f aca="false">IF($B300="","",IF(COUNTIFS($A$4:$A$2003,$A300-1,$B$4:$B$2003,$B300)=0,"first day",IF(SUMIFS($M$4:$M$2003,$A$4:$A$2003,$A300-1,$B$4:$B$2003,$B300)=$J300,"OK","CHECK")))</f>
        <v/>
      </c>
      <c r="T300" s="10" t="str">
        <f aca="false">IF($B300="","",IFERROR(INDEX(Drinks!$D$4:$D$53,MATCH($B300,Drinks!$A$4:$A$53,0)),0))</f>
        <v/>
      </c>
    </row>
    <row r="301" customFormat="false" ht="15" hidden="false" customHeight="false" outlineLevel="0" collapsed="false">
      <c r="A301" s="22"/>
      <c r="B301" s="9"/>
      <c r="C301" s="9"/>
      <c r="D301" s="9"/>
      <c r="E301" s="9"/>
      <c r="F301" s="10" t="str">
        <f aca="false">IF($B301="","",$C301+$D301-$E301)</f>
        <v/>
      </c>
      <c r="G301" s="10" t="str">
        <f aca="false">IF($B301="","",IFERROR(INDEX(Drinks!$C$4:$C$53,MATCH($B301,Drinks!$A$4:$A$53,0)),0))</f>
        <v/>
      </c>
      <c r="H301" s="10" t="str">
        <f aca="false">IF($B301="","",$D301*$G301)</f>
        <v/>
      </c>
      <c r="I301" s="10" t="str">
        <f aca="false">IF($B301="","",$F301*$G301)</f>
        <v/>
      </c>
      <c r="J301" s="9"/>
      <c r="K301" s="10" t="str">
        <f aca="false">IF($B301="","",$E301*IFERROR(INDEX(Drinks!$B$4:$B$53,MATCH($B301,Drinks!$A$4:$A$53,0)),0))</f>
        <v/>
      </c>
      <c r="L301" s="10" t="str">
        <f aca="false">IF($B301="","",$J301+$K301)</f>
        <v/>
      </c>
      <c r="M301" s="9"/>
      <c r="N301" s="10" t="str">
        <f aca="false">IF($B301="","",$L301-$M301)</f>
        <v/>
      </c>
      <c r="O301" s="10" t="str">
        <f aca="false">IF($B301="","",IFERROR(INDEX(Drinks!$E$4:$E$53,MATCH($B301,Drinks!$A$4:$A$53,0)),0))</f>
        <v/>
      </c>
      <c r="P301" s="10" t="str">
        <f aca="false">IF($B301="","",$N301*$O301)</f>
        <v/>
      </c>
      <c r="Q301" s="10" t="str">
        <f aca="false">IF($B301="","",$N301*IFERROR(INDEX(Drinks!$D$4:$D$53,MATCH($B301,Drinks!$A$4:$A$53,0)),0))</f>
        <v/>
      </c>
      <c r="R301" s="10" t="str">
        <f aca="false">IF($B301="","",$P301-$Q301)</f>
        <v/>
      </c>
      <c r="S301" s="23" t="str">
        <f aca="false">IF($B301="","",IF(COUNTIFS($A$4:$A$2003,$A301-1,$B$4:$B$2003,$B301)=0,"first day",IF(SUMIFS($M$4:$M$2003,$A$4:$A$2003,$A301-1,$B$4:$B$2003,$B301)=$J301,"OK","CHECK")))</f>
        <v/>
      </c>
      <c r="T301" s="10" t="str">
        <f aca="false">IF($B301="","",IFERROR(INDEX(Drinks!$D$4:$D$53,MATCH($B301,Drinks!$A$4:$A$53,0)),0))</f>
        <v/>
      </c>
    </row>
    <row r="302" customFormat="false" ht="15" hidden="false" customHeight="false" outlineLevel="0" collapsed="false">
      <c r="A302" s="22"/>
      <c r="B302" s="9"/>
      <c r="C302" s="9"/>
      <c r="D302" s="9"/>
      <c r="E302" s="9"/>
      <c r="F302" s="10" t="str">
        <f aca="false">IF($B302="","",$C302+$D302-$E302)</f>
        <v/>
      </c>
      <c r="G302" s="10" t="str">
        <f aca="false">IF($B302="","",IFERROR(INDEX(Drinks!$C$4:$C$53,MATCH($B302,Drinks!$A$4:$A$53,0)),0))</f>
        <v/>
      </c>
      <c r="H302" s="10" t="str">
        <f aca="false">IF($B302="","",$D302*$G302)</f>
        <v/>
      </c>
      <c r="I302" s="10" t="str">
        <f aca="false">IF($B302="","",$F302*$G302)</f>
        <v/>
      </c>
      <c r="J302" s="9"/>
      <c r="K302" s="10" t="str">
        <f aca="false">IF($B302="","",$E302*IFERROR(INDEX(Drinks!$B$4:$B$53,MATCH($B302,Drinks!$A$4:$A$53,0)),0))</f>
        <v/>
      </c>
      <c r="L302" s="10" t="str">
        <f aca="false">IF($B302="","",$J302+$K302)</f>
        <v/>
      </c>
      <c r="M302" s="9"/>
      <c r="N302" s="10" t="str">
        <f aca="false">IF($B302="","",$L302-$M302)</f>
        <v/>
      </c>
      <c r="O302" s="10" t="str">
        <f aca="false">IF($B302="","",IFERROR(INDEX(Drinks!$E$4:$E$53,MATCH($B302,Drinks!$A$4:$A$53,0)),0))</f>
        <v/>
      </c>
      <c r="P302" s="10" t="str">
        <f aca="false">IF($B302="","",$N302*$O302)</f>
        <v/>
      </c>
      <c r="Q302" s="10" t="str">
        <f aca="false">IF($B302="","",$N302*IFERROR(INDEX(Drinks!$D$4:$D$53,MATCH($B302,Drinks!$A$4:$A$53,0)),0))</f>
        <v/>
      </c>
      <c r="R302" s="10" t="str">
        <f aca="false">IF($B302="","",$P302-$Q302)</f>
        <v/>
      </c>
      <c r="S302" s="23" t="str">
        <f aca="false">IF($B302="","",IF(COUNTIFS($A$4:$A$2003,$A302-1,$B$4:$B$2003,$B302)=0,"first day",IF(SUMIFS($M$4:$M$2003,$A$4:$A$2003,$A302-1,$B$4:$B$2003,$B302)=$J302,"OK","CHECK")))</f>
        <v/>
      </c>
      <c r="T302" s="10" t="str">
        <f aca="false">IF($B302="","",IFERROR(INDEX(Drinks!$D$4:$D$53,MATCH($B302,Drinks!$A$4:$A$53,0)),0))</f>
        <v/>
      </c>
    </row>
    <row r="303" customFormat="false" ht="15" hidden="false" customHeight="false" outlineLevel="0" collapsed="false">
      <c r="A303" s="22"/>
      <c r="B303" s="9"/>
      <c r="C303" s="9"/>
      <c r="D303" s="9"/>
      <c r="E303" s="9"/>
      <c r="F303" s="10" t="str">
        <f aca="false">IF($B303="","",$C303+$D303-$E303)</f>
        <v/>
      </c>
      <c r="G303" s="10" t="str">
        <f aca="false">IF($B303="","",IFERROR(INDEX(Drinks!$C$4:$C$53,MATCH($B303,Drinks!$A$4:$A$53,0)),0))</f>
        <v/>
      </c>
      <c r="H303" s="10" t="str">
        <f aca="false">IF($B303="","",$D303*$G303)</f>
        <v/>
      </c>
      <c r="I303" s="10" t="str">
        <f aca="false">IF($B303="","",$F303*$G303)</f>
        <v/>
      </c>
      <c r="J303" s="9"/>
      <c r="K303" s="10" t="str">
        <f aca="false">IF($B303="","",$E303*IFERROR(INDEX(Drinks!$B$4:$B$53,MATCH($B303,Drinks!$A$4:$A$53,0)),0))</f>
        <v/>
      </c>
      <c r="L303" s="10" t="str">
        <f aca="false">IF($B303="","",$J303+$K303)</f>
        <v/>
      </c>
      <c r="M303" s="9"/>
      <c r="N303" s="10" t="str">
        <f aca="false">IF($B303="","",$L303-$M303)</f>
        <v/>
      </c>
      <c r="O303" s="10" t="str">
        <f aca="false">IF($B303="","",IFERROR(INDEX(Drinks!$E$4:$E$53,MATCH($B303,Drinks!$A$4:$A$53,0)),0))</f>
        <v/>
      </c>
      <c r="P303" s="10" t="str">
        <f aca="false">IF($B303="","",$N303*$O303)</f>
        <v/>
      </c>
      <c r="Q303" s="10" t="str">
        <f aca="false">IF($B303="","",$N303*IFERROR(INDEX(Drinks!$D$4:$D$53,MATCH($B303,Drinks!$A$4:$A$53,0)),0))</f>
        <v/>
      </c>
      <c r="R303" s="10" t="str">
        <f aca="false">IF($B303="","",$P303-$Q303)</f>
        <v/>
      </c>
      <c r="S303" s="23" t="str">
        <f aca="false">IF($B303="","",IF(COUNTIFS($A$4:$A$2003,$A303-1,$B$4:$B$2003,$B303)=0,"first day",IF(SUMIFS($M$4:$M$2003,$A$4:$A$2003,$A303-1,$B$4:$B$2003,$B303)=$J303,"OK","CHECK")))</f>
        <v/>
      </c>
      <c r="T303" s="10" t="str">
        <f aca="false">IF($B303="","",IFERROR(INDEX(Drinks!$D$4:$D$53,MATCH($B303,Drinks!$A$4:$A$53,0)),0))</f>
        <v/>
      </c>
    </row>
    <row r="304" customFormat="false" ht="15" hidden="false" customHeight="false" outlineLevel="0" collapsed="false">
      <c r="A304" s="22"/>
      <c r="B304" s="9"/>
      <c r="C304" s="9"/>
      <c r="D304" s="9"/>
      <c r="E304" s="9"/>
      <c r="F304" s="10" t="str">
        <f aca="false">IF($B304="","",$C304+$D304-$E304)</f>
        <v/>
      </c>
      <c r="G304" s="10" t="str">
        <f aca="false">IF($B304="","",IFERROR(INDEX(Drinks!$C$4:$C$53,MATCH($B304,Drinks!$A$4:$A$53,0)),0))</f>
        <v/>
      </c>
      <c r="H304" s="10" t="str">
        <f aca="false">IF($B304="","",$D304*$G304)</f>
        <v/>
      </c>
      <c r="I304" s="10" t="str">
        <f aca="false">IF($B304="","",$F304*$G304)</f>
        <v/>
      </c>
      <c r="J304" s="9"/>
      <c r="K304" s="10" t="str">
        <f aca="false">IF($B304="","",$E304*IFERROR(INDEX(Drinks!$B$4:$B$53,MATCH($B304,Drinks!$A$4:$A$53,0)),0))</f>
        <v/>
      </c>
      <c r="L304" s="10" t="str">
        <f aca="false">IF($B304="","",$J304+$K304)</f>
        <v/>
      </c>
      <c r="M304" s="9"/>
      <c r="N304" s="10" t="str">
        <f aca="false">IF($B304="","",$L304-$M304)</f>
        <v/>
      </c>
      <c r="O304" s="10" t="str">
        <f aca="false">IF($B304="","",IFERROR(INDEX(Drinks!$E$4:$E$53,MATCH($B304,Drinks!$A$4:$A$53,0)),0))</f>
        <v/>
      </c>
      <c r="P304" s="10" t="str">
        <f aca="false">IF($B304="","",$N304*$O304)</f>
        <v/>
      </c>
      <c r="Q304" s="10" t="str">
        <f aca="false">IF($B304="","",$N304*IFERROR(INDEX(Drinks!$D$4:$D$53,MATCH($B304,Drinks!$A$4:$A$53,0)),0))</f>
        <v/>
      </c>
      <c r="R304" s="10" t="str">
        <f aca="false">IF($B304="","",$P304-$Q304)</f>
        <v/>
      </c>
      <c r="S304" s="23" t="str">
        <f aca="false">IF($B304="","",IF(COUNTIFS($A$4:$A$2003,$A304-1,$B$4:$B$2003,$B304)=0,"first day",IF(SUMIFS($M$4:$M$2003,$A$4:$A$2003,$A304-1,$B$4:$B$2003,$B304)=$J304,"OK","CHECK")))</f>
        <v/>
      </c>
      <c r="T304" s="10" t="str">
        <f aca="false">IF($B304="","",IFERROR(INDEX(Drinks!$D$4:$D$53,MATCH($B304,Drinks!$A$4:$A$53,0)),0))</f>
        <v/>
      </c>
    </row>
    <row r="305" customFormat="false" ht="15" hidden="false" customHeight="false" outlineLevel="0" collapsed="false">
      <c r="A305" s="22"/>
      <c r="B305" s="9"/>
      <c r="C305" s="9"/>
      <c r="D305" s="9"/>
      <c r="E305" s="9"/>
      <c r="F305" s="10" t="str">
        <f aca="false">IF($B305="","",$C305+$D305-$E305)</f>
        <v/>
      </c>
      <c r="G305" s="10" t="str">
        <f aca="false">IF($B305="","",IFERROR(INDEX(Drinks!$C$4:$C$53,MATCH($B305,Drinks!$A$4:$A$53,0)),0))</f>
        <v/>
      </c>
      <c r="H305" s="10" t="str">
        <f aca="false">IF($B305="","",$D305*$G305)</f>
        <v/>
      </c>
      <c r="I305" s="10" t="str">
        <f aca="false">IF($B305="","",$F305*$G305)</f>
        <v/>
      </c>
      <c r="J305" s="9"/>
      <c r="K305" s="10" t="str">
        <f aca="false">IF($B305="","",$E305*IFERROR(INDEX(Drinks!$B$4:$B$53,MATCH($B305,Drinks!$A$4:$A$53,0)),0))</f>
        <v/>
      </c>
      <c r="L305" s="10" t="str">
        <f aca="false">IF($B305="","",$J305+$K305)</f>
        <v/>
      </c>
      <c r="M305" s="9"/>
      <c r="N305" s="10" t="str">
        <f aca="false">IF($B305="","",$L305-$M305)</f>
        <v/>
      </c>
      <c r="O305" s="10" t="str">
        <f aca="false">IF($B305="","",IFERROR(INDEX(Drinks!$E$4:$E$53,MATCH($B305,Drinks!$A$4:$A$53,0)),0))</f>
        <v/>
      </c>
      <c r="P305" s="10" t="str">
        <f aca="false">IF($B305="","",$N305*$O305)</f>
        <v/>
      </c>
      <c r="Q305" s="10" t="str">
        <f aca="false">IF($B305="","",$N305*IFERROR(INDEX(Drinks!$D$4:$D$53,MATCH($B305,Drinks!$A$4:$A$53,0)),0))</f>
        <v/>
      </c>
      <c r="R305" s="10" t="str">
        <f aca="false">IF($B305="","",$P305-$Q305)</f>
        <v/>
      </c>
      <c r="S305" s="23" t="str">
        <f aca="false">IF($B305="","",IF(COUNTIFS($A$4:$A$2003,$A305-1,$B$4:$B$2003,$B305)=0,"first day",IF(SUMIFS($M$4:$M$2003,$A$4:$A$2003,$A305-1,$B$4:$B$2003,$B305)=$J305,"OK","CHECK")))</f>
        <v/>
      </c>
      <c r="T305" s="10" t="str">
        <f aca="false">IF($B305="","",IFERROR(INDEX(Drinks!$D$4:$D$53,MATCH($B305,Drinks!$A$4:$A$53,0)),0))</f>
        <v/>
      </c>
    </row>
    <row r="306" customFormat="false" ht="15" hidden="false" customHeight="false" outlineLevel="0" collapsed="false">
      <c r="A306" s="22"/>
      <c r="B306" s="9"/>
      <c r="C306" s="9"/>
      <c r="D306" s="9"/>
      <c r="E306" s="9"/>
      <c r="F306" s="10" t="str">
        <f aca="false">IF($B306="","",$C306+$D306-$E306)</f>
        <v/>
      </c>
      <c r="G306" s="10" t="str">
        <f aca="false">IF($B306="","",IFERROR(INDEX(Drinks!$C$4:$C$53,MATCH($B306,Drinks!$A$4:$A$53,0)),0))</f>
        <v/>
      </c>
      <c r="H306" s="10" t="str">
        <f aca="false">IF($B306="","",$D306*$G306)</f>
        <v/>
      </c>
      <c r="I306" s="10" t="str">
        <f aca="false">IF($B306="","",$F306*$G306)</f>
        <v/>
      </c>
      <c r="J306" s="9"/>
      <c r="K306" s="10" t="str">
        <f aca="false">IF($B306="","",$E306*IFERROR(INDEX(Drinks!$B$4:$B$53,MATCH($B306,Drinks!$A$4:$A$53,0)),0))</f>
        <v/>
      </c>
      <c r="L306" s="10" t="str">
        <f aca="false">IF($B306="","",$J306+$K306)</f>
        <v/>
      </c>
      <c r="M306" s="9"/>
      <c r="N306" s="10" t="str">
        <f aca="false">IF($B306="","",$L306-$M306)</f>
        <v/>
      </c>
      <c r="O306" s="10" t="str">
        <f aca="false">IF($B306="","",IFERROR(INDEX(Drinks!$E$4:$E$53,MATCH($B306,Drinks!$A$4:$A$53,0)),0))</f>
        <v/>
      </c>
      <c r="P306" s="10" t="str">
        <f aca="false">IF($B306="","",$N306*$O306)</f>
        <v/>
      </c>
      <c r="Q306" s="10" t="str">
        <f aca="false">IF($B306="","",$N306*IFERROR(INDEX(Drinks!$D$4:$D$53,MATCH($B306,Drinks!$A$4:$A$53,0)),0))</f>
        <v/>
      </c>
      <c r="R306" s="10" t="str">
        <f aca="false">IF($B306="","",$P306-$Q306)</f>
        <v/>
      </c>
      <c r="S306" s="23" t="str">
        <f aca="false">IF($B306="","",IF(COUNTIFS($A$4:$A$2003,$A306-1,$B$4:$B$2003,$B306)=0,"first day",IF(SUMIFS($M$4:$M$2003,$A$4:$A$2003,$A306-1,$B$4:$B$2003,$B306)=$J306,"OK","CHECK")))</f>
        <v/>
      </c>
      <c r="T306" s="10" t="str">
        <f aca="false">IF($B306="","",IFERROR(INDEX(Drinks!$D$4:$D$53,MATCH($B306,Drinks!$A$4:$A$53,0)),0))</f>
        <v/>
      </c>
    </row>
    <row r="307" customFormat="false" ht="15" hidden="false" customHeight="false" outlineLevel="0" collapsed="false">
      <c r="A307" s="22"/>
      <c r="B307" s="9"/>
      <c r="C307" s="9"/>
      <c r="D307" s="9"/>
      <c r="E307" s="9"/>
      <c r="F307" s="10" t="str">
        <f aca="false">IF($B307="","",$C307+$D307-$E307)</f>
        <v/>
      </c>
      <c r="G307" s="10" t="str">
        <f aca="false">IF($B307="","",IFERROR(INDEX(Drinks!$C$4:$C$53,MATCH($B307,Drinks!$A$4:$A$53,0)),0))</f>
        <v/>
      </c>
      <c r="H307" s="10" t="str">
        <f aca="false">IF($B307="","",$D307*$G307)</f>
        <v/>
      </c>
      <c r="I307" s="10" t="str">
        <f aca="false">IF($B307="","",$F307*$G307)</f>
        <v/>
      </c>
      <c r="J307" s="9"/>
      <c r="K307" s="10" t="str">
        <f aca="false">IF($B307="","",$E307*IFERROR(INDEX(Drinks!$B$4:$B$53,MATCH($B307,Drinks!$A$4:$A$53,0)),0))</f>
        <v/>
      </c>
      <c r="L307" s="10" t="str">
        <f aca="false">IF($B307="","",$J307+$K307)</f>
        <v/>
      </c>
      <c r="M307" s="9"/>
      <c r="N307" s="10" t="str">
        <f aca="false">IF($B307="","",$L307-$M307)</f>
        <v/>
      </c>
      <c r="O307" s="10" t="str">
        <f aca="false">IF($B307="","",IFERROR(INDEX(Drinks!$E$4:$E$53,MATCH($B307,Drinks!$A$4:$A$53,0)),0))</f>
        <v/>
      </c>
      <c r="P307" s="10" t="str">
        <f aca="false">IF($B307="","",$N307*$O307)</f>
        <v/>
      </c>
      <c r="Q307" s="10" t="str">
        <f aca="false">IF($B307="","",$N307*IFERROR(INDEX(Drinks!$D$4:$D$53,MATCH($B307,Drinks!$A$4:$A$53,0)),0))</f>
        <v/>
      </c>
      <c r="R307" s="10" t="str">
        <f aca="false">IF($B307="","",$P307-$Q307)</f>
        <v/>
      </c>
      <c r="S307" s="23" t="str">
        <f aca="false">IF($B307="","",IF(COUNTIFS($A$4:$A$2003,$A307-1,$B$4:$B$2003,$B307)=0,"first day",IF(SUMIFS($M$4:$M$2003,$A$4:$A$2003,$A307-1,$B$4:$B$2003,$B307)=$J307,"OK","CHECK")))</f>
        <v/>
      </c>
      <c r="T307" s="10" t="str">
        <f aca="false">IF($B307="","",IFERROR(INDEX(Drinks!$D$4:$D$53,MATCH($B307,Drinks!$A$4:$A$53,0)),0))</f>
        <v/>
      </c>
    </row>
    <row r="308" customFormat="false" ht="15" hidden="false" customHeight="false" outlineLevel="0" collapsed="false">
      <c r="A308" s="22"/>
      <c r="B308" s="9"/>
      <c r="C308" s="9"/>
      <c r="D308" s="9"/>
      <c r="E308" s="9"/>
      <c r="F308" s="10" t="str">
        <f aca="false">IF($B308="","",$C308+$D308-$E308)</f>
        <v/>
      </c>
      <c r="G308" s="10" t="str">
        <f aca="false">IF($B308="","",IFERROR(INDEX(Drinks!$C$4:$C$53,MATCH($B308,Drinks!$A$4:$A$53,0)),0))</f>
        <v/>
      </c>
      <c r="H308" s="10" t="str">
        <f aca="false">IF($B308="","",$D308*$G308)</f>
        <v/>
      </c>
      <c r="I308" s="10" t="str">
        <f aca="false">IF($B308="","",$F308*$G308)</f>
        <v/>
      </c>
      <c r="J308" s="9"/>
      <c r="K308" s="10" t="str">
        <f aca="false">IF($B308="","",$E308*IFERROR(INDEX(Drinks!$B$4:$B$53,MATCH($B308,Drinks!$A$4:$A$53,0)),0))</f>
        <v/>
      </c>
      <c r="L308" s="10" t="str">
        <f aca="false">IF($B308="","",$J308+$K308)</f>
        <v/>
      </c>
      <c r="M308" s="9"/>
      <c r="N308" s="10" t="str">
        <f aca="false">IF($B308="","",$L308-$M308)</f>
        <v/>
      </c>
      <c r="O308" s="10" t="str">
        <f aca="false">IF($B308="","",IFERROR(INDEX(Drinks!$E$4:$E$53,MATCH($B308,Drinks!$A$4:$A$53,0)),0))</f>
        <v/>
      </c>
      <c r="P308" s="10" t="str">
        <f aca="false">IF($B308="","",$N308*$O308)</f>
        <v/>
      </c>
      <c r="Q308" s="10" t="str">
        <f aca="false">IF($B308="","",$N308*IFERROR(INDEX(Drinks!$D$4:$D$53,MATCH($B308,Drinks!$A$4:$A$53,0)),0))</f>
        <v/>
      </c>
      <c r="R308" s="10" t="str">
        <f aca="false">IF($B308="","",$P308-$Q308)</f>
        <v/>
      </c>
      <c r="S308" s="23" t="str">
        <f aca="false">IF($B308="","",IF(COUNTIFS($A$4:$A$2003,$A308-1,$B$4:$B$2003,$B308)=0,"first day",IF(SUMIFS($M$4:$M$2003,$A$4:$A$2003,$A308-1,$B$4:$B$2003,$B308)=$J308,"OK","CHECK")))</f>
        <v/>
      </c>
      <c r="T308" s="10" t="str">
        <f aca="false">IF($B308="","",IFERROR(INDEX(Drinks!$D$4:$D$53,MATCH($B308,Drinks!$A$4:$A$53,0)),0))</f>
        <v/>
      </c>
    </row>
    <row r="309" customFormat="false" ht="15" hidden="false" customHeight="false" outlineLevel="0" collapsed="false">
      <c r="A309" s="22"/>
      <c r="B309" s="9"/>
      <c r="C309" s="9"/>
      <c r="D309" s="9"/>
      <c r="E309" s="9"/>
      <c r="F309" s="10" t="str">
        <f aca="false">IF($B309="","",$C309+$D309-$E309)</f>
        <v/>
      </c>
      <c r="G309" s="10" t="str">
        <f aca="false">IF($B309="","",IFERROR(INDEX(Drinks!$C$4:$C$53,MATCH($B309,Drinks!$A$4:$A$53,0)),0))</f>
        <v/>
      </c>
      <c r="H309" s="10" t="str">
        <f aca="false">IF($B309="","",$D309*$G309)</f>
        <v/>
      </c>
      <c r="I309" s="10" t="str">
        <f aca="false">IF($B309="","",$F309*$G309)</f>
        <v/>
      </c>
      <c r="J309" s="9"/>
      <c r="K309" s="10" t="str">
        <f aca="false">IF($B309="","",$E309*IFERROR(INDEX(Drinks!$B$4:$B$53,MATCH($B309,Drinks!$A$4:$A$53,0)),0))</f>
        <v/>
      </c>
      <c r="L309" s="10" t="str">
        <f aca="false">IF($B309="","",$J309+$K309)</f>
        <v/>
      </c>
      <c r="M309" s="9"/>
      <c r="N309" s="10" t="str">
        <f aca="false">IF($B309="","",$L309-$M309)</f>
        <v/>
      </c>
      <c r="O309" s="10" t="str">
        <f aca="false">IF($B309="","",IFERROR(INDEX(Drinks!$E$4:$E$53,MATCH($B309,Drinks!$A$4:$A$53,0)),0))</f>
        <v/>
      </c>
      <c r="P309" s="10" t="str">
        <f aca="false">IF($B309="","",$N309*$O309)</f>
        <v/>
      </c>
      <c r="Q309" s="10" t="str">
        <f aca="false">IF($B309="","",$N309*IFERROR(INDEX(Drinks!$D$4:$D$53,MATCH($B309,Drinks!$A$4:$A$53,0)),0))</f>
        <v/>
      </c>
      <c r="R309" s="10" t="str">
        <f aca="false">IF($B309="","",$P309-$Q309)</f>
        <v/>
      </c>
      <c r="S309" s="23" t="str">
        <f aca="false">IF($B309="","",IF(COUNTIFS($A$4:$A$2003,$A309-1,$B$4:$B$2003,$B309)=0,"first day",IF(SUMIFS($M$4:$M$2003,$A$4:$A$2003,$A309-1,$B$4:$B$2003,$B309)=$J309,"OK","CHECK")))</f>
        <v/>
      </c>
      <c r="T309" s="10" t="str">
        <f aca="false">IF($B309="","",IFERROR(INDEX(Drinks!$D$4:$D$53,MATCH($B309,Drinks!$A$4:$A$53,0)),0))</f>
        <v/>
      </c>
    </row>
    <row r="310" customFormat="false" ht="15" hidden="false" customHeight="false" outlineLevel="0" collapsed="false">
      <c r="A310" s="22"/>
      <c r="B310" s="9"/>
      <c r="C310" s="9"/>
      <c r="D310" s="9"/>
      <c r="E310" s="9"/>
      <c r="F310" s="10" t="str">
        <f aca="false">IF($B310="","",$C310+$D310-$E310)</f>
        <v/>
      </c>
      <c r="G310" s="10" t="str">
        <f aca="false">IF($B310="","",IFERROR(INDEX(Drinks!$C$4:$C$53,MATCH($B310,Drinks!$A$4:$A$53,0)),0))</f>
        <v/>
      </c>
      <c r="H310" s="10" t="str">
        <f aca="false">IF($B310="","",$D310*$G310)</f>
        <v/>
      </c>
      <c r="I310" s="10" t="str">
        <f aca="false">IF($B310="","",$F310*$G310)</f>
        <v/>
      </c>
      <c r="J310" s="9"/>
      <c r="K310" s="10" t="str">
        <f aca="false">IF($B310="","",$E310*IFERROR(INDEX(Drinks!$B$4:$B$53,MATCH($B310,Drinks!$A$4:$A$53,0)),0))</f>
        <v/>
      </c>
      <c r="L310" s="10" t="str">
        <f aca="false">IF($B310="","",$J310+$K310)</f>
        <v/>
      </c>
      <c r="M310" s="9"/>
      <c r="N310" s="10" t="str">
        <f aca="false">IF($B310="","",$L310-$M310)</f>
        <v/>
      </c>
      <c r="O310" s="10" t="str">
        <f aca="false">IF($B310="","",IFERROR(INDEX(Drinks!$E$4:$E$53,MATCH($B310,Drinks!$A$4:$A$53,0)),0))</f>
        <v/>
      </c>
      <c r="P310" s="10" t="str">
        <f aca="false">IF($B310="","",$N310*$O310)</f>
        <v/>
      </c>
      <c r="Q310" s="10" t="str">
        <f aca="false">IF($B310="","",$N310*IFERROR(INDEX(Drinks!$D$4:$D$53,MATCH($B310,Drinks!$A$4:$A$53,0)),0))</f>
        <v/>
      </c>
      <c r="R310" s="10" t="str">
        <f aca="false">IF($B310="","",$P310-$Q310)</f>
        <v/>
      </c>
      <c r="S310" s="23" t="str">
        <f aca="false">IF($B310="","",IF(COUNTIFS($A$4:$A$2003,$A310-1,$B$4:$B$2003,$B310)=0,"first day",IF(SUMIFS($M$4:$M$2003,$A$4:$A$2003,$A310-1,$B$4:$B$2003,$B310)=$J310,"OK","CHECK")))</f>
        <v/>
      </c>
      <c r="T310" s="10" t="str">
        <f aca="false">IF($B310="","",IFERROR(INDEX(Drinks!$D$4:$D$53,MATCH($B310,Drinks!$A$4:$A$53,0)),0))</f>
        <v/>
      </c>
    </row>
    <row r="311" customFormat="false" ht="15" hidden="false" customHeight="false" outlineLevel="0" collapsed="false">
      <c r="A311" s="22"/>
      <c r="B311" s="9"/>
      <c r="C311" s="9"/>
      <c r="D311" s="9"/>
      <c r="E311" s="9"/>
      <c r="F311" s="10" t="str">
        <f aca="false">IF($B311="","",$C311+$D311-$E311)</f>
        <v/>
      </c>
      <c r="G311" s="10" t="str">
        <f aca="false">IF($B311="","",IFERROR(INDEX(Drinks!$C$4:$C$53,MATCH($B311,Drinks!$A$4:$A$53,0)),0))</f>
        <v/>
      </c>
      <c r="H311" s="10" t="str">
        <f aca="false">IF($B311="","",$D311*$G311)</f>
        <v/>
      </c>
      <c r="I311" s="10" t="str">
        <f aca="false">IF($B311="","",$F311*$G311)</f>
        <v/>
      </c>
      <c r="J311" s="9"/>
      <c r="K311" s="10" t="str">
        <f aca="false">IF($B311="","",$E311*IFERROR(INDEX(Drinks!$B$4:$B$53,MATCH($B311,Drinks!$A$4:$A$53,0)),0))</f>
        <v/>
      </c>
      <c r="L311" s="10" t="str">
        <f aca="false">IF($B311="","",$J311+$K311)</f>
        <v/>
      </c>
      <c r="M311" s="9"/>
      <c r="N311" s="10" t="str">
        <f aca="false">IF($B311="","",$L311-$M311)</f>
        <v/>
      </c>
      <c r="O311" s="10" t="str">
        <f aca="false">IF($B311="","",IFERROR(INDEX(Drinks!$E$4:$E$53,MATCH($B311,Drinks!$A$4:$A$53,0)),0))</f>
        <v/>
      </c>
      <c r="P311" s="10" t="str">
        <f aca="false">IF($B311="","",$N311*$O311)</f>
        <v/>
      </c>
      <c r="Q311" s="10" t="str">
        <f aca="false">IF($B311="","",$N311*IFERROR(INDEX(Drinks!$D$4:$D$53,MATCH($B311,Drinks!$A$4:$A$53,0)),0))</f>
        <v/>
      </c>
      <c r="R311" s="10" t="str">
        <f aca="false">IF($B311="","",$P311-$Q311)</f>
        <v/>
      </c>
      <c r="S311" s="23" t="str">
        <f aca="false">IF($B311="","",IF(COUNTIFS($A$4:$A$2003,$A311-1,$B$4:$B$2003,$B311)=0,"first day",IF(SUMIFS($M$4:$M$2003,$A$4:$A$2003,$A311-1,$B$4:$B$2003,$B311)=$J311,"OK","CHECK")))</f>
        <v/>
      </c>
      <c r="T311" s="10" t="str">
        <f aca="false">IF($B311="","",IFERROR(INDEX(Drinks!$D$4:$D$53,MATCH($B311,Drinks!$A$4:$A$53,0)),0))</f>
        <v/>
      </c>
    </row>
    <row r="312" customFormat="false" ht="15" hidden="false" customHeight="false" outlineLevel="0" collapsed="false">
      <c r="A312" s="22"/>
      <c r="B312" s="9"/>
      <c r="C312" s="9"/>
      <c r="D312" s="9"/>
      <c r="E312" s="9"/>
      <c r="F312" s="10" t="str">
        <f aca="false">IF($B312="","",$C312+$D312-$E312)</f>
        <v/>
      </c>
      <c r="G312" s="10" t="str">
        <f aca="false">IF($B312="","",IFERROR(INDEX(Drinks!$C$4:$C$53,MATCH($B312,Drinks!$A$4:$A$53,0)),0))</f>
        <v/>
      </c>
      <c r="H312" s="10" t="str">
        <f aca="false">IF($B312="","",$D312*$G312)</f>
        <v/>
      </c>
      <c r="I312" s="10" t="str">
        <f aca="false">IF($B312="","",$F312*$G312)</f>
        <v/>
      </c>
      <c r="J312" s="9"/>
      <c r="K312" s="10" t="str">
        <f aca="false">IF($B312="","",$E312*IFERROR(INDEX(Drinks!$B$4:$B$53,MATCH($B312,Drinks!$A$4:$A$53,0)),0))</f>
        <v/>
      </c>
      <c r="L312" s="10" t="str">
        <f aca="false">IF($B312="","",$J312+$K312)</f>
        <v/>
      </c>
      <c r="M312" s="9"/>
      <c r="N312" s="10" t="str">
        <f aca="false">IF($B312="","",$L312-$M312)</f>
        <v/>
      </c>
      <c r="O312" s="10" t="str">
        <f aca="false">IF($B312="","",IFERROR(INDEX(Drinks!$E$4:$E$53,MATCH($B312,Drinks!$A$4:$A$53,0)),0))</f>
        <v/>
      </c>
      <c r="P312" s="10" t="str">
        <f aca="false">IF($B312="","",$N312*$O312)</f>
        <v/>
      </c>
      <c r="Q312" s="10" t="str">
        <f aca="false">IF($B312="","",$N312*IFERROR(INDEX(Drinks!$D$4:$D$53,MATCH($B312,Drinks!$A$4:$A$53,0)),0))</f>
        <v/>
      </c>
      <c r="R312" s="10" t="str">
        <f aca="false">IF($B312="","",$P312-$Q312)</f>
        <v/>
      </c>
      <c r="S312" s="23" t="str">
        <f aca="false">IF($B312="","",IF(COUNTIFS($A$4:$A$2003,$A312-1,$B$4:$B$2003,$B312)=0,"first day",IF(SUMIFS($M$4:$M$2003,$A$4:$A$2003,$A312-1,$B$4:$B$2003,$B312)=$J312,"OK","CHECK")))</f>
        <v/>
      </c>
      <c r="T312" s="10" t="str">
        <f aca="false">IF($B312="","",IFERROR(INDEX(Drinks!$D$4:$D$53,MATCH($B312,Drinks!$A$4:$A$53,0)),0))</f>
        <v/>
      </c>
    </row>
    <row r="313" customFormat="false" ht="15" hidden="false" customHeight="false" outlineLevel="0" collapsed="false">
      <c r="A313" s="22"/>
      <c r="B313" s="9"/>
      <c r="C313" s="9"/>
      <c r="D313" s="9"/>
      <c r="E313" s="9"/>
      <c r="F313" s="10" t="str">
        <f aca="false">IF($B313="","",$C313+$D313-$E313)</f>
        <v/>
      </c>
      <c r="G313" s="10" t="str">
        <f aca="false">IF($B313="","",IFERROR(INDEX(Drinks!$C$4:$C$53,MATCH($B313,Drinks!$A$4:$A$53,0)),0))</f>
        <v/>
      </c>
      <c r="H313" s="10" t="str">
        <f aca="false">IF($B313="","",$D313*$G313)</f>
        <v/>
      </c>
      <c r="I313" s="10" t="str">
        <f aca="false">IF($B313="","",$F313*$G313)</f>
        <v/>
      </c>
      <c r="J313" s="9"/>
      <c r="K313" s="10" t="str">
        <f aca="false">IF($B313="","",$E313*IFERROR(INDEX(Drinks!$B$4:$B$53,MATCH($B313,Drinks!$A$4:$A$53,0)),0))</f>
        <v/>
      </c>
      <c r="L313" s="10" t="str">
        <f aca="false">IF($B313="","",$J313+$K313)</f>
        <v/>
      </c>
      <c r="M313" s="9"/>
      <c r="N313" s="10" t="str">
        <f aca="false">IF($B313="","",$L313-$M313)</f>
        <v/>
      </c>
      <c r="O313" s="10" t="str">
        <f aca="false">IF($B313="","",IFERROR(INDEX(Drinks!$E$4:$E$53,MATCH($B313,Drinks!$A$4:$A$53,0)),0))</f>
        <v/>
      </c>
      <c r="P313" s="10" t="str">
        <f aca="false">IF($B313="","",$N313*$O313)</f>
        <v/>
      </c>
      <c r="Q313" s="10" t="str">
        <f aca="false">IF($B313="","",$N313*IFERROR(INDEX(Drinks!$D$4:$D$53,MATCH($B313,Drinks!$A$4:$A$53,0)),0))</f>
        <v/>
      </c>
      <c r="R313" s="10" t="str">
        <f aca="false">IF($B313="","",$P313-$Q313)</f>
        <v/>
      </c>
      <c r="S313" s="23" t="str">
        <f aca="false">IF($B313="","",IF(COUNTIFS($A$4:$A$2003,$A313-1,$B$4:$B$2003,$B313)=0,"first day",IF(SUMIFS($M$4:$M$2003,$A$4:$A$2003,$A313-1,$B$4:$B$2003,$B313)=$J313,"OK","CHECK")))</f>
        <v/>
      </c>
      <c r="T313" s="10" t="str">
        <f aca="false">IF($B313="","",IFERROR(INDEX(Drinks!$D$4:$D$53,MATCH($B313,Drinks!$A$4:$A$53,0)),0))</f>
        <v/>
      </c>
    </row>
    <row r="314" customFormat="false" ht="15" hidden="false" customHeight="false" outlineLevel="0" collapsed="false">
      <c r="A314" s="22"/>
      <c r="B314" s="9"/>
      <c r="C314" s="9"/>
      <c r="D314" s="9"/>
      <c r="E314" s="9"/>
      <c r="F314" s="10" t="str">
        <f aca="false">IF($B314="","",$C314+$D314-$E314)</f>
        <v/>
      </c>
      <c r="G314" s="10" t="str">
        <f aca="false">IF($B314="","",IFERROR(INDEX(Drinks!$C$4:$C$53,MATCH($B314,Drinks!$A$4:$A$53,0)),0))</f>
        <v/>
      </c>
      <c r="H314" s="10" t="str">
        <f aca="false">IF($B314="","",$D314*$G314)</f>
        <v/>
      </c>
      <c r="I314" s="10" t="str">
        <f aca="false">IF($B314="","",$F314*$G314)</f>
        <v/>
      </c>
      <c r="J314" s="9"/>
      <c r="K314" s="10" t="str">
        <f aca="false">IF($B314="","",$E314*IFERROR(INDEX(Drinks!$B$4:$B$53,MATCH($B314,Drinks!$A$4:$A$53,0)),0))</f>
        <v/>
      </c>
      <c r="L314" s="10" t="str">
        <f aca="false">IF($B314="","",$J314+$K314)</f>
        <v/>
      </c>
      <c r="M314" s="9"/>
      <c r="N314" s="10" t="str">
        <f aca="false">IF($B314="","",$L314-$M314)</f>
        <v/>
      </c>
      <c r="O314" s="10" t="str">
        <f aca="false">IF($B314="","",IFERROR(INDEX(Drinks!$E$4:$E$53,MATCH($B314,Drinks!$A$4:$A$53,0)),0))</f>
        <v/>
      </c>
      <c r="P314" s="10" t="str">
        <f aca="false">IF($B314="","",$N314*$O314)</f>
        <v/>
      </c>
      <c r="Q314" s="10" t="str">
        <f aca="false">IF($B314="","",$N314*IFERROR(INDEX(Drinks!$D$4:$D$53,MATCH($B314,Drinks!$A$4:$A$53,0)),0))</f>
        <v/>
      </c>
      <c r="R314" s="10" t="str">
        <f aca="false">IF($B314="","",$P314-$Q314)</f>
        <v/>
      </c>
      <c r="S314" s="23" t="str">
        <f aca="false">IF($B314="","",IF(COUNTIFS($A$4:$A$2003,$A314-1,$B$4:$B$2003,$B314)=0,"first day",IF(SUMIFS($M$4:$M$2003,$A$4:$A$2003,$A314-1,$B$4:$B$2003,$B314)=$J314,"OK","CHECK")))</f>
        <v/>
      </c>
      <c r="T314" s="10" t="str">
        <f aca="false">IF($B314="","",IFERROR(INDEX(Drinks!$D$4:$D$53,MATCH($B314,Drinks!$A$4:$A$53,0)),0))</f>
        <v/>
      </c>
    </row>
    <row r="315" customFormat="false" ht="15" hidden="false" customHeight="false" outlineLevel="0" collapsed="false">
      <c r="A315" s="22"/>
      <c r="B315" s="9"/>
      <c r="C315" s="9"/>
      <c r="D315" s="9"/>
      <c r="E315" s="9"/>
      <c r="F315" s="10" t="str">
        <f aca="false">IF($B315="","",$C315+$D315-$E315)</f>
        <v/>
      </c>
      <c r="G315" s="10" t="str">
        <f aca="false">IF($B315="","",IFERROR(INDEX(Drinks!$C$4:$C$53,MATCH($B315,Drinks!$A$4:$A$53,0)),0))</f>
        <v/>
      </c>
      <c r="H315" s="10" t="str">
        <f aca="false">IF($B315="","",$D315*$G315)</f>
        <v/>
      </c>
      <c r="I315" s="10" t="str">
        <f aca="false">IF($B315="","",$F315*$G315)</f>
        <v/>
      </c>
      <c r="J315" s="9"/>
      <c r="K315" s="10" t="str">
        <f aca="false">IF($B315="","",$E315*IFERROR(INDEX(Drinks!$B$4:$B$53,MATCH($B315,Drinks!$A$4:$A$53,0)),0))</f>
        <v/>
      </c>
      <c r="L315" s="10" t="str">
        <f aca="false">IF($B315="","",$J315+$K315)</f>
        <v/>
      </c>
      <c r="M315" s="9"/>
      <c r="N315" s="10" t="str">
        <f aca="false">IF($B315="","",$L315-$M315)</f>
        <v/>
      </c>
      <c r="O315" s="10" t="str">
        <f aca="false">IF($B315="","",IFERROR(INDEX(Drinks!$E$4:$E$53,MATCH($B315,Drinks!$A$4:$A$53,0)),0))</f>
        <v/>
      </c>
      <c r="P315" s="10" t="str">
        <f aca="false">IF($B315="","",$N315*$O315)</f>
        <v/>
      </c>
      <c r="Q315" s="10" t="str">
        <f aca="false">IF($B315="","",$N315*IFERROR(INDEX(Drinks!$D$4:$D$53,MATCH($B315,Drinks!$A$4:$A$53,0)),0))</f>
        <v/>
      </c>
      <c r="R315" s="10" t="str">
        <f aca="false">IF($B315="","",$P315-$Q315)</f>
        <v/>
      </c>
      <c r="S315" s="23" t="str">
        <f aca="false">IF($B315="","",IF(COUNTIFS($A$4:$A$2003,$A315-1,$B$4:$B$2003,$B315)=0,"first day",IF(SUMIFS($M$4:$M$2003,$A$4:$A$2003,$A315-1,$B$4:$B$2003,$B315)=$J315,"OK","CHECK")))</f>
        <v/>
      </c>
      <c r="T315" s="10" t="str">
        <f aca="false">IF($B315="","",IFERROR(INDEX(Drinks!$D$4:$D$53,MATCH($B315,Drinks!$A$4:$A$53,0)),0))</f>
        <v/>
      </c>
    </row>
    <row r="316" customFormat="false" ht="15" hidden="false" customHeight="false" outlineLevel="0" collapsed="false">
      <c r="A316" s="22"/>
      <c r="B316" s="9"/>
      <c r="C316" s="9"/>
      <c r="D316" s="9"/>
      <c r="E316" s="9"/>
      <c r="F316" s="10" t="str">
        <f aca="false">IF($B316="","",$C316+$D316-$E316)</f>
        <v/>
      </c>
      <c r="G316" s="10" t="str">
        <f aca="false">IF($B316="","",IFERROR(INDEX(Drinks!$C$4:$C$53,MATCH($B316,Drinks!$A$4:$A$53,0)),0))</f>
        <v/>
      </c>
      <c r="H316" s="10" t="str">
        <f aca="false">IF($B316="","",$D316*$G316)</f>
        <v/>
      </c>
      <c r="I316" s="10" t="str">
        <f aca="false">IF($B316="","",$F316*$G316)</f>
        <v/>
      </c>
      <c r="J316" s="9"/>
      <c r="K316" s="10" t="str">
        <f aca="false">IF($B316="","",$E316*IFERROR(INDEX(Drinks!$B$4:$B$53,MATCH($B316,Drinks!$A$4:$A$53,0)),0))</f>
        <v/>
      </c>
      <c r="L316" s="10" t="str">
        <f aca="false">IF($B316="","",$J316+$K316)</f>
        <v/>
      </c>
      <c r="M316" s="9"/>
      <c r="N316" s="10" t="str">
        <f aca="false">IF($B316="","",$L316-$M316)</f>
        <v/>
      </c>
      <c r="O316" s="10" t="str">
        <f aca="false">IF($B316="","",IFERROR(INDEX(Drinks!$E$4:$E$53,MATCH($B316,Drinks!$A$4:$A$53,0)),0))</f>
        <v/>
      </c>
      <c r="P316" s="10" t="str">
        <f aca="false">IF($B316="","",$N316*$O316)</f>
        <v/>
      </c>
      <c r="Q316" s="10" t="str">
        <f aca="false">IF($B316="","",$N316*IFERROR(INDEX(Drinks!$D$4:$D$53,MATCH($B316,Drinks!$A$4:$A$53,0)),0))</f>
        <v/>
      </c>
      <c r="R316" s="10" t="str">
        <f aca="false">IF($B316="","",$P316-$Q316)</f>
        <v/>
      </c>
      <c r="S316" s="23" t="str">
        <f aca="false">IF($B316="","",IF(COUNTIFS($A$4:$A$2003,$A316-1,$B$4:$B$2003,$B316)=0,"first day",IF(SUMIFS($M$4:$M$2003,$A$4:$A$2003,$A316-1,$B$4:$B$2003,$B316)=$J316,"OK","CHECK")))</f>
        <v/>
      </c>
      <c r="T316" s="10" t="str">
        <f aca="false">IF($B316="","",IFERROR(INDEX(Drinks!$D$4:$D$53,MATCH($B316,Drinks!$A$4:$A$53,0)),0))</f>
        <v/>
      </c>
    </row>
    <row r="317" customFormat="false" ht="15" hidden="false" customHeight="false" outlineLevel="0" collapsed="false">
      <c r="A317" s="22"/>
      <c r="B317" s="9"/>
      <c r="C317" s="9"/>
      <c r="D317" s="9"/>
      <c r="E317" s="9"/>
      <c r="F317" s="10" t="str">
        <f aca="false">IF($B317="","",$C317+$D317-$E317)</f>
        <v/>
      </c>
      <c r="G317" s="10" t="str">
        <f aca="false">IF($B317="","",IFERROR(INDEX(Drinks!$C$4:$C$53,MATCH($B317,Drinks!$A$4:$A$53,0)),0))</f>
        <v/>
      </c>
      <c r="H317" s="10" t="str">
        <f aca="false">IF($B317="","",$D317*$G317)</f>
        <v/>
      </c>
      <c r="I317" s="10" t="str">
        <f aca="false">IF($B317="","",$F317*$G317)</f>
        <v/>
      </c>
      <c r="J317" s="9"/>
      <c r="K317" s="10" t="str">
        <f aca="false">IF($B317="","",$E317*IFERROR(INDEX(Drinks!$B$4:$B$53,MATCH($B317,Drinks!$A$4:$A$53,0)),0))</f>
        <v/>
      </c>
      <c r="L317" s="10" t="str">
        <f aca="false">IF($B317="","",$J317+$K317)</f>
        <v/>
      </c>
      <c r="M317" s="9"/>
      <c r="N317" s="10" t="str">
        <f aca="false">IF($B317="","",$L317-$M317)</f>
        <v/>
      </c>
      <c r="O317" s="10" t="str">
        <f aca="false">IF($B317="","",IFERROR(INDEX(Drinks!$E$4:$E$53,MATCH($B317,Drinks!$A$4:$A$53,0)),0))</f>
        <v/>
      </c>
      <c r="P317" s="10" t="str">
        <f aca="false">IF($B317="","",$N317*$O317)</f>
        <v/>
      </c>
      <c r="Q317" s="10" t="str">
        <f aca="false">IF($B317="","",$N317*IFERROR(INDEX(Drinks!$D$4:$D$53,MATCH($B317,Drinks!$A$4:$A$53,0)),0))</f>
        <v/>
      </c>
      <c r="R317" s="10" t="str">
        <f aca="false">IF($B317="","",$P317-$Q317)</f>
        <v/>
      </c>
      <c r="S317" s="23" t="str">
        <f aca="false">IF($B317="","",IF(COUNTIFS($A$4:$A$2003,$A317-1,$B$4:$B$2003,$B317)=0,"first day",IF(SUMIFS($M$4:$M$2003,$A$4:$A$2003,$A317-1,$B$4:$B$2003,$B317)=$J317,"OK","CHECK")))</f>
        <v/>
      </c>
      <c r="T317" s="10" t="str">
        <f aca="false">IF($B317="","",IFERROR(INDEX(Drinks!$D$4:$D$53,MATCH($B317,Drinks!$A$4:$A$53,0)),0))</f>
        <v/>
      </c>
    </row>
    <row r="318" customFormat="false" ht="15" hidden="false" customHeight="false" outlineLevel="0" collapsed="false">
      <c r="A318" s="22"/>
      <c r="B318" s="9"/>
      <c r="C318" s="9"/>
      <c r="D318" s="9"/>
      <c r="E318" s="9"/>
      <c r="F318" s="10" t="str">
        <f aca="false">IF($B318="","",$C318+$D318-$E318)</f>
        <v/>
      </c>
      <c r="G318" s="10" t="str">
        <f aca="false">IF($B318="","",IFERROR(INDEX(Drinks!$C$4:$C$53,MATCH($B318,Drinks!$A$4:$A$53,0)),0))</f>
        <v/>
      </c>
      <c r="H318" s="10" t="str">
        <f aca="false">IF($B318="","",$D318*$G318)</f>
        <v/>
      </c>
      <c r="I318" s="10" t="str">
        <f aca="false">IF($B318="","",$F318*$G318)</f>
        <v/>
      </c>
      <c r="J318" s="9"/>
      <c r="K318" s="10" t="str">
        <f aca="false">IF($B318="","",$E318*IFERROR(INDEX(Drinks!$B$4:$B$53,MATCH($B318,Drinks!$A$4:$A$53,0)),0))</f>
        <v/>
      </c>
      <c r="L318" s="10" t="str">
        <f aca="false">IF($B318="","",$J318+$K318)</f>
        <v/>
      </c>
      <c r="M318" s="9"/>
      <c r="N318" s="10" t="str">
        <f aca="false">IF($B318="","",$L318-$M318)</f>
        <v/>
      </c>
      <c r="O318" s="10" t="str">
        <f aca="false">IF($B318="","",IFERROR(INDEX(Drinks!$E$4:$E$53,MATCH($B318,Drinks!$A$4:$A$53,0)),0))</f>
        <v/>
      </c>
      <c r="P318" s="10" t="str">
        <f aca="false">IF($B318="","",$N318*$O318)</f>
        <v/>
      </c>
      <c r="Q318" s="10" t="str">
        <f aca="false">IF($B318="","",$N318*IFERROR(INDEX(Drinks!$D$4:$D$53,MATCH($B318,Drinks!$A$4:$A$53,0)),0))</f>
        <v/>
      </c>
      <c r="R318" s="10" t="str">
        <f aca="false">IF($B318="","",$P318-$Q318)</f>
        <v/>
      </c>
      <c r="S318" s="23" t="str">
        <f aca="false">IF($B318="","",IF(COUNTIFS($A$4:$A$2003,$A318-1,$B$4:$B$2003,$B318)=0,"first day",IF(SUMIFS($M$4:$M$2003,$A$4:$A$2003,$A318-1,$B$4:$B$2003,$B318)=$J318,"OK","CHECK")))</f>
        <v/>
      </c>
      <c r="T318" s="10" t="str">
        <f aca="false">IF($B318="","",IFERROR(INDEX(Drinks!$D$4:$D$53,MATCH($B318,Drinks!$A$4:$A$53,0)),0))</f>
        <v/>
      </c>
    </row>
    <row r="319" customFormat="false" ht="15" hidden="false" customHeight="false" outlineLevel="0" collapsed="false">
      <c r="A319" s="22"/>
      <c r="B319" s="9"/>
      <c r="C319" s="9"/>
      <c r="D319" s="9"/>
      <c r="E319" s="9"/>
      <c r="F319" s="10" t="str">
        <f aca="false">IF($B319="","",$C319+$D319-$E319)</f>
        <v/>
      </c>
      <c r="G319" s="10" t="str">
        <f aca="false">IF($B319="","",IFERROR(INDEX(Drinks!$C$4:$C$53,MATCH($B319,Drinks!$A$4:$A$53,0)),0))</f>
        <v/>
      </c>
      <c r="H319" s="10" t="str">
        <f aca="false">IF($B319="","",$D319*$G319)</f>
        <v/>
      </c>
      <c r="I319" s="10" t="str">
        <f aca="false">IF($B319="","",$F319*$G319)</f>
        <v/>
      </c>
      <c r="J319" s="9"/>
      <c r="K319" s="10" t="str">
        <f aca="false">IF($B319="","",$E319*IFERROR(INDEX(Drinks!$B$4:$B$53,MATCH($B319,Drinks!$A$4:$A$53,0)),0))</f>
        <v/>
      </c>
      <c r="L319" s="10" t="str">
        <f aca="false">IF($B319="","",$J319+$K319)</f>
        <v/>
      </c>
      <c r="M319" s="9"/>
      <c r="N319" s="10" t="str">
        <f aca="false">IF($B319="","",$L319-$M319)</f>
        <v/>
      </c>
      <c r="O319" s="10" t="str">
        <f aca="false">IF($B319="","",IFERROR(INDEX(Drinks!$E$4:$E$53,MATCH($B319,Drinks!$A$4:$A$53,0)),0))</f>
        <v/>
      </c>
      <c r="P319" s="10" t="str">
        <f aca="false">IF($B319="","",$N319*$O319)</f>
        <v/>
      </c>
      <c r="Q319" s="10" t="str">
        <f aca="false">IF($B319="","",$N319*IFERROR(INDEX(Drinks!$D$4:$D$53,MATCH($B319,Drinks!$A$4:$A$53,0)),0))</f>
        <v/>
      </c>
      <c r="R319" s="10" t="str">
        <f aca="false">IF($B319="","",$P319-$Q319)</f>
        <v/>
      </c>
      <c r="S319" s="23" t="str">
        <f aca="false">IF($B319="","",IF(COUNTIFS($A$4:$A$2003,$A319-1,$B$4:$B$2003,$B319)=0,"first day",IF(SUMIFS($M$4:$M$2003,$A$4:$A$2003,$A319-1,$B$4:$B$2003,$B319)=$J319,"OK","CHECK")))</f>
        <v/>
      </c>
      <c r="T319" s="10" t="str">
        <f aca="false">IF($B319="","",IFERROR(INDEX(Drinks!$D$4:$D$53,MATCH($B319,Drinks!$A$4:$A$53,0)),0))</f>
        <v/>
      </c>
    </row>
    <row r="320" customFormat="false" ht="15" hidden="false" customHeight="false" outlineLevel="0" collapsed="false">
      <c r="A320" s="22"/>
      <c r="B320" s="9"/>
      <c r="C320" s="9"/>
      <c r="D320" s="9"/>
      <c r="E320" s="9"/>
      <c r="F320" s="10" t="str">
        <f aca="false">IF($B320="","",$C320+$D320-$E320)</f>
        <v/>
      </c>
      <c r="G320" s="10" t="str">
        <f aca="false">IF($B320="","",IFERROR(INDEX(Drinks!$C$4:$C$53,MATCH($B320,Drinks!$A$4:$A$53,0)),0))</f>
        <v/>
      </c>
      <c r="H320" s="10" t="str">
        <f aca="false">IF($B320="","",$D320*$G320)</f>
        <v/>
      </c>
      <c r="I320" s="10" t="str">
        <f aca="false">IF($B320="","",$F320*$G320)</f>
        <v/>
      </c>
      <c r="J320" s="9"/>
      <c r="K320" s="10" t="str">
        <f aca="false">IF($B320="","",$E320*IFERROR(INDEX(Drinks!$B$4:$B$53,MATCH($B320,Drinks!$A$4:$A$53,0)),0))</f>
        <v/>
      </c>
      <c r="L320" s="10" t="str">
        <f aca="false">IF($B320="","",$J320+$K320)</f>
        <v/>
      </c>
      <c r="M320" s="9"/>
      <c r="N320" s="10" t="str">
        <f aca="false">IF($B320="","",$L320-$M320)</f>
        <v/>
      </c>
      <c r="O320" s="10" t="str">
        <f aca="false">IF($B320="","",IFERROR(INDEX(Drinks!$E$4:$E$53,MATCH($B320,Drinks!$A$4:$A$53,0)),0))</f>
        <v/>
      </c>
      <c r="P320" s="10" t="str">
        <f aca="false">IF($B320="","",$N320*$O320)</f>
        <v/>
      </c>
      <c r="Q320" s="10" t="str">
        <f aca="false">IF($B320="","",$N320*IFERROR(INDEX(Drinks!$D$4:$D$53,MATCH($B320,Drinks!$A$4:$A$53,0)),0))</f>
        <v/>
      </c>
      <c r="R320" s="10" t="str">
        <f aca="false">IF($B320="","",$P320-$Q320)</f>
        <v/>
      </c>
      <c r="S320" s="23" t="str">
        <f aca="false">IF($B320="","",IF(COUNTIFS($A$4:$A$2003,$A320-1,$B$4:$B$2003,$B320)=0,"first day",IF(SUMIFS($M$4:$M$2003,$A$4:$A$2003,$A320-1,$B$4:$B$2003,$B320)=$J320,"OK","CHECK")))</f>
        <v/>
      </c>
      <c r="T320" s="10" t="str">
        <f aca="false">IF($B320="","",IFERROR(INDEX(Drinks!$D$4:$D$53,MATCH($B320,Drinks!$A$4:$A$53,0)),0))</f>
        <v/>
      </c>
    </row>
    <row r="321" customFormat="false" ht="15" hidden="false" customHeight="false" outlineLevel="0" collapsed="false">
      <c r="A321" s="22"/>
      <c r="B321" s="9"/>
      <c r="C321" s="9"/>
      <c r="D321" s="9"/>
      <c r="E321" s="9"/>
      <c r="F321" s="10" t="str">
        <f aca="false">IF($B321="","",$C321+$D321-$E321)</f>
        <v/>
      </c>
      <c r="G321" s="10" t="str">
        <f aca="false">IF($B321="","",IFERROR(INDEX(Drinks!$C$4:$C$53,MATCH($B321,Drinks!$A$4:$A$53,0)),0))</f>
        <v/>
      </c>
      <c r="H321" s="10" t="str">
        <f aca="false">IF($B321="","",$D321*$G321)</f>
        <v/>
      </c>
      <c r="I321" s="10" t="str">
        <f aca="false">IF($B321="","",$F321*$G321)</f>
        <v/>
      </c>
      <c r="J321" s="9"/>
      <c r="K321" s="10" t="str">
        <f aca="false">IF($B321="","",$E321*IFERROR(INDEX(Drinks!$B$4:$B$53,MATCH($B321,Drinks!$A$4:$A$53,0)),0))</f>
        <v/>
      </c>
      <c r="L321" s="10" t="str">
        <f aca="false">IF($B321="","",$J321+$K321)</f>
        <v/>
      </c>
      <c r="M321" s="9"/>
      <c r="N321" s="10" t="str">
        <f aca="false">IF($B321="","",$L321-$M321)</f>
        <v/>
      </c>
      <c r="O321" s="10" t="str">
        <f aca="false">IF($B321="","",IFERROR(INDEX(Drinks!$E$4:$E$53,MATCH($B321,Drinks!$A$4:$A$53,0)),0))</f>
        <v/>
      </c>
      <c r="P321" s="10" t="str">
        <f aca="false">IF($B321="","",$N321*$O321)</f>
        <v/>
      </c>
      <c r="Q321" s="10" t="str">
        <f aca="false">IF($B321="","",$N321*IFERROR(INDEX(Drinks!$D$4:$D$53,MATCH($B321,Drinks!$A$4:$A$53,0)),0))</f>
        <v/>
      </c>
      <c r="R321" s="10" t="str">
        <f aca="false">IF($B321="","",$P321-$Q321)</f>
        <v/>
      </c>
      <c r="S321" s="23" t="str">
        <f aca="false">IF($B321="","",IF(COUNTIFS($A$4:$A$2003,$A321-1,$B$4:$B$2003,$B321)=0,"first day",IF(SUMIFS($M$4:$M$2003,$A$4:$A$2003,$A321-1,$B$4:$B$2003,$B321)=$J321,"OK","CHECK")))</f>
        <v/>
      </c>
      <c r="T321" s="10" t="str">
        <f aca="false">IF($B321="","",IFERROR(INDEX(Drinks!$D$4:$D$53,MATCH($B321,Drinks!$A$4:$A$53,0)),0))</f>
        <v/>
      </c>
    </row>
    <row r="322" customFormat="false" ht="15" hidden="false" customHeight="false" outlineLevel="0" collapsed="false">
      <c r="A322" s="22"/>
      <c r="B322" s="9"/>
      <c r="C322" s="9"/>
      <c r="D322" s="9"/>
      <c r="E322" s="9"/>
      <c r="F322" s="10" t="str">
        <f aca="false">IF($B322="","",$C322+$D322-$E322)</f>
        <v/>
      </c>
      <c r="G322" s="10" t="str">
        <f aca="false">IF($B322="","",IFERROR(INDEX(Drinks!$C$4:$C$53,MATCH($B322,Drinks!$A$4:$A$53,0)),0))</f>
        <v/>
      </c>
      <c r="H322" s="10" t="str">
        <f aca="false">IF($B322="","",$D322*$G322)</f>
        <v/>
      </c>
      <c r="I322" s="10" t="str">
        <f aca="false">IF($B322="","",$F322*$G322)</f>
        <v/>
      </c>
      <c r="J322" s="9"/>
      <c r="K322" s="10" t="str">
        <f aca="false">IF($B322="","",$E322*IFERROR(INDEX(Drinks!$B$4:$B$53,MATCH($B322,Drinks!$A$4:$A$53,0)),0))</f>
        <v/>
      </c>
      <c r="L322" s="10" t="str">
        <f aca="false">IF($B322="","",$J322+$K322)</f>
        <v/>
      </c>
      <c r="M322" s="9"/>
      <c r="N322" s="10" t="str">
        <f aca="false">IF($B322="","",$L322-$M322)</f>
        <v/>
      </c>
      <c r="O322" s="10" t="str">
        <f aca="false">IF($B322="","",IFERROR(INDEX(Drinks!$E$4:$E$53,MATCH($B322,Drinks!$A$4:$A$53,0)),0))</f>
        <v/>
      </c>
      <c r="P322" s="10" t="str">
        <f aca="false">IF($B322="","",$N322*$O322)</f>
        <v/>
      </c>
      <c r="Q322" s="10" t="str">
        <f aca="false">IF($B322="","",$N322*IFERROR(INDEX(Drinks!$D$4:$D$53,MATCH($B322,Drinks!$A$4:$A$53,0)),0))</f>
        <v/>
      </c>
      <c r="R322" s="10" t="str">
        <f aca="false">IF($B322="","",$P322-$Q322)</f>
        <v/>
      </c>
      <c r="S322" s="23" t="str">
        <f aca="false">IF($B322="","",IF(COUNTIFS($A$4:$A$2003,$A322-1,$B$4:$B$2003,$B322)=0,"first day",IF(SUMIFS($M$4:$M$2003,$A$4:$A$2003,$A322-1,$B$4:$B$2003,$B322)=$J322,"OK","CHECK")))</f>
        <v/>
      </c>
      <c r="T322" s="10" t="str">
        <f aca="false">IF($B322="","",IFERROR(INDEX(Drinks!$D$4:$D$53,MATCH($B322,Drinks!$A$4:$A$53,0)),0))</f>
        <v/>
      </c>
    </row>
    <row r="323" customFormat="false" ht="15" hidden="false" customHeight="false" outlineLevel="0" collapsed="false">
      <c r="A323" s="22"/>
      <c r="B323" s="9"/>
      <c r="C323" s="9"/>
      <c r="D323" s="9"/>
      <c r="E323" s="9"/>
      <c r="F323" s="10" t="str">
        <f aca="false">IF($B323="","",$C323+$D323-$E323)</f>
        <v/>
      </c>
      <c r="G323" s="10" t="str">
        <f aca="false">IF($B323="","",IFERROR(INDEX(Drinks!$C$4:$C$53,MATCH($B323,Drinks!$A$4:$A$53,0)),0))</f>
        <v/>
      </c>
      <c r="H323" s="10" t="str">
        <f aca="false">IF($B323="","",$D323*$G323)</f>
        <v/>
      </c>
      <c r="I323" s="10" t="str">
        <f aca="false">IF($B323="","",$F323*$G323)</f>
        <v/>
      </c>
      <c r="J323" s="9"/>
      <c r="K323" s="10" t="str">
        <f aca="false">IF($B323="","",$E323*IFERROR(INDEX(Drinks!$B$4:$B$53,MATCH($B323,Drinks!$A$4:$A$53,0)),0))</f>
        <v/>
      </c>
      <c r="L323" s="10" t="str">
        <f aca="false">IF($B323="","",$J323+$K323)</f>
        <v/>
      </c>
      <c r="M323" s="9"/>
      <c r="N323" s="10" t="str">
        <f aca="false">IF($B323="","",$L323-$M323)</f>
        <v/>
      </c>
      <c r="O323" s="10" t="str">
        <f aca="false">IF($B323="","",IFERROR(INDEX(Drinks!$E$4:$E$53,MATCH($B323,Drinks!$A$4:$A$53,0)),0))</f>
        <v/>
      </c>
      <c r="P323" s="10" t="str">
        <f aca="false">IF($B323="","",$N323*$O323)</f>
        <v/>
      </c>
      <c r="Q323" s="10" t="str">
        <f aca="false">IF($B323="","",$N323*IFERROR(INDEX(Drinks!$D$4:$D$53,MATCH($B323,Drinks!$A$4:$A$53,0)),0))</f>
        <v/>
      </c>
      <c r="R323" s="10" t="str">
        <f aca="false">IF($B323="","",$P323-$Q323)</f>
        <v/>
      </c>
      <c r="S323" s="23" t="str">
        <f aca="false">IF($B323="","",IF(COUNTIFS($A$4:$A$2003,$A323-1,$B$4:$B$2003,$B323)=0,"first day",IF(SUMIFS($M$4:$M$2003,$A$4:$A$2003,$A323-1,$B$4:$B$2003,$B323)=$J323,"OK","CHECK")))</f>
        <v/>
      </c>
      <c r="T323" s="10" t="str">
        <f aca="false">IF($B323="","",IFERROR(INDEX(Drinks!$D$4:$D$53,MATCH($B323,Drinks!$A$4:$A$53,0)),0))</f>
        <v/>
      </c>
    </row>
    <row r="324" customFormat="false" ht="15" hidden="false" customHeight="false" outlineLevel="0" collapsed="false">
      <c r="A324" s="22"/>
      <c r="B324" s="9"/>
      <c r="C324" s="9"/>
      <c r="D324" s="9"/>
      <c r="E324" s="9"/>
      <c r="F324" s="10" t="str">
        <f aca="false">IF($B324="","",$C324+$D324-$E324)</f>
        <v/>
      </c>
      <c r="G324" s="10" t="str">
        <f aca="false">IF($B324="","",IFERROR(INDEX(Drinks!$C$4:$C$53,MATCH($B324,Drinks!$A$4:$A$53,0)),0))</f>
        <v/>
      </c>
      <c r="H324" s="10" t="str">
        <f aca="false">IF($B324="","",$D324*$G324)</f>
        <v/>
      </c>
      <c r="I324" s="10" t="str">
        <f aca="false">IF($B324="","",$F324*$G324)</f>
        <v/>
      </c>
      <c r="J324" s="9"/>
      <c r="K324" s="10" t="str">
        <f aca="false">IF($B324="","",$E324*IFERROR(INDEX(Drinks!$B$4:$B$53,MATCH($B324,Drinks!$A$4:$A$53,0)),0))</f>
        <v/>
      </c>
      <c r="L324" s="10" t="str">
        <f aca="false">IF($B324="","",$J324+$K324)</f>
        <v/>
      </c>
      <c r="M324" s="9"/>
      <c r="N324" s="10" t="str">
        <f aca="false">IF($B324="","",$L324-$M324)</f>
        <v/>
      </c>
      <c r="O324" s="10" t="str">
        <f aca="false">IF($B324="","",IFERROR(INDEX(Drinks!$E$4:$E$53,MATCH($B324,Drinks!$A$4:$A$53,0)),0))</f>
        <v/>
      </c>
      <c r="P324" s="10" t="str">
        <f aca="false">IF($B324="","",$N324*$O324)</f>
        <v/>
      </c>
      <c r="Q324" s="10" t="str">
        <f aca="false">IF($B324="","",$N324*IFERROR(INDEX(Drinks!$D$4:$D$53,MATCH($B324,Drinks!$A$4:$A$53,0)),0))</f>
        <v/>
      </c>
      <c r="R324" s="10" t="str">
        <f aca="false">IF($B324="","",$P324-$Q324)</f>
        <v/>
      </c>
      <c r="S324" s="23" t="str">
        <f aca="false">IF($B324="","",IF(COUNTIFS($A$4:$A$2003,$A324-1,$B$4:$B$2003,$B324)=0,"first day",IF(SUMIFS($M$4:$M$2003,$A$4:$A$2003,$A324-1,$B$4:$B$2003,$B324)=$J324,"OK","CHECK")))</f>
        <v/>
      </c>
      <c r="T324" s="10" t="str">
        <f aca="false">IF($B324="","",IFERROR(INDEX(Drinks!$D$4:$D$53,MATCH($B324,Drinks!$A$4:$A$53,0)),0))</f>
        <v/>
      </c>
    </row>
    <row r="325" customFormat="false" ht="15" hidden="false" customHeight="false" outlineLevel="0" collapsed="false">
      <c r="A325" s="22"/>
      <c r="B325" s="9"/>
      <c r="C325" s="9"/>
      <c r="D325" s="9"/>
      <c r="E325" s="9"/>
      <c r="F325" s="10" t="str">
        <f aca="false">IF($B325="","",$C325+$D325-$E325)</f>
        <v/>
      </c>
      <c r="G325" s="10" t="str">
        <f aca="false">IF($B325="","",IFERROR(INDEX(Drinks!$C$4:$C$53,MATCH($B325,Drinks!$A$4:$A$53,0)),0))</f>
        <v/>
      </c>
      <c r="H325" s="10" t="str">
        <f aca="false">IF($B325="","",$D325*$G325)</f>
        <v/>
      </c>
      <c r="I325" s="10" t="str">
        <f aca="false">IF($B325="","",$F325*$G325)</f>
        <v/>
      </c>
      <c r="J325" s="9"/>
      <c r="K325" s="10" t="str">
        <f aca="false">IF($B325="","",$E325*IFERROR(INDEX(Drinks!$B$4:$B$53,MATCH($B325,Drinks!$A$4:$A$53,0)),0))</f>
        <v/>
      </c>
      <c r="L325" s="10" t="str">
        <f aca="false">IF($B325="","",$J325+$K325)</f>
        <v/>
      </c>
      <c r="M325" s="9"/>
      <c r="N325" s="10" t="str">
        <f aca="false">IF($B325="","",$L325-$M325)</f>
        <v/>
      </c>
      <c r="O325" s="10" t="str">
        <f aca="false">IF($B325="","",IFERROR(INDEX(Drinks!$E$4:$E$53,MATCH($B325,Drinks!$A$4:$A$53,0)),0))</f>
        <v/>
      </c>
      <c r="P325" s="10" t="str">
        <f aca="false">IF($B325="","",$N325*$O325)</f>
        <v/>
      </c>
      <c r="Q325" s="10" t="str">
        <f aca="false">IF($B325="","",$N325*IFERROR(INDEX(Drinks!$D$4:$D$53,MATCH($B325,Drinks!$A$4:$A$53,0)),0))</f>
        <v/>
      </c>
      <c r="R325" s="10" t="str">
        <f aca="false">IF($B325="","",$P325-$Q325)</f>
        <v/>
      </c>
      <c r="S325" s="23" t="str">
        <f aca="false">IF($B325="","",IF(COUNTIFS($A$4:$A$2003,$A325-1,$B$4:$B$2003,$B325)=0,"first day",IF(SUMIFS($M$4:$M$2003,$A$4:$A$2003,$A325-1,$B$4:$B$2003,$B325)=$J325,"OK","CHECK")))</f>
        <v/>
      </c>
      <c r="T325" s="10" t="str">
        <f aca="false">IF($B325="","",IFERROR(INDEX(Drinks!$D$4:$D$53,MATCH($B325,Drinks!$A$4:$A$53,0)),0))</f>
        <v/>
      </c>
    </row>
    <row r="326" customFormat="false" ht="15" hidden="false" customHeight="false" outlineLevel="0" collapsed="false">
      <c r="A326" s="22"/>
      <c r="B326" s="9"/>
      <c r="C326" s="9"/>
      <c r="D326" s="9"/>
      <c r="E326" s="9"/>
      <c r="F326" s="10" t="str">
        <f aca="false">IF($B326="","",$C326+$D326-$E326)</f>
        <v/>
      </c>
      <c r="G326" s="10" t="str">
        <f aca="false">IF($B326="","",IFERROR(INDEX(Drinks!$C$4:$C$53,MATCH($B326,Drinks!$A$4:$A$53,0)),0))</f>
        <v/>
      </c>
      <c r="H326" s="10" t="str">
        <f aca="false">IF($B326="","",$D326*$G326)</f>
        <v/>
      </c>
      <c r="I326" s="10" t="str">
        <f aca="false">IF($B326="","",$F326*$G326)</f>
        <v/>
      </c>
      <c r="J326" s="9"/>
      <c r="K326" s="10" t="str">
        <f aca="false">IF($B326="","",$E326*IFERROR(INDEX(Drinks!$B$4:$B$53,MATCH($B326,Drinks!$A$4:$A$53,0)),0))</f>
        <v/>
      </c>
      <c r="L326" s="10" t="str">
        <f aca="false">IF($B326="","",$J326+$K326)</f>
        <v/>
      </c>
      <c r="M326" s="9"/>
      <c r="N326" s="10" t="str">
        <f aca="false">IF($B326="","",$L326-$M326)</f>
        <v/>
      </c>
      <c r="O326" s="10" t="str">
        <f aca="false">IF($B326="","",IFERROR(INDEX(Drinks!$E$4:$E$53,MATCH($B326,Drinks!$A$4:$A$53,0)),0))</f>
        <v/>
      </c>
      <c r="P326" s="10" t="str">
        <f aca="false">IF($B326="","",$N326*$O326)</f>
        <v/>
      </c>
      <c r="Q326" s="10" t="str">
        <f aca="false">IF($B326="","",$N326*IFERROR(INDEX(Drinks!$D$4:$D$53,MATCH($B326,Drinks!$A$4:$A$53,0)),0))</f>
        <v/>
      </c>
      <c r="R326" s="10" t="str">
        <f aca="false">IF($B326="","",$P326-$Q326)</f>
        <v/>
      </c>
      <c r="S326" s="23" t="str">
        <f aca="false">IF($B326="","",IF(COUNTIFS($A$4:$A$2003,$A326-1,$B$4:$B$2003,$B326)=0,"first day",IF(SUMIFS($M$4:$M$2003,$A$4:$A$2003,$A326-1,$B$4:$B$2003,$B326)=$J326,"OK","CHECK")))</f>
        <v/>
      </c>
      <c r="T326" s="10" t="str">
        <f aca="false">IF($B326="","",IFERROR(INDEX(Drinks!$D$4:$D$53,MATCH($B326,Drinks!$A$4:$A$53,0)),0))</f>
        <v/>
      </c>
    </row>
    <row r="327" customFormat="false" ht="15" hidden="false" customHeight="false" outlineLevel="0" collapsed="false">
      <c r="A327" s="22"/>
      <c r="B327" s="9"/>
      <c r="C327" s="9"/>
      <c r="D327" s="9"/>
      <c r="E327" s="9"/>
      <c r="F327" s="10" t="str">
        <f aca="false">IF($B327="","",$C327+$D327-$E327)</f>
        <v/>
      </c>
      <c r="G327" s="10" t="str">
        <f aca="false">IF($B327="","",IFERROR(INDEX(Drinks!$C$4:$C$53,MATCH($B327,Drinks!$A$4:$A$53,0)),0))</f>
        <v/>
      </c>
      <c r="H327" s="10" t="str">
        <f aca="false">IF($B327="","",$D327*$G327)</f>
        <v/>
      </c>
      <c r="I327" s="10" t="str">
        <f aca="false">IF($B327="","",$F327*$G327)</f>
        <v/>
      </c>
      <c r="J327" s="9"/>
      <c r="K327" s="10" t="str">
        <f aca="false">IF($B327="","",$E327*IFERROR(INDEX(Drinks!$B$4:$B$53,MATCH($B327,Drinks!$A$4:$A$53,0)),0))</f>
        <v/>
      </c>
      <c r="L327" s="10" t="str">
        <f aca="false">IF($B327="","",$J327+$K327)</f>
        <v/>
      </c>
      <c r="M327" s="9"/>
      <c r="N327" s="10" t="str">
        <f aca="false">IF($B327="","",$L327-$M327)</f>
        <v/>
      </c>
      <c r="O327" s="10" t="str">
        <f aca="false">IF($B327="","",IFERROR(INDEX(Drinks!$E$4:$E$53,MATCH($B327,Drinks!$A$4:$A$53,0)),0))</f>
        <v/>
      </c>
      <c r="P327" s="10" t="str">
        <f aca="false">IF($B327="","",$N327*$O327)</f>
        <v/>
      </c>
      <c r="Q327" s="10" t="str">
        <f aca="false">IF($B327="","",$N327*IFERROR(INDEX(Drinks!$D$4:$D$53,MATCH($B327,Drinks!$A$4:$A$53,0)),0))</f>
        <v/>
      </c>
      <c r="R327" s="10" t="str">
        <f aca="false">IF($B327="","",$P327-$Q327)</f>
        <v/>
      </c>
      <c r="S327" s="23" t="str">
        <f aca="false">IF($B327="","",IF(COUNTIFS($A$4:$A$2003,$A327-1,$B$4:$B$2003,$B327)=0,"first day",IF(SUMIFS($M$4:$M$2003,$A$4:$A$2003,$A327-1,$B$4:$B$2003,$B327)=$J327,"OK","CHECK")))</f>
        <v/>
      </c>
      <c r="T327" s="10" t="str">
        <f aca="false">IF($B327="","",IFERROR(INDEX(Drinks!$D$4:$D$53,MATCH($B327,Drinks!$A$4:$A$53,0)),0))</f>
        <v/>
      </c>
    </row>
    <row r="328" customFormat="false" ht="15" hidden="false" customHeight="false" outlineLevel="0" collapsed="false">
      <c r="A328" s="22"/>
      <c r="B328" s="9"/>
      <c r="C328" s="9"/>
      <c r="D328" s="9"/>
      <c r="E328" s="9"/>
      <c r="F328" s="10" t="str">
        <f aca="false">IF($B328="","",$C328+$D328-$E328)</f>
        <v/>
      </c>
      <c r="G328" s="10" t="str">
        <f aca="false">IF($B328="","",IFERROR(INDEX(Drinks!$C$4:$C$53,MATCH($B328,Drinks!$A$4:$A$53,0)),0))</f>
        <v/>
      </c>
      <c r="H328" s="10" t="str">
        <f aca="false">IF($B328="","",$D328*$G328)</f>
        <v/>
      </c>
      <c r="I328" s="10" t="str">
        <f aca="false">IF($B328="","",$F328*$G328)</f>
        <v/>
      </c>
      <c r="J328" s="9"/>
      <c r="K328" s="10" t="str">
        <f aca="false">IF($B328="","",$E328*IFERROR(INDEX(Drinks!$B$4:$B$53,MATCH($B328,Drinks!$A$4:$A$53,0)),0))</f>
        <v/>
      </c>
      <c r="L328" s="10" t="str">
        <f aca="false">IF($B328="","",$J328+$K328)</f>
        <v/>
      </c>
      <c r="M328" s="9"/>
      <c r="N328" s="10" t="str">
        <f aca="false">IF($B328="","",$L328-$M328)</f>
        <v/>
      </c>
      <c r="O328" s="10" t="str">
        <f aca="false">IF($B328="","",IFERROR(INDEX(Drinks!$E$4:$E$53,MATCH($B328,Drinks!$A$4:$A$53,0)),0))</f>
        <v/>
      </c>
      <c r="P328" s="10" t="str">
        <f aca="false">IF($B328="","",$N328*$O328)</f>
        <v/>
      </c>
      <c r="Q328" s="10" t="str">
        <f aca="false">IF($B328="","",$N328*IFERROR(INDEX(Drinks!$D$4:$D$53,MATCH($B328,Drinks!$A$4:$A$53,0)),0))</f>
        <v/>
      </c>
      <c r="R328" s="10" t="str">
        <f aca="false">IF($B328="","",$P328-$Q328)</f>
        <v/>
      </c>
      <c r="S328" s="23" t="str">
        <f aca="false">IF($B328="","",IF(COUNTIFS($A$4:$A$2003,$A328-1,$B$4:$B$2003,$B328)=0,"first day",IF(SUMIFS($M$4:$M$2003,$A$4:$A$2003,$A328-1,$B$4:$B$2003,$B328)=$J328,"OK","CHECK")))</f>
        <v/>
      </c>
      <c r="T328" s="10" t="str">
        <f aca="false">IF($B328="","",IFERROR(INDEX(Drinks!$D$4:$D$53,MATCH($B328,Drinks!$A$4:$A$53,0)),0))</f>
        <v/>
      </c>
    </row>
    <row r="329" customFormat="false" ht="15" hidden="false" customHeight="false" outlineLevel="0" collapsed="false">
      <c r="A329" s="22"/>
      <c r="B329" s="9"/>
      <c r="C329" s="9"/>
      <c r="D329" s="9"/>
      <c r="E329" s="9"/>
      <c r="F329" s="10" t="str">
        <f aca="false">IF($B329="","",$C329+$D329-$E329)</f>
        <v/>
      </c>
      <c r="G329" s="10" t="str">
        <f aca="false">IF($B329="","",IFERROR(INDEX(Drinks!$C$4:$C$53,MATCH($B329,Drinks!$A$4:$A$53,0)),0))</f>
        <v/>
      </c>
      <c r="H329" s="10" t="str">
        <f aca="false">IF($B329="","",$D329*$G329)</f>
        <v/>
      </c>
      <c r="I329" s="10" t="str">
        <f aca="false">IF($B329="","",$F329*$G329)</f>
        <v/>
      </c>
      <c r="J329" s="9"/>
      <c r="K329" s="10" t="str">
        <f aca="false">IF($B329="","",$E329*IFERROR(INDEX(Drinks!$B$4:$B$53,MATCH($B329,Drinks!$A$4:$A$53,0)),0))</f>
        <v/>
      </c>
      <c r="L329" s="10" t="str">
        <f aca="false">IF($B329="","",$J329+$K329)</f>
        <v/>
      </c>
      <c r="M329" s="9"/>
      <c r="N329" s="10" t="str">
        <f aca="false">IF($B329="","",$L329-$M329)</f>
        <v/>
      </c>
      <c r="O329" s="10" t="str">
        <f aca="false">IF($B329="","",IFERROR(INDEX(Drinks!$E$4:$E$53,MATCH($B329,Drinks!$A$4:$A$53,0)),0))</f>
        <v/>
      </c>
      <c r="P329" s="10" t="str">
        <f aca="false">IF($B329="","",$N329*$O329)</f>
        <v/>
      </c>
      <c r="Q329" s="10" t="str">
        <f aca="false">IF($B329="","",$N329*IFERROR(INDEX(Drinks!$D$4:$D$53,MATCH($B329,Drinks!$A$4:$A$53,0)),0))</f>
        <v/>
      </c>
      <c r="R329" s="10" t="str">
        <f aca="false">IF($B329="","",$P329-$Q329)</f>
        <v/>
      </c>
      <c r="S329" s="23" t="str">
        <f aca="false">IF($B329="","",IF(COUNTIFS($A$4:$A$2003,$A329-1,$B$4:$B$2003,$B329)=0,"first day",IF(SUMIFS($M$4:$M$2003,$A$4:$A$2003,$A329-1,$B$4:$B$2003,$B329)=$J329,"OK","CHECK")))</f>
        <v/>
      </c>
      <c r="T329" s="10" t="str">
        <f aca="false">IF($B329="","",IFERROR(INDEX(Drinks!$D$4:$D$53,MATCH($B329,Drinks!$A$4:$A$53,0)),0))</f>
        <v/>
      </c>
    </row>
    <row r="330" customFormat="false" ht="15" hidden="false" customHeight="false" outlineLevel="0" collapsed="false">
      <c r="A330" s="22"/>
      <c r="B330" s="9"/>
      <c r="C330" s="9"/>
      <c r="D330" s="9"/>
      <c r="E330" s="9"/>
      <c r="F330" s="10" t="str">
        <f aca="false">IF($B330="","",$C330+$D330-$E330)</f>
        <v/>
      </c>
      <c r="G330" s="10" t="str">
        <f aca="false">IF($B330="","",IFERROR(INDEX(Drinks!$C$4:$C$53,MATCH($B330,Drinks!$A$4:$A$53,0)),0))</f>
        <v/>
      </c>
      <c r="H330" s="10" t="str">
        <f aca="false">IF($B330="","",$D330*$G330)</f>
        <v/>
      </c>
      <c r="I330" s="10" t="str">
        <f aca="false">IF($B330="","",$F330*$G330)</f>
        <v/>
      </c>
      <c r="J330" s="9"/>
      <c r="K330" s="10" t="str">
        <f aca="false">IF($B330="","",$E330*IFERROR(INDEX(Drinks!$B$4:$B$53,MATCH($B330,Drinks!$A$4:$A$53,0)),0))</f>
        <v/>
      </c>
      <c r="L330" s="10" t="str">
        <f aca="false">IF($B330="","",$J330+$K330)</f>
        <v/>
      </c>
      <c r="M330" s="9"/>
      <c r="N330" s="10" t="str">
        <f aca="false">IF($B330="","",$L330-$M330)</f>
        <v/>
      </c>
      <c r="O330" s="10" t="str">
        <f aca="false">IF($B330="","",IFERROR(INDEX(Drinks!$E$4:$E$53,MATCH($B330,Drinks!$A$4:$A$53,0)),0))</f>
        <v/>
      </c>
      <c r="P330" s="10" t="str">
        <f aca="false">IF($B330="","",$N330*$O330)</f>
        <v/>
      </c>
      <c r="Q330" s="10" t="str">
        <f aca="false">IF($B330="","",$N330*IFERROR(INDEX(Drinks!$D$4:$D$53,MATCH($B330,Drinks!$A$4:$A$53,0)),0))</f>
        <v/>
      </c>
      <c r="R330" s="10" t="str">
        <f aca="false">IF($B330="","",$P330-$Q330)</f>
        <v/>
      </c>
      <c r="S330" s="23" t="str">
        <f aca="false">IF($B330="","",IF(COUNTIFS($A$4:$A$2003,$A330-1,$B$4:$B$2003,$B330)=0,"first day",IF(SUMIFS($M$4:$M$2003,$A$4:$A$2003,$A330-1,$B$4:$B$2003,$B330)=$J330,"OK","CHECK")))</f>
        <v/>
      </c>
      <c r="T330" s="10" t="str">
        <f aca="false">IF($B330="","",IFERROR(INDEX(Drinks!$D$4:$D$53,MATCH($B330,Drinks!$A$4:$A$53,0)),0))</f>
        <v/>
      </c>
    </row>
    <row r="331" customFormat="false" ht="15" hidden="false" customHeight="false" outlineLevel="0" collapsed="false">
      <c r="A331" s="22"/>
      <c r="B331" s="9"/>
      <c r="C331" s="9"/>
      <c r="D331" s="9"/>
      <c r="E331" s="9"/>
      <c r="F331" s="10" t="str">
        <f aca="false">IF($B331="","",$C331+$D331-$E331)</f>
        <v/>
      </c>
      <c r="G331" s="10" t="str">
        <f aca="false">IF($B331="","",IFERROR(INDEX(Drinks!$C$4:$C$53,MATCH($B331,Drinks!$A$4:$A$53,0)),0))</f>
        <v/>
      </c>
      <c r="H331" s="10" t="str">
        <f aca="false">IF($B331="","",$D331*$G331)</f>
        <v/>
      </c>
      <c r="I331" s="10" t="str">
        <f aca="false">IF($B331="","",$F331*$G331)</f>
        <v/>
      </c>
      <c r="J331" s="9"/>
      <c r="K331" s="10" t="str">
        <f aca="false">IF($B331="","",$E331*IFERROR(INDEX(Drinks!$B$4:$B$53,MATCH($B331,Drinks!$A$4:$A$53,0)),0))</f>
        <v/>
      </c>
      <c r="L331" s="10" t="str">
        <f aca="false">IF($B331="","",$J331+$K331)</f>
        <v/>
      </c>
      <c r="M331" s="9"/>
      <c r="N331" s="10" t="str">
        <f aca="false">IF($B331="","",$L331-$M331)</f>
        <v/>
      </c>
      <c r="O331" s="10" t="str">
        <f aca="false">IF($B331="","",IFERROR(INDEX(Drinks!$E$4:$E$53,MATCH($B331,Drinks!$A$4:$A$53,0)),0))</f>
        <v/>
      </c>
      <c r="P331" s="10" t="str">
        <f aca="false">IF($B331="","",$N331*$O331)</f>
        <v/>
      </c>
      <c r="Q331" s="10" t="str">
        <f aca="false">IF($B331="","",$N331*IFERROR(INDEX(Drinks!$D$4:$D$53,MATCH($B331,Drinks!$A$4:$A$53,0)),0))</f>
        <v/>
      </c>
      <c r="R331" s="10" t="str">
        <f aca="false">IF($B331="","",$P331-$Q331)</f>
        <v/>
      </c>
      <c r="S331" s="23" t="str">
        <f aca="false">IF($B331="","",IF(COUNTIFS($A$4:$A$2003,$A331-1,$B$4:$B$2003,$B331)=0,"first day",IF(SUMIFS($M$4:$M$2003,$A$4:$A$2003,$A331-1,$B$4:$B$2003,$B331)=$J331,"OK","CHECK")))</f>
        <v/>
      </c>
      <c r="T331" s="10" t="str">
        <f aca="false">IF($B331="","",IFERROR(INDEX(Drinks!$D$4:$D$53,MATCH($B331,Drinks!$A$4:$A$53,0)),0))</f>
        <v/>
      </c>
    </row>
    <row r="332" customFormat="false" ht="15" hidden="false" customHeight="false" outlineLevel="0" collapsed="false">
      <c r="A332" s="22"/>
      <c r="B332" s="9"/>
      <c r="C332" s="9"/>
      <c r="D332" s="9"/>
      <c r="E332" s="9"/>
      <c r="F332" s="10" t="str">
        <f aca="false">IF($B332="","",$C332+$D332-$E332)</f>
        <v/>
      </c>
      <c r="G332" s="10" t="str">
        <f aca="false">IF($B332="","",IFERROR(INDEX(Drinks!$C$4:$C$53,MATCH($B332,Drinks!$A$4:$A$53,0)),0))</f>
        <v/>
      </c>
      <c r="H332" s="10" t="str">
        <f aca="false">IF($B332="","",$D332*$G332)</f>
        <v/>
      </c>
      <c r="I332" s="10" t="str">
        <f aca="false">IF($B332="","",$F332*$G332)</f>
        <v/>
      </c>
      <c r="J332" s="9"/>
      <c r="K332" s="10" t="str">
        <f aca="false">IF($B332="","",$E332*IFERROR(INDEX(Drinks!$B$4:$B$53,MATCH($B332,Drinks!$A$4:$A$53,0)),0))</f>
        <v/>
      </c>
      <c r="L332" s="10" t="str">
        <f aca="false">IF($B332="","",$J332+$K332)</f>
        <v/>
      </c>
      <c r="M332" s="9"/>
      <c r="N332" s="10" t="str">
        <f aca="false">IF($B332="","",$L332-$M332)</f>
        <v/>
      </c>
      <c r="O332" s="10" t="str">
        <f aca="false">IF($B332="","",IFERROR(INDEX(Drinks!$E$4:$E$53,MATCH($B332,Drinks!$A$4:$A$53,0)),0))</f>
        <v/>
      </c>
      <c r="P332" s="10" t="str">
        <f aca="false">IF($B332="","",$N332*$O332)</f>
        <v/>
      </c>
      <c r="Q332" s="10" t="str">
        <f aca="false">IF($B332="","",$N332*IFERROR(INDEX(Drinks!$D$4:$D$53,MATCH($B332,Drinks!$A$4:$A$53,0)),0))</f>
        <v/>
      </c>
      <c r="R332" s="10" t="str">
        <f aca="false">IF($B332="","",$P332-$Q332)</f>
        <v/>
      </c>
      <c r="S332" s="23" t="str">
        <f aca="false">IF($B332="","",IF(COUNTIFS($A$4:$A$2003,$A332-1,$B$4:$B$2003,$B332)=0,"first day",IF(SUMIFS($M$4:$M$2003,$A$4:$A$2003,$A332-1,$B$4:$B$2003,$B332)=$J332,"OK","CHECK")))</f>
        <v/>
      </c>
      <c r="T332" s="10" t="str">
        <f aca="false">IF($B332="","",IFERROR(INDEX(Drinks!$D$4:$D$53,MATCH($B332,Drinks!$A$4:$A$53,0)),0))</f>
        <v/>
      </c>
    </row>
    <row r="333" customFormat="false" ht="15" hidden="false" customHeight="false" outlineLevel="0" collapsed="false">
      <c r="A333" s="22"/>
      <c r="B333" s="9"/>
      <c r="C333" s="9"/>
      <c r="D333" s="9"/>
      <c r="E333" s="9"/>
      <c r="F333" s="10" t="str">
        <f aca="false">IF($B333="","",$C333+$D333-$E333)</f>
        <v/>
      </c>
      <c r="G333" s="10" t="str">
        <f aca="false">IF($B333="","",IFERROR(INDEX(Drinks!$C$4:$C$53,MATCH($B333,Drinks!$A$4:$A$53,0)),0))</f>
        <v/>
      </c>
      <c r="H333" s="10" t="str">
        <f aca="false">IF($B333="","",$D333*$G333)</f>
        <v/>
      </c>
      <c r="I333" s="10" t="str">
        <f aca="false">IF($B333="","",$F333*$G333)</f>
        <v/>
      </c>
      <c r="J333" s="9"/>
      <c r="K333" s="10" t="str">
        <f aca="false">IF($B333="","",$E333*IFERROR(INDEX(Drinks!$B$4:$B$53,MATCH($B333,Drinks!$A$4:$A$53,0)),0))</f>
        <v/>
      </c>
      <c r="L333" s="10" t="str">
        <f aca="false">IF($B333="","",$J333+$K333)</f>
        <v/>
      </c>
      <c r="M333" s="9"/>
      <c r="N333" s="10" t="str">
        <f aca="false">IF($B333="","",$L333-$M333)</f>
        <v/>
      </c>
      <c r="O333" s="10" t="str">
        <f aca="false">IF($B333="","",IFERROR(INDEX(Drinks!$E$4:$E$53,MATCH($B333,Drinks!$A$4:$A$53,0)),0))</f>
        <v/>
      </c>
      <c r="P333" s="10" t="str">
        <f aca="false">IF($B333="","",$N333*$O333)</f>
        <v/>
      </c>
      <c r="Q333" s="10" t="str">
        <f aca="false">IF($B333="","",$N333*IFERROR(INDEX(Drinks!$D$4:$D$53,MATCH($B333,Drinks!$A$4:$A$53,0)),0))</f>
        <v/>
      </c>
      <c r="R333" s="10" t="str">
        <f aca="false">IF($B333="","",$P333-$Q333)</f>
        <v/>
      </c>
      <c r="S333" s="23" t="str">
        <f aca="false">IF($B333="","",IF(COUNTIFS($A$4:$A$2003,$A333-1,$B$4:$B$2003,$B333)=0,"first day",IF(SUMIFS($M$4:$M$2003,$A$4:$A$2003,$A333-1,$B$4:$B$2003,$B333)=$J333,"OK","CHECK")))</f>
        <v/>
      </c>
      <c r="T333" s="10" t="str">
        <f aca="false">IF($B333="","",IFERROR(INDEX(Drinks!$D$4:$D$53,MATCH($B333,Drinks!$A$4:$A$53,0)),0))</f>
        <v/>
      </c>
    </row>
    <row r="334" customFormat="false" ht="15" hidden="false" customHeight="false" outlineLevel="0" collapsed="false">
      <c r="A334" s="22"/>
      <c r="B334" s="9"/>
      <c r="C334" s="9"/>
      <c r="D334" s="9"/>
      <c r="E334" s="9"/>
      <c r="F334" s="10" t="str">
        <f aca="false">IF($B334="","",$C334+$D334-$E334)</f>
        <v/>
      </c>
      <c r="G334" s="10" t="str">
        <f aca="false">IF($B334="","",IFERROR(INDEX(Drinks!$C$4:$C$53,MATCH($B334,Drinks!$A$4:$A$53,0)),0))</f>
        <v/>
      </c>
      <c r="H334" s="10" t="str">
        <f aca="false">IF($B334="","",$D334*$G334)</f>
        <v/>
      </c>
      <c r="I334" s="10" t="str">
        <f aca="false">IF($B334="","",$F334*$G334)</f>
        <v/>
      </c>
      <c r="J334" s="9"/>
      <c r="K334" s="10" t="str">
        <f aca="false">IF($B334="","",$E334*IFERROR(INDEX(Drinks!$B$4:$B$53,MATCH($B334,Drinks!$A$4:$A$53,0)),0))</f>
        <v/>
      </c>
      <c r="L334" s="10" t="str">
        <f aca="false">IF($B334="","",$J334+$K334)</f>
        <v/>
      </c>
      <c r="M334" s="9"/>
      <c r="N334" s="10" t="str">
        <f aca="false">IF($B334="","",$L334-$M334)</f>
        <v/>
      </c>
      <c r="O334" s="10" t="str">
        <f aca="false">IF($B334="","",IFERROR(INDEX(Drinks!$E$4:$E$53,MATCH($B334,Drinks!$A$4:$A$53,0)),0))</f>
        <v/>
      </c>
      <c r="P334" s="10" t="str">
        <f aca="false">IF($B334="","",$N334*$O334)</f>
        <v/>
      </c>
      <c r="Q334" s="10" t="str">
        <f aca="false">IF($B334="","",$N334*IFERROR(INDEX(Drinks!$D$4:$D$53,MATCH($B334,Drinks!$A$4:$A$53,0)),0))</f>
        <v/>
      </c>
      <c r="R334" s="10" t="str">
        <f aca="false">IF($B334="","",$P334-$Q334)</f>
        <v/>
      </c>
      <c r="S334" s="23" t="str">
        <f aca="false">IF($B334="","",IF(COUNTIFS($A$4:$A$2003,$A334-1,$B$4:$B$2003,$B334)=0,"first day",IF(SUMIFS($M$4:$M$2003,$A$4:$A$2003,$A334-1,$B$4:$B$2003,$B334)=$J334,"OK","CHECK")))</f>
        <v/>
      </c>
      <c r="T334" s="10" t="str">
        <f aca="false">IF($B334="","",IFERROR(INDEX(Drinks!$D$4:$D$53,MATCH($B334,Drinks!$A$4:$A$53,0)),0))</f>
        <v/>
      </c>
    </row>
    <row r="335" customFormat="false" ht="15" hidden="false" customHeight="false" outlineLevel="0" collapsed="false">
      <c r="A335" s="22"/>
      <c r="B335" s="9"/>
      <c r="C335" s="9"/>
      <c r="D335" s="9"/>
      <c r="E335" s="9"/>
      <c r="F335" s="10" t="str">
        <f aca="false">IF($B335="","",$C335+$D335-$E335)</f>
        <v/>
      </c>
      <c r="G335" s="10" t="str">
        <f aca="false">IF($B335="","",IFERROR(INDEX(Drinks!$C$4:$C$53,MATCH($B335,Drinks!$A$4:$A$53,0)),0))</f>
        <v/>
      </c>
      <c r="H335" s="10" t="str">
        <f aca="false">IF($B335="","",$D335*$G335)</f>
        <v/>
      </c>
      <c r="I335" s="10" t="str">
        <f aca="false">IF($B335="","",$F335*$G335)</f>
        <v/>
      </c>
      <c r="J335" s="9"/>
      <c r="K335" s="10" t="str">
        <f aca="false">IF($B335="","",$E335*IFERROR(INDEX(Drinks!$B$4:$B$53,MATCH($B335,Drinks!$A$4:$A$53,0)),0))</f>
        <v/>
      </c>
      <c r="L335" s="10" t="str">
        <f aca="false">IF($B335="","",$J335+$K335)</f>
        <v/>
      </c>
      <c r="M335" s="9"/>
      <c r="N335" s="10" t="str">
        <f aca="false">IF($B335="","",$L335-$M335)</f>
        <v/>
      </c>
      <c r="O335" s="10" t="str">
        <f aca="false">IF($B335="","",IFERROR(INDEX(Drinks!$E$4:$E$53,MATCH($B335,Drinks!$A$4:$A$53,0)),0))</f>
        <v/>
      </c>
      <c r="P335" s="10" t="str">
        <f aca="false">IF($B335="","",$N335*$O335)</f>
        <v/>
      </c>
      <c r="Q335" s="10" t="str">
        <f aca="false">IF($B335="","",$N335*IFERROR(INDEX(Drinks!$D$4:$D$53,MATCH($B335,Drinks!$A$4:$A$53,0)),0))</f>
        <v/>
      </c>
      <c r="R335" s="10" t="str">
        <f aca="false">IF($B335="","",$P335-$Q335)</f>
        <v/>
      </c>
      <c r="S335" s="23" t="str">
        <f aca="false">IF($B335="","",IF(COUNTIFS($A$4:$A$2003,$A335-1,$B$4:$B$2003,$B335)=0,"first day",IF(SUMIFS($M$4:$M$2003,$A$4:$A$2003,$A335-1,$B$4:$B$2003,$B335)=$J335,"OK","CHECK")))</f>
        <v/>
      </c>
      <c r="T335" s="10" t="str">
        <f aca="false">IF($B335="","",IFERROR(INDEX(Drinks!$D$4:$D$53,MATCH($B335,Drinks!$A$4:$A$53,0)),0))</f>
        <v/>
      </c>
    </row>
    <row r="336" customFormat="false" ht="15" hidden="false" customHeight="false" outlineLevel="0" collapsed="false">
      <c r="A336" s="22"/>
      <c r="B336" s="9"/>
      <c r="C336" s="9"/>
      <c r="D336" s="9"/>
      <c r="E336" s="9"/>
      <c r="F336" s="10" t="str">
        <f aca="false">IF($B336="","",$C336+$D336-$E336)</f>
        <v/>
      </c>
      <c r="G336" s="10" t="str">
        <f aca="false">IF($B336="","",IFERROR(INDEX(Drinks!$C$4:$C$53,MATCH($B336,Drinks!$A$4:$A$53,0)),0))</f>
        <v/>
      </c>
      <c r="H336" s="10" t="str">
        <f aca="false">IF($B336="","",$D336*$G336)</f>
        <v/>
      </c>
      <c r="I336" s="10" t="str">
        <f aca="false">IF($B336="","",$F336*$G336)</f>
        <v/>
      </c>
      <c r="J336" s="9"/>
      <c r="K336" s="10" t="str">
        <f aca="false">IF($B336="","",$E336*IFERROR(INDEX(Drinks!$B$4:$B$53,MATCH($B336,Drinks!$A$4:$A$53,0)),0))</f>
        <v/>
      </c>
      <c r="L336" s="10" t="str">
        <f aca="false">IF($B336="","",$J336+$K336)</f>
        <v/>
      </c>
      <c r="M336" s="9"/>
      <c r="N336" s="10" t="str">
        <f aca="false">IF($B336="","",$L336-$M336)</f>
        <v/>
      </c>
      <c r="O336" s="10" t="str">
        <f aca="false">IF($B336="","",IFERROR(INDEX(Drinks!$E$4:$E$53,MATCH($B336,Drinks!$A$4:$A$53,0)),0))</f>
        <v/>
      </c>
      <c r="P336" s="10" t="str">
        <f aca="false">IF($B336="","",$N336*$O336)</f>
        <v/>
      </c>
      <c r="Q336" s="10" t="str">
        <f aca="false">IF($B336="","",$N336*IFERROR(INDEX(Drinks!$D$4:$D$53,MATCH($B336,Drinks!$A$4:$A$53,0)),0))</f>
        <v/>
      </c>
      <c r="R336" s="10" t="str">
        <f aca="false">IF($B336="","",$P336-$Q336)</f>
        <v/>
      </c>
      <c r="S336" s="23" t="str">
        <f aca="false">IF($B336="","",IF(COUNTIFS($A$4:$A$2003,$A336-1,$B$4:$B$2003,$B336)=0,"first day",IF(SUMIFS($M$4:$M$2003,$A$4:$A$2003,$A336-1,$B$4:$B$2003,$B336)=$J336,"OK","CHECK")))</f>
        <v/>
      </c>
      <c r="T336" s="10" t="str">
        <f aca="false">IF($B336="","",IFERROR(INDEX(Drinks!$D$4:$D$53,MATCH($B336,Drinks!$A$4:$A$53,0)),0))</f>
        <v/>
      </c>
    </row>
    <row r="337" customFormat="false" ht="15" hidden="false" customHeight="false" outlineLevel="0" collapsed="false">
      <c r="A337" s="22"/>
      <c r="B337" s="9"/>
      <c r="C337" s="9"/>
      <c r="D337" s="9"/>
      <c r="E337" s="9"/>
      <c r="F337" s="10" t="str">
        <f aca="false">IF($B337="","",$C337+$D337-$E337)</f>
        <v/>
      </c>
      <c r="G337" s="10" t="str">
        <f aca="false">IF($B337="","",IFERROR(INDEX(Drinks!$C$4:$C$53,MATCH($B337,Drinks!$A$4:$A$53,0)),0))</f>
        <v/>
      </c>
      <c r="H337" s="10" t="str">
        <f aca="false">IF($B337="","",$D337*$G337)</f>
        <v/>
      </c>
      <c r="I337" s="10" t="str">
        <f aca="false">IF($B337="","",$F337*$G337)</f>
        <v/>
      </c>
      <c r="J337" s="9"/>
      <c r="K337" s="10" t="str">
        <f aca="false">IF($B337="","",$E337*IFERROR(INDEX(Drinks!$B$4:$B$53,MATCH($B337,Drinks!$A$4:$A$53,0)),0))</f>
        <v/>
      </c>
      <c r="L337" s="10" t="str">
        <f aca="false">IF($B337="","",$J337+$K337)</f>
        <v/>
      </c>
      <c r="M337" s="9"/>
      <c r="N337" s="10" t="str">
        <f aca="false">IF($B337="","",$L337-$M337)</f>
        <v/>
      </c>
      <c r="O337" s="10" t="str">
        <f aca="false">IF($B337="","",IFERROR(INDEX(Drinks!$E$4:$E$53,MATCH($B337,Drinks!$A$4:$A$53,0)),0))</f>
        <v/>
      </c>
      <c r="P337" s="10" t="str">
        <f aca="false">IF($B337="","",$N337*$O337)</f>
        <v/>
      </c>
      <c r="Q337" s="10" t="str">
        <f aca="false">IF($B337="","",$N337*IFERROR(INDEX(Drinks!$D$4:$D$53,MATCH($B337,Drinks!$A$4:$A$53,0)),0))</f>
        <v/>
      </c>
      <c r="R337" s="10" t="str">
        <f aca="false">IF($B337="","",$P337-$Q337)</f>
        <v/>
      </c>
      <c r="S337" s="23" t="str">
        <f aca="false">IF($B337="","",IF(COUNTIFS($A$4:$A$2003,$A337-1,$B$4:$B$2003,$B337)=0,"first day",IF(SUMIFS($M$4:$M$2003,$A$4:$A$2003,$A337-1,$B$4:$B$2003,$B337)=$J337,"OK","CHECK")))</f>
        <v/>
      </c>
      <c r="T337" s="10" t="str">
        <f aca="false">IF($B337="","",IFERROR(INDEX(Drinks!$D$4:$D$53,MATCH($B337,Drinks!$A$4:$A$53,0)),0))</f>
        <v/>
      </c>
    </row>
    <row r="338" customFormat="false" ht="15" hidden="false" customHeight="false" outlineLevel="0" collapsed="false">
      <c r="A338" s="22"/>
      <c r="B338" s="9"/>
      <c r="C338" s="9"/>
      <c r="D338" s="9"/>
      <c r="E338" s="9"/>
      <c r="F338" s="10" t="str">
        <f aca="false">IF($B338="","",$C338+$D338-$E338)</f>
        <v/>
      </c>
      <c r="G338" s="10" t="str">
        <f aca="false">IF($B338="","",IFERROR(INDEX(Drinks!$C$4:$C$53,MATCH($B338,Drinks!$A$4:$A$53,0)),0))</f>
        <v/>
      </c>
      <c r="H338" s="10" t="str">
        <f aca="false">IF($B338="","",$D338*$G338)</f>
        <v/>
      </c>
      <c r="I338" s="10" t="str">
        <f aca="false">IF($B338="","",$F338*$G338)</f>
        <v/>
      </c>
      <c r="J338" s="9"/>
      <c r="K338" s="10" t="str">
        <f aca="false">IF($B338="","",$E338*IFERROR(INDEX(Drinks!$B$4:$B$53,MATCH($B338,Drinks!$A$4:$A$53,0)),0))</f>
        <v/>
      </c>
      <c r="L338" s="10" t="str">
        <f aca="false">IF($B338="","",$J338+$K338)</f>
        <v/>
      </c>
      <c r="M338" s="9"/>
      <c r="N338" s="10" t="str">
        <f aca="false">IF($B338="","",$L338-$M338)</f>
        <v/>
      </c>
      <c r="O338" s="10" t="str">
        <f aca="false">IF($B338="","",IFERROR(INDEX(Drinks!$E$4:$E$53,MATCH($B338,Drinks!$A$4:$A$53,0)),0))</f>
        <v/>
      </c>
      <c r="P338" s="10" t="str">
        <f aca="false">IF($B338="","",$N338*$O338)</f>
        <v/>
      </c>
      <c r="Q338" s="10" t="str">
        <f aca="false">IF($B338="","",$N338*IFERROR(INDEX(Drinks!$D$4:$D$53,MATCH($B338,Drinks!$A$4:$A$53,0)),0))</f>
        <v/>
      </c>
      <c r="R338" s="10" t="str">
        <f aca="false">IF($B338="","",$P338-$Q338)</f>
        <v/>
      </c>
      <c r="S338" s="23" t="str">
        <f aca="false">IF($B338="","",IF(COUNTIFS($A$4:$A$2003,$A338-1,$B$4:$B$2003,$B338)=0,"first day",IF(SUMIFS($M$4:$M$2003,$A$4:$A$2003,$A338-1,$B$4:$B$2003,$B338)=$J338,"OK","CHECK")))</f>
        <v/>
      </c>
      <c r="T338" s="10" t="str">
        <f aca="false">IF($B338="","",IFERROR(INDEX(Drinks!$D$4:$D$53,MATCH($B338,Drinks!$A$4:$A$53,0)),0))</f>
        <v/>
      </c>
    </row>
    <row r="339" customFormat="false" ht="15" hidden="false" customHeight="false" outlineLevel="0" collapsed="false">
      <c r="A339" s="22"/>
      <c r="B339" s="9"/>
      <c r="C339" s="9"/>
      <c r="D339" s="9"/>
      <c r="E339" s="9"/>
      <c r="F339" s="10" t="str">
        <f aca="false">IF($B339="","",$C339+$D339-$E339)</f>
        <v/>
      </c>
      <c r="G339" s="10" t="str">
        <f aca="false">IF($B339="","",IFERROR(INDEX(Drinks!$C$4:$C$53,MATCH($B339,Drinks!$A$4:$A$53,0)),0))</f>
        <v/>
      </c>
      <c r="H339" s="10" t="str">
        <f aca="false">IF($B339="","",$D339*$G339)</f>
        <v/>
      </c>
      <c r="I339" s="10" t="str">
        <f aca="false">IF($B339="","",$F339*$G339)</f>
        <v/>
      </c>
      <c r="J339" s="9"/>
      <c r="K339" s="10" t="str">
        <f aca="false">IF($B339="","",$E339*IFERROR(INDEX(Drinks!$B$4:$B$53,MATCH($B339,Drinks!$A$4:$A$53,0)),0))</f>
        <v/>
      </c>
      <c r="L339" s="10" t="str">
        <f aca="false">IF($B339="","",$J339+$K339)</f>
        <v/>
      </c>
      <c r="M339" s="9"/>
      <c r="N339" s="10" t="str">
        <f aca="false">IF($B339="","",$L339-$M339)</f>
        <v/>
      </c>
      <c r="O339" s="10" t="str">
        <f aca="false">IF($B339="","",IFERROR(INDEX(Drinks!$E$4:$E$53,MATCH($B339,Drinks!$A$4:$A$53,0)),0))</f>
        <v/>
      </c>
      <c r="P339" s="10" t="str">
        <f aca="false">IF($B339="","",$N339*$O339)</f>
        <v/>
      </c>
      <c r="Q339" s="10" t="str">
        <f aca="false">IF($B339="","",$N339*IFERROR(INDEX(Drinks!$D$4:$D$53,MATCH($B339,Drinks!$A$4:$A$53,0)),0))</f>
        <v/>
      </c>
      <c r="R339" s="10" t="str">
        <f aca="false">IF($B339="","",$P339-$Q339)</f>
        <v/>
      </c>
      <c r="S339" s="23" t="str">
        <f aca="false">IF($B339="","",IF(COUNTIFS($A$4:$A$2003,$A339-1,$B$4:$B$2003,$B339)=0,"first day",IF(SUMIFS($M$4:$M$2003,$A$4:$A$2003,$A339-1,$B$4:$B$2003,$B339)=$J339,"OK","CHECK")))</f>
        <v/>
      </c>
      <c r="T339" s="10" t="str">
        <f aca="false">IF($B339="","",IFERROR(INDEX(Drinks!$D$4:$D$53,MATCH($B339,Drinks!$A$4:$A$53,0)),0))</f>
        <v/>
      </c>
    </row>
    <row r="340" customFormat="false" ht="15" hidden="false" customHeight="false" outlineLevel="0" collapsed="false">
      <c r="A340" s="22"/>
      <c r="B340" s="9"/>
      <c r="C340" s="9"/>
      <c r="D340" s="9"/>
      <c r="E340" s="9"/>
      <c r="F340" s="10" t="str">
        <f aca="false">IF($B340="","",$C340+$D340-$E340)</f>
        <v/>
      </c>
      <c r="G340" s="10" t="str">
        <f aca="false">IF($B340="","",IFERROR(INDEX(Drinks!$C$4:$C$53,MATCH($B340,Drinks!$A$4:$A$53,0)),0))</f>
        <v/>
      </c>
      <c r="H340" s="10" t="str">
        <f aca="false">IF($B340="","",$D340*$G340)</f>
        <v/>
      </c>
      <c r="I340" s="10" t="str">
        <f aca="false">IF($B340="","",$F340*$G340)</f>
        <v/>
      </c>
      <c r="J340" s="9"/>
      <c r="K340" s="10" t="str">
        <f aca="false">IF($B340="","",$E340*IFERROR(INDEX(Drinks!$B$4:$B$53,MATCH($B340,Drinks!$A$4:$A$53,0)),0))</f>
        <v/>
      </c>
      <c r="L340" s="10" t="str">
        <f aca="false">IF($B340="","",$J340+$K340)</f>
        <v/>
      </c>
      <c r="M340" s="9"/>
      <c r="N340" s="10" t="str">
        <f aca="false">IF($B340="","",$L340-$M340)</f>
        <v/>
      </c>
      <c r="O340" s="10" t="str">
        <f aca="false">IF($B340="","",IFERROR(INDEX(Drinks!$E$4:$E$53,MATCH($B340,Drinks!$A$4:$A$53,0)),0))</f>
        <v/>
      </c>
      <c r="P340" s="10" t="str">
        <f aca="false">IF($B340="","",$N340*$O340)</f>
        <v/>
      </c>
      <c r="Q340" s="10" t="str">
        <f aca="false">IF($B340="","",$N340*IFERROR(INDEX(Drinks!$D$4:$D$53,MATCH($B340,Drinks!$A$4:$A$53,0)),0))</f>
        <v/>
      </c>
      <c r="R340" s="10" t="str">
        <f aca="false">IF($B340="","",$P340-$Q340)</f>
        <v/>
      </c>
      <c r="S340" s="23" t="str">
        <f aca="false">IF($B340="","",IF(COUNTIFS($A$4:$A$2003,$A340-1,$B$4:$B$2003,$B340)=0,"first day",IF(SUMIFS($M$4:$M$2003,$A$4:$A$2003,$A340-1,$B$4:$B$2003,$B340)=$J340,"OK","CHECK")))</f>
        <v/>
      </c>
      <c r="T340" s="10" t="str">
        <f aca="false">IF($B340="","",IFERROR(INDEX(Drinks!$D$4:$D$53,MATCH($B340,Drinks!$A$4:$A$53,0)),0))</f>
        <v/>
      </c>
    </row>
    <row r="341" customFormat="false" ht="15" hidden="false" customHeight="false" outlineLevel="0" collapsed="false">
      <c r="A341" s="22"/>
      <c r="B341" s="9"/>
      <c r="C341" s="9"/>
      <c r="D341" s="9"/>
      <c r="E341" s="9"/>
      <c r="F341" s="10" t="str">
        <f aca="false">IF($B341="","",$C341+$D341-$E341)</f>
        <v/>
      </c>
      <c r="G341" s="10" t="str">
        <f aca="false">IF($B341="","",IFERROR(INDEX(Drinks!$C$4:$C$53,MATCH($B341,Drinks!$A$4:$A$53,0)),0))</f>
        <v/>
      </c>
      <c r="H341" s="10" t="str">
        <f aca="false">IF($B341="","",$D341*$G341)</f>
        <v/>
      </c>
      <c r="I341" s="10" t="str">
        <f aca="false">IF($B341="","",$F341*$G341)</f>
        <v/>
      </c>
      <c r="J341" s="9"/>
      <c r="K341" s="10" t="str">
        <f aca="false">IF($B341="","",$E341*IFERROR(INDEX(Drinks!$B$4:$B$53,MATCH($B341,Drinks!$A$4:$A$53,0)),0))</f>
        <v/>
      </c>
      <c r="L341" s="10" t="str">
        <f aca="false">IF($B341="","",$J341+$K341)</f>
        <v/>
      </c>
      <c r="M341" s="9"/>
      <c r="N341" s="10" t="str">
        <f aca="false">IF($B341="","",$L341-$M341)</f>
        <v/>
      </c>
      <c r="O341" s="10" t="str">
        <f aca="false">IF($B341="","",IFERROR(INDEX(Drinks!$E$4:$E$53,MATCH($B341,Drinks!$A$4:$A$53,0)),0))</f>
        <v/>
      </c>
      <c r="P341" s="10" t="str">
        <f aca="false">IF($B341="","",$N341*$O341)</f>
        <v/>
      </c>
      <c r="Q341" s="10" t="str">
        <f aca="false">IF($B341="","",$N341*IFERROR(INDEX(Drinks!$D$4:$D$53,MATCH($B341,Drinks!$A$4:$A$53,0)),0))</f>
        <v/>
      </c>
      <c r="R341" s="10" t="str">
        <f aca="false">IF($B341="","",$P341-$Q341)</f>
        <v/>
      </c>
      <c r="S341" s="23" t="str">
        <f aca="false">IF($B341="","",IF(COUNTIFS($A$4:$A$2003,$A341-1,$B$4:$B$2003,$B341)=0,"first day",IF(SUMIFS($M$4:$M$2003,$A$4:$A$2003,$A341-1,$B$4:$B$2003,$B341)=$J341,"OK","CHECK")))</f>
        <v/>
      </c>
      <c r="T341" s="10" t="str">
        <f aca="false">IF($B341="","",IFERROR(INDEX(Drinks!$D$4:$D$53,MATCH($B341,Drinks!$A$4:$A$53,0)),0))</f>
        <v/>
      </c>
    </row>
    <row r="342" customFormat="false" ht="15" hidden="false" customHeight="false" outlineLevel="0" collapsed="false">
      <c r="A342" s="22"/>
      <c r="B342" s="9"/>
      <c r="C342" s="9"/>
      <c r="D342" s="9"/>
      <c r="E342" s="9"/>
      <c r="F342" s="10" t="str">
        <f aca="false">IF($B342="","",$C342+$D342-$E342)</f>
        <v/>
      </c>
      <c r="G342" s="10" t="str">
        <f aca="false">IF($B342="","",IFERROR(INDEX(Drinks!$C$4:$C$53,MATCH($B342,Drinks!$A$4:$A$53,0)),0))</f>
        <v/>
      </c>
      <c r="H342" s="10" t="str">
        <f aca="false">IF($B342="","",$D342*$G342)</f>
        <v/>
      </c>
      <c r="I342" s="10" t="str">
        <f aca="false">IF($B342="","",$F342*$G342)</f>
        <v/>
      </c>
      <c r="J342" s="9"/>
      <c r="K342" s="10" t="str">
        <f aca="false">IF($B342="","",$E342*IFERROR(INDEX(Drinks!$B$4:$B$53,MATCH($B342,Drinks!$A$4:$A$53,0)),0))</f>
        <v/>
      </c>
      <c r="L342" s="10" t="str">
        <f aca="false">IF($B342="","",$J342+$K342)</f>
        <v/>
      </c>
      <c r="M342" s="9"/>
      <c r="N342" s="10" t="str">
        <f aca="false">IF($B342="","",$L342-$M342)</f>
        <v/>
      </c>
      <c r="O342" s="10" t="str">
        <f aca="false">IF($B342="","",IFERROR(INDEX(Drinks!$E$4:$E$53,MATCH($B342,Drinks!$A$4:$A$53,0)),0))</f>
        <v/>
      </c>
      <c r="P342" s="10" t="str">
        <f aca="false">IF($B342="","",$N342*$O342)</f>
        <v/>
      </c>
      <c r="Q342" s="10" t="str">
        <f aca="false">IF($B342="","",$N342*IFERROR(INDEX(Drinks!$D$4:$D$53,MATCH($B342,Drinks!$A$4:$A$53,0)),0))</f>
        <v/>
      </c>
      <c r="R342" s="10" t="str">
        <f aca="false">IF($B342="","",$P342-$Q342)</f>
        <v/>
      </c>
      <c r="S342" s="23" t="str">
        <f aca="false">IF($B342="","",IF(COUNTIFS($A$4:$A$2003,$A342-1,$B$4:$B$2003,$B342)=0,"first day",IF(SUMIFS($M$4:$M$2003,$A$4:$A$2003,$A342-1,$B$4:$B$2003,$B342)=$J342,"OK","CHECK")))</f>
        <v/>
      </c>
      <c r="T342" s="10" t="str">
        <f aca="false">IF($B342="","",IFERROR(INDEX(Drinks!$D$4:$D$53,MATCH($B342,Drinks!$A$4:$A$53,0)),0))</f>
        <v/>
      </c>
    </row>
    <row r="343" customFormat="false" ht="15" hidden="false" customHeight="false" outlineLevel="0" collapsed="false">
      <c r="A343" s="22"/>
      <c r="B343" s="9"/>
      <c r="C343" s="9"/>
      <c r="D343" s="9"/>
      <c r="E343" s="9"/>
      <c r="F343" s="10" t="str">
        <f aca="false">IF($B343="","",$C343+$D343-$E343)</f>
        <v/>
      </c>
      <c r="G343" s="10" t="str">
        <f aca="false">IF($B343="","",IFERROR(INDEX(Drinks!$C$4:$C$53,MATCH($B343,Drinks!$A$4:$A$53,0)),0))</f>
        <v/>
      </c>
      <c r="H343" s="10" t="str">
        <f aca="false">IF($B343="","",$D343*$G343)</f>
        <v/>
      </c>
      <c r="I343" s="10" t="str">
        <f aca="false">IF($B343="","",$F343*$G343)</f>
        <v/>
      </c>
      <c r="J343" s="9"/>
      <c r="K343" s="10" t="str">
        <f aca="false">IF($B343="","",$E343*IFERROR(INDEX(Drinks!$B$4:$B$53,MATCH($B343,Drinks!$A$4:$A$53,0)),0))</f>
        <v/>
      </c>
      <c r="L343" s="10" t="str">
        <f aca="false">IF($B343="","",$J343+$K343)</f>
        <v/>
      </c>
      <c r="M343" s="9"/>
      <c r="N343" s="10" t="str">
        <f aca="false">IF($B343="","",$L343-$M343)</f>
        <v/>
      </c>
      <c r="O343" s="10" t="str">
        <f aca="false">IF($B343="","",IFERROR(INDEX(Drinks!$E$4:$E$53,MATCH($B343,Drinks!$A$4:$A$53,0)),0))</f>
        <v/>
      </c>
      <c r="P343" s="10" t="str">
        <f aca="false">IF($B343="","",$N343*$O343)</f>
        <v/>
      </c>
      <c r="Q343" s="10" t="str">
        <f aca="false">IF($B343="","",$N343*IFERROR(INDEX(Drinks!$D$4:$D$53,MATCH($B343,Drinks!$A$4:$A$53,0)),0))</f>
        <v/>
      </c>
      <c r="R343" s="10" t="str">
        <f aca="false">IF($B343="","",$P343-$Q343)</f>
        <v/>
      </c>
      <c r="S343" s="23" t="str">
        <f aca="false">IF($B343="","",IF(COUNTIFS($A$4:$A$2003,$A343-1,$B$4:$B$2003,$B343)=0,"first day",IF(SUMIFS($M$4:$M$2003,$A$4:$A$2003,$A343-1,$B$4:$B$2003,$B343)=$J343,"OK","CHECK")))</f>
        <v/>
      </c>
      <c r="T343" s="10" t="str">
        <f aca="false">IF($B343="","",IFERROR(INDEX(Drinks!$D$4:$D$53,MATCH($B343,Drinks!$A$4:$A$53,0)),0))</f>
        <v/>
      </c>
    </row>
    <row r="344" customFormat="false" ht="15" hidden="false" customHeight="false" outlineLevel="0" collapsed="false">
      <c r="A344" s="22"/>
      <c r="B344" s="9"/>
      <c r="C344" s="9"/>
      <c r="D344" s="9"/>
      <c r="E344" s="9"/>
      <c r="F344" s="10" t="str">
        <f aca="false">IF($B344="","",$C344+$D344-$E344)</f>
        <v/>
      </c>
      <c r="G344" s="10" t="str">
        <f aca="false">IF($B344="","",IFERROR(INDEX(Drinks!$C$4:$C$53,MATCH($B344,Drinks!$A$4:$A$53,0)),0))</f>
        <v/>
      </c>
      <c r="H344" s="10" t="str">
        <f aca="false">IF($B344="","",$D344*$G344)</f>
        <v/>
      </c>
      <c r="I344" s="10" t="str">
        <f aca="false">IF($B344="","",$F344*$G344)</f>
        <v/>
      </c>
      <c r="J344" s="9"/>
      <c r="K344" s="10" t="str">
        <f aca="false">IF($B344="","",$E344*IFERROR(INDEX(Drinks!$B$4:$B$53,MATCH($B344,Drinks!$A$4:$A$53,0)),0))</f>
        <v/>
      </c>
      <c r="L344" s="10" t="str">
        <f aca="false">IF($B344="","",$J344+$K344)</f>
        <v/>
      </c>
      <c r="M344" s="9"/>
      <c r="N344" s="10" t="str">
        <f aca="false">IF($B344="","",$L344-$M344)</f>
        <v/>
      </c>
      <c r="O344" s="10" t="str">
        <f aca="false">IF($B344="","",IFERROR(INDEX(Drinks!$E$4:$E$53,MATCH($B344,Drinks!$A$4:$A$53,0)),0))</f>
        <v/>
      </c>
      <c r="P344" s="10" t="str">
        <f aca="false">IF($B344="","",$N344*$O344)</f>
        <v/>
      </c>
      <c r="Q344" s="10" t="str">
        <f aca="false">IF($B344="","",$N344*IFERROR(INDEX(Drinks!$D$4:$D$53,MATCH($B344,Drinks!$A$4:$A$53,0)),0))</f>
        <v/>
      </c>
      <c r="R344" s="10" t="str">
        <f aca="false">IF($B344="","",$P344-$Q344)</f>
        <v/>
      </c>
      <c r="S344" s="23" t="str">
        <f aca="false">IF($B344="","",IF(COUNTIFS($A$4:$A$2003,$A344-1,$B$4:$B$2003,$B344)=0,"first day",IF(SUMIFS($M$4:$M$2003,$A$4:$A$2003,$A344-1,$B$4:$B$2003,$B344)=$J344,"OK","CHECK")))</f>
        <v/>
      </c>
      <c r="T344" s="10" t="str">
        <f aca="false">IF($B344="","",IFERROR(INDEX(Drinks!$D$4:$D$53,MATCH($B344,Drinks!$A$4:$A$53,0)),0))</f>
        <v/>
      </c>
    </row>
    <row r="345" customFormat="false" ht="15" hidden="false" customHeight="false" outlineLevel="0" collapsed="false">
      <c r="A345" s="22"/>
      <c r="B345" s="9"/>
      <c r="C345" s="9"/>
      <c r="D345" s="9"/>
      <c r="E345" s="9"/>
      <c r="F345" s="10" t="str">
        <f aca="false">IF($B345="","",$C345+$D345-$E345)</f>
        <v/>
      </c>
      <c r="G345" s="10" t="str">
        <f aca="false">IF($B345="","",IFERROR(INDEX(Drinks!$C$4:$C$53,MATCH($B345,Drinks!$A$4:$A$53,0)),0))</f>
        <v/>
      </c>
      <c r="H345" s="10" t="str">
        <f aca="false">IF($B345="","",$D345*$G345)</f>
        <v/>
      </c>
      <c r="I345" s="10" t="str">
        <f aca="false">IF($B345="","",$F345*$G345)</f>
        <v/>
      </c>
      <c r="J345" s="9"/>
      <c r="K345" s="10" t="str">
        <f aca="false">IF($B345="","",$E345*IFERROR(INDEX(Drinks!$B$4:$B$53,MATCH($B345,Drinks!$A$4:$A$53,0)),0))</f>
        <v/>
      </c>
      <c r="L345" s="10" t="str">
        <f aca="false">IF($B345="","",$J345+$K345)</f>
        <v/>
      </c>
      <c r="M345" s="9"/>
      <c r="N345" s="10" t="str">
        <f aca="false">IF($B345="","",$L345-$M345)</f>
        <v/>
      </c>
      <c r="O345" s="10" t="str">
        <f aca="false">IF($B345="","",IFERROR(INDEX(Drinks!$E$4:$E$53,MATCH($B345,Drinks!$A$4:$A$53,0)),0))</f>
        <v/>
      </c>
      <c r="P345" s="10" t="str">
        <f aca="false">IF($B345="","",$N345*$O345)</f>
        <v/>
      </c>
      <c r="Q345" s="10" t="str">
        <f aca="false">IF($B345="","",$N345*IFERROR(INDEX(Drinks!$D$4:$D$53,MATCH($B345,Drinks!$A$4:$A$53,0)),0))</f>
        <v/>
      </c>
      <c r="R345" s="10" t="str">
        <f aca="false">IF($B345="","",$P345-$Q345)</f>
        <v/>
      </c>
      <c r="S345" s="23" t="str">
        <f aca="false">IF($B345="","",IF(COUNTIFS($A$4:$A$2003,$A345-1,$B$4:$B$2003,$B345)=0,"first day",IF(SUMIFS($M$4:$M$2003,$A$4:$A$2003,$A345-1,$B$4:$B$2003,$B345)=$J345,"OK","CHECK")))</f>
        <v/>
      </c>
      <c r="T345" s="10" t="str">
        <f aca="false">IF($B345="","",IFERROR(INDEX(Drinks!$D$4:$D$53,MATCH($B345,Drinks!$A$4:$A$53,0)),0))</f>
        <v/>
      </c>
    </row>
    <row r="346" customFormat="false" ht="15" hidden="false" customHeight="false" outlineLevel="0" collapsed="false">
      <c r="A346" s="22"/>
      <c r="B346" s="9"/>
      <c r="C346" s="9"/>
      <c r="D346" s="9"/>
      <c r="E346" s="9"/>
      <c r="F346" s="10" t="str">
        <f aca="false">IF($B346="","",$C346+$D346-$E346)</f>
        <v/>
      </c>
      <c r="G346" s="10" t="str">
        <f aca="false">IF($B346="","",IFERROR(INDEX(Drinks!$C$4:$C$53,MATCH($B346,Drinks!$A$4:$A$53,0)),0))</f>
        <v/>
      </c>
      <c r="H346" s="10" t="str">
        <f aca="false">IF($B346="","",$D346*$G346)</f>
        <v/>
      </c>
      <c r="I346" s="10" t="str">
        <f aca="false">IF($B346="","",$F346*$G346)</f>
        <v/>
      </c>
      <c r="J346" s="9"/>
      <c r="K346" s="10" t="str">
        <f aca="false">IF($B346="","",$E346*IFERROR(INDEX(Drinks!$B$4:$B$53,MATCH($B346,Drinks!$A$4:$A$53,0)),0))</f>
        <v/>
      </c>
      <c r="L346" s="10" t="str">
        <f aca="false">IF($B346="","",$J346+$K346)</f>
        <v/>
      </c>
      <c r="M346" s="9"/>
      <c r="N346" s="10" t="str">
        <f aca="false">IF($B346="","",$L346-$M346)</f>
        <v/>
      </c>
      <c r="O346" s="10" t="str">
        <f aca="false">IF($B346="","",IFERROR(INDEX(Drinks!$E$4:$E$53,MATCH($B346,Drinks!$A$4:$A$53,0)),0))</f>
        <v/>
      </c>
      <c r="P346" s="10" t="str">
        <f aca="false">IF($B346="","",$N346*$O346)</f>
        <v/>
      </c>
      <c r="Q346" s="10" t="str">
        <f aca="false">IF($B346="","",$N346*IFERROR(INDEX(Drinks!$D$4:$D$53,MATCH($B346,Drinks!$A$4:$A$53,0)),0))</f>
        <v/>
      </c>
      <c r="R346" s="10" t="str">
        <f aca="false">IF($B346="","",$P346-$Q346)</f>
        <v/>
      </c>
      <c r="S346" s="23" t="str">
        <f aca="false">IF($B346="","",IF(COUNTIFS($A$4:$A$2003,$A346-1,$B$4:$B$2003,$B346)=0,"first day",IF(SUMIFS($M$4:$M$2003,$A$4:$A$2003,$A346-1,$B$4:$B$2003,$B346)=$J346,"OK","CHECK")))</f>
        <v/>
      </c>
      <c r="T346" s="10" t="str">
        <f aca="false">IF($B346="","",IFERROR(INDEX(Drinks!$D$4:$D$53,MATCH($B346,Drinks!$A$4:$A$53,0)),0))</f>
        <v/>
      </c>
    </row>
    <row r="347" customFormat="false" ht="15" hidden="false" customHeight="false" outlineLevel="0" collapsed="false">
      <c r="A347" s="22"/>
      <c r="B347" s="9"/>
      <c r="C347" s="9"/>
      <c r="D347" s="9"/>
      <c r="E347" s="9"/>
      <c r="F347" s="10" t="str">
        <f aca="false">IF($B347="","",$C347+$D347-$E347)</f>
        <v/>
      </c>
      <c r="G347" s="10" t="str">
        <f aca="false">IF($B347="","",IFERROR(INDEX(Drinks!$C$4:$C$53,MATCH($B347,Drinks!$A$4:$A$53,0)),0))</f>
        <v/>
      </c>
      <c r="H347" s="10" t="str">
        <f aca="false">IF($B347="","",$D347*$G347)</f>
        <v/>
      </c>
      <c r="I347" s="10" t="str">
        <f aca="false">IF($B347="","",$F347*$G347)</f>
        <v/>
      </c>
      <c r="J347" s="9"/>
      <c r="K347" s="10" t="str">
        <f aca="false">IF($B347="","",$E347*IFERROR(INDEX(Drinks!$B$4:$B$53,MATCH($B347,Drinks!$A$4:$A$53,0)),0))</f>
        <v/>
      </c>
      <c r="L347" s="10" t="str">
        <f aca="false">IF($B347="","",$J347+$K347)</f>
        <v/>
      </c>
      <c r="M347" s="9"/>
      <c r="N347" s="10" t="str">
        <f aca="false">IF($B347="","",$L347-$M347)</f>
        <v/>
      </c>
      <c r="O347" s="10" t="str">
        <f aca="false">IF($B347="","",IFERROR(INDEX(Drinks!$E$4:$E$53,MATCH($B347,Drinks!$A$4:$A$53,0)),0))</f>
        <v/>
      </c>
      <c r="P347" s="10" t="str">
        <f aca="false">IF($B347="","",$N347*$O347)</f>
        <v/>
      </c>
      <c r="Q347" s="10" t="str">
        <f aca="false">IF($B347="","",$N347*IFERROR(INDEX(Drinks!$D$4:$D$53,MATCH($B347,Drinks!$A$4:$A$53,0)),0))</f>
        <v/>
      </c>
      <c r="R347" s="10" t="str">
        <f aca="false">IF($B347="","",$P347-$Q347)</f>
        <v/>
      </c>
      <c r="S347" s="23" t="str">
        <f aca="false">IF($B347="","",IF(COUNTIFS($A$4:$A$2003,$A347-1,$B$4:$B$2003,$B347)=0,"first day",IF(SUMIFS($M$4:$M$2003,$A$4:$A$2003,$A347-1,$B$4:$B$2003,$B347)=$J347,"OK","CHECK")))</f>
        <v/>
      </c>
      <c r="T347" s="10" t="str">
        <f aca="false">IF($B347="","",IFERROR(INDEX(Drinks!$D$4:$D$53,MATCH($B347,Drinks!$A$4:$A$53,0)),0))</f>
        <v/>
      </c>
    </row>
    <row r="348" customFormat="false" ht="15" hidden="false" customHeight="false" outlineLevel="0" collapsed="false">
      <c r="A348" s="22"/>
      <c r="B348" s="9"/>
      <c r="C348" s="9"/>
      <c r="D348" s="9"/>
      <c r="E348" s="9"/>
      <c r="F348" s="10" t="str">
        <f aca="false">IF($B348="","",$C348+$D348-$E348)</f>
        <v/>
      </c>
      <c r="G348" s="10" t="str">
        <f aca="false">IF($B348="","",IFERROR(INDEX(Drinks!$C$4:$C$53,MATCH($B348,Drinks!$A$4:$A$53,0)),0))</f>
        <v/>
      </c>
      <c r="H348" s="10" t="str">
        <f aca="false">IF($B348="","",$D348*$G348)</f>
        <v/>
      </c>
      <c r="I348" s="10" t="str">
        <f aca="false">IF($B348="","",$F348*$G348)</f>
        <v/>
      </c>
      <c r="J348" s="9"/>
      <c r="K348" s="10" t="str">
        <f aca="false">IF($B348="","",$E348*IFERROR(INDEX(Drinks!$B$4:$B$53,MATCH($B348,Drinks!$A$4:$A$53,0)),0))</f>
        <v/>
      </c>
      <c r="L348" s="10" t="str">
        <f aca="false">IF($B348="","",$J348+$K348)</f>
        <v/>
      </c>
      <c r="M348" s="9"/>
      <c r="N348" s="10" t="str">
        <f aca="false">IF($B348="","",$L348-$M348)</f>
        <v/>
      </c>
      <c r="O348" s="10" t="str">
        <f aca="false">IF($B348="","",IFERROR(INDEX(Drinks!$E$4:$E$53,MATCH($B348,Drinks!$A$4:$A$53,0)),0))</f>
        <v/>
      </c>
      <c r="P348" s="10" t="str">
        <f aca="false">IF($B348="","",$N348*$O348)</f>
        <v/>
      </c>
      <c r="Q348" s="10" t="str">
        <f aca="false">IF($B348="","",$N348*IFERROR(INDEX(Drinks!$D$4:$D$53,MATCH($B348,Drinks!$A$4:$A$53,0)),0))</f>
        <v/>
      </c>
      <c r="R348" s="10" t="str">
        <f aca="false">IF($B348="","",$P348-$Q348)</f>
        <v/>
      </c>
      <c r="S348" s="23" t="str">
        <f aca="false">IF($B348="","",IF(COUNTIFS($A$4:$A$2003,$A348-1,$B$4:$B$2003,$B348)=0,"first day",IF(SUMIFS($M$4:$M$2003,$A$4:$A$2003,$A348-1,$B$4:$B$2003,$B348)=$J348,"OK","CHECK")))</f>
        <v/>
      </c>
      <c r="T348" s="10" t="str">
        <f aca="false">IF($B348="","",IFERROR(INDEX(Drinks!$D$4:$D$53,MATCH($B348,Drinks!$A$4:$A$53,0)),0))</f>
        <v/>
      </c>
    </row>
    <row r="349" customFormat="false" ht="15" hidden="false" customHeight="false" outlineLevel="0" collapsed="false">
      <c r="A349" s="22"/>
      <c r="B349" s="9"/>
      <c r="C349" s="9"/>
      <c r="D349" s="9"/>
      <c r="E349" s="9"/>
      <c r="F349" s="10" t="str">
        <f aca="false">IF($B349="","",$C349+$D349-$E349)</f>
        <v/>
      </c>
      <c r="G349" s="10" t="str">
        <f aca="false">IF($B349="","",IFERROR(INDEX(Drinks!$C$4:$C$53,MATCH($B349,Drinks!$A$4:$A$53,0)),0))</f>
        <v/>
      </c>
      <c r="H349" s="10" t="str">
        <f aca="false">IF($B349="","",$D349*$G349)</f>
        <v/>
      </c>
      <c r="I349" s="10" t="str">
        <f aca="false">IF($B349="","",$F349*$G349)</f>
        <v/>
      </c>
      <c r="J349" s="9"/>
      <c r="K349" s="10" t="str">
        <f aca="false">IF($B349="","",$E349*IFERROR(INDEX(Drinks!$B$4:$B$53,MATCH($B349,Drinks!$A$4:$A$53,0)),0))</f>
        <v/>
      </c>
      <c r="L349" s="10" t="str">
        <f aca="false">IF($B349="","",$J349+$K349)</f>
        <v/>
      </c>
      <c r="M349" s="9"/>
      <c r="N349" s="10" t="str">
        <f aca="false">IF($B349="","",$L349-$M349)</f>
        <v/>
      </c>
      <c r="O349" s="10" t="str">
        <f aca="false">IF($B349="","",IFERROR(INDEX(Drinks!$E$4:$E$53,MATCH($B349,Drinks!$A$4:$A$53,0)),0))</f>
        <v/>
      </c>
      <c r="P349" s="10" t="str">
        <f aca="false">IF($B349="","",$N349*$O349)</f>
        <v/>
      </c>
      <c r="Q349" s="10" t="str">
        <f aca="false">IF($B349="","",$N349*IFERROR(INDEX(Drinks!$D$4:$D$53,MATCH($B349,Drinks!$A$4:$A$53,0)),0))</f>
        <v/>
      </c>
      <c r="R349" s="10" t="str">
        <f aca="false">IF($B349="","",$P349-$Q349)</f>
        <v/>
      </c>
      <c r="S349" s="23" t="str">
        <f aca="false">IF($B349="","",IF(COUNTIFS($A$4:$A$2003,$A349-1,$B$4:$B$2003,$B349)=0,"first day",IF(SUMIFS($M$4:$M$2003,$A$4:$A$2003,$A349-1,$B$4:$B$2003,$B349)=$J349,"OK","CHECK")))</f>
        <v/>
      </c>
      <c r="T349" s="10" t="str">
        <f aca="false">IF($B349="","",IFERROR(INDEX(Drinks!$D$4:$D$53,MATCH($B349,Drinks!$A$4:$A$53,0)),0))</f>
        <v/>
      </c>
    </row>
    <row r="350" customFormat="false" ht="15" hidden="false" customHeight="false" outlineLevel="0" collapsed="false">
      <c r="A350" s="22"/>
      <c r="B350" s="9"/>
      <c r="C350" s="9"/>
      <c r="D350" s="9"/>
      <c r="E350" s="9"/>
      <c r="F350" s="10" t="str">
        <f aca="false">IF($B350="","",$C350+$D350-$E350)</f>
        <v/>
      </c>
      <c r="G350" s="10" t="str">
        <f aca="false">IF($B350="","",IFERROR(INDEX(Drinks!$C$4:$C$53,MATCH($B350,Drinks!$A$4:$A$53,0)),0))</f>
        <v/>
      </c>
      <c r="H350" s="10" t="str">
        <f aca="false">IF($B350="","",$D350*$G350)</f>
        <v/>
      </c>
      <c r="I350" s="10" t="str">
        <f aca="false">IF($B350="","",$F350*$G350)</f>
        <v/>
      </c>
      <c r="J350" s="9"/>
      <c r="K350" s="10" t="str">
        <f aca="false">IF($B350="","",$E350*IFERROR(INDEX(Drinks!$B$4:$B$53,MATCH($B350,Drinks!$A$4:$A$53,0)),0))</f>
        <v/>
      </c>
      <c r="L350" s="10" t="str">
        <f aca="false">IF($B350="","",$J350+$K350)</f>
        <v/>
      </c>
      <c r="M350" s="9"/>
      <c r="N350" s="10" t="str">
        <f aca="false">IF($B350="","",$L350-$M350)</f>
        <v/>
      </c>
      <c r="O350" s="10" t="str">
        <f aca="false">IF($B350="","",IFERROR(INDEX(Drinks!$E$4:$E$53,MATCH($B350,Drinks!$A$4:$A$53,0)),0))</f>
        <v/>
      </c>
      <c r="P350" s="10" t="str">
        <f aca="false">IF($B350="","",$N350*$O350)</f>
        <v/>
      </c>
      <c r="Q350" s="10" t="str">
        <f aca="false">IF($B350="","",$N350*IFERROR(INDEX(Drinks!$D$4:$D$53,MATCH($B350,Drinks!$A$4:$A$53,0)),0))</f>
        <v/>
      </c>
      <c r="R350" s="10" t="str">
        <f aca="false">IF($B350="","",$P350-$Q350)</f>
        <v/>
      </c>
      <c r="S350" s="23" t="str">
        <f aca="false">IF($B350="","",IF(COUNTIFS($A$4:$A$2003,$A350-1,$B$4:$B$2003,$B350)=0,"first day",IF(SUMIFS($M$4:$M$2003,$A$4:$A$2003,$A350-1,$B$4:$B$2003,$B350)=$J350,"OK","CHECK")))</f>
        <v/>
      </c>
      <c r="T350" s="10" t="str">
        <f aca="false">IF($B350="","",IFERROR(INDEX(Drinks!$D$4:$D$53,MATCH($B350,Drinks!$A$4:$A$53,0)),0))</f>
        <v/>
      </c>
    </row>
    <row r="351" customFormat="false" ht="15" hidden="false" customHeight="false" outlineLevel="0" collapsed="false">
      <c r="A351" s="22"/>
      <c r="B351" s="9"/>
      <c r="C351" s="9"/>
      <c r="D351" s="9"/>
      <c r="E351" s="9"/>
      <c r="F351" s="10" t="str">
        <f aca="false">IF($B351="","",$C351+$D351-$E351)</f>
        <v/>
      </c>
      <c r="G351" s="10" t="str">
        <f aca="false">IF($B351="","",IFERROR(INDEX(Drinks!$C$4:$C$53,MATCH($B351,Drinks!$A$4:$A$53,0)),0))</f>
        <v/>
      </c>
      <c r="H351" s="10" t="str">
        <f aca="false">IF($B351="","",$D351*$G351)</f>
        <v/>
      </c>
      <c r="I351" s="10" t="str">
        <f aca="false">IF($B351="","",$F351*$G351)</f>
        <v/>
      </c>
      <c r="J351" s="9"/>
      <c r="K351" s="10" t="str">
        <f aca="false">IF($B351="","",$E351*IFERROR(INDEX(Drinks!$B$4:$B$53,MATCH($B351,Drinks!$A$4:$A$53,0)),0))</f>
        <v/>
      </c>
      <c r="L351" s="10" t="str">
        <f aca="false">IF($B351="","",$J351+$K351)</f>
        <v/>
      </c>
      <c r="M351" s="9"/>
      <c r="N351" s="10" t="str">
        <f aca="false">IF($B351="","",$L351-$M351)</f>
        <v/>
      </c>
      <c r="O351" s="10" t="str">
        <f aca="false">IF($B351="","",IFERROR(INDEX(Drinks!$E$4:$E$53,MATCH($B351,Drinks!$A$4:$A$53,0)),0))</f>
        <v/>
      </c>
      <c r="P351" s="10" t="str">
        <f aca="false">IF($B351="","",$N351*$O351)</f>
        <v/>
      </c>
      <c r="Q351" s="10" t="str">
        <f aca="false">IF($B351="","",$N351*IFERROR(INDEX(Drinks!$D$4:$D$53,MATCH($B351,Drinks!$A$4:$A$53,0)),0))</f>
        <v/>
      </c>
      <c r="R351" s="10" t="str">
        <f aca="false">IF($B351="","",$P351-$Q351)</f>
        <v/>
      </c>
      <c r="S351" s="23" t="str">
        <f aca="false">IF($B351="","",IF(COUNTIFS($A$4:$A$2003,$A351-1,$B$4:$B$2003,$B351)=0,"first day",IF(SUMIFS($M$4:$M$2003,$A$4:$A$2003,$A351-1,$B$4:$B$2003,$B351)=$J351,"OK","CHECK")))</f>
        <v/>
      </c>
      <c r="T351" s="10" t="str">
        <f aca="false">IF($B351="","",IFERROR(INDEX(Drinks!$D$4:$D$53,MATCH($B351,Drinks!$A$4:$A$53,0)),0))</f>
        <v/>
      </c>
    </row>
    <row r="352" customFormat="false" ht="15" hidden="false" customHeight="false" outlineLevel="0" collapsed="false">
      <c r="A352" s="22"/>
      <c r="B352" s="9"/>
      <c r="C352" s="9"/>
      <c r="D352" s="9"/>
      <c r="E352" s="9"/>
      <c r="F352" s="10" t="str">
        <f aca="false">IF($B352="","",$C352+$D352-$E352)</f>
        <v/>
      </c>
      <c r="G352" s="10" t="str">
        <f aca="false">IF($B352="","",IFERROR(INDEX(Drinks!$C$4:$C$53,MATCH($B352,Drinks!$A$4:$A$53,0)),0))</f>
        <v/>
      </c>
      <c r="H352" s="10" t="str">
        <f aca="false">IF($B352="","",$D352*$G352)</f>
        <v/>
      </c>
      <c r="I352" s="10" t="str">
        <f aca="false">IF($B352="","",$F352*$G352)</f>
        <v/>
      </c>
      <c r="J352" s="9"/>
      <c r="K352" s="10" t="str">
        <f aca="false">IF($B352="","",$E352*IFERROR(INDEX(Drinks!$B$4:$B$53,MATCH($B352,Drinks!$A$4:$A$53,0)),0))</f>
        <v/>
      </c>
      <c r="L352" s="10" t="str">
        <f aca="false">IF($B352="","",$J352+$K352)</f>
        <v/>
      </c>
      <c r="M352" s="9"/>
      <c r="N352" s="10" t="str">
        <f aca="false">IF($B352="","",$L352-$M352)</f>
        <v/>
      </c>
      <c r="O352" s="10" t="str">
        <f aca="false">IF($B352="","",IFERROR(INDEX(Drinks!$E$4:$E$53,MATCH($B352,Drinks!$A$4:$A$53,0)),0))</f>
        <v/>
      </c>
      <c r="P352" s="10" t="str">
        <f aca="false">IF($B352="","",$N352*$O352)</f>
        <v/>
      </c>
      <c r="Q352" s="10" t="str">
        <f aca="false">IF($B352="","",$N352*IFERROR(INDEX(Drinks!$D$4:$D$53,MATCH($B352,Drinks!$A$4:$A$53,0)),0))</f>
        <v/>
      </c>
      <c r="R352" s="10" t="str">
        <f aca="false">IF($B352="","",$P352-$Q352)</f>
        <v/>
      </c>
      <c r="S352" s="23" t="str">
        <f aca="false">IF($B352="","",IF(COUNTIFS($A$4:$A$2003,$A352-1,$B$4:$B$2003,$B352)=0,"first day",IF(SUMIFS($M$4:$M$2003,$A$4:$A$2003,$A352-1,$B$4:$B$2003,$B352)=$J352,"OK","CHECK")))</f>
        <v/>
      </c>
      <c r="T352" s="10" t="str">
        <f aca="false">IF($B352="","",IFERROR(INDEX(Drinks!$D$4:$D$53,MATCH($B352,Drinks!$A$4:$A$53,0)),0))</f>
        <v/>
      </c>
    </row>
    <row r="353" customFormat="false" ht="15" hidden="false" customHeight="false" outlineLevel="0" collapsed="false">
      <c r="A353" s="22"/>
      <c r="B353" s="9"/>
      <c r="C353" s="9"/>
      <c r="D353" s="9"/>
      <c r="E353" s="9"/>
      <c r="F353" s="10" t="str">
        <f aca="false">IF($B353="","",$C353+$D353-$E353)</f>
        <v/>
      </c>
      <c r="G353" s="10" t="str">
        <f aca="false">IF($B353="","",IFERROR(INDEX(Drinks!$C$4:$C$53,MATCH($B353,Drinks!$A$4:$A$53,0)),0))</f>
        <v/>
      </c>
      <c r="H353" s="10" t="str">
        <f aca="false">IF($B353="","",$D353*$G353)</f>
        <v/>
      </c>
      <c r="I353" s="10" t="str">
        <f aca="false">IF($B353="","",$F353*$G353)</f>
        <v/>
      </c>
      <c r="J353" s="9"/>
      <c r="K353" s="10" t="str">
        <f aca="false">IF($B353="","",$E353*IFERROR(INDEX(Drinks!$B$4:$B$53,MATCH($B353,Drinks!$A$4:$A$53,0)),0))</f>
        <v/>
      </c>
      <c r="L353" s="10" t="str">
        <f aca="false">IF($B353="","",$J353+$K353)</f>
        <v/>
      </c>
      <c r="M353" s="9"/>
      <c r="N353" s="10" t="str">
        <f aca="false">IF($B353="","",$L353-$M353)</f>
        <v/>
      </c>
      <c r="O353" s="10" t="str">
        <f aca="false">IF($B353="","",IFERROR(INDEX(Drinks!$E$4:$E$53,MATCH($B353,Drinks!$A$4:$A$53,0)),0))</f>
        <v/>
      </c>
      <c r="P353" s="10" t="str">
        <f aca="false">IF($B353="","",$N353*$O353)</f>
        <v/>
      </c>
      <c r="Q353" s="10" t="str">
        <f aca="false">IF($B353="","",$N353*IFERROR(INDEX(Drinks!$D$4:$D$53,MATCH($B353,Drinks!$A$4:$A$53,0)),0))</f>
        <v/>
      </c>
      <c r="R353" s="10" t="str">
        <f aca="false">IF($B353="","",$P353-$Q353)</f>
        <v/>
      </c>
      <c r="S353" s="23" t="str">
        <f aca="false">IF($B353="","",IF(COUNTIFS($A$4:$A$2003,$A353-1,$B$4:$B$2003,$B353)=0,"first day",IF(SUMIFS($M$4:$M$2003,$A$4:$A$2003,$A353-1,$B$4:$B$2003,$B353)=$J353,"OK","CHECK")))</f>
        <v/>
      </c>
      <c r="T353" s="10" t="str">
        <f aca="false">IF($B353="","",IFERROR(INDEX(Drinks!$D$4:$D$53,MATCH($B353,Drinks!$A$4:$A$53,0)),0))</f>
        <v/>
      </c>
    </row>
    <row r="354" customFormat="false" ht="15" hidden="false" customHeight="false" outlineLevel="0" collapsed="false">
      <c r="A354" s="22"/>
      <c r="B354" s="9"/>
      <c r="C354" s="9"/>
      <c r="D354" s="9"/>
      <c r="E354" s="9"/>
      <c r="F354" s="10" t="str">
        <f aca="false">IF($B354="","",$C354+$D354-$E354)</f>
        <v/>
      </c>
      <c r="G354" s="10" t="str">
        <f aca="false">IF($B354="","",IFERROR(INDEX(Drinks!$C$4:$C$53,MATCH($B354,Drinks!$A$4:$A$53,0)),0))</f>
        <v/>
      </c>
      <c r="H354" s="10" t="str">
        <f aca="false">IF($B354="","",$D354*$G354)</f>
        <v/>
      </c>
      <c r="I354" s="10" t="str">
        <f aca="false">IF($B354="","",$F354*$G354)</f>
        <v/>
      </c>
      <c r="J354" s="9"/>
      <c r="K354" s="10" t="str">
        <f aca="false">IF($B354="","",$E354*IFERROR(INDEX(Drinks!$B$4:$B$53,MATCH($B354,Drinks!$A$4:$A$53,0)),0))</f>
        <v/>
      </c>
      <c r="L354" s="10" t="str">
        <f aca="false">IF($B354="","",$J354+$K354)</f>
        <v/>
      </c>
      <c r="M354" s="9"/>
      <c r="N354" s="10" t="str">
        <f aca="false">IF($B354="","",$L354-$M354)</f>
        <v/>
      </c>
      <c r="O354" s="10" t="str">
        <f aca="false">IF($B354="","",IFERROR(INDEX(Drinks!$E$4:$E$53,MATCH($B354,Drinks!$A$4:$A$53,0)),0))</f>
        <v/>
      </c>
      <c r="P354" s="10" t="str">
        <f aca="false">IF($B354="","",$N354*$O354)</f>
        <v/>
      </c>
      <c r="Q354" s="10" t="str">
        <f aca="false">IF($B354="","",$N354*IFERROR(INDEX(Drinks!$D$4:$D$53,MATCH($B354,Drinks!$A$4:$A$53,0)),0))</f>
        <v/>
      </c>
      <c r="R354" s="10" t="str">
        <f aca="false">IF($B354="","",$P354-$Q354)</f>
        <v/>
      </c>
      <c r="S354" s="23" t="str">
        <f aca="false">IF($B354="","",IF(COUNTIFS($A$4:$A$2003,$A354-1,$B$4:$B$2003,$B354)=0,"first day",IF(SUMIFS($M$4:$M$2003,$A$4:$A$2003,$A354-1,$B$4:$B$2003,$B354)=$J354,"OK","CHECK")))</f>
        <v/>
      </c>
      <c r="T354" s="10" t="str">
        <f aca="false">IF($B354="","",IFERROR(INDEX(Drinks!$D$4:$D$53,MATCH($B354,Drinks!$A$4:$A$53,0)),0))</f>
        <v/>
      </c>
    </row>
    <row r="355" customFormat="false" ht="15" hidden="false" customHeight="false" outlineLevel="0" collapsed="false">
      <c r="A355" s="22"/>
      <c r="B355" s="9"/>
      <c r="C355" s="9"/>
      <c r="D355" s="9"/>
      <c r="E355" s="9"/>
      <c r="F355" s="10" t="str">
        <f aca="false">IF($B355="","",$C355+$D355-$E355)</f>
        <v/>
      </c>
      <c r="G355" s="10" t="str">
        <f aca="false">IF($B355="","",IFERROR(INDEX(Drinks!$C$4:$C$53,MATCH($B355,Drinks!$A$4:$A$53,0)),0))</f>
        <v/>
      </c>
      <c r="H355" s="10" t="str">
        <f aca="false">IF($B355="","",$D355*$G355)</f>
        <v/>
      </c>
      <c r="I355" s="10" t="str">
        <f aca="false">IF($B355="","",$F355*$G355)</f>
        <v/>
      </c>
      <c r="J355" s="9"/>
      <c r="K355" s="10" t="str">
        <f aca="false">IF($B355="","",$E355*IFERROR(INDEX(Drinks!$B$4:$B$53,MATCH($B355,Drinks!$A$4:$A$53,0)),0))</f>
        <v/>
      </c>
      <c r="L355" s="10" t="str">
        <f aca="false">IF($B355="","",$J355+$K355)</f>
        <v/>
      </c>
      <c r="M355" s="9"/>
      <c r="N355" s="10" t="str">
        <f aca="false">IF($B355="","",$L355-$M355)</f>
        <v/>
      </c>
      <c r="O355" s="10" t="str">
        <f aca="false">IF($B355="","",IFERROR(INDEX(Drinks!$E$4:$E$53,MATCH($B355,Drinks!$A$4:$A$53,0)),0))</f>
        <v/>
      </c>
      <c r="P355" s="10" t="str">
        <f aca="false">IF($B355="","",$N355*$O355)</f>
        <v/>
      </c>
      <c r="Q355" s="10" t="str">
        <f aca="false">IF($B355="","",$N355*IFERROR(INDEX(Drinks!$D$4:$D$53,MATCH($B355,Drinks!$A$4:$A$53,0)),0))</f>
        <v/>
      </c>
      <c r="R355" s="10" t="str">
        <f aca="false">IF($B355="","",$P355-$Q355)</f>
        <v/>
      </c>
      <c r="S355" s="23" t="str">
        <f aca="false">IF($B355="","",IF(COUNTIFS($A$4:$A$2003,$A355-1,$B$4:$B$2003,$B355)=0,"first day",IF(SUMIFS($M$4:$M$2003,$A$4:$A$2003,$A355-1,$B$4:$B$2003,$B355)=$J355,"OK","CHECK")))</f>
        <v/>
      </c>
      <c r="T355" s="10" t="str">
        <f aca="false">IF($B355="","",IFERROR(INDEX(Drinks!$D$4:$D$53,MATCH($B355,Drinks!$A$4:$A$53,0)),0))</f>
        <v/>
      </c>
    </row>
    <row r="356" customFormat="false" ht="15" hidden="false" customHeight="false" outlineLevel="0" collapsed="false">
      <c r="A356" s="22"/>
      <c r="B356" s="9"/>
      <c r="C356" s="9"/>
      <c r="D356" s="9"/>
      <c r="E356" s="9"/>
      <c r="F356" s="10" t="str">
        <f aca="false">IF($B356="","",$C356+$D356-$E356)</f>
        <v/>
      </c>
      <c r="G356" s="10" t="str">
        <f aca="false">IF($B356="","",IFERROR(INDEX(Drinks!$C$4:$C$53,MATCH($B356,Drinks!$A$4:$A$53,0)),0))</f>
        <v/>
      </c>
      <c r="H356" s="10" t="str">
        <f aca="false">IF($B356="","",$D356*$G356)</f>
        <v/>
      </c>
      <c r="I356" s="10" t="str">
        <f aca="false">IF($B356="","",$F356*$G356)</f>
        <v/>
      </c>
      <c r="J356" s="9"/>
      <c r="K356" s="10" t="str">
        <f aca="false">IF($B356="","",$E356*IFERROR(INDEX(Drinks!$B$4:$B$53,MATCH($B356,Drinks!$A$4:$A$53,0)),0))</f>
        <v/>
      </c>
      <c r="L356" s="10" t="str">
        <f aca="false">IF($B356="","",$J356+$K356)</f>
        <v/>
      </c>
      <c r="M356" s="9"/>
      <c r="N356" s="10" t="str">
        <f aca="false">IF($B356="","",$L356-$M356)</f>
        <v/>
      </c>
      <c r="O356" s="10" t="str">
        <f aca="false">IF($B356="","",IFERROR(INDEX(Drinks!$E$4:$E$53,MATCH($B356,Drinks!$A$4:$A$53,0)),0))</f>
        <v/>
      </c>
      <c r="P356" s="10" t="str">
        <f aca="false">IF($B356="","",$N356*$O356)</f>
        <v/>
      </c>
      <c r="Q356" s="10" t="str">
        <f aca="false">IF($B356="","",$N356*IFERROR(INDEX(Drinks!$D$4:$D$53,MATCH($B356,Drinks!$A$4:$A$53,0)),0))</f>
        <v/>
      </c>
      <c r="R356" s="10" t="str">
        <f aca="false">IF($B356="","",$P356-$Q356)</f>
        <v/>
      </c>
      <c r="S356" s="23" t="str">
        <f aca="false">IF($B356="","",IF(COUNTIFS($A$4:$A$2003,$A356-1,$B$4:$B$2003,$B356)=0,"first day",IF(SUMIFS($M$4:$M$2003,$A$4:$A$2003,$A356-1,$B$4:$B$2003,$B356)=$J356,"OK","CHECK")))</f>
        <v/>
      </c>
      <c r="T356" s="10" t="str">
        <f aca="false">IF($B356="","",IFERROR(INDEX(Drinks!$D$4:$D$53,MATCH($B356,Drinks!$A$4:$A$53,0)),0))</f>
        <v/>
      </c>
    </row>
    <row r="357" customFormat="false" ht="15" hidden="false" customHeight="false" outlineLevel="0" collapsed="false">
      <c r="A357" s="22"/>
      <c r="B357" s="9"/>
      <c r="C357" s="9"/>
      <c r="D357" s="9"/>
      <c r="E357" s="9"/>
      <c r="F357" s="10" t="str">
        <f aca="false">IF($B357="","",$C357+$D357-$E357)</f>
        <v/>
      </c>
      <c r="G357" s="10" t="str">
        <f aca="false">IF($B357="","",IFERROR(INDEX(Drinks!$C$4:$C$53,MATCH($B357,Drinks!$A$4:$A$53,0)),0))</f>
        <v/>
      </c>
      <c r="H357" s="10" t="str">
        <f aca="false">IF($B357="","",$D357*$G357)</f>
        <v/>
      </c>
      <c r="I357" s="10" t="str">
        <f aca="false">IF($B357="","",$F357*$G357)</f>
        <v/>
      </c>
      <c r="J357" s="9"/>
      <c r="K357" s="10" t="str">
        <f aca="false">IF($B357="","",$E357*IFERROR(INDEX(Drinks!$B$4:$B$53,MATCH($B357,Drinks!$A$4:$A$53,0)),0))</f>
        <v/>
      </c>
      <c r="L357" s="10" t="str">
        <f aca="false">IF($B357="","",$J357+$K357)</f>
        <v/>
      </c>
      <c r="M357" s="9"/>
      <c r="N357" s="10" t="str">
        <f aca="false">IF($B357="","",$L357-$M357)</f>
        <v/>
      </c>
      <c r="O357" s="10" t="str">
        <f aca="false">IF($B357="","",IFERROR(INDEX(Drinks!$E$4:$E$53,MATCH($B357,Drinks!$A$4:$A$53,0)),0))</f>
        <v/>
      </c>
      <c r="P357" s="10" t="str">
        <f aca="false">IF($B357="","",$N357*$O357)</f>
        <v/>
      </c>
      <c r="Q357" s="10" t="str">
        <f aca="false">IF($B357="","",$N357*IFERROR(INDEX(Drinks!$D$4:$D$53,MATCH($B357,Drinks!$A$4:$A$53,0)),0))</f>
        <v/>
      </c>
      <c r="R357" s="10" t="str">
        <f aca="false">IF($B357="","",$P357-$Q357)</f>
        <v/>
      </c>
      <c r="S357" s="23" t="str">
        <f aca="false">IF($B357="","",IF(COUNTIFS($A$4:$A$2003,$A357-1,$B$4:$B$2003,$B357)=0,"first day",IF(SUMIFS($M$4:$M$2003,$A$4:$A$2003,$A357-1,$B$4:$B$2003,$B357)=$J357,"OK","CHECK")))</f>
        <v/>
      </c>
      <c r="T357" s="10" t="str">
        <f aca="false">IF($B357="","",IFERROR(INDEX(Drinks!$D$4:$D$53,MATCH($B357,Drinks!$A$4:$A$53,0)),0))</f>
        <v/>
      </c>
    </row>
    <row r="358" customFormat="false" ht="15" hidden="false" customHeight="false" outlineLevel="0" collapsed="false">
      <c r="A358" s="22"/>
      <c r="B358" s="9"/>
      <c r="C358" s="9"/>
      <c r="D358" s="9"/>
      <c r="E358" s="9"/>
      <c r="F358" s="10" t="str">
        <f aca="false">IF($B358="","",$C358+$D358-$E358)</f>
        <v/>
      </c>
      <c r="G358" s="10" t="str">
        <f aca="false">IF($B358="","",IFERROR(INDEX(Drinks!$C$4:$C$53,MATCH($B358,Drinks!$A$4:$A$53,0)),0))</f>
        <v/>
      </c>
      <c r="H358" s="10" t="str">
        <f aca="false">IF($B358="","",$D358*$G358)</f>
        <v/>
      </c>
      <c r="I358" s="10" t="str">
        <f aca="false">IF($B358="","",$F358*$G358)</f>
        <v/>
      </c>
      <c r="J358" s="9"/>
      <c r="K358" s="10" t="str">
        <f aca="false">IF($B358="","",$E358*IFERROR(INDEX(Drinks!$B$4:$B$53,MATCH($B358,Drinks!$A$4:$A$53,0)),0))</f>
        <v/>
      </c>
      <c r="L358" s="10" t="str">
        <f aca="false">IF($B358="","",$J358+$K358)</f>
        <v/>
      </c>
      <c r="M358" s="9"/>
      <c r="N358" s="10" t="str">
        <f aca="false">IF($B358="","",$L358-$M358)</f>
        <v/>
      </c>
      <c r="O358" s="10" t="str">
        <f aca="false">IF($B358="","",IFERROR(INDEX(Drinks!$E$4:$E$53,MATCH($B358,Drinks!$A$4:$A$53,0)),0))</f>
        <v/>
      </c>
      <c r="P358" s="10" t="str">
        <f aca="false">IF($B358="","",$N358*$O358)</f>
        <v/>
      </c>
      <c r="Q358" s="10" t="str">
        <f aca="false">IF($B358="","",$N358*IFERROR(INDEX(Drinks!$D$4:$D$53,MATCH($B358,Drinks!$A$4:$A$53,0)),0))</f>
        <v/>
      </c>
      <c r="R358" s="10" t="str">
        <f aca="false">IF($B358="","",$P358-$Q358)</f>
        <v/>
      </c>
      <c r="S358" s="23" t="str">
        <f aca="false">IF($B358="","",IF(COUNTIFS($A$4:$A$2003,$A358-1,$B$4:$B$2003,$B358)=0,"first day",IF(SUMIFS($M$4:$M$2003,$A$4:$A$2003,$A358-1,$B$4:$B$2003,$B358)=$J358,"OK","CHECK")))</f>
        <v/>
      </c>
      <c r="T358" s="10" t="str">
        <f aca="false">IF($B358="","",IFERROR(INDEX(Drinks!$D$4:$D$53,MATCH($B358,Drinks!$A$4:$A$53,0)),0))</f>
        <v/>
      </c>
    </row>
    <row r="359" customFormat="false" ht="15" hidden="false" customHeight="false" outlineLevel="0" collapsed="false">
      <c r="A359" s="22"/>
      <c r="B359" s="9"/>
      <c r="C359" s="9"/>
      <c r="D359" s="9"/>
      <c r="E359" s="9"/>
      <c r="F359" s="10" t="str">
        <f aca="false">IF($B359="","",$C359+$D359-$E359)</f>
        <v/>
      </c>
      <c r="G359" s="10" t="str">
        <f aca="false">IF($B359="","",IFERROR(INDEX(Drinks!$C$4:$C$53,MATCH($B359,Drinks!$A$4:$A$53,0)),0))</f>
        <v/>
      </c>
      <c r="H359" s="10" t="str">
        <f aca="false">IF($B359="","",$D359*$G359)</f>
        <v/>
      </c>
      <c r="I359" s="10" t="str">
        <f aca="false">IF($B359="","",$F359*$G359)</f>
        <v/>
      </c>
      <c r="J359" s="9"/>
      <c r="K359" s="10" t="str">
        <f aca="false">IF($B359="","",$E359*IFERROR(INDEX(Drinks!$B$4:$B$53,MATCH($B359,Drinks!$A$4:$A$53,0)),0))</f>
        <v/>
      </c>
      <c r="L359" s="10" t="str">
        <f aca="false">IF($B359="","",$J359+$K359)</f>
        <v/>
      </c>
      <c r="M359" s="9"/>
      <c r="N359" s="10" t="str">
        <f aca="false">IF($B359="","",$L359-$M359)</f>
        <v/>
      </c>
      <c r="O359" s="10" t="str">
        <f aca="false">IF($B359="","",IFERROR(INDEX(Drinks!$E$4:$E$53,MATCH($B359,Drinks!$A$4:$A$53,0)),0))</f>
        <v/>
      </c>
      <c r="P359" s="10" t="str">
        <f aca="false">IF($B359="","",$N359*$O359)</f>
        <v/>
      </c>
      <c r="Q359" s="10" t="str">
        <f aca="false">IF($B359="","",$N359*IFERROR(INDEX(Drinks!$D$4:$D$53,MATCH($B359,Drinks!$A$4:$A$53,0)),0))</f>
        <v/>
      </c>
      <c r="R359" s="10" t="str">
        <f aca="false">IF($B359="","",$P359-$Q359)</f>
        <v/>
      </c>
      <c r="S359" s="23" t="str">
        <f aca="false">IF($B359="","",IF(COUNTIFS($A$4:$A$2003,$A359-1,$B$4:$B$2003,$B359)=0,"first day",IF(SUMIFS($M$4:$M$2003,$A$4:$A$2003,$A359-1,$B$4:$B$2003,$B359)=$J359,"OK","CHECK")))</f>
        <v/>
      </c>
      <c r="T359" s="10" t="str">
        <f aca="false">IF($B359="","",IFERROR(INDEX(Drinks!$D$4:$D$53,MATCH($B359,Drinks!$A$4:$A$53,0)),0))</f>
        <v/>
      </c>
    </row>
    <row r="360" customFormat="false" ht="15" hidden="false" customHeight="false" outlineLevel="0" collapsed="false">
      <c r="A360" s="22"/>
      <c r="B360" s="9"/>
      <c r="C360" s="9"/>
      <c r="D360" s="9"/>
      <c r="E360" s="9"/>
      <c r="F360" s="10" t="str">
        <f aca="false">IF($B360="","",$C360+$D360-$E360)</f>
        <v/>
      </c>
      <c r="G360" s="10" t="str">
        <f aca="false">IF($B360="","",IFERROR(INDEX(Drinks!$C$4:$C$53,MATCH($B360,Drinks!$A$4:$A$53,0)),0))</f>
        <v/>
      </c>
      <c r="H360" s="10" t="str">
        <f aca="false">IF($B360="","",$D360*$G360)</f>
        <v/>
      </c>
      <c r="I360" s="10" t="str">
        <f aca="false">IF($B360="","",$F360*$G360)</f>
        <v/>
      </c>
      <c r="J360" s="9"/>
      <c r="K360" s="10" t="str">
        <f aca="false">IF($B360="","",$E360*IFERROR(INDEX(Drinks!$B$4:$B$53,MATCH($B360,Drinks!$A$4:$A$53,0)),0))</f>
        <v/>
      </c>
      <c r="L360" s="10" t="str">
        <f aca="false">IF($B360="","",$J360+$K360)</f>
        <v/>
      </c>
      <c r="M360" s="9"/>
      <c r="N360" s="10" t="str">
        <f aca="false">IF($B360="","",$L360-$M360)</f>
        <v/>
      </c>
      <c r="O360" s="10" t="str">
        <f aca="false">IF($B360="","",IFERROR(INDEX(Drinks!$E$4:$E$53,MATCH($B360,Drinks!$A$4:$A$53,0)),0))</f>
        <v/>
      </c>
      <c r="P360" s="10" t="str">
        <f aca="false">IF($B360="","",$N360*$O360)</f>
        <v/>
      </c>
      <c r="Q360" s="10" t="str">
        <f aca="false">IF($B360="","",$N360*IFERROR(INDEX(Drinks!$D$4:$D$53,MATCH($B360,Drinks!$A$4:$A$53,0)),0))</f>
        <v/>
      </c>
      <c r="R360" s="10" t="str">
        <f aca="false">IF($B360="","",$P360-$Q360)</f>
        <v/>
      </c>
      <c r="S360" s="23" t="str">
        <f aca="false">IF($B360="","",IF(COUNTIFS($A$4:$A$2003,$A360-1,$B$4:$B$2003,$B360)=0,"first day",IF(SUMIFS($M$4:$M$2003,$A$4:$A$2003,$A360-1,$B$4:$B$2003,$B360)=$J360,"OK","CHECK")))</f>
        <v/>
      </c>
      <c r="T360" s="10" t="str">
        <f aca="false">IF($B360="","",IFERROR(INDEX(Drinks!$D$4:$D$53,MATCH($B360,Drinks!$A$4:$A$53,0)),0))</f>
        <v/>
      </c>
    </row>
    <row r="361" customFormat="false" ht="15" hidden="false" customHeight="false" outlineLevel="0" collapsed="false">
      <c r="A361" s="22"/>
      <c r="B361" s="9"/>
      <c r="C361" s="9"/>
      <c r="D361" s="9"/>
      <c r="E361" s="9"/>
      <c r="F361" s="10" t="str">
        <f aca="false">IF($B361="","",$C361+$D361-$E361)</f>
        <v/>
      </c>
      <c r="G361" s="10" t="str">
        <f aca="false">IF($B361="","",IFERROR(INDEX(Drinks!$C$4:$C$53,MATCH($B361,Drinks!$A$4:$A$53,0)),0))</f>
        <v/>
      </c>
      <c r="H361" s="10" t="str">
        <f aca="false">IF($B361="","",$D361*$G361)</f>
        <v/>
      </c>
      <c r="I361" s="10" t="str">
        <f aca="false">IF($B361="","",$F361*$G361)</f>
        <v/>
      </c>
      <c r="J361" s="9"/>
      <c r="K361" s="10" t="str">
        <f aca="false">IF($B361="","",$E361*IFERROR(INDEX(Drinks!$B$4:$B$53,MATCH($B361,Drinks!$A$4:$A$53,0)),0))</f>
        <v/>
      </c>
      <c r="L361" s="10" t="str">
        <f aca="false">IF($B361="","",$J361+$K361)</f>
        <v/>
      </c>
      <c r="M361" s="9"/>
      <c r="N361" s="10" t="str">
        <f aca="false">IF($B361="","",$L361-$M361)</f>
        <v/>
      </c>
      <c r="O361" s="10" t="str">
        <f aca="false">IF($B361="","",IFERROR(INDEX(Drinks!$E$4:$E$53,MATCH($B361,Drinks!$A$4:$A$53,0)),0))</f>
        <v/>
      </c>
      <c r="P361" s="10" t="str">
        <f aca="false">IF($B361="","",$N361*$O361)</f>
        <v/>
      </c>
      <c r="Q361" s="10" t="str">
        <f aca="false">IF($B361="","",$N361*IFERROR(INDEX(Drinks!$D$4:$D$53,MATCH($B361,Drinks!$A$4:$A$53,0)),0))</f>
        <v/>
      </c>
      <c r="R361" s="10" t="str">
        <f aca="false">IF($B361="","",$P361-$Q361)</f>
        <v/>
      </c>
      <c r="S361" s="23" t="str">
        <f aca="false">IF($B361="","",IF(COUNTIFS($A$4:$A$2003,$A361-1,$B$4:$B$2003,$B361)=0,"first day",IF(SUMIFS($M$4:$M$2003,$A$4:$A$2003,$A361-1,$B$4:$B$2003,$B361)=$J361,"OK","CHECK")))</f>
        <v/>
      </c>
      <c r="T361" s="10" t="str">
        <f aca="false">IF($B361="","",IFERROR(INDEX(Drinks!$D$4:$D$53,MATCH($B361,Drinks!$A$4:$A$53,0)),0))</f>
        <v/>
      </c>
    </row>
    <row r="362" customFormat="false" ht="15" hidden="false" customHeight="false" outlineLevel="0" collapsed="false">
      <c r="A362" s="22"/>
      <c r="B362" s="9"/>
      <c r="C362" s="9"/>
      <c r="D362" s="9"/>
      <c r="E362" s="9"/>
      <c r="F362" s="10" t="str">
        <f aca="false">IF($B362="","",$C362+$D362-$E362)</f>
        <v/>
      </c>
      <c r="G362" s="10" t="str">
        <f aca="false">IF($B362="","",IFERROR(INDEX(Drinks!$C$4:$C$53,MATCH($B362,Drinks!$A$4:$A$53,0)),0))</f>
        <v/>
      </c>
      <c r="H362" s="10" t="str">
        <f aca="false">IF($B362="","",$D362*$G362)</f>
        <v/>
      </c>
      <c r="I362" s="10" t="str">
        <f aca="false">IF($B362="","",$F362*$G362)</f>
        <v/>
      </c>
      <c r="J362" s="9"/>
      <c r="K362" s="10" t="str">
        <f aca="false">IF($B362="","",$E362*IFERROR(INDEX(Drinks!$B$4:$B$53,MATCH($B362,Drinks!$A$4:$A$53,0)),0))</f>
        <v/>
      </c>
      <c r="L362" s="10" t="str">
        <f aca="false">IF($B362="","",$J362+$K362)</f>
        <v/>
      </c>
      <c r="M362" s="9"/>
      <c r="N362" s="10" t="str">
        <f aca="false">IF($B362="","",$L362-$M362)</f>
        <v/>
      </c>
      <c r="O362" s="10" t="str">
        <f aca="false">IF($B362="","",IFERROR(INDEX(Drinks!$E$4:$E$53,MATCH($B362,Drinks!$A$4:$A$53,0)),0))</f>
        <v/>
      </c>
      <c r="P362" s="10" t="str">
        <f aca="false">IF($B362="","",$N362*$O362)</f>
        <v/>
      </c>
      <c r="Q362" s="10" t="str">
        <f aca="false">IF($B362="","",$N362*IFERROR(INDEX(Drinks!$D$4:$D$53,MATCH($B362,Drinks!$A$4:$A$53,0)),0))</f>
        <v/>
      </c>
      <c r="R362" s="10" t="str">
        <f aca="false">IF($B362="","",$P362-$Q362)</f>
        <v/>
      </c>
      <c r="S362" s="23" t="str">
        <f aca="false">IF($B362="","",IF(COUNTIFS($A$4:$A$2003,$A362-1,$B$4:$B$2003,$B362)=0,"first day",IF(SUMIFS($M$4:$M$2003,$A$4:$A$2003,$A362-1,$B$4:$B$2003,$B362)=$J362,"OK","CHECK")))</f>
        <v/>
      </c>
      <c r="T362" s="10" t="str">
        <f aca="false">IF($B362="","",IFERROR(INDEX(Drinks!$D$4:$D$53,MATCH($B362,Drinks!$A$4:$A$53,0)),0))</f>
        <v/>
      </c>
    </row>
    <row r="363" customFormat="false" ht="15" hidden="false" customHeight="false" outlineLevel="0" collapsed="false">
      <c r="A363" s="22"/>
      <c r="B363" s="9"/>
      <c r="C363" s="9"/>
      <c r="D363" s="9"/>
      <c r="E363" s="9"/>
      <c r="F363" s="10" t="str">
        <f aca="false">IF($B363="","",$C363+$D363-$E363)</f>
        <v/>
      </c>
      <c r="G363" s="10" t="str">
        <f aca="false">IF($B363="","",IFERROR(INDEX(Drinks!$C$4:$C$53,MATCH($B363,Drinks!$A$4:$A$53,0)),0))</f>
        <v/>
      </c>
      <c r="H363" s="10" t="str">
        <f aca="false">IF($B363="","",$D363*$G363)</f>
        <v/>
      </c>
      <c r="I363" s="10" t="str">
        <f aca="false">IF($B363="","",$F363*$G363)</f>
        <v/>
      </c>
      <c r="J363" s="9"/>
      <c r="K363" s="10" t="str">
        <f aca="false">IF($B363="","",$E363*IFERROR(INDEX(Drinks!$B$4:$B$53,MATCH($B363,Drinks!$A$4:$A$53,0)),0))</f>
        <v/>
      </c>
      <c r="L363" s="10" t="str">
        <f aca="false">IF($B363="","",$J363+$K363)</f>
        <v/>
      </c>
      <c r="M363" s="9"/>
      <c r="N363" s="10" t="str">
        <f aca="false">IF($B363="","",$L363-$M363)</f>
        <v/>
      </c>
      <c r="O363" s="10" t="str">
        <f aca="false">IF($B363="","",IFERROR(INDEX(Drinks!$E$4:$E$53,MATCH($B363,Drinks!$A$4:$A$53,0)),0))</f>
        <v/>
      </c>
      <c r="P363" s="10" t="str">
        <f aca="false">IF($B363="","",$N363*$O363)</f>
        <v/>
      </c>
      <c r="Q363" s="10" t="str">
        <f aca="false">IF($B363="","",$N363*IFERROR(INDEX(Drinks!$D$4:$D$53,MATCH($B363,Drinks!$A$4:$A$53,0)),0))</f>
        <v/>
      </c>
      <c r="R363" s="10" t="str">
        <f aca="false">IF($B363="","",$P363-$Q363)</f>
        <v/>
      </c>
      <c r="S363" s="23" t="str">
        <f aca="false">IF($B363="","",IF(COUNTIFS($A$4:$A$2003,$A363-1,$B$4:$B$2003,$B363)=0,"first day",IF(SUMIFS($M$4:$M$2003,$A$4:$A$2003,$A363-1,$B$4:$B$2003,$B363)=$J363,"OK","CHECK")))</f>
        <v/>
      </c>
      <c r="T363" s="10" t="str">
        <f aca="false">IF($B363="","",IFERROR(INDEX(Drinks!$D$4:$D$53,MATCH($B363,Drinks!$A$4:$A$53,0)),0))</f>
        <v/>
      </c>
    </row>
    <row r="364" customFormat="false" ht="15" hidden="false" customHeight="false" outlineLevel="0" collapsed="false">
      <c r="A364" s="22"/>
      <c r="B364" s="9"/>
      <c r="C364" s="9"/>
      <c r="D364" s="9"/>
      <c r="E364" s="9"/>
      <c r="F364" s="10" t="str">
        <f aca="false">IF($B364="","",$C364+$D364-$E364)</f>
        <v/>
      </c>
      <c r="G364" s="10" t="str">
        <f aca="false">IF($B364="","",IFERROR(INDEX(Drinks!$C$4:$C$53,MATCH($B364,Drinks!$A$4:$A$53,0)),0))</f>
        <v/>
      </c>
      <c r="H364" s="10" t="str">
        <f aca="false">IF($B364="","",$D364*$G364)</f>
        <v/>
      </c>
      <c r="I364" s="10" t="str">
        <f aca="false">IF($B364="","",$F364*$G364)</f>
        <v/>
      </c>
      <c r="J364" s="9"/>
      <c r="K364" s="10" t="str">
        <f aca="false">IF($B364="","",$E364*IFERROR(INDEX(Drinks!$B$4:$B$53,MATCH($B364,Drinks!$A$4:$A$53,0)),0))</f>
        <v/>
      </c>
      <c r="L364" s="10" t="str">
        <f aca="false">IF($B364="","",$J364+$K364)</f>
        <v/>
      </c>
      <c r="M364" s="9"/>
      <c r="N364" s="10" t="str">
        <f aca="false">IF($B364="","",$L364-$M364)</f>
        <v/>
      </c>
      <c r="O364" s="10" t="str">
        <f aca="false">IF($B364="","",IFERROR(INDEX(Drinks!$E$4:$E$53,MATCH($B364,Drinks!$A$4:$A$53,0)),0))</f>
        <v/>
      </c>
      <c r="P364" s="10" t="str">
        <f aca="false">IF($B364="","",$N364*$O364)</f>
        <v/>
      </c>
      <c r="Q364" s="10" t="str">
        <f aca="false">IF($B364="","",$N364*IFERROR(INDEX(Drinks!$D$4:$D$53,MATCH($B364,Drinks!$A$4:$A$53,0)),0))</f>
        <v/>
      </c>
      <c r="R364" s="10" t="str">
        <f aca="false">IF($B364="","",$P364-$Q364)</f>
        <v/>
      </c>
      <c r="S364" s="23" t="str">
        <f aca="false">IF($B364="","",IF(COUNTIFS($A$4:$A$2003,$A364-1,$B$4:$B$2003,$B364)=0,"first day",IF(SUMIFS($M$4:$M$2003,$A$4:$A$2003,$A364-1,$B$4:$B$2003,$B364)=$J364,"OK","CHECK")))</f>
        <v/>
      </c>
      <c r="T364" s="10" t="str">
        <f aca="false">IF($B364="","",IFERROR(INDEX(Drinks!$D$4:$D$53,MATCH($B364,Drinks!$A$4:$A$53,0)),0))</f>
        <v/>
      </c>
    </row>
    <row r="365" customFormat="false" ht="15" hidden="false" customHeight="false" outlineLevel="0" collapsed="false">
      <c r="A365" s="22"/>
      <c r="B365" s="9"/>
      <c r="C365" s="9"/>
      <c r="D365" s="9"/>
      <c r="E365" s="9"/>
      <c r="F365" s="10" t="str">
        <f aca="false">IF($B365="","",$C365+$D365-$E365)</f>
        <v/>
      </c>
      <c r="G365" s="10" t="str">
        <f aca="false">IF($B365="","",IFERROR(INDEX(Drinks!$C$4:$C$53,MATCH($B365,Drinks!$A$4:$A$53,0)),0))</f>
        <v/>
      </c>
      <c r="H365" s="10" t="str">
        <f aca="false">IF($B365="","",$D365*$G365)</f>
        <v/>
      </c>
      <c r="I365" s="10" t="str">
        <f aca="false">IF($B365="","",$F365*$G365)</f>
        <v/>
      </c>
      <c r="J365" s="9"/>
      <c r="K365" s="10" t="str">
        <f aca="false">IF($B365="","",$E365*IFERROR(INDEX(Drinks!$B$4:$B$53,MATCH($B365,Drinks!$A$4:$A$53,0)),0))</f>
        <v/>
      </c>
      <c r="L365" s="10" t="str">
        <f aca="false">IF($B365="","",$J365+$K365)</f>
        <v/>
      </c>
      <c r="M365" s="9"/>
      <c r="N365" s="10" t="str">
        <f aca="false">IF($B365="","",$L365-$M365)</f>
        <v/>
      </c>
      <c r="O365" s="10" t="str">
        <f aca="false">IF($B365="","",IFERROR(INDEX(Drinks!$E$4:$E$53,MATCH($B365,Drinks!$A$4:$A$53,0)),0))</f>
        <v/>
      </c>
      <c r="P365" s="10" t="str">
        <f aca="false">IF($B365="","",$N365*$O365)</f>
        <v/>
      </c>
      <c r="Q365" s="10" t="str">
        <f aca="false">IF($B365="","",$N365*IFERROR(INDEX(Drinks!$D$4:$D$53,MATCH($B365,Drinks!$A$4:$A$53,0)),0))</f>
        <v/>
      </c>
      <c r="R365" s="10" t="str">
        <f aca="false">IF($B365="","",$P365-$Q365)</f>
        <v/>
      </c>
      <c r="S365" s="23" t="str">
        <f aca="false">IF($B365="","",IF(COUNTIFS($A$4:$A$2003,$A365-1,$B$4:$B$2003,$B365)=0,"first day",IF(SUMIFS($M$4:$M$2003,$A$4:$A$2003,$A365-1,$B$4:$B$2003,$B365)=$J365,"OK","CHECK")))</f>
        <v/>
      </c>
      <c r="T365" s="10" t="str">
        <f aca="false">IF($B365="","",IFERROR(INDEX(Drinks!$D$4:$D$53,MATCH($B365,Drinks!$A$4:$A$53,0)),0))</f>
        <v/>
      </c>
    </row>
    <row r="366" customFormat="false" ht="15" hidden="false" customHeight="false" outlineLevel="0" collapsed="false">
      <c r="A366" s="22"/>
      <c r="B366" s="9"/>
      <c r="C366" s="9"/>
      <c r="D366" s="9"/>
      <c r="E366" s="9"/>
      <c r="F366" s="10" t="str">
        <f aca="false">IF($B366="","",$C366+$D366-$E366)</f>
        <v/>
      </c>
      <c r="G366" s="10" t="str">
        <f aca="false">IF($B366="","",IFERROR(INDEX(Drinks!$C$4:$C$53,MATCH($B366,Drinks!$A$4:$A$53,0)),0))</f>
        <v/>
      </c>
      <c r="H366" s="10" t="str">
        <f aca="false">IF($B366="","",$D366*$G366)</f>
        <v/>
      </c>
      <c r="I366" s="10" t="str">
        <f aca="false">IF($B366="","",$F366*$G366)</f>
        <v/>
      </c>
      <c r="J366" s="9"/>
      <c r="K366" s="10" t="str">
        <f aca="false">IF($B366="","",$E366*IFERROR(INDEX(Drinks!$B$4:$B$53,MATCH($B366,Drinks!$A$4:$A$53,0)),0))</f>
        <v/>
      </c>
      <c r="L366" s="10" t="str">
        <f aca="false">IF($B366="","",$J366+$K366)</f>
        <v/>
      </c>
      <c r="M366" s="9"/>
      <c r="N366" s="10" t="str">
        <f aca="false">IF($B366="","",$L366-$M366)</f>
        <v/>
      </c>
      <c r="O366" s="10" t="str">
        <f aca="false">IF($B366="","",IFERROR(INDEX(Drinks!$E$4:$E$53,MATCH($B366,Drinks!$A$4:$A$53,0)),0))</f>
        <v/>
      </c>
      <c r="P366" s="10" t="str">
        <f aca="false">IF($B366="","",$N366*$O366)</f>
        <v/>
      </c>
      <c r="Q366" s="10" t="str">
        <f aca="false">IF($B366="","",$N366*IFERROR(INDEX(Drinks!$D$4:$D$53,MATCH($B366,Drinks!$A$4:$A$53,0)),0))</f>
        <v/>
      </c>
      <c r="R366" s="10" t="str">
        <f aca="false">IF($B366="","",$P366-$Q366)</f>
        <v/>
      </c>
      <c r="S366" s="23" t="str">
        <f aca="false">IF($B366="","",IF(COUNTIFS($A$4:$A$2003,$A366-1,$B$4:$B$2003,$B366)=0,"first day",IF(SUMIFS($M$4:$M$2003,$A$4:$A$2003,$A366-1,$B$4:$B$2003,$B366)=$J366,"OK","CHECK")))</f>
        <v/>
      </c>
      <c r="T366" s="10" t="str">
        <f aca="false">IF($B366="","",IFERROR(INDEX(Drinks!$D$4:$D$53,MATCH($B366,Drinks!$A$4:$A$53,0)),0))</f>
        <v/>
      </c>
    </row>
    <row r="367" customFormat="false" ht="15" hidden="false" customHeight="false" outlineLevel="0" collapsed="false">
      <c r="A367" s="22"/>
      <c r="B367" s="9"/>
      <c r="C367" s="9"/>
      <c r="D367" s="9"/>
      <c r="E367" s="9"/>
      <c r="F367" s="10" t="str">
        <f aca="false">IF($B367="","",$C367+$D367-$E367)</f>
        <v/>
      </c>
      <c r="G367" s="10" t="str">
        <f aca="false">IF($B367="","",IFERROR(INDEX(Drinks!$C$4:$C$53,MATCH($B367,Drinks!$A$4:$A$53,0)),0))</f>
        <v/>
      </c>
      <c r="H367" s="10" t="str">
        <f aca="false">IF($B367="","",$D367*$G367)</f>
        <v/>
      </c>
      <c r="I367" s="10" t="str">
        <f aca="false">IF($B367="","",$F367*$G367)</f>
        <v/>
      </c>
      <c r="J367" s="9"/>
      <c r="K367" s="10" t="str">
        <f aca="false">IF($B367="","",$E367*IFERROR(INDEX(Drinks!$B$4:$B$53,MATCH($B367,Drinks!$A$4:$A$53,0)),0))</f>
        <v/>
      </c>
      <c r="L367" s="10" t="str">
        <f aca="false">IF($B367="","",$J367+$K367)</f>
        <v/>
      </c>
      <c r="M367" s="9"/>
      <c r="N367" s="10" t="str">
        <f aca="false">IF($B367="","",$L367-$M367)</f>
        <v/>
      </c>
      <c r="O367" s="10" t="str">
        <f aca="false">IF($B367="","",IFERROR(INDEX(Drinks!$E$4:$E$53,MATCH($B367,Drinks!$A$4:$A$53,0)),0))</f>
        <v/>
      </c>
      <c r="P367" s="10" t="str">
        <f aca="false">IF($B367="","",$N367*$O367)</f>
        <v/>
      </c>
      <c r="Q367" s="10" t="str">
        <f aca="false">IF($B367="","",$N367*IFERROR(INDEX(Drinks!$D$4:$D$53,MATCH($B367,Drinks!$A$4:$A$53,0)),0))</f>
        <v/>
      </c>
      <c r="R367" s="10" t="str">
        <f aca="false">IF($B367="","",$P367-$Q367)</f>
        <v/>
      </c>
      <c r="S367" s="23" t="str">
        <f aca="false">IF($B367="","",IF(COUNTIFS($A$4:$A$2003,$A367-1,$B$4:$B$2003,$B367)=0,"first day",IF(SUMIFS($M$4:$M$2003,$A$4:$A$2003,$A367-1,$B$4:$B$2003,$B367)=$J367,"OK","CHECK")))</f>
        <v/>
      </c>
      <c r="T367" s="10" t="str">
        <f aca="false">IF($B367="","",IFERROR(INDEX(Drinks!$D$4:$D$53,MATCH($B367,Drinks!$A$4:$A$53,0)),0))</f>
        <v/>
      </c>
    </row>
    <row r="368" customFormat="false" ht="15" hidden="false" customHeight="false" outlineLevel="0" collapsed="false">
      <c r="A368" s="22"/>
      <c r="B368" s="9"/>
      <c r="C368" s="9"/>
      <c r="D368" s="9"/>
      <c r="E368" s="9"/>
      <c r="F368" s="10" t="str">
        <f aca="false">IF($B368="","",$C368+$D368-$E368)</f>
        <v/>
      </c>
      <c r="G368" s="10" t="str">
        <f aca="false">IF($B368="","",IFERROR(INDEX(Drinks!$C$4:$C$53,MATCH($B368,Drinks!$A$4:$A$53,0)),0))</f>
        <v/>
      </c>
      <c r="H368" s="10" t="str">
        <f aca="false">IF($B368="","",$D368*$G368)</f>
        <v/>
      </c>
      <c r="I368" s="10" t="str">
        <f aca="false">IF($B368="","",$F368*$G368)</f>
        <v/>
      </c>
      <c r="J368" s="9"/>
      <c r="K368" s="10" t="str">
        <f aca="false">IF($B368="","",$E368*IFERROR(INDEX(Drinks!$B$4:$B$53,MATCH($B368,Drinks!$A$4:$A$53,0)),0))</f>
        <v/>
      </c>
      <c r="L368" s="10" t="str">
        <f aca="false">IF($B368="","",$J368+$K368)</f>
        <v/>
      </c>
      <c r="M368" s="9"/>
      <c r="N368" s="10" t="str">
        <f aca="false">IF($B368="","",$L368-$M368)</f>
        <v/>
      </c>
      <c r="O368" s="10" t="str">
        <f aca="false">IF($B368="","",IFERROR(INDEX(Drinks!$E$4:$E$53,MATCH($B368,Drinks!$A$4:$A$53,0)),0))</f>
        <v/>
      </c>
      <c r="P368" s="10" t="str">
        <f aca="false">IF($B368="","",$N368*$O368)</f>
        <v/>
      </c>
      <c r="Q368" s="10" t="str">
        <f aca="false">IF($B368="","",$N368*IFERROR(INDEX(Drinks!$D$4:$D$53,MATCH($B368,Drinks!$A$4:$A$53,0)),0))</f>
        <v/>
      </c>
      <c r="R368" s="10" t="str">
        <f aca="false">IF($B368="","",$P368-$Q368)</f>
        <v/>
      </c>
      <c r="S368" s="23" t="str">
        <f aca="false">IF($B368="","",IF(COUNTIFS($A$4:$A$2003,$A368-1,$B$4:$B$2003,$B368)=0,"first day",IF(SUMIFS($M$4:$M$2003,$A$4:$A$2003,$A368-1,$B$4:$B$2003,$B368)=$J368,"OK","CHECK")))</f>
        <v/>
      </c>
      <c r="T368" s="10" t="str">
        <f aca="false">IF($B368="","",IFERROR(INDEX(Drinks!$D$4:$D$53,MATCH($B368,Drinks!$A$4:$A$53,0)),0))</f>
        <v/>
      </c>
    </row>
    <row r="369" customFormat="false" ht="15" hidden="false" customHeight="false" outlineLevel="0" collapsed="false">
      <c r="A369" s="22"/>
      <c r="B369" s="9"/>
      <c r="C369" s="9"/>
      <c r="D369" s="9"/>
      <c r="E369" s="9"/>
      <c r="F369" s="10" t="str">
        <f aca="false">IF($B369="","",$C369+$D369-$E369)</f>
        <v/>
      </c>
      <c r="G369" s="10" t="str">
        <f aca="false">IF($B369="","",IFERROR(INDEX(Drinks!$C$4:$C$53,MATCH($B369,Drinks!$A$4:$A$53,0)),0))</f>
        <v/>
      </c>
      <c r="H369" s="10" t="str">
        <f aca="false">IF($B369="","",$D369*$G369)</f>
        <v/>
      </c>
      <c r="I369" s="10" t="str">
        <f aca="false">IF($B369="","",$F369*$G369)</f>
        <v/>
      </c>
      <c r="J369" s="9"/>
      <c r="K369" s="10" t="str">
        <f aca="false">IF($B369="","",$E369*IFERROR(INDEX(Drinks!$B$4:$B$53,MATCH($B369,Drinks!$A$4:$A$53,0)),0))</f>
        <v/>
      </c>
      <c r="L369" s="10" t="str">
        <f aca="false">IF($B369="","",$J369+$K369)</f>
        <v/>
      </c>
      <c r="M369" s="9"/>
      <c r="N369" s="10" t="str">
        <f aca="false">IF($B369="","",$L369-$M369)</f>
        <v/>
      </c>
      <c r="O369" s="10" t="str">
        <f aca="false">IF($B369="","",IFERROR(INDEX(Drinks!$E$4:$E$53,MATCH($B369,Drinks!$A$4:$A$53,0)),0))</f>
        <v/>
      </c>
      <c r="P369" s="10" t="str">
        <f aca="false">IF($B369="","",$N369*$O369)</f>
        <v/>
      </c>
      <c r="Q369" s="10" t="str">
        <f aca="false">IF($B369="","",$N369*IFERROR(INDEX(Drinks!$D$4:$D$53,MATCH($B369,Drinks!$A$4:$A$53,0)),0))</f>
        <v/>
      </c>
      <c r="R369" s="10" t="str">
        <f aca="false">IF($B369="","",$P369-$Q369)</f>
        <v/>
      </c>
      <c r="S369" s="23" t="str">
        <f aca="false">IF($B369="","",IF(COUNTIFS($A$4:$A$2003,$A369-1,$B$4:$B$2003,$B369)=0,"first day",IF(SUMIFS($M$4:$M$2003,$A$4:$A$2003,$A369-1,$B$4:$B$2003,$B369)=$J369,"OK","CHECK")))</f>
        <v/>
      </c>
      <c r="T369" s="10" t="str">
        <f aca="false">IF($B369="","",IFERROR(INDEX(Drinks!$D$4:$D$53,MATCH($B369,Drinks!$A$4:$A$53,0)),0))</f>
        <v/>
      </c>
    </row>
    <row r="370" customFormat="false" ht="15" hidden="false" customHeight="false" outlineLevel="0" collapsed="false">
      <c r="A370" s="22"/>
      <c r="B370" s="9"/>
      <c r="C370" s="9"/>
      <c r="D370" s="9"/>
      <c r="E370" s="9"/>
      <c r="F370" s="10" t="str">
        <f aca="false">IF($B370="","",$C370+$D370-$E370)</f>
        <v/>
      </c>
      <c r="G370" s="10" t="str">
        <f aca="false">IF($B370="","",IFERROR(INDEX(Drinks!$C$4:$C$53,MATCH($B370,Drinks!$A$4:$A$53,0)),0))</f>
        <v/>
      </c>
      <c r="H370" s="10" t="str">
        <f aca="false">IF($B370="","",$D370*$G370)</f>
        <v/>
      </c>
      <c r="I370" s="10" t="str">
        <f aca="false">IF($B370="","",$F370*$G370)</f>
        <v/>
      </c>
      <c r="J370" s="9"/>
      <c r="K370" s="10" t="str">
        <f aca="false">IF($B370="","",$E370*IFERROR(INDEX(Drinks!$B$4:$B$53,MATCH($B370,Drinks!$A$4:$A$53,0)),0))</f>
        <v/>
      </c>
      <c r="L370" s="10" t="str">
        <f aca="false">IF($B370="","",$J370+$K370)</f>
        <v/>
      </c>
      <c r="M370" s="9"/>
      <c r="N370" s="10" t="str">
        <f aca="false">IF($B370="","",$L370-$M370)</f>
        <v/>
      </c>
      <c r="O370" s="10" t="str">
        <f aca="false">IF($B370="","",IFERROR(INDEX(Drinks!$E$4:$E$53,MATCH($B370,Drinks!$A$4:$A$53,0)),0))</f>
        <v/>
      </c>
      <c r="P370" s="10" t="str">
        <f aca="false">IF($B370="","",$N370*$O370)</f>
        <v/>
      </c>
      <c r="Q370" s="10" t="str">
        <f aca="false">IF($B370="","",$N370*IFERROR(INDEX(Drinks!$D$4:$D$53,MATCH($B370,Drinks!$A$4:$A$53,0)),0))</f>
        <v/>
      </c>
      <c r="R370" s="10" t="str">
        <f aca="false">IF($B370="","",$P370-$Q370)</f>
        <v/>
      </c>
      <c r="S370" s="23" t="str">
        <f aca="false">IF($B370="","",IF(COUNTIFS($A$4:$A$2003,$A370-1,$B$4:$B$2003,$B370)=0,"first day",IF(SUMIFS($M$4:$M$2003,$A$4:$A$2003,$A370-1,$B$4:$B$2003,$B370)=$J370,"OK","CHECK")))</f>
        <v/>
      </c>
      <c r="T370" s="10" t="str">
        <f aca="false">IF($B370="","",IFERROR(INDEX(Drinks!$D$4:$D$53,MATCH($B370,Drinks!$A$4:$A$53,0)),0))</f>
        <v/>
      </c>
    </row>
    <row r="371" customFormat="false" ht="15" hidden="false" customHeight="false" outlineLevel="0" collapsed="false">
      <c r="A371" s="22"/>
      <c r="B371" s="9"/>
      <c r="C371" s="9"/>
      <c r="D371" s="9"/>
      <c r="E371" s="9"/>
      <c r="F371" s="10" t="str">
        <f aca="false">IF($B371="","",$C371+$D371-$E371)</f>
        <v/>
      </c>
      <c r="G371" s="10" t="str">
        <f aca="false">IF($B371="","",IFERROR(INDEX(Drinks!$C$4:$C$53,MATCH($B371,Drinks!$A$4:$A$53,0)),0))</f>
        <v/>
      </c>
      <c r="H371" s="10" t="str">
        <f aca="false">IF($B371="","",$D371*$G371)</f>
        <v/>
      </c>
      <c r="I371" s="10" t="str">
        <f aca="false">IF($B371="","",$F371*$G371)</f>
        <v/>
      </c>
      <c r="J371" s="9"/>
      <c r="K371" s="10" t="str">
        <f aca="false">IF($B371="","",$E371*IFERROR(INDEX(Drinks!$B$4:$B$53,MATCH($B371,Drinks!$A$4:$A$53,0)),0))</f>
        <v/>
      </c>
      <c r="L371" s="10" t="str">
        <f aca="false">IF($B371="","",$J371+$K371)</f>
        <v/>
      </c>
      <c r="M371" s="9"/>
      <c r="N371" s="10" t="str">
        <f aca="false">IF($B371="","",$L371-$M371)</f>
        <v/>
      </c>
      <c r="O371" s="10" t="str">
        <f aca="false">IF($B371="","",IFERROR(INDEX(Drinks!$E$4:$E$53,MATCH($B371,Drinks!$A$4:$A$53,0)),0))</f>
        <v/>
      </c>
      <c r="P371" s="10" t="str">
        <f aca="false">IF($B371="","",$N371*$O371)</f>
        <v/>
      </c>
      <c r="Q371" s="10" t="str">
        <f aca="false">IF($B371="","",$N371*IFERROR(INDEX(Drinks!$D$4:$D$53,MATCH($B371,Drinks!$A$4:$A$53,0)),0))</f>
        <v/>
      </c>
      <c r="R371" s="10" t="str">
        <f aca="false">IF($B371="","",$P371-$Q371)</f>
        <v/>
      </c>
      <c r="S371" s="23" t="str">
        <f aca="false">IF($B371="","",IF(COUNTIFS($A$4:$A$2003,$A371-1,$B$4:$B$2003,$B371)=0,"first day",IF(SUMIFS($M$4:$M$2003,$A$4:$A$2003,$A371-1,$B$4:$B$2003,$B371)=$J371,"OK","CHECK")))</f>
        <v/>
      </c>
      <c r="T371" s="10" t="str">
        <f aca="false">IF($B371="","",IFERROR(INDEX(Drinks!$D$4:$D$53,MATCH($B371,Drinks!$A$4:$A$53,0)),0))</f>
        <v/>
      </c>
    </row>
    <row r="372" customFormat="false" ht="15" hidden="false" customHeight="false" outlineLevel="0" collapsed="false">
      <c r="A372" s="22"/>
      <c r="B372" s="9"/>
      <c r="C372" s="9"/>
      <c r="D372" s="9"/>
      <c r="E372" s="9"/>
      <c r="F372" s="10" t="str">
        <f aca="false">IF($B372="","",$C372+$D372-$E372)</f>
        <v/>
      </c>
      <c r="G372" s="10" t="str">
        <f aca="false">IF($B372="","",IFERROR(INDEX(Drinks!$C$4:$C$53,MATCH($B372,Drinks!$A$4:$A$53,0)),0))</f>
        <v/>
      </c>
      <c r="H372" s="10" t="str">
        <f aca="false">IF($B372="","",$D372*$G372)</f>
        <v/>
      </c>
      <c r="I372" s="10" t="str">
        <f aca="false">IF($B372="","",$F372*$G372)</f>
        <v/>
      </c>
      <c r="J372" s="9"/>
      <c r="K372" s="10" t="str">
        <f aca="false">IF($B372="","",$E372*IFERROR(INDEX(Drinks!$B$4:$B$53,MATCH($B372,Drinks!$A$4:$A$53,0)),0))</f>
        <v/>
      </c>
      <c r="L372" s="10" t="str">
        <f aca="false">IF($B372="","",$J372+$K372)</f>
        <v/>
      </c>
      <c r="M372" s="9"/>
      <c r="N372" s="10" t="str">
        <f aca="false">IF($B372="","",$L372-$M372)</f>
        <v/>
      </c>
      <c r="O372" s="10" t="str">
        <f aca="false">IF($B372="","",IFERROR(INDEX(Drinks!$E$4:$E$53,MATCH($B372,Drinks!$A$4:$A$53,0)),0))</f>
        <v/>
      </c>
      <c r="P372" s="10" t="str">
        <f aca="false">IF($B372="","",$N372*$O372)</f>
        <v/>
      </c>
      <c r="Q372" s="10" t="str">
        <f aca="false">IF($B372="","",$N372*IFERROR(INDEX(Drinks!$D$4:$D$53,MATCH($B372,Drinks!$A$4:$A$53,0)),0))</f>
        <v/>
      </c>
      <c r="R372" s="10" t="str">
        <f aca="false">IF($B372="","",$P372-$Q372)</f>
        <v/>
      </c>
      <c r="S372" s="23" t="str">
        <f aca="false">IF($B372="","",IF(COUNTIFS($A$4:$A$2003,$A372-1,$B$4:$B$2003,$B372)=0,"first day",IF(SUMIFS($M$4:$M$2003,$A$4:$A$2003,$A372-1,$B$4:$B$2003,$B372)=$J372,"OK","CHECK")))</f>
        <v/>
      </c>
      <c r="T372" s="10" t="str">
        <f aca="false">IF($B372="","",IFERROR(INDEX(Drinks!$D$4:$D$53,MATCH($B372,Drinks!$A$4:$A$53,0)),0))</f>
        <v/>
      </c>
    </row>
    <row r="373" customFormat="false" ht="15" hidden="false" customHeight="false" outlineLevel="0" collapsed="false">
      <c r="A373" s="22"/>
      <c r="B373" s="9"/>
      <c r="C373" s="9"/>
      <c r="D373" s="9"/>
      <c r="E373" s="9"/>
      <c r="F373" s="10" t="str">
        <f aca="false">IF($B373="","",$C373+$D373-$E373)</f>
        <v/>
      </c>
      <c r="G373" s="10" t="str">
        <f aca="false">IF($B373="","",IFERROR(INDEX(Drinks!$C$4:$C$53,MATCH($B373,Drinks!$A$4:$A$53,0)),0))</f>
        <v/>
      </c>
      <c r="H373" s="10" t="str">
        <f aca="false">IF($B373="","",$D373*$G373)</f>
        <v/>
      </c>
      <c r="I373" s="10" t="str">
        <f aca="false">IF($B373="","",$F373*$G373)</f>
        <v/>
      </c>
      <c r="J373" s="9"/>
      <c r="K373" s="10" t="str">
        <f aca="false">IF($B373="","",$E373*IFERROR(INDEX(Drinks!$B$4:$B$53,MATCH($B373,Drinks!$A$4:$A$53,0)),0))</f>
        <v/>
      </c>
      <c r="L373" s="10" t="str">
        <f aca="false">IF($B373="","",$J373+$K373)</f>
        <v/>
      </c>
      <c r="M373" s="9"/>
      <c r="N373" s="10" t="str">
        <f aca="false">IF($B373="","",$L373-$M373)</f>
        <v/>
      </c>
      <c r="O373" s="10" t="str">
        <f aca="false">IF($B373="","",IFERROR(INDEX(Drinks!$E$4:$E$53,MATCH($B373,Drinks!$A$4:$A$53,0)),0))</f>
        <v/>
      </c>
      <c r="P373" s="10" t="str">
        <f aca="false">IF($B373="","",$N373*$O373)</f>
        <v/>
      </c>
      <c r="Q373" s="10" t="str">
        <f aca="false">IF($B373="","",$N373*IFERROR(INDEX(Drinks!$D$4:$D$53,MATCH($B373,Drinks!$A$4:$A$53,0)),0))</f>
        <v/>
      </c>
      <c r="R373" s="10" t="str">
        <f aca="false">IF($B373="","",$P373-$Q373)</f>
        <v/>
      </c>
      <c r="S373" s="23" t="str">
        <f aca="false">IF($B373="","",IF(COUNTIFS($A$4:$A$2003,$A373-1,$B$4:$B$2003,$B373)=0,"first day",IF(SUMIFS($M$4:$M$2003,$A$4:$A$2003,$A373-1,$B$4:$B$2003,$B373)=$J373,"OK","CHECK")))</f>
        <v/>
      </c>
      <c r="T373" s="10" t="str">
        <f aca="false">IF($B373="","",IFERROR(INDEX(Drinks!$D$4:$D$53,MATCH($B373,Drinks!$A$4:$A$53,0)),0))</f>
        <v/>
      </c>
    </row>
    <row r="374" customFormat="false" ht="15" hidden="false" customHeight="false" outlineLevel="0" collapsed="false">
      <c r="A374" s="22"/>
      <c r="B374" s="9"/>
      <c r="C374" s="9"/>
      <c r="D374" s="9"/>
      <c r="E374" s="9"/>
      <c r="F374" s="10" t="str">
        <f aca="false">IF($B374="","",$C374+$D374-$E374)</f>
        <v/>
      </c>
      <c r="G374" s="10" t="str">
        <f aca="false">IF($B374="","",IFERROR(INDEX(Drinks!$C$4:$C$53,MATCH($B374,Drinks!$A$4:$A$53,0)),0))</f>
        <v/>
      </c>
      <c r="H374" s="10" t="str">
        <f aca="false">IF($B374="","",$D374*$G374)</f>
        <v/>
      </c>
      <c r="I374" s="10" t="str">
        <f aca="false">IF($B374="","",$F374*$G374)</f>
        <v/>
      </c>
      <c r="J374" s="9"/>
      <c r="K374" s="10" t="str">
        <f aca="false">IF($B374="","",$E374*IFERROR(INDEX(Drinks!$B$4:$B$53,MATCH($B374,Drinks!$A$4:$A$53,0)),0))</f>
        <v/>
      </c>
      <c r="L374" s="10" t="str">
        <f aca="false">IF($B374="","",$J374+$K374)</f>
        <v/>
      </c>
      <c r="M374" s="9"/>
      <c r="N374" s="10" t="str">
        <f aca="false">IF($B374="","",$L374-$M374)</f>
        <v/>
      </c>
      <c r="O374" s="10" t="str">
        <f aca="false">IF($B374="","",IFERROR(INDEX(Drinks!$E$4:$E$53,MATCH($B374,Drinks!$A$4:$A$53,0)),0))</f>
        <v/>
      </c>
      <c r="P374" s="10" t="str">
        <f aca="false">IF($B374="","",$N374*$O374)</f>
        <v/>
      </c>
      <c r="Q374" s="10" t="str">
        <f aca="false">IF($B374="","",$N374*IFERROR(INDEX(Drinks!$D$4:$D$53,MATCH($B374,Drinks!$A$4:$A$53,0)),0))</f>
        <v/>
      </c>
      <c r="R374" s="10" t="str">
        <f aca="false">IF($B374="","",$P374-$Q374)</f>
        <v/>
      </c>
      <c r="S374" s="23" t="str">
        <f aca="false">IF($B374="","",IF(COUNTIFS($A$4:$A$2003,$A374-1,$B$4:$B$2003,$B374)=0,"first day",IF(SUMIFS($M$4:$M$2003,$A$4:$A$2003,$A374-1,$B$4:$B$2003,$B374)=$J374,"OK","CHECK")))</f>
        <v/>
      </c>
      <c r="T374" s="10" t="str">
        <f aca="false">IF($B374="","",IFERROR(INDEX(Drinks!$D$4:$D$53,MATCH($B374,Drinks!$A$4:$A$53,0)),0))</f>
        <v/>
      </c>
    </row>
    <row r="375" customFormat="false" ht="15" hidden="false" customHeight="false" outlineLevel="0" collapsed="false">
      <c r="A375" s="22"/>
      <c r="B375" s="9"/>
      <c r="C375" s="9"/>
      <c r="D375" s="9"/>
      <c r="E375" s="9"/>
      <c r="F375" s="10" t="str">
        <f aca="false">IF($B375="","",$C375+$D375-$E375)</f>
        <v/>
      </c>
      <c r="G375" s="10" t="str">
        <f aca="false">IF($B375="","",IFERROR(INDEX(Drinks!$C$4:$C$53,MATCH($B375,Drinks!$A$4:$A$53,0)),0))</f>
        <v/>
      </c>
      <c r="H375" s="10" t="str">
        <f aca="false">IF($B375="","",$D375*$G375)</f>
        <v/>
      </c>
      <c r="I375" s="10" t="str">
        <f aca="false">IF($B375="","",$F375*$G375)</f>
        <v/>
      </c>
      <c r="J375" s="9"/>
      <c r="K375" s="10" t="str">
        <f aca="false">IF($B375="","",$E375*IFERROR(INDEX(Drinks!$B$4:$B$53,MATCH($B375,Drinks!$A$4:$A$53,0)),0))</f>
        <v/>
      </c>
      <c r="L375" s="10" t="str">
        <f aca="false">IF($B375="","",$J375+$K375)</f>
        <v/>
      </c>
      <c r="M375" s="9"/>
      <c r="N375" s="10" t="str">
        <f aca="false">IF($B375="","",$L375-$M375)</f>
        <v/>
      </c>
      <c r="O375" s="10" t="str">
        <f aca="false">IF($B375="","",IFERROR(INDEX(Drinks!$E$4:$E$53,MATCH($B375,Drinks!$A$4:$A$53,0)),0))</f>
        <v/>
      </c>
      <c r="P375" s="10" t="str">
        <f aca="false">IF($B375="","",$N375*$O375)</f>
        <v/>
      </c>
      <c r="Q375" s="10" t="str">
        <f aca="false">IF($B375="","",$N375*IFERROR(INDEX(Drinks!$D$4:$D$53,MATCH($B375,Drinks!$A$4:$A$53,0)),0))</f>
        <v/>
      </c>
      <c r="R375" s="10" t="str">
        <f aca="false">IF($B375="","",$P375-$Q375)</f>
        <v/>
      </c>
      <c r="S375" s="23" t="str">
        <f aca="false">IF($B375="","",IF(COUNTIFS($A$4:$A$2003,$A375-1,$B$4:$B$2003,$B375)=0,"first day",IF(SUMIFS($M$4:$M$2003,$A$4:$A$2003,$A375-1,$B$4:$B$2003,$B375)=$J375,"OK","CHECK")))</f>
        <v/>
      </c>
      <c r="T375" s="10" t="str">
        <f aca="false">IF($B375="","",IFERROR(INDEX(Drinks!$D$4:$D$53,MATCH($B375,Drinks!$A$4:$A$53,0)),0))</f>
        <v/>
      </c>
    </row>
    <row r="376" customFormat="false" ht="15" hidden="false" customHeight="false" outlineLevel="0" collapsed="false">
      <c r="A376" s="22"/>
      <c r="B376" s="9"/>
      <c r="C376" s="9"/>
      <c r="D376" s="9"/>
      <c r="E376" s="9"/>
      <c r="F376" s="10" t="str">
        <f aca="false">IF($B376="","",$C376+$D376-$E376)</f>
        <v/>
      </c>
      <c r="G376" s="10" t="str">
        <f aca="false">IF($B376="","",IFERROR(INDEX(Drinks!$C$4:$C$53,MATCH($B376,Drinks!$A$4:$A$53,0)),0))</f>
        <v/>
      </c>
      <c r="H376" s="10" t="str">
        <f aca="false">IF($B376="","",$D376*$G376)</f>
        <v/>
      </c>
      <c r="I376" s="10" t="str">
        <f aca="false">IF($B376="","",$F376*$G376)</f>
        <v/>
      </c>
      <c r="J376" s="9"/>
      <c r="K376" s="10" t="str">
        <f aca="false">IF($B376="","",$E376*IFERROR(INDEX(Drinks!$B$4:$B$53,MATCH($B376,Drinks!$A$4:$A$53,0)),0))</f>
        <v/>
      </c>
      <c r="L376" s="10" t="str">
        <f aca="false">IF($B376="","",$J376+$K376)</f>
        <v/>
      </c>
      <c r="M376" s="9"/>
      <c r="N376" s="10" t="str">
        <f aca="false">IF($B376="","",$L376-$M376)</f>
        <v/>
      </c>
      <c r="O376" s="10" t="str">
        <f aca="false">IF($B376="","",IFERROR(INDEX(Drinks!$E$4:$E$53,MATCH($B376,Drinks!$A$4:$A$53,0)),0))</f>
        <v/>
      </c>
      <c r="P376" s="10" t="str">
        <f aca="false">IF($B376="","",$N376*$O376)</f>
        <v/>
      </c>
      <c r="Q376" s="10" t="str">
        <f aca="false">IF($B376="","",$N376*IFERROR(INDEX(Drinks!$D$4:$D$53,MATCH($B376,Drinks!$A$4:$A$53,0)),0))</f>
        <v/>
      </c>
      <c r="R376" s="10" t="str">
        <f aca="false">IF($B376="","",$P376-$Q376)</f>
        <v/>
      </c>
      <c r="S376" s="23" t="str">
        <f aca="false">IF($B376="","",IF(COUNTIFS($A$4:$A$2003,$A376-1,$B$4:$B$2003,$B376)=0,"first day",IF(SUMIFS($M$4:$M$2003,$A$4:$A$2003,$A376-1,$B$4:$B$2003,$B376)=$J376,"OK","CHECK")))</f>
        <v/>
      </c>
      <c r="T376" s="10" t="str">
        <f aca="false">IF($B376="","",IFERROR(INDEX(Drinks!$D$4:$D$53,MATCH($B376,Drinks!$A$4:$A$53,0)),0))</f>
        <v/>
      </c>
    </row>
    <row r="377" customFormat="false" ht="15" hidden="false" customHeight="false" outlineLevel="0" collapsed="false">
      <c r="A377" s="22"/>
      <c r="B377" s="9"/>
      <c r="C377" s="9"/>
      <c r="D377" s="9"/>
      <c r="E377" s="9"/>
      <c r="F377" s="10" t="str">
        <f aca="false">IF($B377="","",$C377+$D377-$E377)</f>
        <v/>
      </c>
      <c r="G377" s="10" t="str">
        <f aca="false">IF($B377="","",IFERROR(INDEX(Drinks!$C$4:$C$53,MATCH($B377,Drinks!$A$4:$A$53,0)),0))</f>
        <v/>
      </c>
      <c r="H377" s="10" t="str">
        <f aca="false">IF($B377="","",$D377*$G377)</f>
        <v/>
      </c>
      <c r="I377" s="10" t="str">
        <f aca="false">IF($B377="","",$F377*$G377)</f>
        <v/>
      </c>
      <c r="J377" s="9"/>
      <c r="K377" s="10" t="str">
        <f aca="false">IF($B377="","",$E377*IFERROR(INDEX(Drinks!$B$4:$B$53,MATCH($B377,Drinks!$A$4:$A$53,0)),0))</f>
        <v/>
      </c>
      <c r="L377" s="10" t="str">
        <f aca="false">IF($B377="","",$J377+$K377)</f>
        <v/>
      </c>
      <c r="M377" s="9"/>
      <c r="N377" s="10" t="str">
        <f aca="false">IF($B377="","",$L377-$M377)</f>
        <v/>
      </c>
      <c r="O377" s="10" t="str">
        <f aca="false">IF($B377="","",IFERROR(INDEX(Drinks!$E$4:$E$53,MATCH($B377,Drinks!$A$4:$A$53,0)),0))</f>
        <v/>
      </c>
      <c r="P377" s="10" t="str">
        <f aca="false">IF($B377="","",$N377*$O377)</f>
        <v/>
      </c>
      <c r="Q377" s="10" t="str">
        <f aca="false">IF($B377="","",$N377*IFERROR(INDEX(Drinks!$D$4:$D$53,MATCH($B377,Drinks!$A$4:$A$53,0)),0))</f>
        <v/>
      </c>
      <c r="R377" s="10" t="str">
        <f aca="false">IF($B377="","",$P377-$Q377)</f>
        <v/>
      </c>
      <c r="S377" s="23" t="str">
        <f aca="false">IF($B377="","",IF(COUNTIFS($A$4:$A$2003,$A377-1,$B$4:$B$2003,$B377)=0,"first day",IF(SUMIFS($M$4:$M$2003,$A$4:$A$2003,$A377-1,$B$4:$B$2003,$B377)=$J377,"OK","CHECK")))</f>
        <v/>
      </c>
      <c r="T377" s="10" t="str">
        <f aca="false">IF($B377="","",IFERROR(INDEX(Drinks!$D$4:$D$53,MATCH($B377,Drinks!$A$4:$A$53,0)),0))</f>
        <v/>
      </c>
    </row>
    <row r="378" customFormat="false" ht="15" hidden="false" customHeight="false" outlineLevel="0" collapsed="false">
      <c r="A378" s="22"/>
      <c r="B378" s="9"/>
      <c r="C378" s="9"/>
      <c r="D378" s="9"/>
      <c r="E378" s="9"/>
      <c r="F378" s="10" t="str">
        <f aca="false">IF($B378="","",$C378+$D378-$E378)</f>
        <v/>
      </c>
      <c r="G378" s="10" t="str">
        <f aca="false">IF($B378="","",IFERROR(INDEX(Drinks!$C$4:$C$53,MATCH($B378,Drinks!$A$4:$A$53,0)),0))</f>
        <v/>
      </c>
      <c r="H378" s="10" t="str">
        <f aca="false">IF($B378="","",$D378*$G378)</f>
        <v/>
      </c>
      <c r="I378" s="10" t="str">
        <f aca="false">IF($B378="","",$F378*$G378)</f>
        <v/>
      </c>
      <c r="J378" s="9"/>
      <c r="K378" s="10" t="str">
        <f aca="false">IF($B378="","",$E378*IFERROR(INDEX(Drinks!$B$4:$B$53,MATCH($B378,Drinks!$A$4:$A$53,0)),0))</f>
        <v/>
      </c>
      <c r="L378" s="10" t="str">
        <f aca="false">IF($B378="","",$J378+$K378)</f>
        <v/>
      </c>
      <c r="M378" s="9"/>
      <c r="N378" s="10" t="str">
        <f aca="false">IF($B378="","",$L378-$M378)</f>
        <v/>
      </c>
      <c r="O378" s="10" t="str">
        <f aca="false">IF($B378="","",IFERROR(INDEX(Drinks!$E$4:$E$53,MATCH($B378,Drinks!$A$4:$A$53,0)),0))</f>
        <v/>
      </c>
      <c r="P378" s="10" t="str">
        <f aca="false">IF($B378="","",$N378*$O378)</f>
        <v/>
      </c>
      <c r="Q378" s="10" t="str">
        <f aca="false">IF($B378="","",$N378*IFERROR(INDEX(Drinks!$D$4:$D$53,MATCH($B378,Drinks!$A$4:$A$53,0)),0))</f>
        <v/>
      </c>
      <c r="R378" s="10" t="str">
        <f aca="false">IF($B378="","",$P378-$Q378)</f>
        <v/>
      </c>
      <c r="S378" s="23" t="str">
        <f aca="false">IF($B378="","",IF(COUNTIFS($A$4:$A$2003,$A378-1,$B$4:$B$2003,$B378)=0,"first day",IF(SUMIFS($M$4:$M$2003,$A$4:$A$2003,$A378-1,$B$4:$B$2003,$B378)=$J378,"OK","CHECK")))</f>
        <v/>
      </c>
      <c r="T378" s="10" t="str">
        <f aca="false">IF($B378="","",IFERROR(INDEX(Drinks!$D$4:$D$53,MATCH($B378,Drinks!$A$4:$A$53,0)),0))</f>
        <v/>
      </c>
    </row>
    <row r="379" customFormat="false" ht="15" hidden="false" customHeight="false" outlineLevel="0" collapsed="false">
      <c r="A379" s="22"/>
      <c r="B379" s="9"/>
      <c r="C379" s="9"/>
      <c r="D379" s="9"/>
      <c r="E379" s="9"/>
      <c r="F379" s="10" t="str">
        <f aca="false">IF($B379="","",$C379+$D379-$E379)</f>
        <v/>
      </c>
      <c r="G379" s="10" t="str">
        <f aca="false">IF($B379="","",IFERROR(INDEX(Drinks!$C$4:$C$53,MATCH($B379,Drinks!$A$4:$A$53,0)),0))</f>
        <v/>
      </c>
      <c r="H379" s="10" t="str">
        <f aca="false">IF($B379="","",$D379*$G379)</f>
        <v/>
      </c>
      <c r="I379" s="10" t="str">
        <f aca="false">IF($B379="","",$F379*$G379)</f>
        <v/>
      </c>
      <c r="J379" s="9"/>
      <c r="K379" s="10" t="str">
        <f aca="false">IF($B379="","",$E379*IFERROR(INDEX(Drinks!$B$4:$B$53,MATCH($B379,Drinks!$A$4:$A$53,0)),0))</f>
        <v/>
      </c>
      <c r="L379" s="10" t="str">
        <f aca="false">IF($B379="","",$J379+$K379)</f>
        <v/>
      </c>
      <c r="M379" s="9"/>
      <c r="N379" s="10" t="str">
        <f aca="false">IF($B379="","",$L379-$M379)</f>
        <v/>
      </c>
      <c r="O379" s="10" t="str">
        <f aca="false">IF($B379="","",IFERROR(INDEX(Drinks!$E$4:$E$53,MATCH($B379,Drinks!$A$4:$A$53,0)),0))</f>
        <v/>
      </c>
      <c r="P379" s="10" t="str">
        <f aca="false">IF($B379="","",$N379*$O379)</f>
        <v/>
      </c>
      <c r="Q379" s="10" t="str">
        <f aca="false">IF($B379="","",$N379*IFERROR(INDEX(Drinks!$D$4:$D$53,MATCH($B379,Drinks!$A$4:$A$53,0)),0))</f>
        <v/>
      </c>
      <c r="R379" s="10" t="str">
        <f aca="false">IF($B379="","",$P379-$Q379)</f>
        <v/>
      </c>
      <c r="S379" s="23" t="str">
        <f aca="false">IF($B379="","",IF(COUNTIFS($A$4:$A$2003,$A379-1,$B$4:$B$2003,$B379)=0,"first day",IF(SUMIFS($M$4:$M$2003,$A$4:$A$2003,$A379-1,$B$4:$B$2003,$B379)=$J379,"OK","CHECK")))</f>
        <v/>
      </c>
      <c r="T379" s="10" t="str">
        <f aca="false">IF($B379="","",IFERROR(INDEX(Drinks!$D$4:$D$53,MATCH($B379,Drinks!$A$4:$A$53,0)),0))</f>
        <v/>
      </c>
    </row>
    <row r="380" customFormat="false" ht="15" hidden="false" customHeight="false" outlineLevel="0" collapsed="false">
      <c r="A380" s="22"/>
      <c r="B380" s="9"/>
      <c r="C380" s="9"/>
      <c r="D380" s="9"/>
      <c r="E380" s="9"/>
      <c r="F380" s="10" t="str">
        <f aca="false">IF($B380="","",$C380+$D380-$E380)</f>
        <v/>
      </c>
      <c r="G380" s="10" t="str">
        <f aca="false">IF($B380="","",IFERROR(INDEX(Drinks!$C$4:$C$53,MATCH($B380,Drinks!$A$4:$A$53,0)),0))</f>
        <v/>
      </c>
      <c r="H380" s="10" t="str">
        <f aca="false">IF($B380="","",$D380*$G380)</f>
        <v/>
      </c>
      <c r="I380" s="10" t="str">
        <f aca="false">IF($B380="","",$F380*$G380)</f>
        <v/>
      </c>
      <c r="J380" s="9"/>
      <c r="K380" s="10" t="str">
        <f aca="false">IF($B380="","",$E380*IFERROR(INDEX(Drinks!$B$4:$B$53,MATCH($B380,Drinks!$A$4:$A$53,0)),0))</f>
        <v/>
      </c>
      <c r="L380" s="10" t="str">
        <f aca="false">IF($B380="","",$J380+$K380)</f>
        <v/>
      </c>
      <c r="M380" s="9"/>
      <c r="N380" s="10" t="str">
        <f aca="false">IF($B380="","",$L380-$M380)</f>
        <v/>
      </c>
      <c r="O380" s="10" t="str">
        <f aca="false">IF($B380="","",IFERROR(INDEX(Drinks!$E$4:$E$53,MATCH($B380,Drinks!$A$4:$A$53,0)),0))</f>
        <v/>
      </c>
      <c r="P380" s="10" t="str">
        <f aca="false">IF($B380="","",$N380*$O380)</f>
        <v/>
      </c>
      <c r="Q380" s="10" t="str">
        <f aca="false">IF($B380="","",$N380*IFERROR(INDEX(Drinks!$D$4:$D$53,MATCH($B380,Drinks!$A$4:$A$53,0)),0))</f>
        <v/>
      </c>
      <c r="R380" s="10" t="str">
        <f aca="false">IF($B380="","",$P380-$Q380)</f>
        <v/>
      </c>
      <c r="S380" s="23" t="str">
        <f aca="false">IF($B380="","",IF(COUNTIFS($A$4:$A$2003,$A380-1,$B$4:$B$2003,$B380)=0,"first day",IF(SUMIFS($M$4:$M$2003,$A$4:$A$2003,$A380-1,$B$4:$B$2003,$B380)=$J380,"OK","CHECK")))</f>
        <v/>
      </c>
      <c r="T380" s="10" t="str">
        <f aca="false">IF($B380="","",IFERROR(INDEX(Drinks!$D$4:$D$53,MATCH($B380,Drinks!$A$4:$A$53,0)),0))</f>
        <v/>
      </c>
    </row>
    <row r="381" customFormat="false" ht="15" hidden="false" customHeight="false" outlineLevel="0" collapsed="false">
      <c r="A381" s="22"/>
      <c r="B381" s="9"/>
      <c r="C381" s="9"/>
      <c r="D381" s="9"/>
      <c r="E381" s="9"/>
      <c r="F381" s="10" t="str">
        <f aca="false">IF($B381="","",$C381+$D381-$E381)</f>
        <v/>
      </c>
      <c r="G381" s="10" t="str">
        <f aca="false">IF($B381="","",IFERROR(INDEX(Drinks!$C$4:$C$53,MATCH($B381,Drinks!$A$4:$A$53,0)),0))</f>
        <v/>
      </c>
      <c r="H381" s="10" t="str">
        <f aca="false">IF($B381="","",$D381*$G381)</f>
        <v/>
      </c>
      <c r="I381" s="10" t="str">
        <f aca="false">IF($B381="","",$F381*$G381)</f>
        <v/>
      </c>
      <c r="J381" s="9"/>
      <c r="K381" s="10" t="str">
        <f aca="false">IF($B381="","",$E381*IFERROR(INDEX(Drinks!$B$4:$B$53,MATCH($B381,Drinks!$A$4:$A$53,0)),0))</f>
        <v/>
      </c>
      <c r="L381" s="10" t="str">
        <f aca="false">IF($B381="","",$J381+$K381)</f>
        <v/>
      </c>
      <c r="M381" s="9"/>
      <c r="N381" s="10" t="str">
        <f aca="false">IF($B381="","",$L381-$M381)</f>
        <v/>
      </c>
      <c r="O381" s="10" t="str">
        <f aca="false">IF($B381="","",IFERROR(INDEX(Drinks!$E$4:$E$53,MATCH($B381,Drinks!$A$4:$A$53,0)),0))</f>
        <v/>
      </c>
      <c r="P381" s="10" t="str">
        <f aca="false">IF($B381="","",$N381*$O381)</f>
        <v/>
      </c>
      <c r="Q381" s="10" t="str">
        <f aca="false">IF($B381="","",$N381*IFERROR(INDEX(Drinks!$D$4:$D$53,MATCH($B381,Drinks!$A$4:$A$53,0)),0))</f>
        <v/>
      </c>
      <c r="R381" s="10" t="str">
        <f aca="false">IF($B381="","",$P381-$Q381)</f>
        <v/>
      </c>
      <c r="S381" s="23" t="str">
        <f aca="false">IF($B381="","",IF(COUNTIFS($A$4:$A$2003,$A381-1,$B$4:$B$2003,$B381)=0,"first day",IF(SUMIFS($M$4:$M$2003,$A$4:$A$2003,$A381-1,$B$4:$B$2003,$B381)=$J381,"OK","CHECK")))</f>
        <v/>
      </c>
      <c r="T381" s="10" t="str">
        <f aca="false">IF($B381="","",IFERROR(INDEX(Drinks!$D$4:$D$53,MATCH($B381,Drinks!$A$4:$A$53,0)),0))</f>
        <v/>
      </c>
    </row>
    <row r="382" customFormat="false" ht="15" hidden="false" customHeight="false" outlineLevel="0" collapsed="false">
      <c r="A382" s="22"/>
      <c r="B382" s="9"/>
      <c r="C382" s="9"/>
      <c r="D382" s="9"/>
      <c r="E382" s="9"/>
      <c r="F382" s="10" t="str">
        <f aca="false">IF($B382="","",$C382+$D382-$E382)</f>
        <v/>
      </c>
      <c r="G382" s="10" t="str">
        <f aca="false">IF($B382="","",IFERROR(INDEX(Drinks!$C$4:$C$53,MATCH($B382,Drinks!$A$4:$A$53,0)),0))</f>
        <v/>
      </c>
      <c r="H382" s="10" t="str">
        <f aca="false">IF($B382="","",$D382*$G382)</f>
        <v/>
      </c>
      <c r="I382" s="10" t="str">
        <f aca="false">IF($B382="","",$F382*$G382)</f>
        <v/>
      </c>
      <c r="J382" s="9"/>
      <c r="K382" s="10" t="str">
        <f aca="false">IF($B382="","",$E382*IFERROR(INDEX(Drinks!$B$4:$B$53,MATCH($B382,Drinks!$A$4:$A$53,0)),0))</f>
        <v/>
      </c>
      <c r="L382" s="10" t="str">
        <f aca="false">IF($B382="","",$J382+$K382)</f>
        <v/>
      </c>
      <c r="M382" s="9"/>
      <c r="N382" s="10" t="str">
        <f aca="false">IF($B382="","",$L382-$M382)</f>
        <v/>
      </c>
      <c r="O382" s="10" t="str">
        <f aca="false">IF($B382="","",IFERROR(INDEX(Drinks!$E$4:$E$53,MATCH($B382,Drinks!$A$4:$A$53,0)),0))</f>
        <v/>
      </c>
      <c r="P382" s="10" t="str">
        <f aca="false">IF($B382="","",$N382*$O382)</f>
        <v/>
      </c>
      <c r="Q382" s="10" t="str">
        <f aca="false">IF($B382="","",$N382*IFERROR(INDEX(Drinks!$D$4:$D$53,MATCH($B382,Drinks!$A$4:$A$53,0)),0))</f>
        <v/>
      </c>
      <c r="R382" s="10" t="str">
        <f aca="false">IF($B382="","",$P382-$Q382)</f>
        <v/>
      </c>
      <c r="S382" s="23" t="str">
        <f aca="false">IF($B382="","",IF(COUNTIFS($A$4:$A$2003,$A382-1,$B$4:$B$2003,$B382)=0,"first day",IF(SUMIFS($M$4:$M$2003,$A$4:$A$2003,$A382-1,$B$4:$B$2003,$B382)=$J382,"OK","CHECK")))</f>
        <v/>
      </c>
      <c r="T382" s="10" t="str">
        <f aca="false">IF($B382="","",IFERROR(INDEX(Drinks!$D$4:$D$53,MATCH($B382,Drinks!$A$4:$A$53,0)),0))</f>
        <v/>
      </c>
    </row>
    <row r="383" customFormat="false" ht="15" hidden="false" customHeight="false" outlineLevel="0" collapsed="false">
      <c r="A383" s="22"/>
      <c r="B383" s="9"/>
      <c r="C383" s="9"/>
      <c r="D383" s="9"/>
      <c r="E383" s="9"/>
      <c r="F383" s="10" t="str">
        <f aca="false">IF($B383="","",$C383+$D383-$E383)</f>
        <v/>
      </c>
      <c r="G383" s="10" t="str">
        <f aca="false">IF($B383="","",IFERROR(INDEX(Drinks!$C$4:$C$53,MATCH($B383,Drinks!$A$4:$A$53,0)),0))</f>
        <v/>
      </c>
      <c r="H383" s="10" t="str">
        <f aca="false">IF($B383="","",$D383*$G383)</f>
        <v/>
      </c>
      <c r="I383" s="10" t="str">
        <f aca="false">IF($B383="","",$F383*$G383)</f>
        <v/>
      </c>
      <c r="J383" s="9"/>
      <c r="K383" s="10" t="str">
        <f aca="false">IF($B383="","",$E383*IFERROR(INDEX(Drinks!$B$4:$B$53,MATCH($B383,Drinks!$A$4:$A$53,0)),0))</f>
        <v/>
      </c>
      <c r="L383" s="10" t="str">
        <f aca="false">IF($B383="","",$J383+$K383)</f>
        <v/>
      </c>
      <c r="M383" s="9"/>
      <c r="N383" s="10" t="str">
        <f aca="false">IF($B383="","",$L383-$M383)</f>
        <v/>
      </c>
      <c r="O383" s="10" t="str">
        <f aca="false">IF($B383="","",IFERROR(INDEX(Drinks!$E$4:$E$53,MATCH($B383,Drinks!$A$4:$A$53,0)),0))</f>
        <v/>
      </c>
      <c r="P383" s="10" t="str">
        <f aca="false">IF($B383="","",$N383*$O383)</f>
        <v/>
      </c>
      <c r="Q383" s="10" t="str">
        <f aca="false">IF($B383="","",$N383*IFERROR(INDEX(Drinks!$D$4:$D$53,MATCH($B383,Drinks!$A$4:$A$53,0)),0))</f>
        <v/>
      </c>
      <c r="R383" s="10" t="str">
        <f aca="false">IF($B383="","",$P383-$Q383)</f>
        <v/>
      </c>
      <c r="S383" s="23" t="str">
        <f aca="false">IF($B383="","",IF(COUNTIFS($A$4:$A$2003,$A383-1,$B$4:$B$2003,$B383)=0,"first day",IF(SUMIFS($M$4:$M$2003,$A$4:$A$2003,$A383-1,$B$4:$B$2003,$B383)=$J383,"OK","CHECK")))</f>
        <v/>
      </c>
      <c r="T383" s="10" t="str">
        <f aca="false">IF($B383="","",IFERROR(INDEX(Drinks!$D$4:$D$53,MATCH($B383,Drinks!$A$4:$A$53,0)),0))</f>
        <v/>
      </c>
    </row>
    <row r="384" customFormat="false" ht="15" hidden="false" customHeight="false" outlineLevel="0" collapsed="false">
      <c r="A384" s="22"/>
      <c r="B384" s="9"/>
      <c r="C384" s="9"/>
      <c r="D384" s="9"/>
      <c r="E384" s="9"/>
      <c r="F384" s="10" t="str">
        <f aca="false">IF($B384="","",$C384+$D384-$E384)</f>
        <v/>
      </c>
      <c r="G384" s="10" t="str">
        <f aca="false">IF($B384="","",IFERROR(INDEX(Drinks!$C$4:$C$53,MATCH($B384,Drinks!$A$4:$A$53,0)),0))</f>
        <v/>
      </c>
      <c r="H384" s="10" t="str">
        <f aca="false">IF($B384="","",$D384*$G384)</f>
        <v/>
      </c>
      <c r="I384" s="10" t="str">
        <f aca="false">IF($B384="","",$F384*$G384)</f>
        <v/>
      </c>
      <c r="J384" s="9"/>
      <c r="K384" s="10" t="str">
        <f aca="false">IF($B384="","",$E384*IFERROR(INDEX(Drinks!$B$4:$B$53,MATCH($B384,Drinks!$A$4:$A$53,0)),0))</f>
        <v/>
      </c>
      <c r="L384" s="10" t="str">
        <f aca="false">IF($B384="","",$J384+$K384)</f>
        <v/>
      </c>
      <c r="M384" s="9"/>
      <c r="N384" s="10" t="str">
        <f aca="false">IF($B384="","",$L384-$M384)</f>
        <v/>
      </c>
      <c r="O384" s="10" t="str">
        <f aca="false">IF($B384="","",IFERROR(INDEX(Drinks!$E$4:$E$53,MATCH($B384,Drinks!$A$4:$A$53,0)),0))</f>
        <v/>
      </c>
      <c r="P384" s="10" t="str">
        <f aca="false">IF($B384="","",$N384*$O384)</f>
        <v/>
      </c>
      <c r="Q384" s="10" t="str">
        <f aca="false">IF($B384="","",$N384*IFERROR(INDEX(Drinks!$D$4:$D$53,MATCH($B384,Drinks!$A$4:$A$53,0)),0))</f>
        <v/>
      </c>
      <c r="R384" s="10" t="str">
        <f aca="false">IF($B384="","",$P384-$Q384)</f>
        <v/>
      </c>
      <c r="S384" s="23" t="str">
        <f aca="false">IF($B384="","",IF(COUNTIFS($A$4:$A$2003,$A384-1,$B$4:$B$2003,$B384)=0,"first day",IF(SUMIFS($M$4:$M$2003,$A$4:$A$2003,$A384-1,$B$4:$B$2003,$B384)=$J384,"OK","CHECK")))</f>
        <v/>
      </c>
      <c r="T384" s="10" t="str">
        <f aca="false">IF($B384="","",IFERROR(INDEX(Drinks!$D$4:$D$53,MATCH($B384,Drinks!$A$4:$A$53,0)),0))</f>
        <v/>
      </c>
    </row>
    <row r="385" customFormat="false" ht="15" hidden="false" customHeight="false" outlineLevel="0" collapsed="false">
      <c r="A385" s="22"/>
      <c r="B385" s="9"/>
      <c r="C385" s="9"/>
      <c r="D385" s="9"/>
      <c r="E385" s="9"/>
      <c r="F385" s="10" t="str">
        <f aca="false">IF($B385="","",$C385+$D385-$E385)</f>
        <v/>
      </c>
      <c r="G385" s="10" t="str">
        <f aca="false">IF($B385="","",IFERROR(INDEX(Drinks!$C$4:$C$53,MATCH($B385,Drinks!$A$4:$A$53,0)),0))</f>
        <v/>
      </c>
      <c r="H385" s="10" t="str">
        <f aca="false">IF($B385="","",$D385*$G385)</f>
        <v/>
      </c>
      <c r="I385" s="10" t="str">
        <f aca="false">IF($B385="","",$F385*$G385)</f>
        <v/>
      </c>
      <c r="J385" s="9"/>
      <c r="K385" s="10" t="str">
        <f aca="false">IF($B385="","",$E385*IFERROR(INDEX(Drinks!$B$4:$B$53,MATCH($B385,Drinks!$A$4:$A$53,0)),0))</f>
        <v/>
      </c>
      <c r="L385" s="10" t="str">
        <f aca="false">IF($B385="","",$J385+$K385)</f>
        <v/>
      </c>
      <c r="M385" s="9"/>
      <c r="N385" s="10" t="str">
        <f aca="false">IF($B385="","",$L385-$M385)</f>
        <v/>
      </c>
      <c r="O385" s="10" t="str">
        <f aca="false">IF($B385="","",IFERROR(INDEX(Drinks!$E$4:$E$53,MATCH($B385,Drinks!$A$4:$A$53,0)),0))</f>
        <v/>
      </c>
      <c r="P385" s="10" t="str">
        <f aca="false">IF($B385="","",$N385*$O385)</f>
        <v/>
      </c>
      <c r="Q385" s="10" t="str">
        <f aca="false">IF($B385="","",$N385*IFERROR(INDEX(Drinks!$D$4:$D$53,MATCH($B385,Drinks!$A$4:$A$53,0)),0))</f>
        <v/>
      </c>
      <c r="R385" s="10" t="str">
        <f aca="false">IF($B385="","",$P385-$Q385)</f>
        <v/>
      </c>
      <c r="S385" s="23" t="str">
        <f aca="false">IF($B385="","",IF(COUNTIFS($A$4:$A$2003,$A385-1,$B$4:$B$2003,$B385)=0,"first day",IF(SUMIFS($M$4:$M$2003,$A$4:$A$2003,$A385-1,$B$4:$B$2003,$B385)=$J385,"OK","CHECK")))</f>
        <v/>
      </c>
      <c r="T385" s="10" t="str">
        <f aca="false">IF($B385="","",IFERROR(INDEX(Drinks!$D$4:$D$53,MATCH($B385,Drinks!$A$4:$A$53,0)),0))</f>
        <v/>
      </c>
    </row>
    <row r="386" customFormat="false" ht="15" hidden="false" customHeight="false" outlineLevel="0" collapsed="false">
      <c r="A386" s="22"/>
      <c r="B386" s="9"/>
      <c r="C386" s="9"/>
      <c r="D386" s="9"/>
      <c r="E386" s="9"/>
      <c r="F386" s="10" t="str">
        <f aca="false">IF($B386="","",$C386+$D386-$E386)</f>
        <v/>
      </c>
      <c r="G386" s="10" t="str">
        <f aca="false">IF($B386="","",IFERROR(INDEX(Drinks!$C$4:$C$53,MATCH($B386,Drinks!$A$4:$A$53,0)),0))</f>
        <v/>
      </c>
      <c r="H386" s="10" t="str">
        <f aca="false">IF($B386="","",$D386*$G386)</f>
        <v/>
      </c>
      <c r="I386" s="10" t="str">
        <f aca="false">IF($B386="","",$F386*$G386)</f>
        <v/>
      </c>
      <c r="J386" s="9"/>
      <c r="K386" s="10" t="str">
        <f aca="false">IF($B386="","",$E386*IFERROR(INDEX(Drinks!$B$4:$B$53,MATCH($B386,Drinks!$A$4:$A$53,0)),0))</f>
        <v/>
      </c>
      <c r="L386" s="10" t="str">
        <f aca="false">IF($B386="","",$J386+$K386)</f>
        <v/>
      </c>
      <c r="M386" s="9"/>
      <c r="N386" s="10" t="str">
        <f aca="false">IF($B386="","",$L386-$M386)</f>
        <v/>
      </c>
      <c r="O386" s="10" t="str">
        <f aca="false">IF($B386="","",IFERROR(INDEX(Drinks!$E$4:$E$53,MATCH($B386,Drinks!$A$4:$A$53,0)),0))</f>
        <v/>
      </c>
      <c r="P386" s="10" t="str">
        <f aca="false">IF($B386="","",$N386*$O386)</f>
        <v/>
      </c>
      <c r="Q386" s="10" t="str">
        <f aca="false">IF($B386="","",$N386*IFERROR(INDEX(Drinks!$D$4:$D$53,MATCH($B386,Drinks!$A$4:$A$53,0)),0))</f>
        <v/>
      </c>
      <c r="R386" s="10" t="str">
        <f aca="false">IF($B386="","",$P386-$Q386)</f>
        <v/>
      </c>
      <c r="S386" s="23" t="str">
        <f aca="false">IF($B386="","",IF(COUNTIFS($A$4:$A$2003,$A386-1,$B$4:$B$2003,$B386)=0,"first day",IF(SUMIFS($M$4:$M$2003,$A$4:$A$2003,$A386-1,$B$4:$B$2003,$B386)=$J386,"OK","CHECK")))</f>
        <v/>
      </c>
      <c r="T386" s="10" t="str">
        <f aca="false">IF($B386="","",IFERROR(INDEX(Drinks!$D$4:$D$53,MATCH($B386,Drinks!$A$4:$A$53,0)),0))</f>
        <v/>
      </c>
    </row>
    <row r="387" customFormat="false" ht="15" hidden="false" customHeight="false" outlineLevel="0" collapsed="false">
      <c r="A387" s="22"/>
      <c r="B387" s="9"/>
      <c r="C387" s="9"/>
      <c r="D387" s="9"/>
      <c r="E387" s="9"/>
      <c r="F387" s="10" t="str">
        <f aca="false">IF($B387="","",$C387+$D387-$E387)</f>
        <v/>
      </c>
      <c r="G387" s="10" t="str">
        <f aca="false">IF($B387="","",IFERROR(INDEX(Drinks!$C$4:$C$53,MATCH($B387,Drinks!$A$4:$A$53,0)),0))</f>
        <v/>
      </c>
      <c r="H387" s="10" t="str">
        <f aca="false">IF($B387="","",$D387*$G387)</f>
        <v/>
      </c>
      <c r="I387" s="10" t="str">
        <f aca="false">IF($B387="","",$F387*$G387)</f>
        <v/>
      </c>
      <c r="J387" s="9"/>
      <c r="K387" s="10" t="str">
        <f aca="false">IF($B387="","",$E387*IFERROR(INDEX(Drinks!$B$4:$B$53,MATCH($B387,Drinks!$A$4:$A$53,0)),0))</f>
        <v/>
      </c>
      <c r="L387" s="10" t="str">
        <f aca="false">IF($B387="","",$J387+$K387)</f>
        <v/>
      </c>
      <c r="M387" s="9"/>
      <c r="N387" s="10" t="str">
        <f aca="false">IF($B387="","",$L387-$M387)</f>
        <v/>
      </c>
      <c r="O387" s="10" t="str">
        <f aca="false">IF($B387="","",IFERROR(INDEX(Drinks!$E$4:$E$53,MATCH($B387,Drinks!$A$4:$A$53,0)),0))</f>
        <v/>
      </c>
      <c r="P387" s="10" t="str">
        <f aca="false">IF($B387="","",$N387*$O387)</f>
        <v/>
      </c>
      <c r="Q387" s="10" t="str">
        <f aca="false">IF($B387="","",$N387*IFERROR(INDEX(Drinks!$D$4:$D$53,MATCH($B387,Drinks!$A$4:$A$53,0)),0))</f>
        <v/>
      </c>
      <c r="R387" s="10" t="str">
        <f aca="false">IF($B387="","",$P387-$Q387)</f>
        <v/>
      </c>
      <c r="S387" s="23" t="str">
        <f aca="false">IF($B387="","",IF(COUNTIFS($A$4:$A$2003,$A387-1,$B$4:$B$2003,$B387)=0,"first day",IF(SUMIFS($M$4:$M$2003,$A$4:$A$2003,$A387-1,$B$4:$B$2003,$B387)=$J387,"OK","CHECK")))</f>
        <v/>
      </c>
      <c r="T387" s="10" t="str">
        <f aca="false">IF($B387="","",IFERROR(INDEX(Drinks!$D$4:$D$53,MATCH($B387,Drinks!$A$4:$A$53,0)),0))</f>
        <v/>
      </c>
    </row>
    <row r="388" customFormat="false" ht="15" hidden="false" customHeight="false" outlineLevel="0" collapsed="false">
      <c r="A388" s="22"/>
      <c r="B388" s="9"/>
      <c r="C388" s="9"/>
      <c r="D388" s="9"/>
      <c r="E388" s="9"/>
      <c r="F388" s="10" t="str">
        <f aca="false">IF($B388="","",$C388+$D388-$E388)</f>
        <v/>
      </c>
      <c r="G388" s="10" t="str">
        <f aca="false">IF($B388="","",IFERROR(INDEX(Drinks!$C$4:$C$53,MATCH($B388,Drinks!$A$4:$A$53,0)),0))</f>
        <v/>
      </c>
      <c r="H388" s="10" t="str">
        <f aca="false">IF($B388="","",$D388*$G388)</f>
        <v/>
      </c>
      <c r="I388" s="10" t="str">
        <f aca="false">IF($B388="","",$F388*$G388)</f>
        <v/>
      </c>
      <c r="J388" s="9"/>
      <c r="K388" s="10" t="str">
        <f aca="false">IF($B388="","",$E388*IFERROR(INDEX(Drinks!$B$4:$B$53,MATCH($B388,Drinks!$A$4:$A$53,0)),0))</f>
        <v/>
      </c>
      <c r="L388" s="10" t="str">
        <f aca="false">IF($B388="","",$J388+$K388)</f>
        <v/>
      </c>
      <c r="M388" s="9"/>
      <c r="N388" s="10" t="str">
        <f aca="false">IF($B388="","",$L388-$M388)</f>
        <v/>
      </c>
      <c r="O388" s="10" t="str">
        <f aca="false">IF($B388="","",IFERROR(INDEX(Drinks!$E$4:$E$53,MATCH($B388,Drinks!$A$4:$A$53,0)),0))</f>
        <v/>
      </c>
      <c r="P388" s="10" t="str">
        <f aca="false">IF($B388="","",$N388*$O388)</f>
        <v/>
      </c>
      <c r="Q388" s="10" t="str">
        <f aca="false">IF($B388="","",$N388*IFERROR(INDEX(Drinks!$D$4:$D$53,MATCH($B388,Drinks!$A$4:$A$53,0)),0))</f>
        <v/>
      </c>
      <c r="R388" s="10" t="str">
        <f aca="false">IF($B388="","",$P388-$Q388)</f>
        <v/>
      </c>
      <c r="S388" s="23" t="str">
        <f aca="false">IF($B388="","",IF(COUNTIFS($A$4:$A$2003,$A388-1,$B$4:$B$2003,$B388)=0,"first day",IF(SUMIFS($M$4:$M$2003,$A$4:$A$2003,$A388-1,$B$4:$B$2003,$B388)=$J388,"OK","CHECK")))</f>
        <v/>
      </c>
      <c r="T388" s="10" t="str">
        <f aca="false">IF($B388="","",IFERROR(INDEX(Drinks!$D$4:$D$53,MATCH($B388,Drinks!$A$4:$A$53,0)),0))</f>
        <v/>
      </c>
    </row>
    <row r="389" customFormat="false" ht="15" hidden="false" customHeight="false" outlineLevel="0" collapsed="false">
      <c r="A389" s="22"/>
      <c r="B389" s="9"/>
      <c r="C389" s="9"/>
      <c r="D389" s="9"/>
      <c r="E389" s="9"/>
      <c r="F389" s="10" t="str">
        <f aca="false">IF($B389="","",$C389+$D389-$E389)</f>
        <v/>
      </c>
      <c r="G389" s="10" t="str">
        <f aca="false">IF($B389="","",IFERROR(INDEX(Drinks!$C$4:$C$53,MATCH($B389,Drinks!$A$4:$A$53,0)),0))</f>
        <v/>
      </c>
      <c r="H389" s="10" t="str">
        <f aca="false">IF($B389="","",$D389*$G389)</f>
        <v/>
      </c>
      <c r="I389" s="10" t="str">
        <f aca="false">IF($B389="","",$F389*$G389)</f>
        <v/>
      </c>
      <c r="J389" s="9"/>
      <c r="K389" s="10" t="str">
        <f aca="false">IF($B389="","",$E389*IFERROR(INDEX(Drinks!$B$4:$B$53,MATCH($B389,Drinks!$A$4:$A$53,0)),0))</f>
        <v/>
      </c>
      <c r="L389" s="10" t="str">
        <f aca="false">IF($B389="","",$J389+$K389)</f>
        <v/>
      </c>
      <c r="M389" s="9"/>
      <c r="N389" s="10" t="str">
        <f aca="false">IF($B389="","",$L389-$M389)</f>
        <v/>
      </c>
      <c r="O389" s="10" t="str">
        <f aca="false">IF($B389="","",IFERROR(INDEX(Drinks!$E$4:$E$53,MATCH($B389,Drinks!$A$4:$A$53,0)),0))</f>
        <v/>
      </c>
      <c r="P389" s="10" t="str">
        <f aca="false">IF($B389="","",$N389*$O389)</f>
        <v/>
      </c>
      <c r="Q389" s="10" t="str">
        <f aca="false">IF($B389="","",$N389*IFERROR(INDEX(Drinks!$D$4:$D$53,MATCH($B389,Drinks!$A$4:$A$53,0)),0))</f>
        <v/>
      </c>
      <c r="R389" s="10" t="str">
        <f aca="false">IF($B389="","",$P389-$Q389)</f>
        <v/>
      </c>
      <c r="S389" s="23" t="str">
        <f aca="false">IF($B389="","",IF(COUNTIFS($A$4:$A$2003,$A389-1,$B$4:$B$2003,$B389)=0,"first day",IF(SUMIFS($M$4:$M$2003,$A$4:$A$2003,$A389-1,$B$4:$B$2003,$B389)=$J389,"OK","CHECK")))</f>
        <v/>
      </c>
      <c r="T389" s="10" t="str">
        <f aca="false">IF($B389="","",IFERROR(INDEX(Drinks!$D$4:$D$53,MATCH($B389,Drinks!$A$4:$A$53,0)),0))</f>
        <v/>
      </c>
    </row>
    <row r="390" customFormat="false" ht="15" hidden="false" customHeight="false" outlineLevel="0" collapsed="false">
      <c r="A390" s="22"/>
      <c r="B390" s="9"/>
      <c r="C390" s="9"/>
      <c r="D390" s="9"/>
      <c r="E390" s="9"/>
      <c r="F390" s="10" t="str">
        <f aca="false">IF($B390="","",$C390+$D390-$E390)</f>
        <v/>
      </c>
      <c r="G390" s="10" t="str">
        <f aca="false">IF($B390="","",IFERROR(INDEX(Drinks!$C$4:$C$53,MATCH($B390,Drinks!$A$4:$A$53,0)),0))</f>
        <v/>
      </c>
      <c r="H390" s="10" t="str">
        <f aca="false">IF($B390="","",$D390*$G390)</f>
        <v/>
      </c>
      <c r="I390" s="10" t="str">
        <f aca="false">IF($B390="","",$F390*$G390)</f>
        <v/>
      </c>
      <c r="J390" s="9"/>
      <c r="K390" s="10" t="str">
        <f aca="false">IF($B390="","",$E390*IFERROR(INDEX(Drinks!$B$4:$B$53,MATCH($B390,Drinks!$A$4:$A$53,0)),0))</f>
        <v/>
      </c>
      <c r="L390" s="10" t="str">
        <f aca="false">IF($B390="","",$J390+$K390)</f>
        <v/>
      </c>
      <c r="M390" s="9"/>
      <c r="N390" s="10" t="str">
        <f aca="false">IF($B390="","",$L390-$M390)</f>
        <v/>
      </c>
      <c r="O390" s="10" t="str">
        <f aca="false">IF($B390="","",IFERROR(INDEX(Drinks!$E$4:$E$53,MATCH($B390,Drinks!$A$4:$A$53,0)),0))</f>
        <v/>
      </c>
      <c r="P390" s="10" t="str">
        <f aca="false">IF($B390="","",$N390*$O390)</f>
        <v/>
      </c>
      <c r="Q390" s="10" t="str">
        <f aca="false">IF($B390="","",$N390*IFERROR(INDEX(Drinks!$D$4:$D$53,MATCH($B390,Drinks!$A$4:$A$53,0)),0))</f>
        <v/>
      </c>
      <c r="R390" s="10" t="str">
        <f aca="false">IF($B390="","",$P390-$Q390)</f>
        <v/>
      </c>
      <c r="S390" s="23" t="str">
        <f aca="false">IF($B390="","",IF(COUNTIFS($A$4:$A$2003,$A390-1,$B$4:$B$2003,$B390)=0,"first day",IF(SUMIFS($M$4:$M$2003,$A$4:$A$2003,$A390-1,$B$4:$B$2003,$B390)=$J390,"OK","CHECK")))</f>
        <v/>
      </c>
      <c r="T390" s="10" t="str">
        <f aca="false">IF($B390="","",IFERROR(INDEX(Drinks!$D$4:$D$53,MATCH($B390,Drinks!$A$4:$A$53,0)),0))</f>
        <v/>
      </c>
    </row>
    <row r="391" customFormat="false" ht="15" hidden="false" customHeight="false" outlineLevel="0" collapsed="false">
      <c r="A391" s="22"/>
      <c r="B391" s="9"/>
      <c r="C391" s="9"/>
      <c r="D391" s="9"/>
      <c r="E391" s="9"/>
      <c r="F391" s="10" t="str">
        <f aca="false">IF($B391="","",$C391+$D391-$E391)</f>
        <v/>
      </c>
      <c r="G391" s="10" t="str">
        <f aca="false">IF($B391="","",IFERROR(INDEX(Drinks!$C$4:$C$53,MATCH($B391,Drinks!$A$4:$A$53,0)),0))</f>
        <v/>
      </c>
      <c r="H391" s="10" t="str">
        <f aca="false">IF($B391="","",$D391*$G391)</f>
        <v/>
      </c>
      <c r="I391" s="10" t="str">
        <f aca="false">IF($B391="","",$F391*$G391)</f>
        <v/>
      </c>
      <c r="J391" s="9"/>
      <c r="K391" s="10" t="str">
        <f aca="false">IF($B391="","",$E391*IFERROR(INDEX(Drinks!$B$4:$B$53,MATCH($B391,Drinks!$A$4:$A$53,0)),0))</f>
        <v/>
      </c>
      <c r="L391" s="10" t="str">
        <f aca="false">IF($B391="","",$J391+$K391)</f>
        <v/>
      </c>
      <c r="M391" s="9"/>
      <c r="N391" s="10" t="str">
        <f aca="false">IF($B391="","",$L391-$M391)</f>
        <v/>
      </c>
      <c r="O391" s="10" t="str">
        <f aca="false">IF($B391="","",IFERROR(INDEX(Drinks!$E$4:$E$53,MATCH($B391,Drinks!$A$4:$A$53,0)),0))</f>
        <v/>
      </c>
      <c r="P391" s="10" t="str">
        <f aca="false">IF($B391="","",$N391*$O391)</f>
        <v/>
      </c>
      <c r="Q391" s="10" t="str">
        <f aca="false">IF($B391="","",$N391*IFERROR(INDEX(Drinks!$D$4:$D$53,MATCH($B391,Drinks!$A$4:$A$53,0)),0))</f>
        <v/>
      </c>
      <c r="R391" s="10" t="str">
        <f aca="false">IF($B391="","",$P391-$Q391)</f>
        <v/>
      </c>
      <c r="S391" s="23" t="str">
        <f aca="false">IF($B391="","",IF(COUNTIFS($A$4:$A$2003,$A391-1,$B$4:$B$2003,$B391)=0,"first day",IF(SUMIFS($M$4:$M$2003,$A$4:$A$2003,$A391-1,$B$4:$B$2003,$B391)=$J391,"OK","CHECK")))</f>
        <v/>
      </c>
      <c r="T391" s="10" t="str">
        <f aca="false">IF($B391="","",IFERROR(INDEX(Drinks!$D$4:$D$53,MATCH($B391,Drinks!$A$4:$A$53,0)),0))</f>
        <v/>
      </c>
    </row>
    <row r="392" customFormat="false" ht="15" hidden="false" customHeight="false" outlineLevel="0" collapsed="false">
      <c r="A392" s="22"/>
      <c r="B392" s="9"/>
      <c r="C392" s="9"/>
      <c r="D392" s="9"/>
      <c r="E392" s="9"/>
      <c r="F392" s="10" t="str">
        <f aca="false">IF($B392="","",$C392+$D392-$E392)</f>
        <v/>
      </c>
      <c r="G392" s="10" t="str">
        <f aca="false">IF($B392="","",IFERROR(INDEX(Drinks!$C$4:$C$53,MATCH($B392,Drinks!$A$4:$A$53,0)),0))</f>
        <v/>
      </c>
      <c r="H392" s="10" t="str">
        <f aca="false">IF($B392="","",$D392*$G392)</f>
        <v/>
      </c>
      <c r="I392" s="10" t="str">
        <f aca="false">IF($B392="","",$F392*$G392)</f>
        <v/>
      </c>
      <c r="J392" s="9"/>
      <c r="K392" s="10" t="str">
        <f aca="false">IF($B392="","",$E392*IFERROR(INDEX(Drinks!$B$4:$B$53,MATCH($B392,Drinks!$A$4:$A$53,0)),0))</f>
        <v/>
      </c>
      <c r="L392" s="10" t="str">
        <f aca="false">IF($B392="","",$J392+$K392)</f>
        <v/>
      </c>
      <c r="M392" s="9"/>
      <c r="N392" s="10" t="str">
        <f aca="false">IF($B392="","",$L392-$M392)</f>
        <v/>
      </c>
      <c r="O392" s="10" t="str">
        <f aca="false">IF($B392="","",IFERROR(INDEX(Drinks!$E$4:$E$53,MATCH($B392,Drinks!$A$4:$A$53,0)),0))</f>
        <v/>
      </c>
      <c r="P392" s="10" t="str">
        <f aca="false">IF($B392="","",$N392*$O392)</f>
        <v/>
      </c>
      <c r="Q392" s="10" t="str">
        <f aca="false">IF($B392="","",$N392*IFERROR(INDEX(Drinks!$D$4:$D$53,MATCH($B392,Drinks!$A$4:$A$53,0)),0))</f>
        <v/>
      </c>
      <c r="R392" s="10" t="str">
        <f aca="false">IF($B392="","",$P392-$Q392)</f>
        <v/>
      </c>
      <c r="S392" s="23" t="str">
        <f aca="false">IF($B392="","",IF(COUNTIFS($A$4:$A$2003,$A392-1,$B$4:$B$2003,$B392)=0,"first day",IF(SUMIFS($M$4:$M$2003,$A$4:$A$2003,$A392-1,$B$4:$B$2003,$B392)=$J392,"OK","CHECK")))</f>
        <v/>
      </c>
      <c r="T392" s="10" t="str">
        <f aca="false">IF($B392="","",IFERROR(INDEX(Drinks!$D$4:$D$53,MATCH($B392,Drinks!$A$4:$A$53,0)),0))</f>
        <v/>
      </c>
    </row>
    <row r="393" customFormat="false" ht="15" hidden="false" customHeight="false" outlineLevel="0" collapsed="false">
      <c r="A393" s="22"/>
      <c r="B393" s="9"/>
      <c r="C393" s="9"/>
      <c r="D393" s="9"/>
      <c r="E393" s="9"/>
      <c r="F393" s="10" t="str">
        <f aca="false">IF($B393="","",$C393+$D393-$E393)</f>
        <v/>
      </c>
      <c r="G393" s="10" t="str">
        <f aca="false">IF($B393="","",IFERROR(INDEX(Drinks!$C$4:$C$53,MATCH($B393,Drinks!$A$4:$A$53,0)),0))</f>
        <v/>
      </c>
      <c r="H393" s="10" t="str">
        <f aca="false">IF($B393="","",$D393*$G393)</f>
        <v/>
      </c>
      <c r="I393" s="10" t="str">
        <f aca="false">IF($B393="","",$F393*$G393)</f>
        <v/>
      </c>
      <c r="J393" s="9"/>
      <c r="K393" s="10" t="str">
        <f aca="false">IF($B393="","",$E393*IFERROR(INDEX(Drinks!$B$4:$B$53,MATCH($B393,Drinks!$A$4:$A$53,0)),0))</f>
        <v/>
      </c>
      <c r="L393" s="10" t="str">
        <f aca="false">IF($B393="","",$J393+$K393)</f>
        <v/>
      </c>
      <c r="M393" s="9"/>
      <c r="N393" s="10" t="str">
        <f aca="false">IF($B393="","",$L393-$M393)</f>
        <v/>
      </c>
      <c r="O393" s="10" t="str">
        <f aca="false">IF($B393="","",IFERROR(INDEX(Drinks!$E$4:$E$53,MATCH($B393,Drinks!$A$4:$A$53,0)),0))</f>
        <v/>
      </c>
      <c r="P393" s="10" t="str">
        <f aca="false">IF($B393="","",$N393*$O393)</f>
        <v/>
      </c>
      <c r="Q393" s="10" t="str">
        <f aca="false">IF($B393="","",$N393*IFERROR(INDEX(Drinks!$D$4:$D$53,MATCH($B393,Drinks!$A$4:$A$53,0)),0))</f>
        <v/>
      </c>
      <c r="R393" s="10" t="str">
        <f aca="false">IF($B393="","",$P393-$Q393)</f>
        <v/>
      </c>
      <c r="S393" s="23" t="str">
        <f aca="false">IF($B393="","",IF(COUNTIFS($A$4:$A$2003,$A393-1,$B$4:$B$2003,$B393)=0,"first day",IF(SUMIFS($M$4:$M$2003,$A$4:$A$2003,$A393-1,$B$4:$B$2003,$B393)=$J393,"OK","CHECK")))</f>
        <v/>
      </c>
      <c r="T393" s="10" t="str">
        <f aca="false">IF($B393="","",IFERROR(INDEX(Drinks!$D$4:$D$53,MATCH($B393,Drinks!$A$4:$A$53,0)),0))</f>
        <v/>
      </c>
    </row>
    <row r="394" customFormat="false" ht="15" hidden="false" customHeight="false" outlineLevel="0" collapsed="false">
      <c r="A394" s="22"/>
      <c r="B394" s="9"/>
      <c r="C394" s="9"/>
      <c r="D394" s="9"/>
      <c r="E394" s="9"/>
      <c r="F394" s="10" t="str">
        <f aca="false">IF($B394="","",$C394+$D394-$E394)</f>
        <v/>
      </c>
      <c r="G394" s="10" t="str">
        <f aca="false">IF($B394="","",IFERROR(INDEX(Drinks!$C$4:$C$53,MATCH($B394,Drinks!$A$4:$A$53,0)),0))</f>
        <v/>
      </c>
      <c r="H394" s="10" t="str">
        <f aca="false">IF($B394="","",$D394*$G394)</f>
        <v/>
      </c>
      <c r="I394" s="10" t="str">
        <f aca="false">IF($B394="","",$F394*$G394)</f>
        <v/>
      </c>
      <c r="J394" s="9"/>
      <c r="K394" s="10" t="str">
        <f aca="false">IF($B394="","",$E394*IFERROR(INDEX(Drinks!$B$4:$B$53,MATCH($B394,Drinks!$A$4:$A$53,0)),0))</f>
        <v/>
      </c>
      <c r="L394" s="10" t="str">
        <f aca="false">IF($B394="","",$J394+$K394)</f>
        <v/>
      </c>
      <c r="M394" s="9"/>
      <c r="N394" s="10" t="str">
        <f aca="false">IF($B394="","",$L394-$M394)</f>
        <v/>
      </c>
      <c r="O394" s="10" t="str">
        <f aca="false">IF($B394="","",IFERROR(INDEX(Drinks!$E$4:$E$53,MATCH($B394,Drinks!$A$4:$A$53,0)),0))</f>
        <v/>
      </c>
      <c r="P394" s="10" t="str">
        <f aca="false">IF($B394="","",$N394*$O394)</f>
        <v/>
      </c>
      <c r="Q394" s="10" t="str">
        <f aca="false">IF($B394="","",$N394*IFERROR(INDEX(Drinks!$D$4:$D$53,MATCH($B394,Drinks!$A$4:$A$53,0)),0))</f>
        <v/>
      </c>
      <c r="R394" s="10" t="str">
        <f aca="false">IF($B394="","",$P394-$Q394)</f>
        <v/>
      </c>
      <c r="S394" s="23" t="str">
        <f aca="false">IF($B394="","",IF(COUNTIFS($A$4:$A$2003,$A394-1,$B$4:$B$2003,$B394)=0,"first day",IF(SUMIFS($M$4:$M$2003,$A$4:$A$2003,$A394-1,$B$4:$B$2003,$B394)=$J394,"OK","CHECK")))</f>
        <v/>
      </c>
      <c r="T394" s="10" t="str">
        <f aca="false">IF($B394="","",IFERROR(INDEX(Drinks!$D$4:$D$53,MATCH($B394,Drinks!$A$4:$A$53,0)),0))</f>
        <v/>
      </c>
    </row>
    <row r="395" customFormat="false" ht="15" hidden="false" customHeight="false" outlineLevel="0" collapsed="false">
      <c r="A395" s="22"/>
      <c r="B395" s="9"/>
      <c r="C395" s="9"/>
      <c r="D395" s="9"/>
      <c r="E395" s="9"/>
      <c r="F395" s="10" t="str">
        <f aca="false">IF($B395="","",$C395+$D395-$E395)</f>
        <v/>
      </c>
      <c r="G395" s="10" t="str">
        <f aca="false">IF($B395="","",IFERROR(INDEX(Drinks!$C$4:$C$53,MATCH($B395,Drinks!$A$4:$A$53,0)),0))</f>
        <v/>
      </c>
      <c r="H395" s="10" t="str">
        <f aca="false">IF($B395="","",$D395*$G395)</f>
        <v/>
      </c>
      <c r="I395" s="10" t="str">
        <f aca="false">IF($B395="","",$F395*$G395)</f>
        <v/>
      </c>
      <c r="J395" s="9"/>
      <c r="K395" s="10" t="str">
        <f aca="false">IF($B395="","",$E395*IFERROR(INDEX(Drinks!$B$4:$B$53,MATCH($B395,Drinks!$A$4:$A$53,0)),0))</f>
        <v/>
      </c>
      <c r="L395" s="10" t="str">
        <f aca="false">IF($B395="","",$J395+$K395)</f>
        <v/>
      </c>
      <c r="M395" s="9"/>
      <c r="N395" s="10" t="str">
        <f aca="false">IF($B395="","",$L395-$M395)</f>
        <v/>
      </c>
      <c r="O395" s="10" t="str">
        <f aca="false">IF($B395="","",IFERROR(INDEX(Drinks!$E$4:$E$53,MATCH($B395,Drinks!$A$4:$A$53,0)),0))</f>
        <v/>
      </c>
      <c r="P395" s="10" t="str">
        <f aca="false">IF($B395="","",$N395*$O395)</f>
        <v/>
      </c>
      <c r="Q395" s="10" t="str">
        <f aca="false">IF($B395="","",$N395*IFERROR(INDEX(Drinks!$D$4:$D$53,MATCH($B395,Drinks!$A$4:$A$53,0)),0))</f>
        <v/>
      </c>
      <c r="R395" s="10" t="str">
        <f aca="false">IF($B395="","",$P395-$Q395)</f>
        <v/>
      </c>
      <c r="S395" s="23" t="str">
        <f aca="false">IF($B395="","",IF(COUNTIFS($A$4:$A$2003,$A395-1,$B$4:$B$2003,$B395)=0,"first day",IF(SUMIFS($M$4:$M$2003,$A$4:$A$2003,$A395-1,$B$4:$B$2003,$B395)=$J395,"OK","CHECK")))</f>
        <v/>
      </c>
      <c r="T395" s="10" t="str">
        <f aca="false">IF($B395="","",IFERROR(INDEX(Drinks!$D$4:$D$53,MATCH($B395,Drinks!$A$4:$A$53,0)),0))</f>
        <v/>
      </c>
    </row>
    <row r="396" customFormat="false" ht="15" hidden="false" customHeight="false" outlineLevel="0" collapsed="false">
      <c r="A396" s="22"/>
      <c r="B396" s="9"/>
      <c r="C396" s="9"/>
      <c r="D396" s="9"/>
      <c r="E396" s="9"/>
      <c r="F396" s="10" t="str">
        <f aca="false">IF($B396="","",$C396+$D396-$E396)</f>
        <v/>
      </c>
      <c r="G396" s="10" t="str">
        <f aca="false">IF($B396="","",IFERROR(INDEX(Drinks!$C$4:$C$53,MATCH($B396,Drinks!$A$4:$A$53,0)),0))</f>
        <v/>
      </c>
      <c r="H396" s="10" t="str">
        <f aca="false">IF($B396="","",$D396*$G396)</f>
        <v/>
      </c>
      <c r="I396" s="10" t="str">
        <f aca="false">IF($B396="","",$F396*$G396)</f>
        <v/>
      </c>
      <c r="J396" s="9"/>
      <c r="K396" s="10" t="str">
        <f aca="false">IF($B396="","",$E396*IFERROR(INDEX(Drinks!$B$4:$B$53,MATCH($B396,Drinks!$A$4:$A$53,0)),0))</f>
        <v/>
      </c>
      <c r="L396" s="10" t="str">
        <f aca="false">IF($B396="","",$J396+$K396)</f>
        <v/>
      </c>
      <c r="M396" s="9"/>
      <c r="N396" s="10" t="str">
        <f aca="false">IF($B396="","",$L396-$M396)</f>
        <v/>
      </c>
      <c r="O396" s="10" t="str">
        <f aca="false">IF($B396="","",IFERROR(INDEX(Drinks!$E$4:$E$53,MATCH($B396,Drinks!$A$4:$A$53,0)),0))</f>
        <v/>
      </c>
      <c r="P396" s="10" t="str">
        <f aca="false">IF($B396="","",$N396*$O396)</f>
        <v/>
      </c>
      <c r="Q396" s="10" t="str">
        <f aca="false">IF($B396="","",$N396*IFERROR(INDEX(Drinks!$D$4:$D$53,MATCH($B396,Drinks!$A$4:$A$53,0)),0))</f>
        <v/>
      </c>
      <c r="R396" s="10" t="str">
        <f aca="false">IF($B396="","",$P396-$Q396)</f>
        <v/>
      </c>
      <c r="S396" s="23" t="str">
        <f aca="false">IF($B396="","",IF(COUNTIFS($A$4:$A$2003,$A396-1,$B$4:$B$2003,$B396)=0,"first day",IF(SUMIFS($M$4:$M$2003,$A$4:$A$2003,$A396-1,$B$4:$B$2003,$B396)=$J396,"OK","CHECK")))</f>
        <v/>
      </c>
      <c r="T396" s="10" t="str">
        <f aca="false">IF($B396="","",IFERROR(INDEX(Drinks!$D$4:$D$53,MATCH($B396,Drinks!$A$4:$A$53,0)),0))</f>
        <v/>
      </c>
    </row>
    <row r="397" customFormat="false" ht="15" hidden="false" customHeight="false" outlineLevel="0" collapsed="false">
      <c r="A397" s="22"/>
      <c r="B397" s="9"/>
      <c r="C397" s="9"/>
      <c r="D397" s="9"/>
      <c r="E397" s="9"/>
      <c r="F397" s="10" t="str">
        <f aca="false">IF($B397="","",$C397+$D397-$E397)</f>
        <v/>
      </c>
      <c r="G397" s="10" t="str">
        <f aca="false">IF($B397="","",IFERROR(INDEX(Drinks!$C$4:$C$53,MATCH($B397,Drinks!$A$4:$A$53,0)),0))</f>
        <v/>
      </c>
      <c r="H397" s="10" t="str">
        <f aca="false">IF($B397="","",$D397*$G397)</f>
        <v/>
      </c>
      <c r="I397" s="10" t="str">
        <f aca="false">IF($B397="","",$F397*$G397)</f>
        <v/>
      </c>
      <c r="J397" s="9"/>
      <c r="K397" s="10" t="str">
        <f aca="false">IF($B397="","",$E397*IFERROR(INDEX(Drinks!$B$4:$B$53,MATCH($B397,Drinks!$A$4:$A$53,0)),0))</f>
        <v/>
      </c>
      <c r="L397" s="10" t="str">
        <f aca="false">IF($B397="","",$J397+$K397)</f>
        <v/>
      </c>
      <c r="M397" s="9"/>
      <c r="N397" s="10" t="str">
        <f aca="false">IF($B397="","",$L397-$M397)</f>
        <v/>
      </c>
      <c r="O397" s="10" t="str">
        <f aca="false">IF($B397="","",IFERROR(INDEX(Drinks!$E$4:$E$53,MATCH($B397,Drinks!$A$4:$A$53,0)),0))</f>
        <v/>
      </c>
      <c r="P397" s="10" t="str">
        <f aca="false">IF($B397="","",$N397*$O397)</f>
        <v/>
      </c>
      <c r="Q397" s="10" t="str">
        <f aca="false">IF($B397="","",$N397*IFERROR(INDEX(Drinks!$D$4:$D$53,MATCH($B397,Drinks!$A$4:$A$53,0)),0))</f>
        <v/>
      </c>
      <c r="R397" s="10" t="str">
        <f aca="false">IF($B397="","",$P397-$Q397)</f>
        <v/>
      </c>
      <c r="S397" s="23" t="str">
        <f aca="false">IF($B397="","",IF(COUNTIFS($A$4:$A$2003,$A397-1,$B$4:$B$2003,$B397)=0,"first day",IF(SUMIFS($M$4:$M$2003,$A$4:$A$2003,$A397-1,$B$4:$B$2003,$B397)=$J397,"OK","CHECK")))</f>
        <v/>
      </c>
      <c r="T397" s="10" t="str">
        <f aca="false">IF($B397="","",IFERROR(INDEX(Drinks!$D$4:$D$53,MATCH($B397,Drinks!$A$4:$A$53,0)),0))</f>
        <v/>
      </c>
    </row>
    <row r="398" customFormat="false" ht="15" hidden="false" customHeight="false" outlineLevel="0" collapsed="false">
      <c r="A398" s="22"/>
      <c r="B398" s="9"/>
      <c r="C398" s="9"/>
      <c r="D398" s="9"/>
      <c r="E398" s="9"/>
      <c r="F398" s="10" t="str">
        <f aca="false">IF($B398="","",$C398+$D398-$E398)</f>
        <v/>
      </c>
      <c r="G398" s="10" t="str">
        <f aca="false">IF($B398="","",IFERROR(INDEX(Drinks!$C$4:$C$53,MATCH($B398,Drinks!$A$4:$A$53,0)),0))</f>
        <v/>
      </c>
      <c r="H398" s="10" t="str">
        <f aca="false">IF($B398="","",$D398*$G398)</f>
        <v/>
      </c>
      <c r="I398" s="10" t="str">
        <f aca="false">IF($B398="","",$F398*$G398)</f>
        <v/>
      </c>
      <c r="J398" s="9"/>
      <c r="K398" s="10" t="str">
        <f aca="false">IF($B398="","",$E398*IFERROR(INDEX(Drinks!$B$4:$B$53,MATCH($B398,Drinks!$A$4:$A$53,0)),0))</f>
        <v/>
      </c>
      <c r="L398" s="10" t="str">
        <f aca="false">IF($B398="","",$J398+$K398)</f>
        <v/>
      </c>
      <c r="M398" s="9"/>
      <c r="N398" s="10" t="str">
        <f aca="false">IF($B398="","",$L398-$M398)</f>
        <v/>
      </c>
      <c r="O398" s="10" t="str">
        <f aca="false">IF($B398="","",IFERROR(INDEX(Drinks!$E$4:$E$53,MATCH($B398,Drinks!$A$4:$A$53,0)),0))</f>
        <v/>
      </c>
      <c r="P398" s="10" t="str">
        <f aca="false">IF($B398="","",$N398*$O398)</f>
        <v/>
      </c>
      <c r="Q398" s="10" t="str">
        <f aca="false">IF($B398="","",$N398*IFERROR(INDEX(Drinks!$D$4:$D$53,MATCH($B398,Drinks!$A$4:$A$53,0)),0))</f>
        <v/>
      </c>
      <c r="R398" s="10" t="str">
        <f aca="false">IF($B398="","",$P398-$Q398)</f>
        <v/>
      </c>
      <c r="S398" s="23" t="str">
        <f aca="false">IF($B398="","",IF(COUNTIFS($A$4:$A$2003,$A398-1,$B$4:$B$2003,$B398)=0,"first day",IF(SUMIFS($M$4:$M$2003,$A$4:$A$2003,$A398-1,$B$4:$B$2003,$B398)=$J398,"OK","CHECK")))</f>
        <v/>
      </c>
      <c r="T398" s="10" t="str">
        <f aca="false">IF($B398="","",IFERROR(INDEX(Drinks!$D$4:$D$53,MATCH($B398,Drinks!$A$4:$A$53,0)),0))</f>
        <v/>
      </c>
    </row>
    <row r="399" customFormat="false" ht="15" hidden="false" customHeight="false" outlineLevel="0" collapsed="false">
      <c r="A399" s="22"/>
      <c r="B399" s="9"/>
      <c r="C399" s="9"/>
      <c r="D399" s="9"/>
      <c r="E399" s="9"/>
      <c r="F399" s="10" t="str">
        <f aca="false">IF($B399="","",$C399+$D399-$E399)</f>
        <v/>
      </c>
      <c r="G399" s="10" t="str">
        <f aca="false">IF($B399="","",IFERROR(INDEX(Drinks!$C$4:$C$53,MATCH($B399,Drinks!$A$4:$A$53,0)),0))</f>
        <v/>
      </c>
      <c r="H399" s="10" t="str">
        <f aca="false">IF($B399="","",$D399*$G399)</f>
        <v/>
      </c>
      <c r="I399" s="10" t="str">
        <f aca="false">IF($B399="","",$F399*$G399)</f>
        <v/>
      </c>
      <c r="J399" s="9"/>
      <c r="K399" s="10" t="str">
        <f aca="false">IF($B399="","",$E399*IFERROR(INDEX(Drinks!$B$4:$B$53,MATCH($B399,Drinks!$A$4:$A$53,0)),0))</f>
        <v/>
      </c>
      <c r="L399" s="10" t="str">
        <f aca="false">IF($B399="","",$J399+$K399)</f>
        <v/>
      </c>
      <c r="M399" s="9"/>
      <c r="N399" s="10" t="str">
        <f aca="false">IF($B399="","",$L399-$M399)</f>
        <v/>
      </c>
      <c r="O399" s="10" t="str">
        <f aca="false">IF($B399="","",IFERROR(INDEX(Drinks!$E$4:$E$53,MATCH($B399,Drinks!$A$4:$A$53,0)),0))</f>
        <v/>
      </c>
      <c r="P399" s="10" t="str">
        <f aca="false">IF($B399="","",$N399*$O399)</f>
        <v/>
      </c>
      <c r="Q399" s="10" t="str">
        <f aca="false">IF($B399="","",$N399*IFERROR(INDEX(Drinks!$D$4:$D$53,MATCH($B399,Drinks!$A$4:$A$53,0)),0))</f>
        <v/>
      </c>
      <c r="R399" s="10" t="str">
        <f aca="false">IF($B399="","",$P399-$Q399)</f>
        <v/>
      </c>
      <c r="S399" s="23" t="str">
        <f aca="false">IF($B399="","",IF(COUNTIFS($A$4:$A$2003,$A399-1,$B$4:$B$2003,$B399)=0,"first day",IF(SUMIFS($M$4:$M$2003,$A$4:$A$2003,$A399-1,$B$4:$B$2003,$B399)=$J399,"OK","CHECK")))</f>
        <v/>
      </c>
      <c r="T399" s="10" t="str">
        <f aca="false">IF($B399="","",IFERROR(INDEX(Drinks!$D$4:$D$53,MATCH($B399,Drinks!$A$4:$A$53,0)),0))</f>
        <v/>
      </c>
    </row>
    <row r="400" customFormat="false" ht="15" hidden="false" customHeight="false" outlineLevel="0" collapsed="false">
      <c r="A400" s="22"/>
      <c r="B400" s="9"/>
      <c r="C400" s="9"/>
      <c r="D400" s="9"/>
      <c r="E400" s="9"/>
      <c r="F400" s="10" t="str">
        <f aca="false">IF($B400="","",$C400+$D400-$E400)</f>
        <v/>
      </c>
      <c r="G400" s="10" t="str">
        <f aca="false">IF($B400="","",IFERROR(INDEX(Drinks!$C$4:$C$53,MATCH($B400,Drinks!$A$4:$A$53,0)),0))</f>
        <v/>
      </c>
      <c r="H400" s="10" t="str">
        <f aca="false">IF($B400="","",$D400*$G400)</f>
        <v/>
      </c>
      <c r="I400" s="10" t="str">
        <f aca="false">IF($B400="","",$F400*$G400)</f>
        <v/>
      </c>
      <c r="J400" s="9"/>
      <c r="K400" s="10" t="str">
        <f aca="false">IF($B400="","",$E400*IFERROR(INDEX(Drinks!$B$4:$B$53,MATCH($B400,Drinks!$A$4:$A$53,0)),0))</f>
        <v/>
      </c>
      <c r="L400" s="10" t="str">
        <f aca="false">IF($B400="","",$J400+$K400)</f>
        <v/>
      </c>
      <c r="M400" s="9"/>
      <c r="N400" s="10" t="str">
        <f aca="false">IF($B400="","",$L400-$M400)</f>
        <v/>
      </c>
      <c r="O400" s="10" t="str">
        <f aca="false">IF($B400="","",IFERROR(INDEX(Drinks!$E$4:$E$53,MATCH($B400,Drinks!$A$4:$A$53,0)),0))</f>
        <v/>
      </c>
      <c r="P400" s="10" t="str">
        <f aca="false">IF($B400="","",$N400*$O400)</f>
        <v/>
      </c>
      <c r="Q400" s="10" t="str">
        <f aca="false">IF($B400="","",$N400*IFERROR(INDEX(Drinks!$D$4:$D$53,MATCH($B400,Drinks!$A$4:$A$53,0)),0))</f>
        <v/>
      </c>
      <c r="R400" s="10" t="str">
        <f aca="false">IF($B400="","",$P400-$Q400)</f>
        <v/>
      </c>
      <c r="S400" s="23" t="str">
        <f aca="false">IF($B400="","",IF(COUNTIFS($A$4:$A$2003,$A400-1,$B$4:$B$2003,$B400)=0,"first day",IF(SUMIFS($M$4:$M$2003,$A$4:$A$2003,$A400-1,$B$4:$B$2003,$B400)=$J400,"OK","CHECK")))</f>
        <v/>
      </c>
      <c r="T400" s="10" t="str">
        <f aca="false">IF($B400="","",IFERROR(INDEX(Drinks!$D$4:$D$53,MATCH($B400,Drinks!$A$4:$A$53,0)),0))</f>
        <v/>
      </c>
    </row>
    <row r="401" customFormat="false" ht="15" hidden="false" customHeight="false" outlineLevel="0" collapsed="false">
      <c r="A401" s="22"/>
      <c r="B401" s="9"/>
      <c r="C401" s="9"/>
      <c r="D401" s="9"/>
      <c r="E401" s="9"/>
      <c r="F401" s="10" t="str">
        <f aca="false">IF($B401="","",$C401+$D401-$E401)</f>
        <v/>
      </c>
      <c r="G401" s="10" t="str">
        <f aca="false">IF($B401="","",IFERROR(INDEX(Drinks!$C$4:$C$53,MATCH($B401,Drinks!$A$4:$A$53,0)),0))</f>
        <v/>
      </c>
      <c r="H401" s="10" t="str">
        <f aca="false">IF($B401="","",$D401*$G401)</f>
        <v/>
      </c>
      <c r="I401" s="10" t="str">
        <f aca="false">IF($B401="","",$F401*$G401)</f>
        <v/>
      </c>
      <c r="J401" s="9"/>
      <c r="K401" s="10" t="str">
        <f aca="false">IF($B401="","",$E401*IFERROR(INDEX(Drinks!$B$4:$B$53,MATCH($B401,Drinks!$A$4:$A$53,0)),0))</f>
        <v/>
      </c>
      <c r="L401" s="10" t="str">
        <f aca="false">IF($B401="","",$J401+$K401)</f>
        <v/>
      </c>
      <c r="M401" s="9"/>
      <c r="N401" s="10" t="str">
        <f aca="false">IF($B401="","",$L401-$M401)</f>
        <v/>
      </c>
      <c r="O401" s="10" t="str">
        <f aca="false">IF($B401="","",IFERROR(INDEX(Drinks!$E$4:$E$53,MATCH($B401,Drinks!$A$4:$A$53,0)),0))</f>
        <v/>
      </c>
      <c r="P401" s="10" t="str">
        <f aca="false">IF($B401="","",$N401*$O401)</f>
        <v/>
      </c>
      <c r="Q401" s="10" t="str">
        <f aca="false">IF($B401="","",$N401*IFERROR(INDEX(Drinks!$D$4:$D$53,MATCH($B401,Drinks!$A$4:$A$53,0)),0))</f>
        <v/>
      </c>
      <c r="R401" s="10" t="str">
        <f aca="false">IF($B401="","",$P401-$Q401)</f>
        <v/>
      </c>
      <c r="S401" s="23" t="str">
        <f aca="false">IF($B401="","",IF(COUNTIFS($A$4:$A$2003,$A401-1,$B$4:$B$2003,$B401)=0,"first day",IF(SUMIFS($M$4:$M$2003,$A$4:$A$2003,$A401-1,$B$4:$B$2003,$B401)=$J401,"OK","CHECK")))</f>
        <v/>
      </c>
      <c r="T401" s="10" t="str">
        <f aca="false">IF($B401="","",IFERROR(INDEX(Drinks!$D$4:$D$53,MATCH($B401,Drinks!$A$4:$A$53,0)),0))</f>
        <v/>
      </c>
    </row>
    <row r="402" customFormat="false" ht="15" hidden="false" customHeight="false" outlineLevel="0" collapsed="false">
      <c r="A402" s="22"/>
      <c r="B402" s="9"/>
      <c r="C402" s="9"/>
      <c r="D402" s="9"/>
      <c r="E402" s="9"/>
      <c r="F402" s="10" t="str">
        <f aca="false">IF($B402="","",$C402+$D402-$E402)</f>
        <v/>
      </c>
      <c r="G402" s="10" t="str">
        <f aca="false">IF($B402="","",IFERROR(INDEX(Drinks!$C$4:$C$53,MATCH($B402,Drinks!$A$4:$A$53,0)),0))</f>
        <v/>
      </c>
      <c r="H402" s="10" t="str">
        <f aca="false">IF($B402="","",$D402*$G402)</f>
        <v/>
      </c>
      <c r="I402" s="10" t="str">
        <f aca="false">IF($B402="","",$F402*$G402)</f>
        <v/>
      </c>
      <c r="J402" s="9"/>
      <c r="K402" s="10" t="str">
        <f aca="false">IF($B402="","",$E402*IFERROR(INDEX(Drinks!$B$4:$B$53,MATCH($B402,Drinks!$A$4:$A$53,0)),0))</f>
        <v/>
      </c>
      <c r="L402" s="10" t="str">
        <f aca="false">IF($B402="","",$J402+$K402)</f>
        <v/>
      </c>
      <c r="M402" s="9"/>
      <c r="N402" s="10" t="str">
        <f aca="false">IF($B402="","",$L402-$M402)</f>
        <v/>
      </c>
      <c r="O402" s="10" t="str">
        <f aca="false">IF($B402="","",IFERROR(INDEX(Drinks!$E$4:$E$53,MATCH($B402,Drinks!$A$4:$A$53,0)),0))</f>
        <v/>
      </c>
      <c r="P402" s="10" t="str">
        <f aca="false">IF($B402="","",$N402*$O402)</f>
        <v/>
      </c>
      <c r="Q402" s="10" t="str">
        <f aca="false">IF($B402="","",$N402*IFERROR(INDEX(Drinks!$D$4:$D$53,MATCH($B402,Drinks!$A$4:$A$53,0)),0))</f>
        <v/>
      </c>
      <c r="R402" s="10" t="str">
        <f aca="false">IF($B402="","",$P402-$Q402)</f>
        <v/>
      </c>
      <c r="S402" s="23" t="str">
        <f aca="false">IF($B402="","",IF(COUNTIFS($A$4:$A$2003,$A402-1,$B$4:$B$2003,$B402)=0,"first day",IF(SUMIFS($M$4:$M$2003,$A$4:$A$2003,$A402-1,$B$4:$B$2003,$B402)=$J402,"OK","CHECK")))</f>
        <v/>
      </c>
      <c r="T402" s="10" t="str">
        <f aca="false">IF($B402="","",IFERROR(INDEX(Drinks!$D$4:$D$53,MATCH($B402,Drinks!$A$4:$A$53,0)),0))</f>
        <v/>
      </c>
    </row>
    <row r="403" customFormat="false" ht="15" hidden="false" customHeight="false" outlineLevel="0" collapsed="false">
      <c r="A403" s="22"/>
      <c r="B403" s="9"/>
      <c r="C403" s="9"/>
      <c r="D403" s="9"/>
      <c r="E403" s="9"/>
      <c r="F403" s="10" t="str">
        <f aca="false">IF($B403="","",$C403+$D403-$E403)</f>
        <v/>
      </c>
      <c r="G403" s="10" t="str">
        <f aca="false">IF($B403="","",IFERROR(INDEX(Drinks!$C$4:$C$53,MATCH($B403,Drinks!$A$4:$A$53,0)),0))</f>
        <v/>
      </c>
      <c r="H403" s="10" t="str">
        <f aca="false">IF($B403="","",$D403*$G403)</f>
        <v/>
      </c>
      <c r="I403" s="10" t="str">
        <f aca="false">IF($B403="","",$F403*$G403)</f>
        <v/>
      </c>
      <c r="J403" s="9"/>
      <c r="K403" s="10" t="str">
        <f aca="false">IF($B403="","",$E403*IFERROR(INDEX(Drinks!$B$4:$B$53,MATCH($B403,Drinks!$A$4:$A$53,0)),0))</f>
        <v/>
      </c>
      <c r="L403" s="10" t="str">
        <f aca="false">IF($B403="","",$J403+$K403)</f>
        <v/>
      </c>
      <c r="M403" s="9"/>
      <c r="N403" s="10" t="str">
        <f aca="false">IF($B403="","",$L403-$M403)</f>
        <v/>
      </c>
      <c r="O403" s="10" t="str">
        <f aca="false">IF($B403="","",IFERROR(INDEX(Drinks!$E$4:$E$53,MATCH($B403,Drinks!$A$4:$A$53,0)),0))</f>
        <v/>
      </c>
      <c r="P403" s="10" t="str">
        <f aca="false">IF($B403="","",$N403*$O403)</f>
        <v/>
      </c>
      <c r="Q403" s="10" t="str">
        <f aca="false">IF($B403="","",$N403*IFERROR(INDEX(Drinks!$D$4:$D$53,MATCH($B403,Drinks!$A$4:$A$53,0)),0))</f>
        <v/>
      </c>
      <c r="R403" s="10" t="str">
        <f aca="false">IF($B403="","",$P403-$Q403)</f>
        <v/>
      </c>
      <c r="S403" s="23" t="str">
        <f aca="false">IF($B403="","",IF(COUNTIFS($A$4:$A$2003,$A403-1,$B$4:$B$2003,$B403)=0,"first day",IF(SUMIFS($M$4:$M$2003,$A$4:$A$2003,$A403-1,$B$4:$B$2003,$B403)=$J403,"OK","CHECK")))</f>
        <v/>
      </c>
      <c r="T403" s="10" t="str">
        <f aca="false">IF($B403="","",IFERROR(INDEX(Drinks!$D$4:$D$53,MATCH($B403,Drinks!$A$4:$A$53,0)),0))</f>
        <v/>
      </c>
    </row>
    <row r="404" customFormat="false" ht="15" hidden="false" customHeight="false" outlineLevel="0" collapsed="false">
      <c r="A404" s="22"/>
      <c r="B404" s="9"/>
      <c r="C404" s="9"/>
      <c r="D404" s="9"/>
      <c r="E404" s="9"/>
      <c r="F404" s="10" t="str">
        <f aca="false">IF($B404="","",$C404+$D404-$E404)</f>
        <v/>
      </c>
      <c r="G404" s="10" t="str">
        <f aca="false">IF($B404="","",IFERROR(INDEX(Drinks!$C$4:$C$53,MATCH($B404,Drinks!$A$4:$A$53,0)),0))</f>
        <v/>
      </c>
      <c r="H404" s="10" t="str">
        <f aca="false">IF($B404="","",$D404*$G404)</f>
        <v/>
      </c>
      <c r="I404" s="10" t="str">
        <f aca="false">IF($B404="","",$F404*$G404)</f>
        <v/>
      </c>
      <c r="J404" s="9"/>
      <c r="K404" s="10" t="str">
        <f aca="false">IF($B404="","",$E404*IFERROR(INDEX(Drinks!$B$4:$B$53,MATCH($B404,Drinks!$A$4:$A$53,0)),0))</f>
        <v/>
      </c>
      <c r="L404" s="10" t="str">
        <f aca="false">IF($B404="","",$J404+$K404)</f>
        <v/>
      </c>
      <c r="M404" s="9"/>
      <c r="N404" s="10" t="str">
        <f aca="false">IF($B404="","",$L404-$M404)</f>
        <v/>
      </c>
      <c r="O404" s="10" t="str">
        <f aca="false">IF($B404="","",IFERROR(INDEX(Drinks!$E$4:$E$53,MATCH($B404,Drinks!$A$4:$A$53,0)),0))</f>
        <v/>
      </c>
      <c r="P404" s="10" t="str">
        <f aca="false">IF($B404="","",$N404*$O404)</f>
        <v/>
      </c>
      <c r="Q404" s="10" t="str">
        <f aca="false">IF($B404="","",$N404*IFERROR(INDEX(Drinks!$D$4:$D$53,MATCH($B404,Drinks!$A$4:$A$53,0)),0))</f>
        <v/>
      </c>
      <c r="R404" s="10" t="str">
        <f aca="false">IF($B404="","",$P404-$Q404)</f>
        <v/>
      </c>
      <c r="S404" s="23" t="str">
        <f aca="false">IF($B404="","",IF(COUNTIFS($A$4:$A$2003,$A404-1,$B$4:$B$2003,$B404)=0,"first day",IF(SUMIFS($M$4:$M$2003,$A$4:$A$2003,$A404-1,$B$4:$B$2003,$B404)=$J404,"OK","CHECK")))</f>
        <v/>
      </c>
      <c r="T404" s="10" t="str">
        <f aca="false">IF($B404="","",IFERROR(INDEX(Drinks!$D$4:$D$53,MATCH($B404,Drinks!$A$4:$A$53,0)),0))</f>
        <v/>
      </c>
    </row>
    <row r="405" customFormat="false" ht="15" hidden="false" customHeight="false" outlineLevel="0" collapsed="false">
      <c r="A405" s="22"/>
      <c r="B405" s="9"/>
      <c r="C405" s="9"/>
      <c r="D405" s="9"/>
      <c r="E405" s="9"/>
      <c r="F405" s="10" t="str">
        <f aca="false">IF($B405="","",$C405+$D405-$E405)</f>
        <v/>
      </c>
      <c r="G405" s="10" t="str">
        <f aca="false">IF($B405="","",IFERROR(INDEX(Drinks!$C$4:$C$53,MATCH($B405,Drinks!$A$4:$A$53,0)),0))</f>
        <v/>
      </c>
      <c r="H405" s="10" t="str">
        <f aca="false">IF($B405="","",$D405*$G405)</f>
        <v/>
      </c>
      <c r="I405" s="10" t="str">
        <f aca="false">IF($B405="","",$F405*$G405)</f>
        <v/>
      </c>
      <c r="J405" s="9"/>
      <c r="K405" s="10" t="str">
        <f aca="false">IF($B405="","",$E405*IFERROR(INDEX(Drinks!$B$4:$B$53,MATCH($B405,Drinks!$A$4:$A$53,0)),0))</f>
        <v/>
      </c>
      <c r="L405" s="10" t="str">
        <f aca="false">IF($B405="","",$J405+$K405)</f>
        <v/>
      </c>
      <c r="M405" s="9"/>
      <c r="N405" s="10" t="str">
        <f aca="false">IF($B405="","",$L405-$M405)</f>
        <v/>
      </c>
      <c r="O405" s="10" t="str">
        <f aca="false">IF($B405="","",IFERROR(INDEX(Drinks!$E$4:$E$53,MATCH($B405,Drinks!$A$4:$A$53,0)),0))</f>
        <v/>
      </c>
      <c r="P405" s="10" t="str">
        <f aca="false">IF($B405="","",$N405*$O405)</f>
        <v/>
      </c>
      <c r="Q405" s="10" t="str">
        <f aca="false">IF($B405="","",$N405*IFERROR(INDEX(Drinks!$D$4:$D$53,MATCH($B405,Drinks!$A$4:$A$53,0)),0))</f>
        <v/>
      </c>
      <c r="R405" s="10" t="str">
        <f aca="false">IF($B405="","",$P405-$Q405)</f>
        <v/>
      </c>
      <c r="S405" s="23" t="str">
        <f aca="false">IF($B405="","",IF(COUNTIFS($A$4:$A$2003,$A405-1,$B$4:$B$2003,$B405)=0,"first day",IF(SUMIFS($M$4:$M$2003,$A$4:$A$2003,$A405-1,$B$4:$B$2003,$B405)=$J405,"OK","CHECK")))</f>
        <v/>
      </c>
      <c r="T405" s="10" t="str">
        <f aca="false">IF($B405="","",IFERROR(INDEX(Drinks!$D$4:$D$53,MATCH($B405,Drinks!$A$4:$A$53,0)),0))</f>
        <v/>
      </c>
    </row>
    <row r="406" customFormat="false" ht="15" hidden="false" customHeight="false" outlineLevel="0" collapsed="false">
      <c r="A406" s="22"/>
      <c r="B406" s="9"/>
      <c r="C406" s="9"/>
      <c r="D406" s="9"/>
      <c r="E406" s="9"/>
      <c r="F406" s="10" t="str">
        <f aca="false">IF($B406="","",$C406+$D406-$E406)</f>
        <v/>
      </c>
      <c r="G406" s="10" t="str">
        <f aca="false">IF($B406="","",IFERROR(INDEX(Drinks!$C$4:$C$53,MATCH($B406,Drinks!$A$4:$A$53,0)),0))</f>
        <v/>
      </c>
      <c r="H406" s="10" t="str">
        <f aca="false">IF($B406="","",$D406*$G406)</f>
        <v/>
      </c>
      <c r="I406" s="10" t="str">
        <f aca="false">IF($B406="","",$F406*$G406)</f>
        <v/>
      </c>
      <c r="J406" s="9"/>
      <c r="K406" s="10" t="str">
        <f aca="false">IF($B406="","",$E406*IFERROR(INDEX(Drinks!$B$4:$B$53,MATCH($B406,Drinks!$A$4:$A$53,0)),0))</f>
        <v/>
      </c>
      <c r="L406" s="10" t="str">
        <f aca="false">IF($B406="","",$J406+$K406)</f>
        <v/>
      </c>
      <c r="M406" s="9"/>
      <c r="N406" s="10" t="str">
        <f aca="false">IF($B406="","",$L406-$M406)</f>
        <v/>
      </c>
      <c r="O406" s="10" t="str">
        <f aca="false">IF($B406="","",IFERROR(INDEX(Drinks!$E$4:$E$53,MATCH($B406,Drinks!$A$4:$A$53,0)),0))</f>
        <v/>
      </c>
      <c r="P406" s="10" t="str">
        <f aca="false">IF($B406="","",$N406*$O406)</f>
        <v/>
      </c>
      <c r="Q406" s="10" t="str">
        <f aca="false">IF($B406="","",$N406*IFERROR(INDEX(Drinks!$D$4:$D$53,MATCH($B406,Drinks!$A$4:$A$53,0)),0))</f>
        <v/>
      </c>
      <c r="R406" s="10" t="str">
        <f aca="false">IF($B406="","",$P406-$Q406)</f>
        <v/>
      </c>
      <c r="S406" s="23" t="str">
        <f aca="false">IF($B406="","",IF(COUNTIFS($A$4:$A$2003,$A406-1,$B$4:$B$2003,$B406)=0,"first day",IF(SUMIFS($M$4:$M$2003,$A$4:$A$2003,$A406-1,$B$4:$B$2003,$B406)=$J406,"OK","CHECK")))</f>
        <v/>
      </c>
      <c r="T406" s="10" t="str">
        <f aca="false">IF($B406="","",IFERROR(INDEX(Drinks!$D$4:$D$53,MATCH($B406,Drinks!$A$4:$A$53,0)),0))</f>
        <v/>
      </c>
    </row>
    <row r="407" customFormat="false" ht="15" hidden="false" customHeight="false" outlineLevel="0" collapsed="false">
      <c r="A407" s="22"/>
      <c r="B407" s="9"/>
      <c r="C407" s="9"/>
      <c r="D407" s="9"/>
      <c r="E407" s="9"/>
      <c r="F407" s="10" t="str">
        <f aca="false">IF($B407="","",$C407+$D407-$E407)</f>
        <v/>
      </c>
      <c r="G407" s="10" t="str">
        <f aca="false">IF($B407="","",IFERROR(INDEX(Drinks!$C$4:$C$53,MATCH($B407,Drinks!$A$4:$A$53,0)),0))</f>
        <v/>
      </c>
      <c r="H407" s="10" t="str">
        <f aca="false">IF($B407="","",$D407*$G407)</f>
        <v/>
      </c>
      <c r="I407" s="10" t="str">
        <f aca="false">IF($B407="","",$F407*$G407)</f>
        <v/>
      </c>
      <c r="J407" s="9"/>
      <c r="K407" s="10" t="str">
        <f aca="false">IF($B407="","",$E407*IFERROR(INDEX(Drinks!$B$4:$B$53,MATCH($B407,Drinks!$A$4:$A$53,0)),0))</f>
        <v/>
      </c>
      <c r="L407" s="10" t="str">
        <f aca="false">IF($B407="","",$J407+$K407)</f>
        <v/>
      </c>
      <c r="M407" s="9"/>
      <c r="N407" s="10" t="str">
        <f aca="false">IF($B407="","",$L407-$M407)</f>
        <v/>
      </c>
      <c r="O407" s="10" t="str">
        <f aca="false">IF($B407="","",IFERROR(INDEX(Drinks!$E$4:$E$53,MATCH($B407,Drinks!$A$4:$A$53,0)),0))</f>
        <v/>
      </c>
      <c r="P407" s="10" t="str">
        <f aca="false">IF($B407="","",$N407*$O407)</f>
        <v/>
      </c>
      <c r="Q407" s="10" t="str">
        <f aca="false">IF($B407="","",$N407*IFERROR(INDEX(Drinks!$D$4:$D$53,MATCH($B407,Drinks!$A$4:$A$53,0)),0))</f>
        <v/>
      </c>
      <c r="R407" s="10" t="str">
        <f aca="false">IF($B407="","",$P407-$Q407)</f>
        <v/>
      </c>
      <c r="S407" s="23" t="str">
        <f aca="false">IF($B407="","",IF(COUNTIFS($A$4:$A$2003,$A407-1,$B$4:$B$2003,$B407)=0,"first day",IF(SUMIFS($M$4:$M$2003,$A$4:$A$2003,$A407-1,$B$4:$B$2003,$B407)=$J407,"OK","CHECK")))</f>
        <v/>
      </c>
      <c r="T407" s="10" t="str">
        <f aca="false">IF($B407="","",IFERROR(INDEX(Drinks!$D$4:$D$53,MATCH($B407,Drinks!$A$4:$A$53,0)),0))</f>
        <v/>
      </c>
    </row>
    <row r="408" customFormat="false" ht="15" hidden="false" customHeight="false" outlineLevel="0" collapsed="false">
      <c r="A408" s="22"/>
      <c r="B408" s="9"/>
      <c r="C408" s="9"/>
      <c r="D408" s="9"/>
      <c r="E408" s="9"/>
      <c r="F408" s="10" t="str">
        <f aca="false">IF($B408="","",$C408+$D408-$E408)</f>
        <v/>
      </c>
      <c r="G408" s="10" t="str">
        <f aca="false">IF($B408="","",IFERROR(INDEX(Drinks!$C$4:$C$53,MATCH($B408,Drinks!$A$4:$A$53,0)),0))</f>
        <v/>
      </c>
      <c r="H408" s="10" t="str">
        <f aca="false">IF($B408="","",$D408*$G408)</f>
        <v/>
      </c>
      <c r="I408" s="10" t="str">
        <f aca="false">IF($B408="","",$F408*$G408)</f>
        <v/>
      </c>
      <c r="J408" s="9"/>
      <c r="K408" s="10" t="str">
        <f aca="false">IF($B408="","",$E408*IFERROR(INDEX(Drinks!$B$4:$B$53,MATCH($B408,Drinks!$A$4:$A$53,0)),0))</f>
        <v/>
      </c>
      <c r="L408" s="10" t="str">
        <f aca="false">IF($B408="","",$J408+$K408)</f>
        <v/>
      </c>
      <c r="M408" s="9"/>
      <c r="N408" s="10" t="str">
        <f aca="false">IF($B408="","",$L408-$M408)</f>
        <v/>
      </c>
      <c r="O408" s="10" t="str">
        <f aca="false">IF($B408="","",IFERROR(INDEX(Drinks!$E$4:$E$53,MATCH($B408,Drinks!$A$4:$A$53,0)),0))</f>
        <v/>
      </c>
      <c r="P408" s="10" t="str">
        <f aca="false">IF($B408="","",$N408*$O408)</f>
        <v/>
      </c>
      <c r="Q408" s="10" t="str">
        <f aca="false">IF($B408="","",$N408*IFERROR(INDEX(Drinks!$D$4:$D$53,MATCH($B408,Drinks!$A$4:$A$53,0)),0))</f>
        <v/>
      </c>
      <c r="R408" s="10" t="str">
        <f aca="false">IF($B408="","",$P408-$Q408)</f>
        <v/>
      </c>
      <c r="S408" s="23" t="str">
        <f aca="false">IF($B408="","",IF(COUNTIFS($A$4:$A$2003,$A408-1,$B$4:$B$2003,$B408)=0,"first day",IF(SUMIFS($M$4:$M$2003,$A$4:$A$2003,$A408-1,$B$4:$B$2003,$B408)=$J408,"OK","CHECK")))</f>
        <v/>
      </c>
      <c r="T408" s="10" t="str">
        <f aca="false">IF($B408="","",IFERROR(INDEX(Drinks!$D$4:$D$53,MATCH($B408,Drinks!$A$4:$A$53,0)),0))</f>
        <v/>
      </c>
    </row>
    <row r="409" customFormat="false" ht="15" hidden="false" customHeight="false" outlineLevel="0" collapsed="false">
      <c r="A409" s="22"/>
      <c r="B409" s="9"/>
      <c r="C409" s="9"/>
      <c r="D409" s="9"/>
      <c r="E409" s="9"/>
      <c r="F409" s="10" t="str">
        <f aca="false">IF($B409="","",$C409+$D409-$E409)</f>
        <v/>
      </c>
      <c r="G409" s="10" t="str">
        <f aca="false">IF($B409="","",IFERROR(INDEX(Drinks!$C$4:$C$53,MATCH($B409,Drinks!$A$4:$A$53,0)),0))</f>
        <v/>
      </c>
      <c r="H409" s="10" t="str">
        <f aca="false">IF($B409="","",$D409*$G409)</f>
        <v/>
      </c>
      <c r="I409" s="10" t="str">
        <f aca="false">IF($B409="","",$F409*$G409)</f>
        <v/>
      </c>
      <c r="J409" s="9"/>
      <c r="K409" s="10" t="str">
        <f aca="false">IF($B409="","",$E409*IFERROR(INDEX(Drinks!$B$4:$B$53,MATCH($B409,Drinks!$A$4:$A$53,0)),0))</f>
        <v/>
      </c>
      <c r="L409" s="10" t="str">
        <f aca="false">IF($B409="","",$J409+$K409)</f>
        <v/>
      </c>
      <c r="M409" s="9"/>
      <c r="N409" s="10" t="str">
        <f aca="false">IF($B409="","",$L409-$M409)</f>
        <v/>
      </c>
      <c r="O409" s="10" t="str">
        <f aca="false">IF($B409="","",IFERROR(INDEX(Drinks!$E$4:$E$53,MATCH($B409,Drinks!$A$4:$A$53,0)),0))</f>
        <v/>
      </c>
      <c r="P409" s="10" t="str">
        <f aca="false">IF($B409="","",$N409*$O409)</f>
        <v/>
      </c>
      <c r="Q409" s="10" t="str">
        <f aca="false">IF($B409="","",$N409*IFERROR(INDEX(Drinks!$D$4:$D$53,MATCH($B409,Drinks!$A$4:$A$53,0)),0))</f>
        <v/>
      </c>
      <c r="R409" s="10" t="str">
        <f aca="false">IF($B409="","",$P409-$Q409)</f>
        <v/>
      </c>
      <c r="S409" s="23" t="str">
        <f aca="false">IF($B409="","",IF(COUNTIFS($A$4:$A$2003,$A409-1,$B$4:$B$2003,$B409)=0,"first day",IF(SUMIFS($M$4:$M$2003,$A$4:$A$2003,$A409-1,$B$4:$B$2003,$B409)=$J409,"OK","CHECK")))</f>
        <v/>
      </c>
      <c r="T409" s="10" t="str">
        <f aca="false">IF($B409="","",IFERROR(INDEX(Drinks!$D$4:$D$53,MATCH($B409,Drinks!$A$4:$A$53,0)),0))</f>
        <v/>
      </c>
    </row>
    <row r="410" customFormat="false" ht="15" hidden="false" customHeight="false" outlineLevel="0" collapsed="false">
      <c r="A410" s="22"/>
      <c r="B410" s="9"/>
      <c r="C410" s="9"/>
      <c r="D410" s="9"/>
      <c r="E410" s="9"/>
      <c r="F410" s="10" t="str">
        <f aca="false">IF($B410="","",$C410+$D410-$E410)</f>
        <v/>
      </c>
      <c r="G410" s="10" t="str">
        <f aca="false">IF($B410="","",IFERROR(INDEX(Drinks!$C$4:$C$53,MATCH($B410,Drinks!$A$4:$A$53,0)),0))</f>
        <v/>
      </c>
      <c r="H410" s="10" t="str">
        <f aca="false">IF($B410="","",$D410*$G410)</f>
        <v/>
      </c>
      <c r="I410" s="10" t="str">
        <f aca="false">IF($B410="","",$F410*$G410)</f>
        <v/>
      </c>
      <c r="J410" s="9"/>
      <c r="K410" s="10" t="str">
        <f aca="false">IF($B410="","",$E410*IFERROR(INDEX(Drinks!$B$4:$B$53,MATCH($B410,Drinks!$A$4:$A$53,0)),0))</f>
        <v/>
      </c>
      <c r="L410" s="10" t="str">
        <f aca="false">IF($B410="","",$J410+$K410)</f>
        <v/>
      </c>
      <c r="M410" s="9"/>
      <c r="N410" s="10" t="str">
        <f aca="false">IF($B410="","",$L410-$M410)</f>
        <v/>
      </c>
      <c r="O410" s="10" t="str">
        <f aca="false">IF($B410="","",IFERROR(INDEX(Drinks!$E$4:$E$53,MATCH($B410,Drinks!$A$4:$A$53,0)),0))</f>
        <v/>
      </c>
      <c r="P410" s="10" t="str">
        <f aca="false">IF($B410="","",$N410*$O410)</f>
        <v/>
      </c>
      <c r="Q410" s="10" t="str">
        <f aca="false">IF($B410="","",$N410*IFERROR(INDEX(Drinks!$D$4:$D$53,MATCH($B410,Drinks!$A$4:$A$53,0)),0))</f>
        <v/>
      </c>
      <c r="R410" s="10" t="str">
        <f aca="false">IF($B410="","",$P410-$Q410)</f>
        <v/>
      </c>
      <c r="S410" s="23" t="str">
        <f aca="false">IF($B410="","",IF(COUNTIFS($A$4:$A$2003,$A410-1,$B$4:$B$2003,$B410)=0,"first day",IF(SUMIFS($M$4:$M$2003,$A$4:$A$2003,$A410-1,$B$4:$B$2003,$B410)=$J410,"OK","CHECK")))</f>
        <v/>
      </c>
      <c r="T410" s="10" t="str">
        <f aca="false">IF($B410="","",IFERROR(INDEX(Drinks!$D$4:$D$53,MATCH($B410,Drinks!$A$4:$A$53,0)),0))</f>
        <v/>
      </c>
    </row>
    <row r="411" customFormat="false" ht="15" hidden="false" customHeight="false" outlineLevel="0" collapsed="false">
      <c r="A411" s="22"/>
      <c r="B411" s="9"/>
      <c r="C411" s="9"/>
      <c r="D411" s="9"/>
      <c r="E411" s="9"/>
      <c r="F411" s="10" t="str">
        <f aca="false">IF($B411="","",$C411+$D411-$E411)</f>
        <v/>
      </c>
      <c r="G411" s="10" t="str">
        <f aca="false">IF($B411="","",IFERROR(INDEX(Drinks!$C$4:$C$53,MATCH($B411,Drinks!$A$4:$A$53,0)),0))</f>
        <v/>
      </c>
      <c r="H411" s="10" t="str">
        <f aca="false">IF($B411="","",$D411*$G411)</f>
        <v/>
      </c>
      <c r="I411" s="10" t="str">
        <f aca="false">IF($B411="","",$F411*$G411)</f>
        <v/>
      </c>
      <c r="J411" s="9"/>
      <c r="K411" s="10" t="str">
        <f aca="false">IF($B411="","",$E411*IFERROR(INDEX(Drinks!$B$4:$B$53,MATCH($B411,Drinks!$A$4:$A$53,0)),0))</f>
        <v/>
      </c>
      <c r="L411" s="10" t="str">
        <f aca="false">IF($B411="","",$J411+$K411)</f>
        <v/>
      </c>
      <c r="M411" s="9"/>
      <c r="N411" s="10" t="str">
        <f aca="false">IF($B411="","",$L411-$M411)</f>
        <v/>
      </c>
      <c r="O411" s="10" t="str">
        <f aca="false">IF($B411="","",IFERROR(INDEX(Drinks!$E$4:$E$53,MATCH($B411,Drinks!$A$4:$A$53,0)),0))</f>
        <v/>
      </c>
      <c r="P411" s="10" t="str">
        <f aca="false">IF($B411="","",$N411*$O411)</f>
        <v/>
      </c>
      <c r="Q411" s="10" t="str">
        <f aca="false">IF($B411="","",$N411*IFERROR(INDEX(Drinks!$D$4:$D$53,MATCH($B411,Drinks!$A$4:$A$53,0)),0))</f>
        <v/>
      </c>
      <c r="R411" s="10" t="str">
        <f aca="false">IF($B411="","",$P411-$Q411)</f>
        <v/>
      </c>
      <c r="S411" s="23" t="str">
        <f aca="false">IF($B411="","",IF(COUNTIFS($A$4:$A$2003,$A411-1,$B$4:$B$2003,$B411)=0,"first day",IF(SUMIFS($M$4:$M$2003,$A$4:$A$2003,$A411-1,$B$4:$B$2003,$B411)=$J411,"OK","CHECK")))</f>
        <v/>
      </c>
      <c r="T411" s="10" t="str">
        <f aca="false">IF($B411="","",IFERROR(INDEX(Drinks!$D$4:$D$53,MATCH($B411,Drinks!$A$4:$A$53,0)),0))</f>
        <v/>
      </c>
    </row>
    <row r="412" customFormat="false" ht="15" hidden="false" customHeight="false" outlineLevel="0" collapsed="false">
      <c r="A412" s="22"/>
      <c r="B412" s="9"/>
      <c r="C412" s="9"/>
      <c r="D412" s="9"/>
      <c r="E412" s="9"/>
      <c r="F412" s="10" t="str">
        <f aca="false">IF($B412="","",$C412+$D412-$E412)</f>
        <v/>
      </c>
      <c r="G412" s="10" t="str">
        <f aca="false">IF($B412="","",IFERROR(INDEX(Drinks!$C$4:$C$53,MATCH($B412,Drinks!$A$4:$A$53,0)),0))</f>
        <v/>
      </c>
      <c r="H412" s="10" t="str">
        <f aca="false">IF($B412="","",$D412*$G412)</f>
        <v/>
      </c>
      <c r="I412" s="10" t="str">
        <f aca="false">IF($B412="","",$F412*$G412)</f>
        <v/>
      </c>
      <c r="J412" s="9"/>
      <c r="K412" s="10" t="str">
        <f aca="false">IF($B412="","",$E412*IFERROR(INDEX(Drinks!$B$4:$B$53,MATCH($B412,Drinks!$A$4:$A$53,0)),0))</f>
        <v/>
      </c>
      <c r="L412" s="10" t="str">
        <f aca="false">IF($B412="","",$J412+$K412)</f>
        <v/>
      </c>
      <c r="M412" s="9"/>
      <c r="N412" s="10" t="str">
        <f aca="false">IF($B412="","",$L412-$M412)</f>
        <v/>
      </c>
      <c r="O412" s="10" t="str">
        <f aca="false">IF($B412="","",IFERROR(INDEX(Drinks!$E$4:$E$53,MATCH($B412,Drinks!$A$4:$A$53,0)),0))</f>
        <v/>
      </c>
      <c r="P412" s="10" t="str">
        <f aca="false">IF($B412="","",$N412*$O412)</f>
        <v/>
      </c>
      <c r="Q412" s="10" t="str">
        <f aca="false">IF($B412="","",$N412*IFERROR(INDEX(Drinks!$D$4:$D$53,MATCH($B412,Drinks!$A$4:$A$53,0)),0))</f>
        <v/>
      </c>
      <c r="R412" s="10" t="str">
        <f aca="false">IF($B412="","",$P412-$Q412)</f>
        <v/>
      </c>
      <c r="S412" s="23" t="str">
        <f aca="false">IF($B412="","",IF(COUNTIFS($A$4:$A$2003,$A412-1,$B$4:$B$2003,$B412)=0,"first day",IF(SUMIFS($M$4:$M$2003,$A$4:$A$2003,$A412-1,$B$4:$B$2003,$B412)=$J412,"OK","CHECK")))</f>
        <v/>
      </c>
      <c r="T412" s="10" t="str">
        <f aca="false">IF($B412="","",IFERROR(INDEX(Drinks!$D$4:$D$53,MATCH($B412,Drinks!$A$4:$A$53,0)),0))</f>
        <v/>
      </c>
    </row>
    <row r="413" customFormat="false" ht="15" hidden="false" customHeight="false" outlineLevel="0" collapsed="false">
      <c r="A413" s="22"/>
      <c r="B413" s="9"/>
      <c r="C413" s="9"/>
      <c r="D413" s="9"/>
      <c r="E413" s="9"/>
      <c r="F413" s="10" t="str">
        <f aca="false">IF($B413="","",$C413+$D413-$E413)</f>
        <v/>
      </c>
      <c r="G413" s="10" t="str">
        <f aca="false">IF($B413="","",IFERROR(INDEX(Drinks!$C$4:$C$53,MATCH($B413,Drinks!$A$4:$A$53,0)),0))</f>
        <v/>
      </c>
      <c r="H413" s="10" t="str">
        <f aca="false">IF($B413="","",$D413*$G413)</f>
        <v/>
      </c>
      <c r="I413" s="10" t="str">
        <f aca="false">IF($B413="","",$F413*$G413)</f>
        <v/>
      </c>
      <c r="J413" s="9"/>
      <c r="K413" s="10" t="str">
        <f aca="false">IF($B413="","",$E413*IFERROR(INDEX(Drinks!$B$4:$B$53,MATCH($B413,Drinks!$A$4:$A$53,0)),0))</f>
        <v/>
      </c>
      <c r="L413" s="10" t="str">
        <f aca="false">IF($B413="","",$J413+$K413)</f>
        <v/>
      </c>
      <c r="M413" s="9"/>
      <c r="N413" s="10" t="str">
        <f aca="false">IF($B413="","",$L413-$M413)</f>
        <v/>
      </c>
      <c r="O413" s="10" t="str">
        <f aca="false">IF($B413="","",IFERROR(INDEX(Drinks!$E$4:$E$53,MATCH($B413,Drinks!$A$4:$A$53,0)),0))</f>
        <v/>
      </c>
      <c r="P413" s="10" t="str">
        <f aca="false">IF($B413="","",$N413*$O413)</f>
        <v/>
      </c>
      <c r="Q413" s="10" t="str">
        <f aca="false">IF($B413="","",$N413*IFERROR(INDEX(Drinks!$D$4:$D$53,MATCH($B413,Drinks!$A$4:$A$53,0)),0))</f>
        <v/>
      </c>
      <c r="R413" s="10" t="str">
        <f aca="false">IF($B413="","",$P413-$Q413)</f>
        <v/>
      </c>
      <c r="S413" s="23" t="str">
        <f aca="false">IF($B413="","",IF(COUNTIFS($A$4:$A$2003,$A413-1,$B$4:$B$2003,$B413)=0,"first day",IF(SUMIFS($M$4:$M$2003,$A$4:$A$2003,$A413-1,$B$4:$B$2003,$B413)=$J413,"OK","CHECK")))</f>
        <v/>
      </c>
      <c r="T413" s="10" t="str">
        <f aca="false">IF($B413="","",IFERROR(INDEX(Drinks!$D$4:$D$53,MATCH($B413,Drinks!$A$4:$A$53,0)),0))</f>
        <v/>
      </c>
    </row>
    <row r="414" customFormat="false" ht="15" hidden="false" customHeight="false" outlineLevel="0" collapsed="false">
      <c r="A414" s="22"/>
      <c r="B414" s="9"/>
      <c r="C414" s="9"/>
      <c r="D414" s="9"/>
      <c r="E414" s="9"/>
      <c r="F414" s="10" t="str">
        <f aca="false">IF($B414="","",$C414+$D414-$E414)</f>
        <v/>
      </c>
      <c r="G414" s="10" t="str">
        <f aca="false">IF($B414="","",IFERROR(INDEX(Drinks!$C$4:$C$53,MATCH($B414,Drinks!$A$4:$A$53,0)),0))</f>
        <v/>
      </c>
      <c r="H414" s="10" t="str">
        <f aca="false">IF($B414="","",$D414*$G414)</f>
        <v/>
      </c>
      <c r="I414" s="10" t="str">
        <f aca="false">IF($B414="","",$F414*$G414)</f>
        <v/>
      </c>
      <c r="J414" s="9"/>
      <c r="K414" s="10" t="str">
        <f aca="false">IF($B414="","",$E414*IFERROR(INDEX(Drinks!$B$4:$B$53,MATCH($B414,Drinks!$A$4:$A$53,0)),0))</f>
        <v/>
      </c>
      <c r="L414" s="10" t="str">
        <f aca="false">IF($B414="","",$J414+$K414)</f>
        <v/>
      </c>
      <c r="M414" s="9"/>
      <c r="N414" s="10" t="str">
        <f aca="false">IF($B414="","",$L414-$M414)</f>
        <v/>
      </c>
      <c r="O414" s="10" t="str">
        <f aca="false">IF($B414="","",IFERROR(INDEX(Drinks!$E$4:$E$53,MATCH($B414,Drinks!$A$4:$A$53,0)),0))</f>
        <v/>
      </c>
      <c r="P414" s="10" t="str">
        <f aca="false">IF($B414="","",$N414*$O414)</f>
        <v/>
      </c>
      <c r="Q414" s="10" t="str">
        <f aca="false">IF($B414="","",$N414*IFERROR(INDEX(Drinks!$D$4:$D$53,MATCH($B414,Drinks!$A$4:$A$53,0)),0))</f>
        <v/>
      </c>
      <c r="R414" s="10" t="str">
        <f aca="false">IF($B414="","",$P414-$Q414)</f>
        <v/>
      </c>
      <c r="S414" s="23" t="str">
        <f aca="false">IF($B414="","",IF(COUNTIFS($A$4:$A$2003,$A414-1,$B$4:$B$2003,$B414)=0,"first day",IF(SUMIFS($M$4:$M$2003,$A$4:$A$2003,$A414-1,$B$4:$B$2003,$B414)=$J414,"OK","CHECK")))</f>
        <v/>
      </c>
      <c r="T414" s="10" t="str">
        <f aca="false">IF($B414="","",IFERROR(INDEX(Drinks!$D$4:$D$53,MATCH($B414,Drinks!$A$4:$A$53,0)),0))</f>
        <v/>
      </c>
    </row>
    <row r="415" customFormat="false" ht="15" hidden="false" customHeight="false" outlineLevel="0" collapsed="false">
      <c r="A415" s="22"/>
      <c r="B415" s="9"/>
      <c r="C415" s="9"/>
      <c r="D415" s="9"/>
      <c r="E415" s="9"/>
      <c r="F415" s="10" t="str">
        <f aca="false">IF($B415="","",$C415+$D415-$E415)</f>
        <v/>
      </c>
      <c r="G415" s="10" t="str">
        <f aca="false">IF($B415="","",IFERROR(INDEX(Drinks!$C$4:$C$53,MATCH($B415,Drinks!$A$4:$A$53,0)),0))</f>
        <v/>
      </c>
      <c r="H415" s="10" t="str">
        <f aca="false">IF($B415="","",$D415*$G415)</f>
        <v/>
      </c>
      <c r="I415" s="10" t="str">
        <f aca="false">IF($B415="","",$F415*$G415)</f>
        <v/>
      </c>
      <c r="J415" s="9"/>
      <c r="K415" s="10" t="str">
        <f aca="false">IF($B415="","",$E415*IFERROR(INDEX(Drinks!$B$4:$B$53,MATCH($B415,Drinks!$A$4:$A$53,0)),0))</f>
        <v/>
      </c>
      <c r="L415" s="10" t="str">
        <f aca="false">IF($B415="","",$J415+$K415)</f>
        <v/>
      </c>
      <c r="M415" s="9"/>
      <c r="N415" s="10" t="str">
        <f aca="false">IF($B415="","",$L415-$M415)</f>
        <v/>
      </c>
      <c r="O415" s="10" t="str">
        <f aca="false">IF($B415="","",IFERROR(INDEX(Drinks!$E$4:$E$53,MATCH($B415,Drinks!$A$4:$A$53,0)),0))</f>
        <v/>
      </c>
      <c r="P415" s="10" t="str">
        <f aca="false">IF($B415="","",$N415*$O415)</f>
        <v/>
      </c>
      <c r="Q415" s="10" t="str">
        <f aca="false">IF($B415="","",$N415*IFERROR(INDEX(Drinks!$D$4:$D$53,MATCH($B415,Drinks!$A$4:$A$53,0)),0))</f>
        <v/>
      </c>
      <c r="R415" s="10" t="str">
        <f aca="false">IF($B415="","",$P415-$Q415)</f>
        <v/>
      </c>
      <c r="S415" s="23" t="str">
        <f aca="false">IF($B415="","",IF(COUNTIFS($A$4:$A$2003,$A415-1,$B$4:$B$2003,$B415)=0,"first day",IF(SUMIFS($M$4:$M$2003,$A$4:$A$2003,$A415-1,$B$4:$B$2003,$B415)=$J415,"OK","CHECK")))</f>
        <v/>
      </c>
      <c r="T415" s="10" t="str">
        <f aca="false">IF($B415="","",IFERROR(INDEX(Drinks!$D$4:$D$53,MATCH($B415,Drinks!$A$4:$A$53,0)),0))</f>
        <v/>
      </c>
    </row>
    <row r="416" customFormat="false" ht="15" hidden="false" customHeight="false" outlineLevel="0" collapsed="false">
      <c r="A416" s="22"/>
      <c r="B416" s="9"/>
      <c r="C416" s="9"/>
      <c r="D416" s="9"/>
      <c r="E416" s="9"/>
      <c r="F416" s="10" t="str">
        <f aca="false">IF($B416="","",$C416+$D416-$E416)</f>
        <v/>
      </c>
      <c r="G416" s="10" t="str">
        <f aca="false">IF($B416="","",IFERROR(INDEX(Drinks!$C$4:$C$53,MATCH($B416,Drinks!$A$4:$A$53,0)),0))</f>
        <v/>
      </c>
      <c r="H416" s="10" t="str">
        <f aca="false">IF($B416="","",$D416*$G416)</f>
        <v/>
      </c>
      <c r="I416" s="10" t="str">
        <f aca="false">IF($B416="","",$F416*$G416)</f>
        <v/>
      </c>
      <c r="J416" s="9"/>
      <c r="K416" s="10" t="str">
        <f aca="false">IF($B416="","",$E416*IFERROR(INDEX(Drinks!$B$4:$B$53,MATCH($B416,Drinks!$A$4:$A$53,0)),0))</f>
        <v/>
      </c>
      <c r="L416" s="10" t="str">
        <f aca="false">IF($B416="","",$J416+$K416)</f>
        <v/>
      </c>
      <c r="M416" s="9"/>
      <c r="N416" s="10" t="str">
        <f aca="false">IF($B416="","",$L416-$M416)</f>
        <v/>
      </c>
      <c r="O416" s="10" t="str">
        <f aca="false">IF($B416="","",IFERROR(INDEX(Drinks!$E$4:$E$53,MATCH($B416,Drinks!$A$4:$A$53,0)),0))</f>
        <v/>
      </c>
      <c r="P416" s="10" t="str">
        <f aca="false">IF($B416="","",$N416*$O416)</f>
        <v/>
      </c>
      <c r="Q416" s="10" t="str">
        <f aca="false">IF($B416="","",$N416*IFERROR(INDEX(Drinks!$D$4:$D$53,MATCH($B416,Drinks!$A$4:$A$53,0)),0))</f>
        <v/>
      </c>
      <c r="R416" s="10" t="str">
        <f aca="false">IF($B416="","",$P416-$Q416)</f>
        <v/>
      </c>
      <c r="S416" s="23" t="str">
        <f aca="false">IF($B416="","",IF(COUNTIFS($A$4:$A$2003,$A416-1,$B$4:$B$2003,$B416)=0,"first day",IF(SUMIFS($M$4:$M$2003,$A$4:$A$2003,$A416-1,$B$4:$B$2003,$B416)=$J416,"OK","CHECK")))</f>
        <v/>
      </c>
      <c r="T416" s="10" t="str">
        <f aca="false">IF($B416="","",IFERROR(INDEX(Drinks!$D$4:$D$53,MATCH($B416,Drinks!$A$4:$A$53,0)),0))</f>
        <v/>
      </c>
    </row>
    <row r="417" customFormat="false" ht="15" hidden="false" customHeight="false" outlineLevel="0" collapsed="false">
      <c r="A417" s="22"/>
      <c r="B417" s="9"/>
      <c r="C417" s="9"/>
      <c r="D417" s="9"/>
      <c r="E417" s="9"/>
      <c r="F417" s="10" t="str">
        <f aca="false">IF($B417="","",$C417+$D417-$E417)</f>
        <v/>
      </c>
      <c r="G417" s="10" t="str">
        <f aca="false">IF($B417="","",IFERROR(INDEX(Drinks!$C$4:$C$53,MATCH($B417,Drinks!$A$4:$A$53,0)),0))</f>
        <v/>
      </c>
      <c r="H417" s="10" t="str">
        <f aca="false">IF($B417="","",$D417*$G417)</f>
        <v/>
      </c>
      <c r="I417" s="10" t="str">
        <f aca="false">IF($B417="","",$F417*$G417)</f>
        <v/>
      </c>
      <c r="J417" s="9"/>
      <c r="K417" s="10" t="str">
        <f aca="false">IF($B417="","",$E417*IFERROR(INDEX(Drinks!$B$4:$B$53,MATCH($B417,Drinks!$A$4:$A$53,0)),0))</f>
        <v/>
      </c>
      <c r="L417" s="10" t="str">
        <f aca="false">IF($B417="","",$J417+$K417)</f>
        <v/>
      </c>
      <c r="M417" s="9"/>
      <c r="N417" s="10" t="str">
        <f aca="false">IF($B417="","",$L417-$M417)</f>
        <v/>
      </c>
      <c r="O417" s="10" t="str">
        <f aca="false">IF($B417="","",IFERROR(INDEX(Drinks!$E$4:$E$53,MATCH($B417,Drinks!$A$4:$A$53,0)),0))</f>
        <v/>
      </c>
      <c r="P417" s="10" t="str">
        <f aca="false">IF($B417="","",$N417*$O417)</f>
        <v/>
      </c>
      <c r="Q417" s="10" t="str">
        <f aca="false">IF($B417="","",$N417*IFERROR(INDEX(Drinks!$D$4:$D$53,MATCH($B417,Drinks!$A$4:$A$53,0)),0))</f>
        <v/>
      </c>
      <c r="R417" s="10" t="str">
        <f aca="false">IF($B417="","",$P417-$Q417)</f>
        <v/>
      </c>
      <c r="S417" s="23" t="str">
        <f aca="false">IF($B417="","",IF(COUNTIFS($A$4:$A$2003,$A417-1,$B$4:$B$2003,$B417)=0,"first day",IF(SUMIFS($M$4:$M$2003,$A$4:$A$2003,$A417-1,$B$4:$B$2003,$B417)=$J417,"OK","CHECK")))</f>
        <v/>
      </c>
      <c r="T417" s="10" t="str">
        <f aca="false">IF($B417="","",IFERROR(INDEX(Drinks!$D$4:$D$53,MATCH($B417,Drinks!$A$4:$A$53,0)),0))</f>
        <v/>
      </c>
    </row>
    <row r="418" customFormat="false" ht="15" hidden="false" customHeight="false" outlineLevel="0" collapsed="false">
      <c r="A418" s="22"/>
      <c r="B418" s="9"/>
      <c r="C418" s="9"/>
      <c r="D418" s="9"/>
      <c r="E418" s="9"/>
      <c r="F418" s="10" t="str">
        <f aca="false">IF($B418="","",$C418+$D418-$E418)</f>
        <v/>
      </c>
      <c r="G418" s="10" t="str">
        <f aca="false">IF($B418="","",IFERROR(INDEX(Drinks!$C$4:$C$53,MATCH($B418,Drinks!$A$4:$A$53,0)),0))</f>
        <v/>
      </c>
      <c r="H418" s="10" t="str">
        <f aca="false">IF($B418="","",$D418*$G418)</f>
        <v/>
      </c>
      <c r="I418" s="10" t="str">
        <f aca="false">IF($B418="","",$F418*$G418)</f>
        <v/>
      </c>
      <c r="J418" s="9"/>
      <c r="K418" s="10" t="str">
        <f aca="false">IF($B418="","",$E418*IFERROR(INDEX(Drinks!$B$4:$B$53,MATCH($B418,Drinks!$A$4:$A$53,0)),0))</f>
        <v/>
      </c>
      <c r="L418" s="10" t="str">
        <f aca="false">IF($B418="","",$J418+$K418)</f>
        <v/>
      </c>
      <c r="M418" s="9"/>
      <c r="N418" s="10" t="str">
        <f aca="false">IF($B418="","",$L418-$M418)</f>
        <v/>
      </c>
      <c r="O418" s="10" t="str">
        <f aca="false">IF($B418="","",IFERROR(INDEX(Drinks!$E$4:$E$53,MATCH($B418,Drinks!$A$4:$A$53,0)),0))</f>
        <v/>
      </c>
      <c r="P418" s="10" t="str">
        <f aca="false">IF($B418="","",$N418*$O418)</f>
        <v/>
      </c>
      <c r="Q418" s="10" t="str">
        <f aca="false">IF($B418="","",$N418*IFERROR(INDEX(Drinks!$D$4:$D$53,MATCH($B418,Drinks!$A$4:$A$53,0)),0))</f>
        <v/>
      </c>
      <c r="R418" s="10" t="str">
        <f aca="false">IF($B418="","",$P418-$Q418)</f>
        <v/>
      </c>
      <c r="S418" s="23" t="str">
        <f aca="false">IF($B418="","",IF(COUNTIFS($A$4:$A$2003,$A418-1,$B$4:$B$2003,$B418)=0,"first day",IF(SUMIFS($M$4:$M$2003,$A$4:$A$2003,$A418-1,$B$4:$B$2003,$B418)=$J418,"OK","CHECK")))</f>
        <v/>
      </c>
      <c r="T418" s="10" t="str">
        <f aca="false">IF($B418="","",IFERROR(INDEX(Drinks!$D$4:$D$53,MATCH($B418,Drinks!$A$4:$A$53,0)),0))</f>
        <v/>
      </c>
    </row>
    <row r="419" customFormat="false" ht="15" hidden="false" customHeight="false" outlineLevel="0" collapsed="false">
      <c r="A419" s="22"/>
      <c r="B419" s="9"/>
      <c r="C419" s="9"/>
      <c r="D419" s="9"/>
      <c r="E419" s="9"/>
      <c r="F419" s="10" t="str">
        <f aca="false">IF($B419="","",$C419+$D419-$E419)</f>
        <v/>
      </c>
      <c r="G419" s="10" t="str">
        <f aca="false">IF($B419="","",IFERROR(INDEX(Drinks!$C$4:$C$53,MATCH($B419,Drinks!$A$4:$A$53,0)),0))</f>
        <v/>
      </c>
      <c r="H419" s="10" t="str">
        <f aca="false">IF($B419="","",$D419*$G419)</f>
        <v/>
      </c>
      <c r="I419" s="10" t="str">
        <f aca="false">IF($B419="","",$F419*$G419)</f>
        <v/>
      </c>
      <c r="J419" s="9"/>
      <c r="K419" s="10" t="str">
        <f aca="false">IF($B419="","",$E419*IFERROR(INDEX(Drinks!$B$4:$B$53,MATCH($B419,Drinks!$A$4:$A$53,0)),0))</f>
        <v/>
      </c>
      <c r="L419" s="10" t="str">
        <f aca="false">IF($B419="","",$J419+$K419)</f>
        <v/>
      </c>
      <c r="M419" s="9"/>
      <c r="N419" s="10" t="str">
        <f aca="false">IF($B419="","",$L419-$M419)</f>
        <v/>
      </c>
      <c r="O419" s="10" t="str">
        <f aca="false">IF($B419="","",IFERROR(INDEX(Drinks!$E$4:$E$53,MATCH($B419,Drinks!$A$4:$A$53,0)),0))</f>
        <v/>
      </c>
      <c r="P419" s="10" t="str">
        <f aca="false">IF($B419="","",$N419*$O419)</f>
        <v/>
      </c>
      <c r="Q419" s="10" t="str">
        <f aca="false">IF($B419="","",$N419*IFERROR(INDEX(Drinks!$D$4:$D$53,MATCH($B419,Drinks!$A$4:$A$53,0)),0))</f>
        <v/>
      </c>
      <c r="R419" s="10" t="str">
        <f aca="false">IF($B419="","",$P419-$Q419)</f>
        <v/>
      </c>
      <c r="S419" s="23" t="str">
        <f aca="false">IF($B419="","",IF(COUNTIFS($A$4:$A$2003,$A419-1,$B$4:$B$2003,$B419)=0,"first day",IF(SUMIFS($M$4:$M$2003,$A$4:$A$2003,$A419-1,$B$4:$B$2003,$B419)=$J419,"OK","CHECK")))</f>
        <v/>
      </c>
      <c r="T419" s="10" t="str">
        <f aca="false">IF($B419="","",IFERROR(INDEX(Drinks!$D$4:$D$53,MATCH($B419,Drinks!$A$4:$A$53,0)),0))</f>
        <v/>
      </c>
    </row>
    <row r="420" customFormat="false" ht="15" hidden="false" customHeight="false" outlineLevel="0" collapsed="false">
      <c r="A420" s="22"/>
      <c r="B420" s="9"/>
      <c r="C420" s="9"/>
      <c r="D420" s="9"/>
      <c r="E420" s="9"/>
      <c r="F420" s="10" t="str">
        <f aca="false">IF($B420="","",$C420+$D420-$E420)</f>
        <v/>
      </c>
      <c r="G420" s="10" t="str">
        <f aca="false">IF($B420="","",IFERROR(INDEX(Drinks!$C$4:$C$53,MATCH($B420,Drinks!$A$4:$A$53,0)),0))</f>
        <v/>
      </c>
      <c r="H420" s="10" t="str">
        <f aca="false">IF($B420="","",$D420*$G420)</f>
        <v/>
      </c>
      <c r="I420" s="10" t="str">
        <f aca="false">IF($B420="","",$F420*$G420)</f>
        <v/>
      </c>
      <c r="J420" s="9"/>
      <c r="K420" s="10" t="str">
        <f aca="false">IF($B420="","",$E420*IFERROR(INDEX(Drinks!$B$4:$B$53,MATCH($B420,Drinks!$A$4:$A$53,0)),0))</f>
        <v/>
      </c>
      <c r="L420" s="10" t="str">
        <f aca="false">IF($B420="","",$J420+$K420)</f>
        <v/>
      </c>
      <c r="M420" s="9"/>
      <c r="N420" s="10" t="str">
        <f aca="false">IF($B420="","",$L420-$M420)</f>
        <v/>
      </c>
      <c r="O420" s="10" t="str">
        <f aca="false">IF($B420="","",IFERROR(INDEX(Drinks!$E$4:$E$53,MATCH($B420,Drinks!$A$4:$A$53,0)),0))</f>
        <v/>
      </c>
      <c r="P420" s="10" t="str">
        <f aca="false">IF($B420="","",$N420*$O420)</f>
        <v/>
      </c>
      <c r="Q420" s="10" t="str">
        <f aca="false">IF($B420="","",$N420*IFERROR(INDEX(Drinks!$D$4:$D$53,MATCH($B420,Drinks!$A$4:$A$53,0)),0))</f>
        <v/>
      </c>
      <c r="R420" s="10" t="str">
        <f aca="false">IF($B420="","",$P420-$Q420)</f>
        <v/>
      </c>
      <c r="S420" s="23" t="str">
        <f aca="false">IF($B420="","",IF(COUNTIFS($A$4:$A$2003,$A420-1,$B$4:$B$2003,$B420)=0,"first day",IF(SUMIFS($M$4:$M$2003,$A$4:$A$2003,$A420-1,$B$4:$B$2003,$B420)=$J420,"OK","CHECK")))</f>
        <v/>
      </c>
      <c r="T420" s="10" t="str">
        <f aca="false">IF($B420="","",IFERROR(INDEX(Drinks!$D$4:$D$53,MATCH($B420,Drinks!$A$4:$A$53,0)),0))</f>
        <v/>
      </c>
    </row>
    <row r="421" customFormat="false" ht="15" hidden="false" customHeight="false" outlineLevel="0" collapsed="false">
      <c r="A421" s="22"/>
      <c r="B421" s="9"/>
      <c r="C421" s="9"/>
      <c r="D421" s="9"/>
      <c r="E421" s="9"/>
      <c r="F421" s="10" t="str">
        <f aca="false">IF($B421="","",$C421+$D421-$E421)</f>
        <v/>
      </c>
      <c r="G421" s="10" t="str">
        <f aca="false">IF($B421="","",IFERROR(INDEX(Drinks!$C$4:$C$53,MATCH($B421,Drinks!$A$4:$A$53,0)),0))</f>
        <v/>
      </c>
      <c r="H421" s="10" t="str">
        <f aca="false">IF($B421="","",$D421*$G421)</f>
        <v/>
      </c>
      <c r="I421" s="10" t="str">
        <f aca="false">IF($B421="","",$F421*$G421)</f>
        <v/>
      </c>
      <c r="J421" s="9"/>
      <c r="K421" s="10" t="str">
        <f aca="false">IF($B421="","",$E421*IFERROR(INDEX(Drinks!$B$4:$B$53,MATCH($B421,Drinks!$A$4:$A$53,0)),0))</f>
        <v/>
      </c>
      <c r="L421" s="10" t="str">
        <f aca="false">IF($B421="","",$J421+$K421)</f>
        <v/>
      </c>
      <c r="M421" s="9"/>
      <c r="N421" s="10" t="str">
        <f aca="false">IF($B421="","",$L421-$M421)</f>
        <v/>
      </c>
      <c r="O421" s="10" t="str">
        <f aca="false">IF($B421="","",IFERROR(INDEX(Drinks!$E$4:$E$53,MATCH($B421,Drinks!$A$4:$A$53,0)),0))</f>
        <v/>
      </c>
      <c r="P421" s="10" t="str">
        <f aca="false">IF($B421="","",$N421*$O421)</f>
        <v/>
      </c>
      <c r="Q421" s="10" t="str">
        <f aca="false">IF($B421="","",$N421*IFERROR(INDEX(Drinks!$D$4:$D$53,MATCH($B421,Drinks!$A$4:$A$53,0)),0))</f>
        <v/>
      </c>
      <c r="R421" s="10" t="str">
        <f aca="false">IF($B421="","",$P421-$Q421)</f>
        <v/>
      </c>
      <c r="S421" s="23" t="str">
        <f aca="false">IF($B421="","",IF(COUNTIFS($A$4:$A$2003,$A421-1,$B$4:$B$2003,$B421)=0,"first day",IF(SUMIFS($M$4:$M$2003,$A$4:$A$2003,$A421-1,$B$4:$B$2003,$B421)=$J421,"OK","CHECK")))</f>
        <v/>
      </c>
      <c r="T421" s="10" t="str">
        <f aca="false">IF($B421="","",IFERROR(INDEX(Drinks!$D$4:$D$53,MATCH($B421,Drinks!$A$4:$A$53,0)),0))</f>
        <v/>
      </c>
    </row>
    <row r="422" customFormat="false" ht="15" hidden="false" customHeight="false" outlineLevel="0" collapsed="false">
      <c r="A422" s="22"/>
      <c r="B422" s="9"/>
      <c r="C422" s="9"/>
      <c r="D422" s="9"/>
      <c r="E422" s="9"/>
      <c r="F422" s="10" t="str">
        <f aca="false">IF($B422="","",$C422+$D422-$E422)</f>
        <v/>
      </c>
      <c r="G422" s="10" t="str">
        <f aca="false">IF($B422="","",IFERROR(INDEX(Drinks!$C$4:$C$53,MATCH($B422,Drinks!$A$4:$A$53,0)),0))</f>
        <v/>
      </c>
      <c r="H422" s="10" t="str">
        <f aca="false">IF($B422="","",$D422*$G422)</f>
        <v/>
      </c>
      <c r="I422" s="10" t="str">
        <f aca="false">IF($B422="","",$F422*$G422)</f>
        <v/>
      </c>
      <c r="J422" s="9"/>
      <c r="K422" s="10" t="str">
        <f aca="false">IF($B422="","",$E422*IFERROR(INDEX(Drinks!$B$4:$B$53,MATCH($B422,Drinks!$A$4:$A$53,0)),0))</f>
        <v/>
      </c>
      <c r="L422" s="10" t="str">
        <f aca="false">IF($B422="","",$J422+$K422)</f>
        <v/>
      </c>
      <c r="M422" s="9"/>
      <c r="N422" s="10" t="str">
        <f aca="false">IF($B422="","",$L422-$M422)</f>
        <v/>
      </c>
      <c r="O422" s="10" t="str">
        <f aca="false">IF($B422="","",IFERROR(INDEX(Drinks!$E$4:$E$53,MATCH($B422,Drinks!$A$4:$A$53,0)),0))</f>
        <v/>
      </c>
      <c r="P422" s="10" t="str">
        <f aca="false">IF($B422="","",$N422*$O422)</f>
        <v/>
      </c>
      <c r="Q422" s="10" t="str">
        <f aca="false">IF($B422="","",$N422*IFERROR(INDEX(Drinks!$D$4:$D$53,MATCH($B422,Drinks!$A$4:$A$53,0)),0))</f>
        <v/>
      </c>
      <c r="R422" s="10" t="str">
        <f aca="false">IF($B422="","",$P422-$Q422)</f>
        <v/>
      </c>
      <c r="S422" s="23" t="str">
        <f aca="false">IF($B422="","",IF(COUNTIFS($A$4:$A$2003,$A422-1,$B$4:$B$2003,$B422)=0,"first day",IF(SUMIFS($M$4:$M$2003,$A$4:$A$2003,$A422-1,$B$4:$B$2003,$B422)=$J422,"OK","CHECK")))</f>
        <v/>
      </c>
      <c r="T422" s="10" t="str">
        <f aca="false">IF($B422="","",IFERROR(INDEX(Drinks!$D$4:$D$53,MATCH($B422,Drinks!$A$4:$A$53,0)),0))</f>
        <v/>
      </c>
    </row>
    <row r="423" customFormat="false" ht="15" hidden="false" customHeight="false" outlineLevel="0" collapsed="false">
      <c r="A423" s="22"/>
      <c r="B423" s="9"/>
      <c r="C423" s="9"/>
      <c r="D423" s="9"/>
      <c r="E423" s="9"/>
      <c r="F423" s="10" t="str">
        <f aca="false">IF($B423="","",$C423+$D423-$E423)</f>
        <v/>
      </c>
      <c r="G423" s="10" t="str">
        <f aca="false">IF($B423="","",IFERROR(INDEX(Drinks!$C$4:$C$53,MATCH($B423,Drinks!$A$4:$A$53,0)),0))</f>
        <v/>
      </c>
      <c r="H423" s="10" t="str">
        <f aca="false">IF($B423="","",$D423*$G423)</f>
        <v/>
      </c>
      <c r="I423" s="10" t="str">
        <f aca="false">IF($B423="","",$F423*$G423)</f>
        <v/>
      </c>
      <c r="J423" s="9"/>
      <c r="K423" s="10" t="str">
        <f aca="false">IF($B423="","",$E423*IFERROR(INDEX(Drinks!$B$4:$B$53,MATCH($B423,Drinks!$A$4:$A$53,0)),0))</f>
        <v/>
      </c>
      <c r="L423" s="10" t="str">
        <f aca="false">IF($B423="","",$J423+$K423)</f>
        <v/>
      </c>
      <c r="M423" s="9"/>
      <c r="N423" s="10" t="str">
        <f aca="false">IF($B423="","",$L423-$M423)</f>
        <v/>
      </c>
      <c r="O423" s="10" t="str">
        <f aca="false">IF($B423="","",IFERROR(INDEX(Drinks!$E$4:$E$53,MATCH($B423,Drinks!$A$4:$A$53,0)),0))</f>
        <v/>
      </c>
      <c r="P423" s="10" t="str">
        <f aca="false">IF($B423="","",$N423*$O423)</f>
        <v/>
      </c>
      <c r="Q423" s="10" t="str">
        <f aca="false">IF($B423="","",$N423*IFERROR(INDEX(Drinks!$D$4:$D$53,MATCH($B423,Drinks!$A$4:$A$53,0)),0))</f>
        <v/>
      </c>
      <c r="R423" s="10" t="str">
        <f aca="false">IF($B423="","",$P423-$Q423)</f>
        <v/>
      </c>
      <c r="S423" s="23" t="str">
        <f aca="false">IF($B423="","",IF(COUNTIFS($A$4:$A$2003,$A423-1,$B$4:$B$2003,$B423)=0,"first day",IF(SUMIFS($M$4:$M$2003,$A$4:$A$2003,$A423-1,$B$4:$B$2003,$B423)=$J423,"OK","CHECK")))</f>
        <v/>
      </c>
      <c r="T423" s="10" t="str">
        <f aca="false">IF($B423="","",IFERROR(INDEX(Drinks!$D$4:$D$53,MATCH($B423,Drinks!$A$4:$A$53,0)),0))</f>
        <v/>
      </c>
    </row>
    <row r="424" customFormat="false" ht="15" hidden="false" customHeight="false" outlineLevel="0" collapsed="false">
      <c r="A424" s="22"/>
      <c r="B424" s="9"/>
      <c r="C424" s="9"/>
      <c r="D424" s="9"/>
      <c r="E424" s="9"/>
      <c r="F424" s="10" t="str">
        <f aca="false">IF($B424="","",$C424+$D424-$E424)</f>
        <v/>
      </c>
      <c r="G424" s="10" t="str">
        <f aca="false">IF($B424="","",IFERROR(INDEX(Drinks!$C$4:$C$53,MATCH($B424,Drinks!$A$4:$A$53,0)),0))</f>
        <v/>
      </c>
      <c r="H424" s="10" t="str">
        <f aca="false">IF($B424="","",$D424*$G424)</f>
        <v/>
      </c>
      <c r="I424" s="10" t="str">
        <f aca="false">IF($B424="","",$F424*$G424)</f>
        <v/>
      </c>
      <c r="J424" s="9"/>
      <c r="K424" s="10" t="str">
        <f aca="false">IF($B424="","",$E424*IFERROR(INDEX(Drinks!$B$4:$B$53,MATCH($B424,Drinks!$A$4:$A$53,0)),0))</f>
        <v/>
      </c>
      <c r="L424" s="10" t="str">
        <f aca="false">IF($B424="","",$J424+$K424)</f>
        <v/>
      </c>
      <c r="M424" s="9"/>
      <c r="N424" s="10" t="str">
        <f aca="false">IF($B424="","",$L424-$M424)</f>
        <v/>
      </c>
      <c r="O424" s="10" t="str">
        <f aca="false">IF($B424="","",IFERROR(INDEX(Drinks!$E$4:$E$53,MATCH($B424,Drinks!$A$4:$A$53,0)),0))</f>
        <v/>
      </c>
      <c r="P424" s="10" t="str">
        <f aca="false">IF($B424="","",$N424*$O424)</f>
        <v/>
      </c>
      <c r="Q424" s="10" t="str">
        <f aca="false">IF($B424="","",$N424*IFERROR(INDEX(Drinks!$D$4:$D$53,MATCH($B424,Drinks!$A$4:$A$53,0)),0))</f>
        <v/>
      </c>
      <c r="R424" s="10" t="str">
        <f aca="false">IF($B424="","",$P424-$Q424)</f>
        <v/>
      </c>
      <c r="S424" s="23" t="str">
        <f aca="false">IF($B424="","",IF(COUNTIFS($A$4:$A$2003,$A424-1,$B$4:$B$2003,$B424)=0,"first day",IF(SUMIFS($M$4:$M$2003,$A$4:$A$2003,$A424-1,$B$4:$B$2003,$B424)=$J424,"OK","CHECK")))</f>
        <v/>
      </c>
      <c r="T424" s="10" t="str">
        <f aca="false">IF($B424="","",IFERROR(INDEX(Drinks!$D$4:$D$53,MATCH($B424,Drinks!$A$4:$A$53,0)),0))</f>
        <v/>
      </c>
    </row>
    <row r="425" customFormat="false" ht="15" hidden="false" customHeight="false" outlineLevel="0" collapsed="false">
      <c r="A425" s="22"/>
      <c r="B425" s="9"/>
      <c r="C425" s="9"/>
      <c r="D425" s="9"/>
      <c r="E425" s="9"/>
      <c r="F425" s="10" t="str">
        <f aca="false">IF($B425="","",$C425+$D425-$E425)</f>
        <v/>
      </c>
      <c r="G425" s="10" t="str">
        <f aca="false">IF($B425="","",IFERROR(INDEX(Drinks!$C$4:$C$53,MATCH($B425,Drinks!$A$4:$A$53,0)),0))</f>
        <v/>
      </c>
      <c r="H425" s="10" t="str">
        <f aca="false">IF($B425="","",$D425*$G425)</f>
        <v/>
      </c>
      <c r="I425" s="10" t="str">
        <f aca="false">IF($B425="","",$F425*$G425)</f>
        <v/>
      </c>
      <c r="J425" s="9"/>
      <c r="K425" s="10" t="str">
        <f aca="false">IF($B425="","",$E425*IFERROR(INDEX(Drinks!$B$4:$B$53,MATCH($B425,Drinks!$A$4:$A$53,0)),0))</f>
        <v/>
      </c>
      <c r="L425" s="10" t="str">
        <f aca="false">IF($B425="","",$J425+$K425)</f>
        <v/>
      </c>
      <c r="M425" s="9"/>
      <c r="N425" s="10" t="str">
        <f aca="false">IF($B425="","",$L425-$M425)</f>
        <v/>
      </c>
      <c r="O425" s="10" t="str">
        <f aca="false">IF($B425="","",IFERROR(INDEX(Drinks!$E$4:$E$53,MATCH($B425,Drinks!$A$4:$A$53,0)),0))</f>
        <v/>
      </c>
      <c r="P425" s="10" t="str">
        <f aca="false">IF($B425="","",$N425*$O425)</f>
        <v/>
      </c>
      <c r="Q425" s="10" t="str">
        <f aca="false">IF($B425="","",$N425*IFERROR(INDEX(Drinks!$D$4:$D$53,MATCH($B425,Drinks!$A$4:$A$53,0)),0))</f>
        <v/>
      </c>
      <c r="R425" s="10" t="str">
        <f aca="false">IF($B425="","",$P425-$Q425)</f>
        <v/>
      </c>
      <c r="S425" s="23" t="str">
        <f aca="false">IF($B425="","",IF(COUNTIFS($A$4:$A$2003,$A425-1,$B$4:$B$2003,$B425)=0,"first day",IF(SUMIFS($M$4:$M$2003,$A$4:$A$2003,$A425-1,$B$4:$B$2003,$B425)=$J425,"OK","CHECK")))</f>
        <v/>
      </c>
      <c r="T425" s="10" t="str">
        <f aca="false">IF($B425="","",IFERROR(INDEX(Drinks!$D$4:$D$53,MATCH($B425,Drinks!$A$4:$A$53,0)),0))</f>
        <v/>
      </c>
    </row>
    <row r="426" customFormat="false" ht="15" hidden="false" customHeight="false" outlineLevel="0" collapsed="false">
      <c r="A426" s="22"/>
      <c r="B426" s="9"/>
      <c r="C426" s="9"/>
      <c r="D426" s="9"/>
      <c r="E426" s="9"/>
      <c r="F426" s="10" t="str">
        <f aca="false">IF($B426="","",$C426+$D426-$E426)</f>
        <v/>
      </c>
      <c r="G426" s="10" t="str">
        <f aca="false">IF($B426="","",IFERROR(INDEX(Drinks!$C$4:$C$53,MATCH($B426,Drinks!$A$4:$A$53,0)),0))</f>
        <v/>
      </c>
      <c r="H426" s="10" t="str">
        <f aca="false">IF($B426="","",$D426*$G426)</f>
        <v/>
      </c>
      <c r="I426" s="10" t="str">
        <f aca="false">IF($B426="","",$F426*$G426)</f>
        <v/>
      </c>
      <c r="J426" s="9"/>
      <c r="K426" s="10" t="str">
        <f aca="false">IF($B426="","",$E426*IFERROR(INDEX(Drinks!$B$4:$B$53,MATCH($B426,Drinks!$A$4:$A$53,0)),0))</f>
        <v/>
      </c>
      <c r="L426" s="10" t="str">
        <f aca="false">IF($B426="","",$J426+$K426)</f>
        <v/>
      </c>
      <c r="M426" s="9"/>
      <c r="N426" s="10" t="str">
        <f aca="false">IF($B426="","",$L426-$M426)</f>
        <v/>
      </c>
      <c r="O426" s="10" t="str">
        <f aca="false">IF($B426="","",IFERROR(INDEX(Drinks!$E$4:$E$53,MATCH($B426,Drinks!$A$4:$A$53,0)),0))</f>
        <v/>
      </c>
      <c r="P426" s="10" t="str">
        <f aca="false">IF($B426="","",$N426*$O426)</f>
        <v/>
      </c>
      <c r="Q426" s="10" t="str">
        <f aca="false">IF($B426="","",$N426*IFERROR(INDEX(Drinks!$D$4:$D$53,MATCH($B426,Drinks!$A$4:$A$53,0)),0))</f>
        <v/>
      </c>
      <c r="R426" s="10" t="str">
        <f aca="false">IF($B426="","",$P426-$Q426)</f>
        <v/>
      </c>
      <c r="S426" s="23" t="str">
        <f aca="false">IF($B426="","",IF(COUNTIFS($A$4:$A$2003,$A426-1,$B$4:$B$2003,$B426)=0,"first day",IF(SUMIFS($M$4:$M$2003,$A$4:$A$2003,$A426-1,$B$4:$B$2003,$B426)=$J426,"OK","CHECK")))</f>
        <v/>
      </c>
      <c r="T426" s="10" t="str">
        <f aca="false">IF($B426="","",IFERROR(INDEX(Drinks!$D$4:$D$53,MATCH($B426,Drinks!$A$4:$A$53,0)),0))</f>
        <v/>
      </c>
    </row>
    <row r="427" customFormat="false" ht="15" hidden="false" customHeight="false" outlineLevel="0" collapsed="false">
      <c r="A427" s="22"/>
      <c r="B427" s="9"/>
      <c r="C427" s="9"/>
      <c r="D427" s="9"/>
      <c r="E427" s="9"/>
      <c r="F427" s="10" t="str">
        <f aca="false">IF($B427="","",$C427+$D427-$E427)</f>
        <v/>
      </c>
      <c r="G427" s="10" t="str">
        <f aca="false">IF($B427="","",IFERROR(INDEX(Drinks!$C$4:$C$53,MATCH($B427,Drinks!$A$4:$A$53,0)),0))</f>
        <v/>
      </c>
      <c r="H427" s="10" t="str">
        <f aca="false">IF($B427="","",$D427*$G427)</f>
        <v/>
      </c>
      <c r="I427" s="10" t="str">
        <f aca="false">IF($B427="","",$F427*$G427)</f>
        <v/>
      </c>
      <c r="J427" s="9"/>
      <c r="K427" s="10" t="str">
        <f aca="false">IF($B427="","",$E427*IFERROR(INDEX(Drinks!$B$4:$B$53,MATCH($B427,Drinks!$A$4:$A$53,0)),0))</f>
        <v/>
      </c>
      <c r="L427" s="10" t="str">
        <f aca="false">IF($B427="","",$J427+$K427)</f>
        <v/>
      </c>
      <c r="M427" s="9"/>
      <c r="N427" s="10" t="str">
        <f aca="false">IF($B427="","",$L427-$M427)</f>
        <v/>
      </c>
      <c r="O427" s="10" t="str">
        <f aca="false">IF($B427="","",IFERROR(INDEX(Drinks!$E$4:$E$53,MATCH($B427,Drinks!$A$4:$A$53,0)),0))</f>
        <v/>
      </c>
      <c r="P427" s="10" t="str">
        <f aca="false">IF($B427="","",$N427*$O427)</f>
        <v/>
      </c>
      <c r="Q427" s="10" t="str">
        <f aca="false">IF($B427="","",$N427*IFERROR(INDEX(Drinks!$D$4:$D$53,MATCH($B427,Drinks!$A$4:$A$53,0)),0))</f>
        <v/>
      </c>
      <c r="R427" s="10" t="str">
        <f aca="false">IF($B427="","",$P427-$Q427)</f>
        <v/>
      </c>
      <c r="S427" s="23" t="str">
        <f aca="false">IF($B427="","",IF(COUNTIFS($A$4:$A$2003,$A427-1,$B$4:$B$2003,$B427)=0,"first day",IF(SUMIFS($M$4:$M$2003,$A$4:$A$2003,$A427-1,$B$4:$B$2003,$B427)=$J427,"OK","CHECK")))</f>
        <v/>
      </c>
      <c r="T427" s="10" t="str">
        <f aca="false">IF($B427="","",IFERROR(INDEX(Drinks!$D$4:$D$53,MATCH($B427,Drinks!$A$4:$A$53,0)),0))</f>
        <v/>
      </c>
    </row>
    <row r="428" customFormat="false" ht="15" hidden="false" customHeight="false" outlineLevel="0" collapsed="false">
      <c r="A428" s="22"/>
      <c r="B428" s="9"/>
      <c r="C428" s="9"/>
      <c r="D428" s="9"/>
      <c r="E428" s="9"/>
      <c r="F428" s="10" t="str">
        <f aca="false">IF($B428="","",$C428+$D428-$E428)</f>
        <v/>
      </c>
      <c r="G428" s="10" t="str">
        <f aca="false">IF($B428="","",IFERROR(INDEX(Drinks!$C$4:$C$53,MATCH($B428,Drinks!$A$4:$A$53,0)),0))</f>
        <v/>
      </c>
      <c r="H428" s="10" t="str">
        <f aca="false">IF($B428="","",$D428*$G428)</f>
        <v/>
      </c>
      <c r="I428" s="10" t="str">
        <f aca="false">IF($B428="","",$F428*$G428)</f>
        <v/>
      </c>
      <c r="J428" s="9"/>
      <c r="K428" s="10" t="str">
        <f aca="false">IF($B428="","",$E428*IFERROR(INDEX(Drinks!$B$4:$B$53,MATCH($B428,Drinks!$A$4:$A$53,0)),0))</f>
        <v/>
      </c>
      <c r="L428" s="10" t="str">
        <f aca="false">IF($B428="","",$J428+$K428)</f>
        <v/>
      </c>
      <c r="M428" s="9"/>
      <c r="N428" s="10" t="str">
        <f aca="false">IF($B428="","",$L428-$M428)</f>
        <v/>
      </c>
      <c r="O428" s="10" t="str">
        <f aca="false">IF($B428="","",IFERROR(INDEX(Drinks!$E$4:$E$53,MATCH($B428,Drinks!$A$4:$A$53,0)),0))</f>
        <v/>
      </c>
      <c r="P428" s="10" t="str">
        <f aca="false">IF($B428="","",$N428*$O428)</f>
        <v/>
      </c>
      <c r="Q428" s="10" t="str">
        <f aca="false">IF($B428="","",$N428*IFERROR(INDEX(Drinks!$D$4:$D$53,MATCH($B428,Drinks!$A$4:$A$53,0)),0))</f>
        <v/>
      </c>
      <c r="R428" s="10" t="str">
        <f aca="false">IF($B428="","",$P428-$Q428)</f>
        <v/>
      </c>
      <c r="S428" s="23" t="str">
        <f aca="false">IF($B428="","",IF(COUNTIFS($A$4:$A$2003,$A428-1,$B$4:$B$2003,$B428)=0,"first day",IF(SUMIFS($M$4:$M$2003,$A$4:$A$2003,$A428-1,$B$4:$B$2003,$B428)=$J428,"OK","CHECK")))</f>
        <v/>
      </c>
      <c r="T428" s="10" t="str">
        <f aca="false">IF($B428="","",IFERROR(INDEX(Drinks!$D$4:$D$53,MATCH($B428,Drinks!$A$4:$A$53,0)),0))</f>
        <v/>
      </c>
    </row>
    <row r="429" customFormat="false" ht="15" hidden="false" customHeight="false" outlineLevel="0" collapsed="false">
      <c r="A429" s="22"/>
      <c r="B429" s="9"/>
      <c r="C429" s="9"/>
      <c r="D429" s="9"/>
      <c r="E429" s="9"/>
      <c r="F429" s="10" t="str">
        <f aca="false">IF($B429="","",$C429+$D429-$E429)</f>
        <v/>
      </c>
      <c r="G429" s="10" t="str">
        <f aca="false">IF($B429="","",IFERROR(INDEX(Drinks!$C$4:$C$53,MATCH($B429,Drinks!$A$4:$A$53,0)),0))</f>
        <v/>
      </c>
      <c r="H429" s="10" t="str">
        <f aca="false">IF($B429="","",$D429*$G429)</f>
        <v/>
      </c>
      <c r="I429" s="10" t="str">
        <f aca="false">IF($B429="","",$F429*$G429)</f>
        <v/>
      </c>
      <c r="J429" s="9"/>
      <c r="K429" s="10" t="str">
        <f aca="false">IF($B429="","",$E429*IFERROR(INDEX(Drinks!$B$4:$B$53,MATCH($B429,Drinks!$A$4:$A$53,0)),0))</f>
        <v/>
      </c>
      <c r="L429" s="10" t="str">
        <f aca="false">IF($B429="","",$J429+$K429)</f>
        <v/>
      </c>
      <c r="M429" s="9"/>
      <c r="N429" s="10" t="str">
        <f aca="false">IF($B429="","",$L429-$M429)</f>
        <v/>
      </c>
      <c r="O429" s="10" t="str">
        <f aca="false">IF($B429="","",IFERROR(INDEX(Drinks!$E$4:$E$53,MATCH($B429,Drinks!$A$4:$A$53,0)),0))</f>
        <v/>
      </c>
      <c r="P429" s="10" t="str">
        <f aca="false">IF($B429="","",$N429*$O429)</f>
        <v/>
      </c>
      <c r="Q429" s="10" t="str">
        <f aca="false">IF($B429="","",$N429*IFERROR(INDEX(Drinks!$D$4:$D$53,MATCH($B429,Drinks!$A$4:$A$53,0)),0))</f>
        <v/>
      </c>
      <c r="R429" s="10" t="str">
        <f aca="false">IF($B429="","",$P429-$Q429)</f>
        <v/>
      </c>
      <c r="S429" s="23" t="str">
        <f aca="false">IF($B429="","",IF(COUNTIFS($A$4:$A$2003,$A429-1,$B$4:$B$2003,$B429)=0,"first day",IF(SUMIFS($M$4:$M$2003,$A$4:$A$2003,$A429-1,$B$4:$B$2003,$B429)=$J429,"OK","CHECK")))</f>
        <v/>
      </c>
      <c r="T429" s="10" t="str">
        <f aca="false">IF($B429="","",IFERROR(INDEX(Drinks!$D$4:$D$53,MATCH($B429,Drinks!$A$4:$A$53,0)),0))</f>
        <v/>
      </c>
    </row>
    <row r="430" customFormat="false" ht="15" hidden="false" customHeight="false" outlineLevel="0" collapsed="false">
      <c r="A430" s="22"/>
      <c r="B430" s="9"/>
      <c r="C430" s="9"/>
      <c r="D430" s="9"/>
      <c r="E430" s="9"/>
      <c r="F430" s="10" t="str">
        <f aca="false">IF($B430="","",$C430+$D430-$E430)</f>
        <v/>
      </c>
      <c r="G430" s="10" t="str">
        <f aca="false">IF($B430="","",IFERROR(INDEX(Drinks!$C$4:$C$53,MATCH($B430,Drinks!$A$4:$A$53,0)),0))</f>
        <v/>
      </c>
      <c r="H430" s="10" t="str">
        <f aca="false">IF($B430="","",$D430*$G430)</f>
        <v/>
      </c>
      <c r="I430" s="10" t="str">
        <f aca="false">IF($B430="","",$F430*$G430)</f>
        <v/>
      </c>
      <c r="J430" s="9"/>
      <c r="K430" s="10" t="str">
        <f aca="false">IF($B430="","",$E430*IFERROR(INDEX(Drinks!$B$4:$B$53,MATCH($B430,Drinks!$A$4:$A$53,0)),0))</f>
        <v/>
      </c>
      <c r="L430" s="10" t="str">
        <f aca="false">IF($B430="","",$J430+$K430)</f>
        <v/>
      </c>
      <c r="M430" s="9"/>
      <c r="N430" s="10" t="str">
        <f aca="false">IF($B430="","",$L430-$M430)</f>
        <v/>
      </c>
      <c r="O430" s="10" t="str">
        <f aca="false">IF($B430="","",IFERROR(INDEX(Drinks!$E$4:$E$53,MATCH($B430,Drinks!$A$4:$A$53,0)),0))</f>
        <v/>
      </c>
      <c r="P430" s="10" t="str">
        <f aca="false">IF($B430="","",$N430*$O430)</f>
        <v/>
      </c>
      <c r="Q430" s="10" t="str">
        <f aca="false">IF($B430="","",$N430*IFERROR(INDEX(Drinks!$D$4:$D$53,MATCH($B430,Drinks!$A$4:$A$53,0)),0))</f>
        <v/>
      </c>
      <c r="R430" s="10" t="str">
        <f aca="false">IF($B430="","",$P430-$Q430)</f>
        <v/>
      </c>
      <c r="S430" s="23" t="str">
        <f aca="false">IF($B430="","",IF(COUNTIFS($A$4:$A$2003,$A430-1,$B$4:$B$2003,$B430)=0,"first day",IF(SUMIFS($M$4:$M$2003,$A$4:$A$2003,$A430-1,$B$4:$B$2003,$B430)=$J430,"OK","CHECK")))</f>
        <v/>
      </c>
      <c r="T430" s="10" t="str">
        <f aca="false">IF($B430="","",IFERROR(INDEX(Drinks!$D$4:$D$53,MATCH($B430,Drinks!$A$4:$A$53,0)),0))</f>
        <v/>
      </c>
    </row>
    <row r="431" customFormat="false" ht="15" hidden="false" customHeight="false" outlineLevel="0" collapsed="false">
      <c r="A431" s="22"/>
      <c r="B431" s="9"/>
      <c r="C431" s="9"/>
      <c r="D431" s="9"/>
      <c r="E431" s="9"/>
      <c r="F431" s="10" t="str">
        <f aca="false">IF($B431="","",$C431+$D431-$E431)</f>
        <v/>
      </c>
      <c r="G431" s="10" t="str">
        <f aca="false">IF($B431="","",IFERROR(INDEX(Drinks!$C$4:$C$53,MATCH($B431,Drinks!$A$4:$A$53,0)),0))</f>
        <v/>
      </c>
      <c r="H431" s="10" t="str">
        <f aca="false">IF($B431="","",$D431*$G431)</f>
        <v/>
      </c>
      <c r="I431" s="10" t="str">
        <f aca="false">IF($B431="","",$F431*$G431)</f>
        <v/>
      </c>
      <c r="J431" s="9"/>
      <c r="K431" s="10" t="str">
        <f aca="false">IF($B431="","",$E431*IFERROR(INDEX(Drinks!$B$4:$B$53,MATCH($B431,Drinks!$A$4:$A$53,0)),0))</f>
        <v/>
      </c>
      <c r="L431" s="10" t="str">
        <f aca="false">IF($B431="","",$J431+$K431)</f>
        <v/>
      </c>
      <c r="M431" s="9"/>
      <c r="N431" s="10" t="str">
        <f aca="false">IF($B431="","",$L431-$M431)</f>
        <v/>
      </c>
      <c r="O431" s="10" t="str">
        <f aca="false">IF($B431="","",IFERROR(INDEX(Drinks!$E$4:$E$53,MATCH($B431,Drinks!$A$4:$A$53,0)),0))</f>
        <v/>
      </c>
      <c r="P431" s="10" t="str">
        <f aca="false">IF($B431="","",$N431*$O431)</f>
        <v/>
      </c>
      <c r="Q431" s="10" t="str">
        <f aca="false">IF($B431="","",$N431*IFERROR(INDEX(Drinks!$D$4:$D$53,MATCH($B431,Drinks!$A$4:$A$53,0)),0))</f>
        <v/>
      </c>
      <c r="R431" s="10" t="str">
        <f aca="false">IF($B431="","",$P431-$Q431)</f>
        <v/>
      </c>
      <c r="S431" s="23" t="str">
        <f aca="false">IF($B431="","",IF(COUNTIFS($A$4:$A$2003,$A431-1,$B$4:$B$2003,$B431)=0,"first day",IF(SUMIFS($M$4:$M$2003,$A$4:$A$2003,$A431-1,$B$4:$B$2003,$B431)=$J431,"OK","CHECK")))</f>
        <v/>
      </c>
      <c r="T431" s="10" t="str">
        <f aca="false">IF($B431="","",IFERROR(INDEX(Drinks!$D$4:$D$53,MATCH($B431,Drinks!$A$4:$A$53,0)),0))</f>
        <v/>
      </c>
    </row>
    <row r="432" customFormat="false" ht="15" hidden="false" customHeight="false" outlineLevel="0" collapsed="false">
      <c r="A432" s="22"/>
      <c r="B432" s="9"/>
      <c r="C432" s="9"/>
      <c r="D432" s="9"/>
      <c r="E432" s="9"/>
      <c r="F432" s="10" t="str">
        <f aca="false">IF($B432="","",$C432+$D432-$E432)</f>
        <v/>
      </c>
      <c r="G432" s="10" t="str">
        <f aca="false">IF($B432="","",IFERROR(INDEX(Drinks!$C$4:$C$53,MATCH($B432,Drinks!$A$4:$A$53,0)),0))</f>
        <v/>
      </c>
      <c r="H432" s="10" t="str">
        <f aca="false">IF($B432="","",$D432*$G432)</f>
        <v/>
      </c>
      <c r="I432" s="10" t="str">
        <f aca="false">IF($B432="","",$F432*$G432)</f>
        <v/>
      </c>
      <c r="J432" s="9"/>
      <c r="K432" s="10" t="str">
        <f aca="false">IF($B432="","",$E432*IFERROR(INDEX(Drinks!$B$4:$B$53,MATCH($B432,Drinks!$A$4:$A$53,0)),0))</f>
        <v/>
      </c>
      <c r="L432" s="10" t="str">
        <f aca="false">IF($B432="","",$J432+$K432)</f>
        <v/>
      </c>
      <c r="M432" s="9"/>
      <c r="N432" s="10" t="str">
        <f aca="false">IF($B432="","",$L432-$M432)</f>
        <v/>
      </c>
      <c r="O432" s="10" t="str">
        <f aca="false">IF($B432="","",IFERROR(INDEX(Drinks!$E$4:$E$53,MATCH($B432,Drinks!$A$4:$A$53,0)),0))</f>
        <v/>
      </c>
      <c r="P432" s="10" t="str">
        <f aca="false">IF($B432="","",$N432*$O432)</f>
        <v/>
      </c>
      <c r="Q432" s="10" t="str">
        <f aca="false">IF($B432="","",$N432*IFERROR(INDEX(Drinks!$D$4:$D$53,MATCH($B432,Drinks!$A$4:$A$53,0)),0))</f>
        <v/>
      </c>
      <c r="R432" s="10" t="str">
        <f aca="false">IF($B432="","",$P432-$Q432)</f>
        <v/>
      </c>
      <c r="S432" s="23" t="str">
        <f aca="false">IF($B432="","",IF(COUNTIFS($A$4:$A$2003,$A432-1,$B$4:$B$2003,$B432)=0,"first day",IF(SUMIFS($M$4:$M$2003,$A$4:$A$2003,$A432-1,$B$4:$B$2003,$B432)=$J432,"OK","CHECK")))</f>
        <v/>
      </c>
      <c r="T432" s="10" t="str">
        <f aca="false">IF($B432="","",IFERROR(INDEX(Drinks!$D$4:$D$53,MATCH($B432,Drinks!$A$4:$A$53,0)),0))</f>
        <v/>
      </c>
    </row>
    <row r="433" customFormat="false" ht="15" hidden="false" customHeight="false" outlineLevel="0" collapsed="false">
      <c r="A433" s="22"/>
      <c r="B433" s="9"/>
      <c r="C433" s="9"/>
      <c r="D433" s="9"/>
      <c r="E433" s="9"/>
      <c r="F433" s="10" t="str">
        <f aca="false">IF($B433="","",$C433+$D433-$E433)</f>
        <v/>
      </c>
      <c r="G433" s="10" t="str">
        <f aca="false">IF($B433="","",IFERROR(INDEX(Drinks!$C$4:$C$53,MATCH($B433,Drinks!$A$4:$A$53,0)),0))</f>
        <v/>
      </c>
      <c r="H433" s="10" t="str">
        <f aca="false">IF($B433="","",$D433*$G433)</f>
        <v/>
      </c>
      <c r="I433" s="10" t="str">
        <f aca="false">IF($B433="","",$F433*$G433)</f>
        <v/>
      </c>
      <c r="J433" s="9"/>
      <c r="K433" s="10" t="str">
        <f aca="false">IF($B433="","",$E433*IFERROR(INDEX(Drinks!$B$4:$B$53,MATCH($B433,Drinks!$A$4:$A$53,0)),0))</f>
        <v/>
      </c>
      <c r="L433" s="10" t="str">
        <f aca="false">IF($B433="","",$J433+$K433)</f>
        <v/>
      </c>
      <c r="M433" s="9"/>
      <c r="N433" s="10" t="str">
        <f aca="false">IF($B433="","",$L433-$M433)</f>
        <v/>
      </c>
      <c r="O433" s="10" t="str">
        <f aca="false">IF($B433="","",IFERROR(INDEX(Drinks!$E$4:$E$53,MATCH($B433,Drinks!$A$4:$A$53,0)),0))</f>
        <v/>
      </c>
      <c r="P433" s="10" t="str">
        <f aca="false">IF($B433="","",$N433*$O433)</f>
        <v/>
      </c>
      <c r="Q433" s="10" t="str">
        <f aca="false">IF($B433="","",$N433*IFERROR(INDEX(Drinks!$D$4:$D$53,MATCH($B433,Drinks!$A$4:$A$53,0)),0))</f>
        <v/>
      </c>
      <c r="R433" s="10" t="str">
        <f aca="false">IF($B433="","",$P433-$Q433)</f>
        <v/>
      </c>
      <c r="S433" s="23" t="str">
        <f aca="false">IF($B433="","",IF(COUNTIFS($A$4:$A$2003,$A433-1,$B$4:$B$2003,$B433)=0,"first day",IF(SUMIFS($M$4:$M$2003,$A$4:$A$2003,$A433-1,$B$4:$B$2003,$B433)=$J433,"OK","CHECK")))</f>
        <v/>
      </c>
      <c r="T433" s="10" t="str">
        <f aca="false">IF($B433="","",IFERROR(INDEX(Drinks!$D$4:$D$53,MATCH($B433,Drinks!$A$4:$A$53,0)),0))</f>
        <v/>
      </c>
    </row>
    <row r="434" customFormat="false" ht="15" hidden="false" customHeight="false" outlineLevel="0" collapsed="false">
      <c r="A434" s="22"/>
      <c r="B434" s="9"/>
      <c r="C434" s="9"/>
      <c r="D434" s="9"/>
      <c r="E434" s="9"/>
      <c r="F434" s="10" t="str">
        <f aca="false">IF($B434="","",$C434+$D434-$E434)</f>
        <v/>
      </c>
      <c r="G434" s="10" t="str">
        <f aca="false">IF($B434="","",IFERROR(INDEX(Drinks!$C$4:$C$53,MATCH($B434,Drinks!$A$4:$A$53,0)),0))</f>
        <v/>
      </c>
      <c r="H434" s="10" t="str">
        <f aca="false">IF($B434="","",$D434*$G434)</f>
        <v/>
      </c>
      <c r="I434" s="10" t="str">
        <f aca="false">IF($B434="","",$F434*$G434)</f>
        <v/>
      </c>
      <c r="J434" s="9"/>
      <c r="K434" s="10" t="str">
        <f aca="false">IF($B434="","",$E434*IFERROR(INDEX(Drinks!$B$4:$B$53,MATCH($B434,Drinks!$A$4:$A$53,0)),0))</f>
        <v/>
      </c>
      <c r="L434" s="10" t="str">
        <f aca="false">IF($B434="","",$J434+$K434)</f>
        <v/>
      </c>
      <c r="M434" s="9"/>
      <c r="N434" s="10" t="str">
        <f aca="false">IF($B434="","",$L434-$M434)</f>
        <v/>
      </c>
      <c r="O434" s="10" t="str">
        <f aca="false">IF($B434="","",IFERROR(INDEX(Drinks!$E$4:$E$53,MATCH($B434,Drinks!$A$4:$A$53,0)),0))</f>
        <v/>
      </c>
      <c r="P434" s="10" t="str">
        <f aca="false">IF($B434="","",$N434*$O434)</f>
        <v/>
      </c>
      <c r="Q434" s="10" t="str">
        <f aca="false">IF($B434="","",$N434*IFERROR(INDEX(Drinks!$D$4:$D$53,MATCH($B434,Drinks!$A$4:$A$53,0)),0))</f>
        <v/>
      </c>
      <c r="R434" s="10" t="str">
        <f aca="false">IF($B434="","",$P434-$Q434)</f>
        <v/>
      </c>
      <c r="S434" s="23" t="str">
        <f aca="false">IF($B434="","",IF(COUNTIFS($A$4:$A$2003,$A434-1,$B$4:$B$2003,$B434)=0,"first day",IF(SUMIFS($M$4:$M$2003,$A$4:$A$2003,$A434-1,$B$4:$B$2003,$B434)=$J434,"OK","CHECK")))</f>
        <v/>
      </c>
      <c r="T434" s="10" t="str">
        <f aca="false">IF($B434="","",IFERROR(INDEX(Drinks!$D$4:$D$53,MATCH($B434,Drinks!$A$4:$A$53,0)),0))</f>
        <v/>
      </c>
    </row>
    <row r="435" customFormat="false" ht="15" hidden="false" customHeight="false" outlineLevel="0" collapsed="false">
      <c r="A435" s="22"/>
      <c r="B435" s="9"/>
      <c r="C435" s="9"/>
      <c r="D435" s="9"/>
      <c r="E435" s="9"/>
      <c r="F435" s="10" t="str">
        <f aca="false">IF($B435="","",$C435+$D435-$E435)</f>
        <v/>
      </c>
      <c r="G435" s="10" t="str">
        <f aca="false">IF($B435="","",IFERROR(INDEX(Drinks!$C$4:$C$53,MATCH($B435,Drinks!$A$4:$A$53,0)),0))</f>
        <v/>
      </c>
      <c r="H435" s="10" t="str">
        <f aca="false">IF($B435="","",$D435*$G435)</f>
        <v/>
      </c>
      <c r="I435" s="10" t="str">
        <f aca="false">IF($B435="","",$F435*$G435)</f>
        <v/>
      </c>
      <c r="J435" s="9"/>
      <c r="K435" s="10" t="str">
        <f aca="false">IF($B435="","",$E435*IFERROR(INDEX(Drinks!$B$4:$B$53,MATCH($B435,Drinks!$A$4:$A$53,0)),0))</f>
        <v/>
      </c>
      <c r="L435" s="10" t="str">
        <f aca="false">IF($B435="","",$J435+$K435)</f>
        <v/>
      </c>
      <c r="M435" s="9"/>
      <c r="N435" s="10" t="str">
        <f aca="false">IF($B435="","",$L435-$M435)</f>
        <v/>
      </c>
      <c r="O435" s="10" t="str">
        <f aca="false">IF($B435="","",IFERROR(INDEX(Drinks!$E$4:$E$53,MATCH($B435,Drinks!$A$4:$A$53,0)),0))</f>
        <v/>
      </c>
      <c r="P435" s="10" t="str">
        <f aca="false">IF($B435="","",$N435*$O435)</f>
        <v/>
      </c>
      <c r="Q435" s="10" t="str">
        <f aca="false">IF($B435="","",$N435*IFERROR(INDEX(Drinks!$D$4:$D$53,MATCH($B435,Drinks!$A$4:$A$53,0)),0))</f>
        <v/>
      </c>
      <c r="R435" s="10" t="str">
        <f aca="false">IF($B435="","",$P435-$Q435)</f>
        <v/>
      </c>
      <c r="S435" s="23" t="str">
        <f aca="false">IF($B435="","",IF(COUNTIFS($A$4:$A$2003,$A435-1,$B$4:$B$2003,$B435)=0,"first day",IF(SUMIFS($M$4:$M$2003,$A$4:$A$2003,$A435-1,$B$4:$B$2003,$B435)=$J435,"OK","CHECK")))</f>
        <v/>
      </c>
      <c r="T435" s="10" t="str">
        <f aca="false">IF($B435="","",IFERROR(INDEX(Drinks!$D$4:$D$53,MATCH($B435,Drinks!$A$4:$A$53,0)),0))</f>
        <v/>
      </c>
    </row>
    <row r="436" customFormat="false" ht="15" hidden="false" customHeight="false" outlineLevel="0" collapsed="false">
      <c r="A436" s="22"/>
      <c r="B436" s="9"/>
      <c r="C436" s="9"/>
      <c r="D436" s="9"/>
      <c r="E436" s="9"/>
      <c r="F436" s="10" t="str">
        <f aca="false">IF($B436="","",$C436+$D436-$E436)</f>
        <v/>
      </c>
      <c r="G436" s="10" t="str">
        <f aca="false">IF($B436="","",IFERROR(INDEX(Drinks!$C$4:$C$53,MATCH($B436,Drinks!$A$4:$A$53,0)),0))</f>
        <v/>
      </c>
      <c r="H436" s="10" t="str">
        <f aca="false">IF($B436="","",$D436*$G436)</f>
        <v/>
      </c>
      <c r="I436" s="10" t="str">
        <f aca="false">IF($B436="","",$F436*$G436)</f>
        <v/>
      </c>
      <c r="J436" s="9"/>
      <c r="K436" s="10" t="str">
        <f aca="false">IF($B436="","",$E436*IFERROR(INDEX(Drinks!$B$4:$B$53,MATCH($B436,Drinks!$A$4:$A$53,0)),0))</f>
        <v/>
      </c>
      <c r="L436" s="10" t="str">
        <f aca="false">IF($B436="","",$J436+$K436)</f>
        <v/>
      </c>
      <c r="M436" s="9"/>
      <c r="N436" s="10" t="str">
        <f aca="false">IF($B436="","",$L436-$M436)</f>
        <v/>
      </c>
      <c r="O436" s="10" t="str">
        <f aca="false">IF($B436="","",IFERROR(INDEX(Drinks!$E$4:$E$53,MATCH($B436,Drinks!$A$4:$A$53,0)),0))</f>
        <v/>
      </c>
      <c r="P436" s="10" t="str">
        <f aca="false">IF($B436="","",$N436*$O436)</f>
        <v/>
      </c>
      <c r="Q436" s="10" t="str">
        <f aca="false">IF($B436="","",$N436*IFERROR(INDEX(Drinks!$D$4:$D$53,MATCH($B436,Drinks!$A$4:$A$53,0)),0))</f>
        <v/>
      </c>
      <c r="R436" s="10" t="str">
        <f aca="false">IF($B436="","",$P436-$Q436)</f>
        <v/>
      </c>
      <c r="S436" s="23" t="str">
        <f aca="false">IF($B436="","",IF(COUNTIFS($A$4:$A$2003,$A436-1,$B$4:$B$2003,$B436)=0,"first day",IF(SUMIFS($M$4:$M$2003,$A$4:$A$2003,$A436-1,$B$4:$B$2003,$B436)=$J436,"OK","CHECK")))</f>
        <v/>
      </c>
      <c r="T436" s="10" t="str">
        <f aca="false">IF($B436="","",IFERROR(INDEX(Drinks!$D$4:$D$53,MATCH($B436,Drinks!$A$4:$A$53,0)),0))</f>
        <v/>
      </c>
    </row>
    <row r="437" customFormat="false" ht="15" hidden="false" customHeight="false" outlineLevel="0" collapsed="false">
      <c r="A437" s="22"/>
      <c r="B437" s="9"/>
      <c r="C437" s="9"/>
      <c r="D437" s="9"/>
      <c r="E437" s="9"/>
      <c r="F437" s="10" t="str">
        <f aca="false">IF($B437="","",$C437+$D437-$E437)</f>
        <v/>
      </c>
      <c r="G437" s="10" t="str">
        <f aca="false">IF($B437="","",IFERROR(INDEX(Drinks!$C$4:$C$53,MATCH($B437,Drinks!$A$4:$A$53,0)),0))</f>
        <v/>
      </c>
      <c r="H437" s="10" t="str">
        <f aca="false">IF($B437="","",$D437*$G437)</f>
        <v/>
      </c>
      <c r="I437" s="10" t="str">
        <f aca="false">IF($B437="","",$F437*$G437)</f>
        <v/>
      </c>
      <c r="J437" s="9"/>
      <c r="K437" s="10" t="str">
        <f aca="false">IF($B437="","",$E437*IFERROR(INDEX(Drinks!$B$4:$B$53,MATCH($B437,Drinks!$A$4:$A$53,0)),0))</f>
        <v/>
      </c>
      <c r="L437" s="10" t="str">
        <f aca="false">IF($B437="","",$J437+$K437)</f>
        <v/>
      </c>
      <c r="M437" s="9"/>
      <c r="N437" s="10" t="str">
        <f aca="false">IF($B437="","",$L437-$M437)</f>
        <v/>
      </c>
      <c r="O437" s="10" t="str">
        <f aca="false">IF($B437="","",IFERROR(INDEX(Drinks!$E$4:$E$53,MATCH($B437,Drinks!$A$4:$A$53,0)),0))</f>
        <v/>
      </c>
      <c r="P437" s="10" t="str">
        <f aca="false">IF($B437="","",$N437*$O437)</f>
        <v/>
      </c>
      <c r="Q437" s="10" t="str">
        <f aca="false">IF($B437="","",$N437*IFERROR(INDEX(Drinks!$D$4:$D$53,MATCH($B437,Drinks!$A$4:$A$53,0)),0))</f>
        <v/>
      </c>
      <c r="R437" s="10" t="str">
        <f aca="false">IF($B437="","",$P437-$Q437)</f>
        <v/>
      </c>
      <c r="S437" s="23" t="str">
        <f aca="false">IF($B437="","",IF(COUNTIFS($A$4:$A$2003,$A437-1,$B$4:$B$2003,$B437)=0,"first day",IF(SUMIFS($M$4:$M$2003,$A$4:$A$2003,$A437-1,$B$4:$B$2003,$B437)=$J437,"OK","CHECK")))</f>
        <v/>
      </c>
      <c r="T437" s="10" t="str">
        <f aca="false">IF($B437="","",IFERROR(INDEX(Drinks!$D$4:$D$53,MATCH($B437,Drinks!$A$4:$A$53,0)),0))</f>
        <v/>
      </c>
    </row>
    <row r="438" customFormat="false" ht="15" hidden="false" customHeight="false" outlineLevel="0" collapsed="false">
      <c r="A438" s="22"/>
      <c r="B438" s="9"/>
      <c r="C438" s="9"/>
      <c r="D438" s="9"/>
      <c r="E438" s="9"/>
      <c r="F438" s="10" t="str">
        <f aca="false">IF($B438="","",$C438+$D438-$E438)</f>
        <v/>
      </c>
      <c r="G438" s="10" t="str">
        <f aca="false">IF($B438="","",IFERROR(INDEX(Drinks!$C$4:$C$53,MATCH($B438,Drinks!$A$4:$A$53,0)),0))</f>
        <v/>
      </c>
      <c r="H438" s="10" t="str">
        <f aca="false">IF($B438="","",$D438*$G438)</f>
        <v/>
      </c>
      <c r="I438" s="10" t="str">
        <f aca="false">IF($B438="","",$F438*$G438)</f>
        <v/>
      </c>
      <c r="J438" s="9"/>
      <c r="K438" s="10" t="str">
        <f aca="false">IF($B438="","",$E438*IFERROR(INDEX(Drinks!$B$4:$B$53,MATCH($B438,Drinks!$A$4:$A$53,0)),0))</f>
        <v/>
      </c>
      <c r="L438" s="10" t="str">
        <f aca="false">IF($B438="","",$J438+$K438)</f>
        <v/>
      </c>
      <c r="M438" s="9"/>
      <c r="N438" s="10" t="str">
        <f aca="false">IF($B438="","",$L438-$M438)</f>
        <v/>
      </c>
      <c r="O438" s="10" t="str">
        <f aca="false">IF($B438="","",IFERROR(INDEX(Drinks!$E$4:$E$53,MATCH($B438,Drinks!$A$4:$A$53,0)),0))</f>
        <v/>
      </c>
      <c r="P438" s="10" t="str">
        <f aca="false">IF($B438="","",$N438*$O438)</f>
        <v/>
      </c>
      <c r="Q438" s="10" t="str">
        <f aca="false">IF($B438="","",$N438*IFERROR(INDEX(Drinks!$D$4:$D$53,MATCH($B438,Drinks!$A$4:$A$53,0)),0))</f>
        <v/>
      </c>
      <c r="R438" s="10" t="str">
        <f aca="false">IF($B438="","",$P438-$Q438)</f>
        <v/>
      </c>
      <c r="S438" s="23" t="str">
        <f aca="false">IF($B438="","",IF(COUNTIFS($A$4:$A$2003,$A438-1,$B$4:$B$2003,$B438)=0,"first day",IF(SUMIFS($M$4:$M$2003,$A$4:$A$2003,$A438-1,$B$4:$B$2003,$B438)=$J438,"OK","CHECK")))</f>
        <v/>
      </c>
      <c r="T438" s="10" t="str">
        <f aca="false">IF($B438="","",IFERROR(INDEX(Drinks!$D$4:$D$53,MATCH($B438,Drinks!$A$4:$A$53,0)),0))</f>
        <v/>
      </c>
    </row>
    <row r="439" customFormat="false" ht="15" hidden="false" customHeight="false" outlineLevel="0" collapsed="false">
      <c r="A439" s="22"/>
      <c r="B439" s="9"/>
      <c r="C439" s="9"/>
      <c r="D439" s="9"/>
      <c r="E439" s="9"/>
      <c r="F439" s="10" t="str">
        <f aca="false">IF($B439="","",$C439+$D439-$E439)</f>
        <v/>
      </c>
      <c r="G439" s="10" t="str">
        <f aca="false">IF($B439="","",IFERROR(INDEX(Drinks!$C$4:$C$53,MATCH($B439,Drinks!$A$4:$A$53,0)),0))</f>
        <v/>
      </c>
      <c r="H439" s="10" t="str">
        <f aca="false">IF($B439="","",$D439*$G439)</f>
        <v/>
      </c>
      <c r="I439" s="10" t="str">
        <f aca="false">IF($B439="","",$F439*$G439)</f>
        <v/>
      </c>
      <c r="J439" s="9"/>
      <c r="K439" s="10" t="str">
        <f aca="false">IF($B439="","",$E439*IFERROR(INDEX(Drinks!$B$4:$B$53,MATCH($B439,Drinks!$A$4:$A$53,0)),0))</f>
        <v/>
      </c>
      <c r="L439" s="10" t="str">
        <f aca="false">IF($B439="","",$J439+$K439)</f>
        <v/>
      </c>
      <c r="M439" s="9"/>
      <c r="N439" s="10" t="str">
        <f aca="false">IF($B439="","",$L439-$M439)</f>
        <v/>
      </c>
      <c r="O439" s="10" t="str">
        <f aca="false">IF($B439="","",IFERROR(INDEX(Drinks!$E$4:$E$53,MATCH($B439,Drinks!$A$4:$A$53,0)),0))</f>
        <v/>
      </c>
      <c r="P439" s="10" t="str">
        <f aca="false">IF($B439="","",$N439*$O439)</f>
        <v/>
      </c>
      <c r="Q439" s="10" t="str">
        <f aca="false">IF($B439="","",$N439*IFERROR(INDEX(Drinks!$D$4:$D$53,MATCH($B439,Drinks!$A$4:$A$53,0)),0))</f>
        <v/>
      </c>
      <c r="R439" s="10" t="str">
        <f aca="false">IF($B439="","",$P439-$Q439)</f>
        <v/>
      </c>
      <c r="S439" s="23" t="str">
        <f aca="false">IF($B439="","",IF(COUNTIFS($A$4:$A$2003,$A439-1,$B$4:$B$2003,$B439)=0,"first day",IF(SUMIFS($M$4:$M$2003,$A$4:$A$2003,$A439-1,$B$4:$B$2003,$B439)=$J439,"OK","CHECK")))</f>
        <v/>
      </c>
      <c r="T439" s="10" t="str">
        <f aca="false">IF($B439="","",IFERROR(INDEX(Drinks!$D$4:$D$53,MATCH($B439,Drinks!$A$4:$A$53,0)),0))</f>
        <v/>
      </c>
    </row>
    <row r="440" customFormat="false" ht="15" hidden="false" customHeight="false" outlineLevel="0" collapsed="false">
      <c r="A440" s="22"/>
      <c r="B440" s="9"/>
      <c r="C440" s="9"/>
      <c r="D440" s="9"/>
      <c r="E440" s="9"/>
      <c r="F440" s="10" t="str">
        <f aca="false">IF($B440="","",$C440+$D440-$E440)</f>
        <v/>
      </c>
      <c r="G440" s="10" t="str">
        <f aca="false">IF($B440="","",IFERROR(INDEX(Drinks!$C$4:$C$53,MATCH($B440,Drinks!$A$4:$A$53,0)),0))</f>
        <v/>
      </c>
      <c r="H440" s="10" t="str">
        <f aca="false">IF($B440="","",$D440*$G440)</f>
        <v/>
      </c>
      <c r="I440" s="10" t="str">
        <f aca="false">IF($B440="","",$F440*$G440)</f>
        <v/>
      </c>
      <c r="J440" s="9"/>
      <c r="K440" s="10" t="str">
        <f aca="false">IF($B440="","",$E440*IFERROR(INDEX(Drinks!$B$4:$B$53,MATCH($B440,Drinks!$A$4:$A$53,0)),0))</f>
        <v/>
      </c>
      <c r="L440" s="10" t="str">
        <f aca="false">IF($B440="","",$J440+$K440)</f>
        <v/>
      </c>
      <c r="M440" s="9"/>
      <c r="N440" s="10" t="str">
        <f aca="false">IF($B440="","",$L440-$M440)</f>
        <v/>
      </c>
      <c r="O440" s="10" t="str">
        <f aca="false">IF($B440="","",IFERROR(INDEX(Drinks!$E$4:$E$53,MATCH($B440,Drinks!$A$4:$A$53,0)),0))</f>
        <v/>
      </c>
      <c r="P440" s="10" t="str">
        <f aca="false">IF($B440="","",$N440*$O440)</f>
        <v/>
      </c>
      <c r="Q440" s="10" t="str">
        <f aca="false">IF($B440="","",$N440*IFERROR(INDEX(Drinks!$D$4:$D$53,MATCH($B440,Drinks!$A$4:$A$53,0)),0))</f>
        <v/>
      </c>
      <c r="R440" s="10" t="str">
        <f aca="false">IF($B440="","",$P440-$Q440)</f>
        <v/>
      </c>
      <c r="S440" s="23" t="str">
        <f aca="false">IF($B440="","",IF(COUNTIFS($A$4:$A$2003,$A440-1,$B$4:$B$2003,$B440)=0,"first day",IF(SUMIFS($M$4:$M$2003,$A$4:$A$2003,$A440-1,$B$4:$B$2003,$B440)=$J440,"OK","CHECK")))</f>
        <v/>
      </c>
      <c r="T440" s="10" t="str">
        <f aca="false">IF($B440="","",IFERROR(INDEX(Drinks!$D$4:$D$53,MATCH($B440,Drinks!$A$4:$A$53,0)),0))</f>
        <v/>
      </c>
    </row>
    <row r="441" customFormat="false" ht="15" hidden="false" customHeight="false" outlineLevel="0" collapsed="false">
      <c r="A441" s="22"/>
      <c r="B441" s="9"/>
      <c r="C441" s="9"/>
      <c r="D441" s="9"/>
      <c r="E441" s="9"/>
      <c r="F441" s="10" t="str">
        <f aca="false">IF($B441="","",$C441+$D441-$E441)</f>
        <v/>
      </c>
      <c r="G441" s="10" t="str">
        <f aca="false">IF($B441="","",IFERROR(INDEX(Drinks!$C$4:$C$53,MATCH($B441,Drinks!$A$4:$A$53,0)),0))</f>
        <v/>
      </c>
      <c r="H441" s="10" t="str">
        <f aca="false">IF($B441="","",$D441*$G441)</f>
        <v/>
      </c>
      <c r="I441" s="10" t="str">
        <f aca="false">IF($B441="","",$F441*$G441)</f>
        <v/>
      </c>
      <c r="J441" s="9"/>
      <c r="K441" s="10" t="str">
        <f aca="false">IF($B441="","",$E441*IFERROR(INDEX(Drinks!$B$4:$B$53,MATCH($B441,Drinks!$A$4:$A$53,0)),0))</f>
        <v/>
      </c>
      <c r="L441" s="10" t="str">
        <f aca="false">IF($B441="","",$J441+$K441)</f>
        <v/>
      </c>
      <c r="M441" s="9"/>
      <c r="N441" s="10" t="str">
        <f aca="false">IF($B441="","",$L441-$M441)</f>
        <v/>
      </c>
      <c r="O441" s="10" t="str">
        <f aca="false">IF($B441="","",IFERROR(INDEX(Drinks!$E$4:$E$53,MATCH($B441,Drinks!$A$4:$A$53,0)),0))</f>
        <v/>
      </c>
      <c r="P441" s="10" t="str">
        <f aca="false">IF($B441="","",$N441*$O441)</f>
        <v/>
      </c>
      <c r="Q441" s="10" t="str">
        <f aca="false">IF($B441="","",$N441*IFERROR(INDEX(Drinks!$D$4:$D$53,MATCH($B441,Drinks!$A$4:$A$53,0)),0))</f>
        <v/>
      </c>
      <c r="R441" s="10" t="str">
        <f aca="false">IF($B441="","",$P441-$Q441)</f>
        <v/>
      </c>
      <c r="S441" s="23" t="str">
        <f aca="false">IF($B441="","",IF(COUNTIFS($A$4:$A$2003,$A441-1,$B$4:$B$2003,$B441)=0,"first day",IF(SUMIFS($M$4:$M$2003,$A$4:$A$2003,$A441-1,$B$4:$B$2003,$B441)=$J441,"OK","CHECK")))</f>
        <v/>
      </c>
      <c r="T441" s="10" t="str">
        <f aca="false">IF($B441="","",IFERROR(INDEX(Drinks!$D$4:$D$53,MATCH($B441,Drinks!$A$4:$A$53,0)),0))</f>
        <v/>
      </c>
    </row>
    <row r="442" customFormat="false" ht="15" hidden="false" customHeight="false" outlineLevel="0" collapsed="false">
      <c r="A442" s="22"/>
      <c r="B442" s="9"/>
      <c r="C442" s="9"/>
      <c r="D442" s="9"/>
      <c r="E442" s="9"/>
      <c r="F442" s="10" t="str">
        <f aca="false">IF($B442="","",$C442+$D442-$E442)</f>
        <v/>
      </c>
      <c r="G442" s="10" t="str">
        <f aca="false">IF($B442="","",IFERROR(INDEX(Drinks!$C$4:$C$53,MATCH($B442,Drinks!$A$4:$A$53,0)),0))</f>
        <v/>
      </c>
      <c r="H442" s="10" t="str">
        <f aca="false">IF($B442="","",$D442*$G442)</f>
        <v/>
      </c>
      <c r="I442" s="10" t="str">
        <f aca="false">IF($B442="","",$F442*$G442)</f>
        <v/>
      </c>
      <c r="J442" s="9"/>
      <c r="K442" s="10" t="str">
        <f aca="false">IF($B442="","",$E442*IFERROR(INDEX(Drinks!$B$4:$B$53,MATCH($B442,Drinks!$A$4:$A$53,0)),0))</f>
        <v/>
      </c>
      <c r="L442" s="10" t="str">
        <f aca="false">IF($B442="","",$J442+$K442)</f>
        <v/>
      </c>
      <c r="M442" s="9"/>
      <c r="N442" s="10" t="str">
        <f aca="false">IF($B442="","",$L442-$M442)</f>
        <v/>
      </c>
      <c r="O442" s="10" t="str">
        <f aca="false">IF($B442="","",IFERROR(INDEX(Drinks!$E$4:$E$53,MATCH($B442,Drinks!$A$4:$A$53,0)),0))</f>
        <v/>
      </c>
      <c r="P442" s="10" t="str">
        <f aca="false">IF($B442="","",$N442*$O442)</f>
        <v/>
      </c>
      <c r="Q442" s="10" t="str">
        <f aca="false">IF($B442="","",$N442*IFERROR(INDEX(Drinks!$D$4:$D$53,MATCH($B442,Drinks!$A$4:$A$53,0)),0))</f>
        <v/>
      </c>
      <c r="R442" s="10" t="str">
        <f aca="false">IF($B442="","",$P442-$Q442)</f>
        <v/>
      </c>
      <c r="S442" s="23" t="str">
        <f aca="false">IF($B442="","",IF(COUNTIFS($A$4:$A$2003,$A442-1,$B$4:$B$2003,$B442)=0,"first day",IF(SUMIFS($M$4:$M$2003,$A$4:$A$2003,$A442-1,$B$4:$B$2003,$B442)=$J442,"OK","CHECK")))</f>
        <v/>
      </c>
      <c r="T442" s="10" t="str">
        <f aca="false">IF($B442="","",IFERROR(INDEX(Drinks!$D$4:$D$53,MATCH($B442,Drinks!$A$4:$A$53,0)),0))</f>
        <v/>
      </c>
    </row>
    <row r="443" customFormat="false" ht="15" hidden="false" customHeight="false" outlineLevel="0" collapsed="false">
      <c r="A443" s="22"/>
      <c r="B443" s="9"/>
      <c r="C443" s="9"/>
      <c r="D443" s="9"/>
      <c r="E443" s="9"/>
      <c r="F443" s="10" t="str">
        <f aca="false">IF($B443="","",$C443+$D443-$E443)</f>
        <v/>
      </c>
      <c r="G443" s="10" t="str">
        <f aca="false">IF($B443="","",IFERROR(INDEX(Drinks!$C$4:$C$53,MATCH($B443,Drinks!$A$4:$A$53,0)),0))</f>
        <v/>
      </c>
      <c r="H443" s="10" t="str">
        <f aca="false">IF($B443="","",$D443*$G443)</f>
        <v/>
      </c>
      <c r="I443" s="10" t="str">
        <f aca="false">IF($B443="","",$F443*$G443)</f>
        <v/>
      </c>
      <c r="J443" s="9"/>
      <c r="K443" s="10" t="str">
        <f aca="false">IF($B443="","",$E443*IFERROR(INDEX(Drinks!$B$4:$B$53,MATCH($B443,Drinks!$A$4:$A$53,0)),0))</f>
        <v/>
      </c>
      <c r="L443" s="10" t="str">
        <f aca="false">IF($B443="","",$J443+$K443)</f>
        <v/>
      </c>
      <c r="M443" s="9"/>
      <c r="N443" s="10" t="str">
        <f aca="false">IF($B443="","",$L443-$M443)</f>
        <v/>
      </c>
      <c r="O443" s="10" t="str">
        <f aca="false">IF($B443="","",IFERROR(INDEX(Drinks!$E$4:$E$53,MATCH($B443,Drinks!$A$4:$A$53,0)),0))</f>
        <v/>
      </c>
      <c r="P443" s="10" t="str">
        <f aca="false">IF($B443="","",$N443*$O443)</f>
        <v/>
      </c>
      <c r="Q443" s="10" t="str">
        <f aca="false">IF($B443="","",$N443*IFERROR(INDEX(Drinks!$D$4:$D$53,MATCH($B443,Drinks!$A$4:$A$53,0)),0))</f>
        <v/>
      </c>
      <c r="R443" s="10" t="str">
        <f aca="false">IF($B443="","",$P443-$Q443)</f>
        <v/>
      </c>
      <c r="S443" s="23" t="str">
        <f aca="false">IF($B443="","",IF(COUNTIFS($A$4:$A$2003,$A443-1,$B$4:$B$2003,$B443)=0,"first day",IF(SUMIFS($M$4:$M$2003,$A$4:$A$2003,$A443-1,$B$4:$B$2003,$B443)=$J443,"OK","CHECK")))</f>
        <v/>
      </c>
      <c r="T443" s="10" t="str">
        <f aca="false">IF($B443="","",IFERROR(INDEX(Drinks!$D$4:$D$53,MATCH($B443,Drinks!$A$4:$A$53,0)),0))</f>
        <v/>
      </c>
    </row>
    <row r="444" customFormat="false" ht="15" hidden="false" customHeight="false" outlineLevel="0" collapsed="false">
      <c r="A444" s="22"/>
      <c r="B444" s="9"/>
      <c r="C444" s="9"/>
      <c r="D444" s="9"/>
      <c r="E444" s="9"/>
      <c r="F444" s="10" t="str">
        <f aca="false">IF($B444="","",$C444+$D444-$E444)</f>
        <v/>
      </c>
      <c r="G444" s="10" t="str">
        <f aca="false">IF($B444="","",IFERROR(INDEX(Drinks!$C$4:$C$53,MATCH($B444,Drinks!$A$4:$A$53,0)),0))</f>
        <v/>
      </c>
      <c r="H444" s="10" t="str">
        <f aca="false">IF($B444="","",$D444*$G444)</f>
        <v/>
      </c>
      <c r="I444" s="10" t="str">
        <f aca="false">IF($B444="","",$F444*$G444)</f>
        <v/>
      </c>
      <c r="J444" s="9"/>
      <c r="K444" s="10" t="str">
        <f aca="false">IF($B444="","",$E444*IFERROR(INDEX(Drinks!$B$4:$B$53,MATCH($B444,Drinks!$A$4:$A$53,0)),0))</f>
        <v/>
      </c>
      <c r="L444" s="10" t="str">
        <f aca="false">IF($B444="","",$J444+$K444)</f>
        <v/>
      </c>
      <c r="M444" s="9"/>
      <c r="N444" s="10" t="str">
        <f aca="false">IF($B444="","",$L444-$M444)</f>
        <v/>
      </c>
      <c r="O444" s="10" t="str">
        <f aca="false">IF($B444="","",IFERROR(INDEX(Drinks!$E$4:$E$53,MATCH($B444,Drinks!$A$4:$A$53,0)),0))</f>
        <v/>
      </c>
      <c r="P444" s="10" t="str">
        <f aca="false">IF($B444="","",$N444*$O444)</f>
        <v/>
      </c>
      <c r="Q444" s="10" t="str">
        <f aca="false">IF($B444="","",$N444*IFERROR(INDEX(Drinks!$D$4:$D$53,MATCH($B444,Drinks!$A$4:$A$53,0)),0))</f>
        <v/>
      </c>
      <c r="R444" s="10" t="str">
        <f aca="false">IF($B444="","",$P444-$Q444)</f>
        <v/>
      </c>
      <c r="S444" s="23" t="str">
        <f aca="false">IF($B444="","",IF(COUNTIFS($A$4:$A$2003,$A444-1,$B$4:$B$2003,$B444)=0,"first day",IF(SUMIFS($M$4:$M$2003,$A$4:$A$2003,$A444-1,$B$4:$B$2003,$B444)=$J444,"OK","CHECK")))</f>
        <v/>
      </c>
      <c r="T444" s="10" t="str">
        <f aca="false">IF($B444="","",IFERROR(INDEX(Drinks!$D$4:$D$53,MATCH($B444,Drinks!$A$4:$A$53,0)),0))</f>
        <v/>
      </c>
    </row>
    <row r="445" customFormat="false" ht="15" hidden="false" customHeight="false" outlineLevel="0" collapsed="false">
      <c r="A445" s="22"/>
      <c r="B445" s="9"/>
      <c r="C445" s="9"/>
      <c r="D445" s="9"/>
      <c r="E445" s="9"/>
      <c r="F445" s="10" t="str">
        <f aca="false">IF($B445="","",$C445+$D445-$E445)</f>
        <v/>
      </c>
      <c r="G445" s="10" t="str">
        <f aca="false">IF($B445="","",IFERROR(INDEX(Drinks!$C$4:$C$53,MATCH($B445,Drinks!$A$4:$A$53,0)),0))</f>
        <v/>
      </c>
      <c r="H445" s="10" t="str">
        <f aca="false">IF($B445="","",$D445*$G445)</f>
        <v/>
      </c>
      <c r="I445" s="10" t="str">
        <f aca="false">IF($B445="","",$F445*$G445)</f>
        <v/>
      </c>
      <c r="J445" s="9"/>
      <c r="K445" s="10" t="str">
        <f aca="false">IF($B445="","",$E445*IFERROR(INDEX(Drinks!$B$4:$B$53,MATCH($B445,Drinks!$A$4:$A$53,0)),0))</f>
        <v/>
      </c>
      <c r="L445" s="10" t="str">
        <f aca="false">IF($B445="","",$J445+$K445)</f>
        <v/>
      </c>
      <c r="M445" s="9"/>
      <c r="N445" s="10" t="str">
        <f aca="false">IF($B445="","",$L445-$M445)</f>
        <v/>
      </c>
      <c r="O445" s="10" t="str">
        <f aca="false">IF($B445="","",IFERROR(INDEX(Drinks!$E$4:$E$53,MATCH($B445,Drinks!$A$4:$A$53,0)),0))</f>
        <v/>
      </c>
      <c r="P445" s="10" t="str">
        <f aca="false">IF($B445="","",$N445*$O445)</f>
        <v/>
      </c>
      <c r="Q445" s="10" t="str">
        <f aca="false">IF($B445="","",$N445*IFERROR(INDEX(Drinks!$D$4:$D$53,MATCH($B445,Drinks!$A$4:$A$53,0)),0))</f>
        <v/>
      </c>
      <c r="R445" s="10" t="str">
        <f aca="false">IF($B445="","",$P445-$Q445)</f>
        <v/>
      </c>
      <c r="S445" s="23" t="str">
        <f aca="false">IF($B445="","",IF(COUNTIFS($A$4:$A$2003,$A445-1,$B$4:$B$2003,$B445)=0,"first day",IF(SUMIFS($M$4:$M$2003,$A$4:$A$2003,$A445-1,$B$4:$B$2003,$B445)=$J445,"OK","CHECK")))</f>
        <v/>
      </c>
      <c r="T445" s="10" t="str">
        <f aca="false">IF($B445="","",IFERROR(INDEX(Drinks!$D$4:$D$53,MATCH($B445,Drinks!$A$4:$A$53,0)),0))</f>
        <v/>
      </c>
    </row>
    <row r="446" customFormat="false" ht="15" hidden="false" customHeight="false" outlineLevel="0" collapsed="false">
      <c r="A446" s="22"/>
      <c r="B446" s="9"/>
      <c r="C446" s="9"/>
      <c r="D446" s="9"/>
      <c r="E446" s="9"/>
      <c r="F446" s="10" t="str">
        <f aca="false">IF($B446="","",$C446+$D446-$E446)</f>
        <v/>
      </c>
      <c r="G446" s="10" t="str">
        <f aca="false">IF($B446="","",IFERROR(INDEX(Drinks!$C$4:$C$53,MATCH($B446,Drinks!$A$4:$A$53,0)),0))</f>
        <v/>
      </c>
      <c r="H446" s="10" t="str">
        <f aca="false">IF($B446="","",$D446*$G446)</f>
        <v/>
      </c>
      <c r="I446" s="10" t="str">
        <f aca="false">IF($B446="","",$F446*$G446)</f>
        <v/>
      </c>
      <c r="J446" s="9"/>
      <c r="K446" s="10" t="str">
        <f aca="false">IF($B446="","",$E446*IFERROR(INDEX(Drinks!$B$4:$B$53,MATCH($B446,Drinks!$A$4:$A$53,0)),0))</f>
        <v/>
      </c>
      <c r="L446" s="10" t="str">
        <f aca="false">IF($B446="","",$J446+$K446)</f>
        <v/>
      </c>
      <c r="M446" s="9"/>
      <c r="N446" s="10" t="str">
        <f aca="false">IF($B446="","",$L446-$M446)</f>
        <v/>
      </c>
      <c r="O446" s="10" t="str">
        <f aca="false">IF($B446="","",IFERROR(INDEX(Drinks!$E$4:$E$53,MATCH($B446,Drinks!$A$4:$A$53,0)),0))</f>
        <v/>
      </c>
      <c r="P446" s="10" t="str">
        <f aca="false">IF($B446="","",$N446*$O446)</f>
        <v/>
      </c>
      <c r="Q446" s="10" t="str">
        <f aca="false">IF($B446="","",$N446*IFERROR(INDEX(Drinks!$D$4:$D$53,MATCH($B446,Drinks!$A$4:$A$53,0)),0))</f>
        <v/>
      </c>
      <c r="R446" s="10" t="str">
        <f aca="false">IF($B446="","",$P446-$Q446)</f>
        <v/>
      </c>
      <c r="S446" s="23" t="str">
        <f aca="false">IF($B446="","",IF(COUNTIFS($A$4:$A$2003,$A446-1,$B$4:$B$2003,$B446)=0,"first day",IF(SUMIFS($M$4:$M$2003,$A$4:$A$2003,$A446-1,$B$4:$B$2003,$B446)=$J446,"OK","CHECK")))</f>
        <v/>
      </c>
      <c r="T446" s="10" t="str">
        <f aca="false">IF($B446="","",IFERROR(INDEX(Drinks!$D$4:$D$53,MATCH($B446,Drinks!$A$4:$A$53,0)),0))</f>
        <v/>
      </c>
    </row>
    <row r="447" customFormat="false" ht="15" hidden="false" customHeight="false" outlineLevel="0" collapsed="false">
      <c r="A447" s="22"/>
      <c r="B447" s="9"/>
      <c r="C447" s="9"/>
      <c r="D447" s="9"/>
      <c r="E447" s="9"/>
      <c r="F447" s="10" t="str">
        <f aca="false">IF($B447="","",$C447+$D447-$E447)</f>
        <v/>
      </c>
      <c r="G447" s="10" t="str">
        <f aca="false">IF($B447="","",IFERROR(INDEX(Drinks!$C$4:$C$53,MATCH($B447,Drinks!$A$4:$A$53,0)),0))</f>
        <v/>
      </c>
      <c r="H447" s="10" t="str">
        <f aca="false">IF($B447="","",$D447*$G447)</f>
        <v/>
      </c>
      <c r="I447" s="10" t="str">
        <f aca="false">IF($B447="","",$F447*$G447)</f>
        <v/>
      </c>
      <c r="J447" s="9"/>
      <c r="K447" s="10" t="str">
        <f aca="false">IF($B447="","",$E447*IFERROR(INDEX(Drinks!$B$4:$B$53,MATCH($B447,Drinks!$A$4:$A$53,0)),0))</f>
        <v/>
      </c>
      <c r="L447" s="10" t="str">
        <f aca="false">IF($B447="","",$J447+$K447)</f>
        <v/>
      </c>
      <c r="M447" s="9"/>
      <c r="N447" s="10" t="str">
        <f aca="false">IF($B447="","",$L447-$M447)</f>
        <v/>
      </c>
      <c r="O447" s="10" t="str">
        <f aca="false">IF($B447="","",IFERROR(INDEX(Drinks!$E$4:$E$53,MATCH($B447,Drinks!$A$4:$A$53,0)),0))</f>
        <v/>
      </c>
      <c r="P447" s="10" t="str">
        <f aca="false">IF($B447="","",$N447*$O447)</f>
        <v/>
      </c>
      <c r="Q447" s="10" t="str">
        <f aca="false">IF($B447="","",$N447*IFERROR(INDEX(Drinks!$D$4:$D$53,MATCH($B447,Drinks!$A$4:$A$53,0)),0))</f>
        <v/>
      </c>
      <c r="R447" s="10" t="str">
        <f aca="false">IF($B447="","",$P447-$Q447)</f>
        <v/>
      </c>
      <c r="S447" s="23" t="str">
        <f aca="false">IF($B447="","",IF(COUNTIFS($A$4:$A$2003,$A447-1,$B$4:$B$2003,$B447)=0,"first day",IF(SUMIFS($M$4:$M$2003,$A$4:$A$2003,$A447-1,$B$4:$B$2003,$B447)=$J447,"OK","CHECK")))</f>
        <v/>
      </c>
      <c r="T447" s="10" t="str">
        <f aca="false">IF($B447="","",IFERROR(INDEX(Drinks!$D$4:$D$53,MATCH($B447,Drinks!$A$4:$A$53,0)),0))</f>
        <v/>
      </c>
    </row>
    <row r="448" customFormat="false" ht="15" hidden="false" customHeight="false" outlineLevel="0" collapsed="false">
      <c r="A448" s="22"/>
      <c r="B448" s="9"/>
      <c r="C448" s="9"/>
      <c r="D448" s="9"/>
      <c r="E448" s="9"/>
      <c r="F448" s="10" t="str">
        <f aca="false">IF($B448="","",$C448+$D448-$E448)</f>
        <v/>
      </c>
      <c r="G448" s="10" t="str">
        <f aca="false">IF($B448="","",IFERROR(INDEX(Drinks!$C$4:$C$53,MATCH($B448,Drinks!$A$4:$A$53,0)),0))</f>
        <v/>
      </c>
      <c r="H448" s="10" t="str">
        <f aca="false">IF($B448="","",$D448*$G448)</f>
        <v/>
      </c>
      <c r="I448" s="10" t="str">
        <f aca="false">IF($B448="","",$F448*$G448)</f>
        <v/>
      </c>
      <c r="J448" s="9"/>
      <c r="K448" s="10" t="str">
        <f aca="false">IF($B448="","",$E448*IFERROR(INDEX(Drinks!$B$4:$B$53,MATCH($B448,Drinks!$A$4:$A$53,0)),0))</f>
        <v/>
      </c>
      <c r="L448" s="10" t="str">
        <f aca="false">IF($B448="","",$J448+$K448)</f>
        <v/>
      </c>
      <c r="M448" s="9"/>
      <c r="N448" s="10" t="str">
        <f aca="false">IF($B448="","",$L448-$M448)</f>
        <v/>
      </c>
      <c r="O448" s="10" t="str">
        <f aca="false">IF($B448="","",IFERROR(INDEX(Drinks!$E$4:$E$53,MATCH($B448,Drinks!$A$4:$A$53,0)),0))</f>
        <v/>
      </c>
      <c r="P448" s="10" t="str">
        <f aca="false">IF($B448="","",$N448*$O448)</f>
        <v/>
      </c>
      <c r="Q448" s="10" t="str">
        <f aca="false">IF($B448="","",$N448*IFERROR(INDEX(Drinks!$D$4:$D$53,MATCH($B448,Drinks!$A$4:$A$53,0)),0))</f>
        <v/>
      </c>
      <c r="R448" s="10" t="str">
        <f aca="false">IF($B448="","",$P448-$Q448)</f>
        <v/>
      </c>
      <c r="S448" s="23" t="str">
        <f aca="false">IF($B448="","",IF(COUNTIFS($A$4:$A$2003,$A448-1,$B$4:$B$2003,$B448)=0,"first day",IF(SUMIFS($M$4:$M$2003,$A$4:$A$2003,$A448-1,$B$4:$B$2003,$B448)=$J448,"OK","CHECK")))</f>
        <v/>
      </c>
      <c r="T448" s="10" t="str">
        <f aca="false">IF($B448="","",IFERROR(INDEX(Drinks!$D$4:$D$53,MATCH($B448,Drinks!$A$4:$A$53,0)),0))</f>
        <v/>
      </c>
    </row>
    <row r="449" customFormat="false" ht="15" hidden="false" customHeight="false" outlineLevel="0" collapsed="false">
      <c r="A449" s="22"/>
      <c r="B449" s="9"/>
      <c r="C449" s="9"/>
      <c r="D449" s="9"/>
      <c r="E449" s="9"/>
      <c r="F449" s="10" t="str">
        <f aca="false">IF($B449="","",$C449+$D449-$E449)</f>
        <v/>
      </c>
      <c r="G449" s="10" t="str">
        <f aca="false">IF($B449="","",IFERROR(INDEX(Drinks!$C$4:$C$53,MATCH($B449,Drinks!$A$4:$A$53,0)),0))</f>
        <v/>
      </c>
      <c r="H449" s="10" t="str">
        <f aca="false">IF($B449="","",$D449*$G449)</f>
        <v/>
      </c>
      <c r="I449" s="10" t="str">
        <f aca="false">IF($B449="","",$F449*$G449)</f>
        <v/>
      </c>
      <c r="J449" s="9"/>
      <c r="K449" s="10" t="str">
        <f aca="false">IF($B449="","",$E449*IFERROR(INDEX(Drinks!$B$4:$B$53,MATCH($B449,Drinks!$A$4:$A$53,0)),0))</f>
        <v/>
      </c>
      <c r="L449" s="10" t="str">
        <f aca="false">IF($B449="","",$J449+$K449)</f>
        <v/>
      </c>
      <c r="M449" s="9"/>
      <c r="N449" s="10" t="str">
        <f aca="false">IF($B449="","",$L449-$M449)</f>
        <v/>
      </c>
      <c r="O449" s="10" t="str">
        <f aca="false">IF($B449="","",IFERROR(INDEX(Drinks!$E$4:$E$53,MATCH($B449,Drinks!$A$4:$A$53,0)),0))</f>
        <v/>
      </c>
      <c r="P449" s="10" t="str">
        <f aca="false">IF($B449="","",$N449*$O449)</f>
        <v/>
      </c>
      <c r="Q449" s="10" t="str">
        <f aca="false">IF($B449="","",$N449*IFERROR(INDEX(Drinks!$D$4:$D$53,MATCH($B449,Drinks!$A$4:$A$53,0)),0))</f>
        <v/>
      </c>
      <c r="R449" s="10" t="str">
        <f aca="false">IF($B449="","",$P449-$Q449)</f>
        <v/>
      </c>
      <c r="S449" s="23" t="str">
        <f aca="false">IF($B449="","",IF(COUNTIFS($A$4:$A$2003,$A449-1,$B$4:$B$2003,$B449)=0,"first day",IF(SUMIFS($M$4:$M$2003,$A$4:$A$2003,$A449-1,$B$4:$B$2003,$B449)=$J449,"OK","CHECK")))</f>
        <v/>
      </c>
      <c r="T449" s="10" t="str">
        <f aca="false">IF($B449="","",IFERROR(INDEX(Drinks!$D$4:$D$53,MATCH($B449,Drinks!$A$4:$A$53,0)),0))</f>
        <v/>
      </c>
    </row>
    <row r="450" customFormat="false" ht="15" hidden="false" customHeight="false" outlineLevel="0" collapsed="false">
      <c r="A450" s="22"/>
      <c r="B450" s="9"/>
      <c r="C450" s="9"/>
      <c r="D450" s="9"/>
      <c r="E450" s="9"/>
      <c r="F450" s="10" t="str">
        <f aca="false">IF($B450="","",$C450+$D450-$E450)</f>
        <v/>
      </c>
      <c r="G450" s="10" t="str">
        <f aca="false">IF($B450="","",IFERROR(INDEX(Drinks!$C$4:$C$53,MATCH($B450,Drinks!$A$4:$A$53,0)),0))</f>
        <v/>
      </c>
      <c r="H450" s="10" t="str">
        <f aca="false">IF($B450="","",$D450*$G450)</f>
        <v/>
      </c>
      <c r="I450" s="10" t="str">
        <f aca="false">IF($B450="","",$F450*$G450)</f>
        <v/>
      </c>
      <c r="J450" s="9"/>
      <c r="K450" s="10" t="str">
        <f aca="false">IF($B450="","",$E450*IFERROR(INDEX(Drinks!$B$4:$B$53,MATCH($B450,Drinks!$A$4:$A$53,0)),0))</f>
        <v/>
      </c>
      <c r="L450" s="10" t="str">
        <f aca="false">IF($B450="","",$J450+$K450)</f>
        <v/>
      </c>
      <c r="M450" s="9"/>
      <c r="N450" s="10" t="str">
        <f aca="false">IF($B450="","",$L450-$M450)</f>
        <v/>
      </c>
      <c r="O450" s="10" t="str">
        <f aca="false">IF($B450="","",IFERROR(INDEX(Drinks!$E$4:$E$53,MATCH($B450,Drinks!$A$4:$A$53,0)),0))</f>
        <v/>
      </c>
      <c r="P450" s="10" t="str">
        <f aca="false">IF($B450="","",$N450*$O450)</f>
        <v/>
      </c>
      <c r="Q450" s="10" t="str">
        <f aca="false">IF($B450="","",$N450*IFERROR(INDEX(Drinks!$D$4:$D$53,MATCH($B450,Drinks!$A$4:$A$53,0)),0))</f>
        <v/>
      </c>
      <c r="R450" s="10" t="str">
        <f aca="false">IF($B450="","",$P450-$Q450)</f>
        <v/>
      </c>
      <c r="S450" s="23" t="str">
        <f aca="false">IF($B450="","",IF(COUNTIFS($A$4:$A$2003,$A450-1,$B$4:$B$2003,$B450)=0,"first day",IF(SUMIFS($M$4:$M$2003,$A$4:$A$2003,$A450-1,$B$4:$B$2003,$B450)=$J450,"OK","CHECK")))</f>
        <v/>
      </c>
      <c r="T450" s="10" t="str">
        <f aca="false">IF($B450="","",IFERROR(INDEX(Drinks!$D$4:$D$53,MATCH($B450,Drinks!$A$4:$A$53,0)),0))</f>
        <v/>
      </c>
    </row>
    <row r="451" customFormat="false" ht="15" hidden="false" customHeight="false" outlineLevel="0" collapsed="false">
      <c r="A451" s="22"/>
      <c r="B451" s="9"/>
      <c r="C451" s="9"/>
      <c r="D451" s="9"/>
      <c r="E451" s="9"/>
      <c r="F451" s="10" t="str">
        <f aca="false">IF($B451="","",$C451+$D451-$E451)</f>
        <v/>
      </c>
      <c r="G451" s="10" t="str">
        <f aca="false">IF($B451="","",IFERROR(INDEX(Drinks!$C$4:$C$53,MATCH($B451,Drinks!$A$4:$A$53,0)),0))</f>
        <v/>
      </c>
      <c r="H451" s="10" t="str">
        <f aca="false">IF($B451="","",$D451*$G451)</f>
        <v/>
      </c>
      <c r="I451" s="10" t="str">
        <f aca="false">IF($B451="","",$F451*$G451)</f>
        <v/>
      </c>
      <c r="J451" s="9"/>
      <c r="K451" s="10" t="str">
        <f aca="false">IF($B451="","",$E451*IFERROR(INDEX(Drinks!$B$4:$B$53,MATCH($B451,Drinks!$A$4:$A$53,0)),0))</f>
        <v/>
      </c>
      <c r="L451" s="10" t="str">
        <f aca="false">IF($B451="","",$J451+$K451)</f>
        <v/>
      </c>
      <c r="M451" s="9"/>
      <c r="N451" s="10" t="str">
        <f aca="false">IF($B451="","",$L451-$M451)</f>
        <v/>
      </c>
      <c r="O451" s="10" t="str">
        <f aca="false">IF($B451="","",IFERROR(INDEX(Drinks!$E$4:$E$53,MATCH($B451,Drinks!$A$4:$A$53,0)),0))</f>
        <v/>
      </c>
      <c r="P451" s="10" t="str">
        <f aca="false">IF($B451="","",$N451*$O451)</f>
        <v/>
      </c>
      <c r="Q451" s="10" t="str">
        <f aca="false">IF($B451="","",$N451*IFERROR(INDEX(Drinks!$D$4:$D$53,MATCH($B451,Drinks!$A$4:$A$53,0)),0))</f>
        <v/>
      </c>
      <c r="R451" s="10" t="str">
        <f aca="false">IF($B451="","",$P451-$Q451)</f>
        <v/>
      </c>
      <c r="S451" s="23" t="str">
        <f aca="false">IF($B451="","",IF(COUNTIFS($A$4:$A$2003,$A451-1,$B$4:$B$2003,$B451)=0,"first day",IF(SUMIFS($M$4:$M$2003,$A$4:$A$2003,$A451-1,$B$4:$B$2003,$B451)=$J451,"OK","CHECK")))</f>
        <v/>
      </c>
      <c r="T451" s="10" t="str">
        <f aca="false">IF($B451="","",IFERROR(INDEX(Drinks!$D$4:$D$53,MATCH($B451,Drinks!$A$4:$A$53,0)),0))</f>
        <v/>
      </c>
    </row>
    <row r="452" customFormat="false" ht="15" hidden="false" customHeight="false" outlineLevel="0" collapsed="false">
      <c r="A452" s="22"/>
      <c r="B452" s="9"/>
      <c r="C452" s="9"/>
      <c r="D452" s="9"/>
      <c r="E452" s="9"/>
      <c r="F452" s="10" t="str">
        <f aca="false">IF($B452="","",$C452+$D452-$E452)</f>
        <v/>
      </c>
      <c r="G452" s="10" t="str">
        <f aca="false">IF($B452="","",IFERROR(INDEX(Drinks!$C$4:$C$53,MATCH($B452,Drinks!$A$4:$A$53,0)),0))</f>
        <v/>
      </c>
      <c r="H452" s="10" t="str">
        <f aca="false">IF($B452="","",$D452*$G452)</f>
        <v/>
      </c>
      <c r="I452" s="10" t="str">
        <f aca="false">IF($B452="","",$F452*$G452)</f>
        <v/>
      </c>
      <c r="J452" s="9"/>
      <c r="K452" s="10" t="str">
        <f aca="false">IF($B452="","",$E452*IFERROR(INDEX(Drinks!$B$4:$B$53,MATCH($B452,Drinks!$A$4:$A$53,0)),0))</f>
        <v/>
      </c>
      <c r="L452" s="10" t="str">
        <f aca="false">IF($B452="","",$J452+$K452)</f>
        <v/>
      </c>
      <c r="M452" s="9"/>
      <c r="N452" s="10" t="str">
        <f aca="false">IF($B452="","",$L452-$M452)</f>
        <v/>
      </c>
      <c r="O452" s="10" t="str">
        <f aca="false">IF($B452="","",IFERROR(INDEX(Drinks!$E$4:$E$53,MATCH($B452,Drinks!$A$4:$A$53,0)),0))</f>
        <v/>
      </c>
      <c r="P452" s="10" t="str">
        <f aca="false">IF($B452="","",$N452*$O452)</f>
        <v/>
      </c>
      <c r="Q452" s="10" t="str">
        <f aca="false">IF($B452="","",$N452*IFERROR(INDEX(Drinks!$D$4:$D$53,MATCH($B452,Drinks!$A$4:$A$53,0)),0))</f>
        <v/>
      </c>
      <c r="R452" s="10" t="str">
        <f aca="false">IF($B452="","",$P452-$Q452)</f>
        <v/>
      </c>
      <c r="S452" s="23" t="str">
        <f aca="false">IF($B452="","",IF(COUNTIFS($A$4:$A$2003,$A452-1,$B$4:$B$2003,$B452)=0,"first day",IF(SUMIFS($M$4:$M$2003,$A$4:$A$2003,$A452-1,$B$4:$B$2003,$B452)=$J452,"OK","CHECK")))</f>
        <v/>
      </c>
      <c r="T452" s="10" t="str">
        <f aca="false">IF($B452="","",IFERROR(INDEX(Drinks!$D$4:$D$53,MATCH($B452,Drinks!$A$4:$A$53,0)),0))</f>
        <v/>
      </c>
    </row>
    <row r="453" customFormat="false" ht="15" hidden="false" customHeight="false" outlineLevel="0" collapsed="false">
      <c r="A453" s="22"/>
      <c r="B453" s="9"/>
      <c r="C453" s="9"/>
      <c r="D453" s="9"/>
      <c r="E453" s="9"/>
      <c r="F453" s="10" t="str">
        <f aca="false">IF($B453="","",$C453+$D453-$E453)</f>
        <v/>
      </c>
      <c r="G453" s="10" t="str">
        <f aca="false">IF($B453="","",IFERROR(INDEX(Drinks!$C$4:$C$53,MATCH($B453,Drinks!$A$4:$A$53,0)),0))</f>
        <v/>
      </c>
      <c r="H453" s="10" t="str">
        <f aca="false">IF($B453="","",$D453*$G453)</f>
        <v/>
      </c>
      <c r="I453" s="10" t="str">
        <f aca="false">IF($B453="","",$F453*$G453)</f>
        <v/>
      </c>
      <c r="J453" s="9"/>
      <c r="K453" s="10" t="str">
        <f aca="false">IF($B453="","",$E453*IFERROR(INDEX(Drinks!$B$4:$B$53,MATCH($B453,Drinks!$A$4:$A$53,0)),0))</f>
        <v/>
      </c>
      <c r="L453" s="10" t="str">
        <f aca="false">IF($B453="","",$J453+$K453)</f>
        <v/>
      </c>
      <c r="M453" s="9"/>
      <c r="N453" s="10" t="str">
        <f aca="false">IF($B453="","",$L453-$M453)</f>
        <v/>
      </c>
      <c r="O453" s="10" t="str">
        <f aca="false">IF($B453="","",IFERROR(INDEX(Drinks!$E$4:$E$53,MATCH($B453,Drinks!$A$4:$A$53,0)),0))</f>
        <v/>
      </c>
      <c r="P453" s="10" t="str">
        <f aca="false">IF($B453="","",$N453*$O453)</f>
        <v/>
      </c>
      <c r="Q453" s="10" t="str">
        <f aca="false">IF($B453="","",$N453*IFERROR(INDEX(Drinks!$D$4:$D$53,MATCH($B453,Drinks!$A$4:$A$53,0)),0))</f>
        <v/>
      </c>
      <c r="R453" s="10" t="str">
        <f aca="false">IF($B453="","",$P453-$Q453)</f>
        <v/>
      </c>
      <c r="S453" s="23" t="str">
        <f aca="false">IF($B453="","",IF(COUNTIFS($A$4:$A$2003,$A453-1,$B$4:$B$2003,$B453)=0,"first day",IF(SUMIFS($M$4:$M$2003,$A$4:$A$2003,$A453-1,$B$4:$B$2003,$B453)=$J453,"OK","CHECK")))</f>
        <v/>
      </c>
      <c r="T453" s="10" t="str">
        <f aca="false">IF($B453="","",IFERROR(INDEX(Drinks!$D$4:$D$53,MATCH($B453,Drinks!$A$4:$A$53,0)),0))</f>
        <v/>
      </c>
    </row>
    <row r="454" customFormat="false" ht="15" hidden="false" customHeight="false" outlineLevel="0" collapsed="false">
      <c r="A454" s="22"/>
      <c r="B454" s="9"/>
      <c r="C454" s="9"/>
      <c r="D454" s="9"/>
      <c r="E454" s="9"/>
      <c r="F454" s="10" t="str">
        <f aca="false">IF($B454="","",$C454+$D454-$E454)</f>
        <v/>
      </c>
      <c r="G454" s="10" t="str">
        <f aca="false">IF($B454="","",IFERROR(INDEX(Drinks!$C$4:$C$53,MATCH($B454,Drinks!$A$4:$A$53,0)),0))</f>
        <v/>
      </c>
      <c r="H454" s="10" t="str">
        <f aca="false">IF($B454="","",$D454*$G454)</f>
        <v/>
      </c>
      <c r="I454" s="10" t="str">
        <f aca="false">IF($B454="","",$F454*$G454)</f>
        <v/>
      </c>
      <c r="J454" s="9"/>
      <c r="K454" s="10" t="str">
        <f aca="false">IF($B454="","",$E454*IFERROR(INDEX(Drinks!$B$4:$B$53,MATCH($B454,Drinks!$A$4:$A$53,0)),0))</f>
        <v/>
      </c>
      <c r="L454" s="10" t="str">
        <f aca="false">IF($B454="","",$J454+$K454)</f>
        <v/>
      </c>
      <c r="M454" s="9"/>
      <c r="N454" s="10" t="str">
        <f aca="false">IF($B454="","",$L454-$M454)</f>
        <v/>
      </c>
      <c r="O454" s="10" t="str">
        <f aca="false">IF($B454="","",IFERROR(INDEX(Drinks!$E$4:$E$53,MATCH($B454,Drinks!$A$4:$A$53,0)),0))</f>
        <v/>
      </c>
      <c r="P454" s="10" t="str">
        <f aca="false">IF($B454="","",$N454*$O454)</f>
        <v/>
      </c>
      <c r="Q454" s="10" t="str">
        <f aca="false">IF($B454="","",$N454*IFERROR(INDEX(Drinks!$D$4:$D$53,MATCH($B454,Drinks!$A$4:$A$53,0)),0))</f>
        <v/>
      </c>
      <c r="R454" s="10" t="str">
        <f aca="false">IF($B454="","",$P454-$Q454)</f>
        <v/>
      </c>
      <c r="S454" s="23" t="str">
        <f aca="false">IF($B454="","",IF(COUNTIFS($A$4:$A$2003,$A454-1,$B$4:$B$2003,$B454)=0,"first day",IF(SUMIFS($M$4:$M$2003,$A$4:$A$2003,$A454-1,$B$4:$B$2003,$B454)=$J454,"OK","CHECK")))</f>
        <v/>
      </c>
      <c r="T454" s="10" t="str">
        <f aca="false">IF($B454="","",IFERROR(INDEX(Drinks!$D$4:$D$53,MATCH($B454,Drinks!$A$4:$A$53,0)),0))</f>
        <v/>
      </c>
    </row>
    <row r="455" customFormat="false" ht="15" hidden="false" customHeight="false" outlineLevel="0" collapsed="false">
      <c r="A455" s="22"/>
      <c r="B455" s="9"/>
      <c r="C455" s="9"/>
      <c r="D455" s="9"/>
      <c r="E455" s="9"/>
      <c r="F455" s="10" t="str">
        <f aca="false">IF($B455="","",$C455+$D455-$E455)</f>
        <v/>
      </c>
      <c r="G455" s="10" t="str">
        <f aca="false">IF($B455="","",IFERROR(INDEX(Drinks!$C$4:$C$53,MATCH($B455,Drinks!$A$4:$A$53,0)),0))</f>
        <v/>
      </c>
      <c r="H455" s="10" t="str">
        <f aca="false">IF($B455="","",$D455*$G455)</f>
        <v/>
      </c>
      <c r="I455" s="10" t="str">
        <f aca="false">IF($B455="","",$F455*$G455)</f>
        <v/>
      </c>
      <c r="J455" s="9"/>
      <c r="K455" s="10" t="str">
        <f aca="false">IF($B455="","",$E455*IFERROR(INDEX(Drinks!$B$4:$B$53,MATCH($B455,Drinks!$A$4:$A$53,0)),0))</f>
        <v/>
      </c>
      <c r="L455" s="10" t="str">
        <f aca="false">IF($B455="","",$J455+$K455)</f>
        <v/>
      </c>
      <c r="M455" s="9"/>
      <c r="N455" s="10" t="str">
        <f aca="false">IF($B455="","",$L455-$M455)</f>
        <v/>
      </c>
      <c r="O455" s="10" t="str">
        <f aca="false">IF($B455="","",IFERROR(INDEX(Drinks!$E$4:$E$53,MATCH($B455,Drinks!$A$4:$A$53,0)),0))</f>
        <v/>
      </c>
      <c r="P455" s="10" t="str">
        <f aca="false">IF($B455="","",$N455*$O455)</f>
        <v/>
      </c>
      <c r="Q455" s="10" t="str">
        <f aca="false">IF($B455="","",$N455*IFERROR(INDEX(Drinks!$D$4:$D$53,MATCH($B455,Drinks!$A$4:$A$53,0)),0))</f>
        <v/>
      </c>
      <c r="R455" s="10" t="str">
        <f aca="false">IF($B455="","",$P455-$Q455)</f>
        <v/>
      </c>
      <c r="S455" s="23" t="str">
        <f aca="false">IF($B455="","",IF(COUNTIFS($A$4:$A$2003,$A455-1,$B$4:$B$2003,$B455)=0,"first day",IF(SUMIFS($M$4:$M$2003,$A$4:$A$2003,$A455-1,$B$4:$B$2003,$B455)=$J455,"OK","CHECK")))</f>
        <v/>
      </c>
      <c r="T455" s="10" t="str">
        <f aca="false">IF($B455="","",IFERROR(INDEX(Drinks!$D$4:$D$53,MATCH($B455,Drinks!$A$4:$A$53,0)),0))</f>
        <v/>
      </c>
    </row>
    <row r="456" customFormat="false" ht="15" hidden="false" customHeight="false" outlineLevel="0" collapsed="false">
      <c r="A456" s="22"/>
      <c r="B456" s="9"/>
      <c r="C456" s="9"/>
      <c r="D456" s="9"/>
      <c r="E456" s="9"/>
      <c r="F456" s="10" t="str">
        <f aca="false">IF($B456="","",$C456+$D456-$E456)</f>
        <v/>
      </c>
      <c r="G456" s="10" t="str">
        <f aca="false">IF($B456="","",IFERROR(INDEX(Drinks!$C$4:$C$53,MATCH($B456,Drinks!$A$4:$A$53,0)),0))</f>
        <v/>
      </c>
      <c r="H456" s="10" t="str">
        <f aca="false">IF($B456="","",$D456*$G456)</f>
        <v/>
      </c>
      <c r="I456" s="10" t="str">
        <f aca="false">IF($B456="","",$F456*$G456)</f>
        <v/>
      </c>
      <c r="J456" s="9"/>
      <c r="K456" s="10" t="str">
        <f aca="false">IF($B456="","",$E456*IFERROR(INDEX(Drinks!$B$4:$B$53,MATCH($B456,Drinks!$A$4:$A$53,0)),0))</f>
        <v/>
      </c>
      <c r="L456" s="10" t="str">
        <f aca="false">IF($B456="","",$J456+$K456)</f>
        <v/>
      </c>
      <c r="M456" s="9"/>
      <c r="N456" s="10" t="str">
        <f aca="false">IF($B456="","",$L456-$M456)</f>
        <v/>
      </c>
      <c r="O456" s="10" t="str">
        <f aca="false">IF($B456="","",IFERROR(INDEX(Drinks!$E$4:$E$53,MATCH($B456,Drinks!$A$4:$A$53,0)),0))</f>
        <v/>
      </c>
      <c r="P456" s="10" t="str">
        <f aca="false">IF($B456="","",$N456*$O456)</f>
        <v/>
      </c>
      <c r="Q456" s="10" t="str">
        <f aca="false">IF($B456="","",$N456*IFERROR(INDEX(Drinks!$D$4:$D$53,MATCH($B456,Drinks!$A$4:$A$53,0)),0))</f>
        <v/>
      </c>
      <c r="R456" s="10" t="str">
        <f aca="false">IF($B456="","",$P456-$Q456)</f>
        <v/>
      </c>
      <c r="S456" s="23" t="str">
        <f aca="false">IF($B456="","",IF(COUNTIFS($A$4:$A$2003,$A456-1,$B$4:$B$2003,$B456)=0,"first day",IF(SUMIFS($M$4:$M$2003,$A$4:$A$2003,$A456-1,$B$4:$B$2003,$B456)=$J456,"OK","CHECK")))</f>
        <v/>
      </c>
      <c r="T456" s="10" t="str">
        <f aca="false">IF($B456="","",IFERROR(INDEX(Drinks!$D$4:$D$53,MATCH($B456,Drinks!$A$4:$A$53,0)),0))</f>
        <v/>
      </c>
    </row>
    <row r="457" customFormat="false" ht="15" hidden="false" customHeight="false" outlineLevel="0" collapsed="false">
      <c r="A457" s="22"/>
      <c r="B457" s="9"/>
      <c r="C457" s="9"/>
      <c r="D457" s="9"/>
      <c r="E457" s="9"/>
      <c r="F457" s="10" t="str">
        <f aca="false">IF($B457="","",$C457+$D457-$E457)</f>
        <v/>
      </c>
      <c r="G457" s="10" t="str">
        <f aca="false">IF($B457="","",IFERROR(INDEX(Drinks!$C$4:$C$53,MATCH($B457,Drinks!$A$4:$A$53,0)),0))</f>
        <v/>
      </c>
      <c r="H457" s="10" t="str">
        <f aca="false">IF($B457="","",$D457*$G457)</f>
        <v/>
      </c>
      <c r="I457" s="10" t="str">
        <f aca="false">IF($B457="","",$F457*$G457)</f>
        <v/>
      </c>
      <c r="J457" s="9"/>
      <c r="K457" s="10" t="str">
        <f aca="false">IF($B457="","",$E457*IFERROR(INDEX(Drinks!$B$4:$B$53,MATCH($B457,Drinks!$A$4:$A$53,0)),0))</f>
        <v/>
      </c>
      <c r="L457" s="10" t="str">
        <f aca="false">IF($B457="","",$J457+$K457)</f>
        <v/>
      </c>
      <c r="M457" s="9"/>
      <c r="N457" s="10" t="str">
        <f aca="false">IF($B457="","",$L457-$M457)</f>
        <v/>
      </c>
      <c r="O457" s="10" t="str">
        <f aca="false">IF($B457="","",IFERROR(INDEX(Drinks!$E$4:$E$53,MATCH($B457,Drinks!$A$4:$A$53,0)),0))</f>
        <v/>
      </c>
      <c r="P457" s="10" t="str">
        <f aca="false">IF($B457="","",$N457*$O457)</f>
        <v/>
      </c>
      <c r="Q457" s="10" t="str">
        <f aca="false">IF($B457="","",$N457*IFERROR(INDEX(Drinks!$D$4:$D$53,MATCH($B457,Drinks!$A$4:$A$53,0)),0))</f>
        <v/>
      </c>
      <c r="R457" s="10" t="str">
        <f aca="false">IF($B457="","",$P457-$Q457)</f>
        <v/>
      </c>
      <c r="S457" s="23" t="str">
        <f aca="false">IF($B457="","",IF(COUNTIFS($A$4:$A$2003,$A457-1,$B$4:$B$2003,$B457)=0,"first day",IF(SUMIFS($M$4:$M$2003,$A$4:$A$2003,$A457-1,$B$4:$B$2003,$B457)=$J457,"OK","CHECK")))</f>
        <v/>
      </c>
      <c r="T457" s="10" t="str">
        <f aca="false">IF($B457="","",IFERROR(INDEX(Drinks!$D$4:$D$53,MATCH($B457,Drinks!$A$4:$A$53,0)),0))</f>
        <v/>
      </c>
    </row>
    <row r="458" customFormat="false" ht="15" hidden="false" customHeight="false" outlineLevel="0" collapsed="false">
      <c r="A458" s="22"/>
      <c r="B458" s="9"/>
      <c r="C458" s="9"/>
      <c r="D458" s="9"/>
      <c r="E458" s="9"/>
      <c r="F458" s="10" t="str">
        <f aca="false">IF($B458="","",$C458+$D458-$E458)</f>
        <v/>
      </c>
      <c r="G458" s="10" t="str">
        <f aca="false">IF($B458="","",IFERROR(INDEX(Drinks!$C$4:$C$53,MATCH($B458,Drinks!$A$4:$A$53,0)),0))</f>
        <v/>
      </c>
      <c r="H458" s="10" t="str">
        <f aca="false">IF($B458="","",$D458*$G458)</f>
        <v/>
      </c>
      <c r="I458" s="10" t="str">
        <f aca="false">IF($B458="","",$F458*$G458)</f>
        <v/>
      </c>
      <c r="J458" s="9"/>
      <c r="K458" s="10" t="str">
        <f aca="false">IF($B458="","",$E458*IFERROR(INDEX(Drinks!$B$4:$B$53,MATCH($B458,Drinks!$A$4:$A$53,0)),0))</f>
        <v/>
      </c>
      <c r="L458" s="10" t="str">
        <f aca="false">IF($B458="","",$J458+$K458)</f>
        <v/>
      </c>
      <c r="M458" s="9"/>
      <c r="N458" s="10" t="str">
        <f aca="false">IF($B458="","",$L458-$M458)</f>
        <v/>
      </c>
      <c r="O458" s="10" t="str">
        <f aca="false">IF($B458="","",IFERROR(INDEX(Drinks!$E$4:$E$53,MATCH($B458,Drinks!$A$4:$A$53,0)),0))</f>
        <v/>
      </c>
      <c r="P458" s="10" t="str">
        <f aca="false">IF($B458="","",$N458*$O458)</f>
        <v/>
      </c>
      <c r="Q458" s="10" t="str">
        <f aca="false">IF($B458="","",$N458*IFERROR(INDEX(Drinks!$D$4:$D$53,MATCH($B458,Drinks!$A$4:$A$53,0)),0))</f>
        <v/>
      </c>
      <c r="R458" s="10" t="str">
        <f aca="false">IF($B458="","",$P458-$Q458)</f>
        <v/>
      </c>
      <c r="S458" s="23" t="str">
        <f aca="false">IF($B458="","",IF(COUNTIFS($A$4:$A$2003,$A458-1,$B$4:$B$2003,$B458)=0,"first day",IF(SUMIFS($M$4:$M$2003,$A$4:$A$2003,$A458-1,$B$4:$B$2003,$B458)=$J458,"OK","CHECK")))</f>
        <v/>
      </c>
      <c r="T458" s="10" t="str">
        <f aca="false">IF($B458="","",IFERROR(INDEX(Drinks!$D$4:$D$53,MATCH($B458,Drinks!$A$4:$A$53,0)),0))</f>
        <v/>
      </c>
    </row>
    <row r="459" customFormat="false" ht="15" hidden="false" customHeight="false" outlineLevel="0" collapsed="false">
      <c r="A459" s="22"/>
      <c r="B459" s="9"/>
      <c r="C459" s="9"/>
      <c r="D459" s="9"/>
      <c r="E459" s="9"/>
      <c r="F459" s="10" t="str">
        <f aca="false">IF($B459="","",$C459+$D459-$E459)</f>
        <v/>
      </c>
      <c r="G459" s="10" t="str">
        <f aca="false">IF($B459="","",IFERROR(INDEX(Drinks!$C$4:$C$53,MATCH($B459,Drinks!$A$4:$A$53,0)),0))</f>
        <v/>
      </c>
      <c r="H459" s="10" t="str">
        <f aca="false">IF($B459="","",$D459*$G459)</f>
        <v/>
      </c>
      <c r="I459" s="10" t="str">
        <f aca="false">IF($B459="","",$F459*$G459)</f>
        <v/>
      </c>
      <c r="J459" s="9"/>
      <c r="K459" s="10" t="str">
        <f aca="false">IF($B459="","",$E459*IFERROR(INDEX(Drinks!$B$4:$B$53,MATCH($B459,Drinks!$A$4:$A$53,0)),0))</f>
        <v/>
      </c>
      <c r="L459" s="10" t="str">
        <f aca="false">IF($B459="","",$J459+$K459)</f>
        <v/>
      </c>
      <c r="M459" s="9"/>
      <c r="N459" s="10" t="str">
        <f aca="false">IF($B459="","",$L459-$M459)</f>
        <v/>
      </c>
      <c r="O459" s="10" t="str">
        <f aca="false">IF($B459="","",IFERROR(INDEX(Drinks!$E$4:$E$53,MATCH($B459,Drinks!$A$4:$A$53,0)),0))</f>
        <v/>
      </c>
      <c r="P459" s="10" t="str">
        <f aca="false">IF($B459="","",$N459*$O459)</f>
        <v/>
      </c>
      <c r="Q459" s="10" t="str">
        <f aca="false">IF($B459="","",$N459*IFERROR(INDEX(Drinks!$D$4:$D$53,MATCH($B459,Drinks!$A$4:$A$53,0)),0))</f>
        <v/>
      </c>
      <c r="R459" s="10" t="str">
        <f aca="false">IF($B459="","",$P459-$Q459)</f>
        <v/>
      </c>
      <c r="S459" s="23" t="str">
        <f aca="false">IF($B459="","",IF(COUNTIFS($A$4:$A$2003,$A459-1,$B$4:$B$2003,$B459)=0,"first day",IF(SUMIFS($M$4:$M$2003,$A$4:$A$2003,$A459-1,$B$4:$B$2003,$B459)=$J459,"OK","CHECK")))</f>
        <v/>
      </c>
      <c r="T459" s="10" t="str">
        <f aca="false">IF($B459="","",IFERROR(INDEX(Drinks!$D$4:$D$53,MATCH($B459,Drinks!$A$4:$A$53,0)),0))</f>
        <v/>
      </c>
    </row>
    <row r="460" customFormat="false" ht="15" hidden="false" customHeight="false" outlineLevel="0" collapsed="false">
      <c r="A460" s="22"/>
      <c r="B460" s="9"/>
      <c r="C460" s="9"/>
      <c r="D460" s="9"/>
      <c r="E460" s="9"/>
      <c r="F460" s="10" t="str">
        <f aca="false">IF($B460="","",$C460+$D460-$E460)</f>
        <v/>
      </c>
      <c r="G460" s="10" t="str">
        <f aca="false">IF($B460="","",IFERROR(INDEX(Drinks!$C$4:$C$53,MATCH($B460,Drinks!$A$4:$A$53,0)),0))</f>
        <v/>
      </c>
      <c r="H460" s="10" t="str">
        <f aca="false">IF($B460="","",$D460*$G460)</f>
        <v/>
      </c>
      <c r="I460" s="10" t="str">
        <f aca="false">IF($B460="","",$F460*$G460)</f>
        <v/>
      </c>
      <c r="J460" s="9"/>
      <c r="K460" s="10" t="str">
        <f aca="false">IF($B460="","",$E460*IFERROR(INDEX(Drinks!$B$4:$B$53,MATCH($B460,Drinks!$A$4:$A$53,0)),0))</f>
        <v/>
      </c>
      <c r="L460" s="10" t="str">
        <f aca="false">IF($B460="","",$J460+$K460)</f>
        <v/>
      </c>
      <c r="M460" s="9"/>
      <c r="N460" s="10" t="str">
        <f aca="false">IF($B460="","",$L460-$M460)</f>
        <v/>
      </c>
      <c r="O460" s="10" t="str">
        <f aca="false">IF($B460="","",IFERROR(INDEX(Drinks!$E$4:$E$53,MATCH($B460,Drinks!$A$4:$A$53,0)),0))</f>
        <v/>
      </c>
      <c r="P460" s="10" t="str">
        <f aca="false">IF($B460="","",$N460*$O460)</f>
        <v/>
      </c>
      <c r="Q460" s="10" t="str">
        <f aca="false">IF($B460="","",$N460*IFERROR(INDEX(Drinks!$D$4:$D$53,MATCH($B460,Drinks!$A$4:$A$53,0)),0))</f>
        <v/>
      </c>
      <c r="R460" s="10" t="str">
        <f aca="false">IF($B460="","",$P460-$Q460)</f>
        <v/>
      </c>
      <c r="S460" s="23" t="str">
        <f aca="false">IF($B460="","",IF(COUNTIFS($A$4:$A$2003,$A460-1,$B$4:$B$2003,$B460)=0,"first day",IF(SUMIFS($M$4:$M$2003,$A$4:$A$2003,$A460-1,$B$4:$B$2003,$B460)=$J460,"OK","CHECK")))</f>
        <v/>
      </c>
      <c r="T460" s="10" t="str">
        <f aca="false">IF($B460="","",IFERROR(INDEX(Drinks!$D$4:$D$53,MATCH($B460,Drinks!$A$4:$A$53,0)),0))</f>
        <v/>
      </c>
    </row>
    <row r="461" customFormat="false" ht="15" hidden="false" customHeight="false" outlineLevel="0" collapsed="false">
      <c r="A461" s="22"/>
      <c r="B461" s="9"/>
      <c r="C461" s="9"/>
      <c r="D461" s="9"/>
      <c r="E461" s="9"/>
      <c r="F461" s="10" t="str">
        <f aca="false">IF($B461="","",$C461+$D461-$E461)</f>
        <v/>
      </c>
      <c r="G461" s="10" t="str">
        <f aca="false">IF($B461="","",IFERROR(INDEX(Drinks!$C$4:$C$53,MATCH($B461,Drinks!$A$4:$A$53,0)),0))</f>
        <v/>
      </c>
      <c r="H461" s="10" t="str">
        <f aca="false">IF($B461="","",$D461*$G461)</f>
        <v/>
      </c>
      <c r="I461" s="10" t="str">
        <f aca="false">IF($B461="","",$F461*$G461)</f>
        <v/>
      </c>
      <c r="J461" s="9"/>
      <c r="K461" s="10" t="str">
        <f aca="false">IF($B461="","",$E461*IFERROR(INDEX(Drinks!$B$4:$B$53,MATCH($B461,Drinks!$A$4:$A$53,0)),0))</f>
        <v/>
      </c>
      <c r="L461" s="10" t="str">
        <f aca="false">IF($B461="","",$J461+$K461)</f>
        <v/>
      </c>
      <c r="M461" s="9"/>
      <c r="N461" s="10" t="str">
        <f aca="false">IF($B461="","",$L461-$M461)</f>
        <v/>
      </c>
      <c r="O461" s="10" t="str">
        <f aca="false">IF($B461="","",IFERROR(INDEX(Drinks!$E$4:$E$53,MATCH($B461,Drinks!$A$4:$A$53,0)),0))</f>
        <v/>
      </c>
      <c r="P461" s="10" t="str">
        <f aca="false">IF($B461="","",$N461*$O461)</f>
        <v/>
      </c>
      <c r="Q461" s="10" t="str">
        <f aca="false">IF($B461="","",$N461*IFERROR(INDEX(Drinks!$D$4:$D$53,MATCH($B461,Drinks!$A$4:$A$53,0)),0))</f>
        <v/>
      </c>
      <c r="R461" s="10" t="str">
        <f aca="false">IF($B461="","",$P461-$Q461)</f>
        <v/>
      </c>
      <c r="S461" s="23" t="str">
        <f aca="false">IF($B461="","",IF(COUNTIFS($A$4:$A$2003,$A461-1,$B$4:$B$2003,$B461)=0,"first day",IF(SUMIFS($M$4:$M$2003,$A$4:$A$2003,$A461-1,$B$4:$B$2003,$B461)=$J461,"OK","CHECK")))</f>
        <v/>
      </c>
      <c r="T461" s="10" t="str">
        <f aca="false">IF($B461="","",IFERROR(INDEX(Drinks!$D$4:$D$53,MATCH($B461,Drinks!$A$4:$A$53,0)),0))</f>
        <v/>
      </c>
    </row>
    <row r="462" customFormat="false" ht="15" hidden="false" customHeight="false" outlineLevel="0" collapsed="false">
      <c r="A462" s="22"/>
      <c r="B462" s="9"/>
      <c r="C462" s="9"/>
      <c r="D462" s="9"/>
      <c r="E462" s="9"/>
      <c r="F462" s="10" t="str">
        <f aca="false">IF($B462="","",$C462+$D462-$E462)</f>
        <v/>
      </c>
      <c r="G462" s="10" t="str">
        <f aca="false">IF($B462="","",IFERROR(INDEX(Drinks!$C$4:$C$53,MATCH($B462,Drinks!$A$4:$A$53,0)),0))</f>
        <v/>
      </c>
      <c r="H462" s="10" t="str">
        <f aca="false">IF($B462="","",$D462*$G462)</f>
        <v/>
      </c>
      <c r="I462" s="10" t="str">
        <f aca="false">IF($B462="","",$F462*$G462)</f>
        <v/>
      </c>
      <c r="J462" s="9"/>
      <c r="K462" s="10" t="str">
        <f aca="false">IF($B462="","",$E462*IFERROR(INDEX(Drinks!$B$4:$B$53,MATCH($B462,Drinks!$A$4:$A$53,0)),0))</f>
        <v/>
      </c>
      <c r="L462" s="10" t="str">
        <f aca="false">IF($B462="","",$J462+$K462)</f>
        <v/>
      </c>
      <c r="M462" s="9"/>
      <c r="N462" s="10" t="str">
        <f aca="false">IF($B462="","",$L462-$M462)</f>
        <v/>
      </c>
      <c r="O462" s="10" t="str">
        <f aca="false">IF($B462="","",IFERROR(INDEX(Drinks!$E$4:$E$53,MATCH($B462,Drinks!$A$4:$A$53,0)),0))</f>
        <v/>
      </c>
      <c r="P462" s="10" t="str">
        <f aca="false">IF($B462="","",$N462*$O462)</f>
        <v/>
      </c>
      <c r="Q462" s="10" t="str">
        <f aca="false">IF($B462="","",$N462*IFERROR(INDEX(Drinks!$D$4:$D$53,MATCH($B462,Drinks!$A$4:$A$53,0)),0))</f>
        <v/>
      </c>
      <c r="R462" s="10" t="str">
        <f aca="false">IF($B462="","",$P462-$Q462)</f>
        <v/>
      </c>
      <c r="S462" s="23" t="str">
        <f aca="false">IF($B462="","",IF(COUNTIFS($A$4:$A$2003,$A462-1,$B$4:$B$2003,$B462)=0,"first day",IF(SUMIFS($M$4:$M$2003,$A$4:$A$2003,$A462-1,$B$4:$B$2003,$B462)=$J462,"OK","CHECK")))</f>
        <v/>
      </c>
      <c r="T462" s="10" t="str">
        <f aca="false">IF($B462="","",IFERROR(INDEX(Drinks!$D$4:$D$53,MATCH($B462,Drinks!$A$4:$A$53,0)),0))</f>
        <v/>
      </c>
    </row>
    <row r="463" customFormat="false" ht="15" hidden="false" customHeight="false" outlineLevel="0" collapsed="false">
      <c r="A463" s="22"/>
      <c r="B463" s="9"/>
      <c r="C463" s="9"/>
      <c r="D463" s="9"/>
      <c r="E463" s="9"/>
      <c r="F463" s="10" t="str">
        <f aca="false">IF($B463="","",$C463+$D463-$E463)</f>
        <v/>
      </c>
      <c r="G463" s="10" t="str">
        <f aca="false">IF($B463="","",IFERROR(INDEX(Drinks!$C$4:$C$53,MATCH($B463,Drinks!$A$4:$A$53,0)),0))</f>
        <v/>
      </c>
      <c r="H463" s="10" t="str">
        <f aca="false">IF($B463="","",$D463*$G463)</f>
        <v/>
      </c>
      <c r="I463" s="10" t="str">
        <f aca="false">IF($B463="","",$F463*$G463)</f>
        <v/>
      </c>
      <c r="J463" s="9"/>
      <c r="K463" s="10" t="str">
        <f aca="false">IF($B463="","",$E463*IFERROR(INDEX(Drinks!$B$4:$B$53,MATCH($B463,Drinks!$A$4:$A$53,0)),0))</f>
        <v/>
      </c>
      <c r="L463" s="10" t="str">
        <f aca="false">IF($B463="","",$J463+$K463)</f>
        <v/>
      </c>
      <c r="M463" s="9"/>
      <c r="N463" s="10" t="str">
        <f aca="false">IF($B463="","",$L463-$M463)</f>
        <v/>
      </c>
      <c r="O463" s="10" t="str">
        <f aca="false">IF($B463="","",IFERROR(INDEX(Drinks!$E$4:$E$53,MATCH($B463,Drinks!$A$4:$A$53,0)),0))</f>
        <v/>
      </c>
      <c r="P463" s="10" t="str">
        <f aca="false">IF($B463="","",$N463*$O463)</f>
        <v/>
      </c>
      <c r="Q463" s="10" t="str">
        <f aca="false">IF($B463="","",$N463*IFERROR(INDEX(Drinks!$D$4:$D$53,MATCH($B463,Drinks!$A$4:$A$53,0)),0))</f>
        <v/>
      </c>
      <c r="R463" s="10" t="str">
        <f aca="false">IF($B463="","",$P463-$Q463)</f>
        <v/>
      </c>
      <c r="S463" s="23" t="str">
        <f aca="false">IF($B463="","",IF(COUNTIFS($A$4:$A$2003,$A463-1,$B$4:$B$2003,$B463)=0,"first day",IF(SUMIFS($M$4:$M$2003,$A$4:$A$2003,$A463-1,$B$4:$B$2003,$B463)=$J463,"OK","CHECK")))</f>
        <v/>
      </c>
      <c r="T463" s="10" t="str">
        <f aca="false">IF($B463="","",IFERROR(INDEX(Drinks!$D$4:$D$53,MATCH($B463,Drinks!$A$4:$A$53,0)),0))</f>
        <v/>
      </c>
    </row>
    <row r="464" customFormat="false" ht="15" hidden="false" customHeight="false" outlineLevel="0" collapsed="false">
      <c r="A464" s="22"/>
      <c r="B464" s="9"/>
      <c r="C464" s="9"/>
      <c r="D464" s="9"/>
      <c r="E464" s="9"/>
      <c r="F464" s="10" t="str">
        <f aca="false">IF($B464="","",$C464+$D464-$E464)</f>
        <v/>
      </c>
      <c r="G464" s="10" t="str">
        <f aca="false">IF($B464="","",IFERROR(INDEX(Drinks!$C$4:$C$53,MATCH($B464,Drinks!$A$4:$A$53,0)),0))</f>
        <v/>
      </c>
      <c r="H464" s="10" t="str">
        <f aca="false">IF($B464="","",$D464*$G464)</f>
        <v/>
      </c>
      <c r="I464" s="10" t="str">
        <f aca="false">IF($B464="","",$F464*$G464)</f>
        <v/>
      </c>
      <c r="J464" s="9"/>
      <c r="K464" s="10" t="str">
        <f aca="false">IF($B464="","",$E464*IFERROR(INDEX(Drinks!$B$4:$B$53,MATCH($B464,Drinks!$A$4:$A$53,0)),0))</f>
        <v/>
      </c>
      <c r="L464" s="10" t="str">
        <f aca="false">IF($B464="","",$J464+$K464)</f>
        <v/>
      </c>
      <c r="M464" s="9"/>
      <c r="N464" s="10" t="str">
        <f aca="false">IF($B464="","",$L464-$M464)</f>
        <v/>
      </c>
      <c r="O464" s="10" t="str">
        <f aca="false">IF($B464="","",IFERROR(INDEX(Drinks!$E$4:$E$53,MATCH($B464,Drinks!$A$4:$A$53,0)),0))</f>
        <v/>
      </c>
      <c r="P464" s="10" t="str">
        <f aca="false">IF($B464="","",$N464*$O464)</f>
        <v/>
      </c>
      <c r="Q464" s="10" t="str">
        <f aca="false">IF($B464="","",$N464*IFERROR(INDEX(Drinks!$D$4:$D$53,MATCH($B464,Drinks!$A$4:$A$53,0)),0))</f>
        <v/>
      </c>
      <c r="R464" s="10" t="str">
        <f aca="false">IF($B464="","",$P464-$Q464)</f>
        <v/>
      </c>
      <c r="S464" s="23" t="str">
        <f aca="false">IF($B464="","",IF(COUNTIFS($A$4:$A$2003,$A464-1,$B$4:$B$2003,$B464)=0,"first day",IF(SUMIFS($M$4:$M$2003,$A$4:$A$2003,$A464-1,$B$4:$B$2003,$B464)=$J464,"OK","CHECK")))</f>
        <v/>
      </c>
      <c r="T464" s="10" t="str">
        <f aca="false">IF($B464="","",IFERROR(INDEX(Drinks!$D$4:$D$53,MATCH($B464,Drinks!$A$4:$A$53,0)),0))</f>
        <v/>
      </c>
    </row>
    <row r="465" customFormat="false" ht="15" hidden="false" customHeight="false" outlineLevel="0" collapsed="false">
      <c r="A465" s="22"/>
      <c r="B465" s="9"/>
      <c r="C465" s="9"/>
      <c r="D465" s="9"/>
      <c r="E465" s="9"/>
      <c r="F465" s="10" t="str">
        <f aca="false">IF($B465="","",$C465+$D465-$E465)</f>
        <v/>
      </c>
      <c r="G465" s="10" t="str">
        <f aca="false">IF($B465="","",IFERROR(INDEX(Drinks!$C$4:$C$53,MATCH($B465,Drinks!$A$4:$A$53,0)),0))</f>
        <v/>
      </c>
      <c r="H465" s="10" t="str">
        <f aca="false">IF($B465="","",$D465*$G465)</f>
        <v/>
      </c>
      <c r="I465" s="10" t="str">
        <f aca="false">IF($B465="","",$F465*$G465)</f>
        <v/>
      </c>
      <c r="J465" s="9"/>
      <c r="K465" s="10" t="str">
        <f aca="false">IF($B465="","",$E465*IFERROR(INDEX(Drinks!$B$4:$B$53,MATCH($B465,Drinks!$A$4:$A$53,0)),0))</f>
        <v/>
      </c>
      <c r="L465" s="10" t="str">
        <f aca="false">IF($B465="","",$J465+$K465)</f>
        <v/>
      </c>
      <c r="M465" s="9"/>
      <c r="N465" s="10" t="str">
        <f aca="false">IF($B465="","",$L465-$M465)</f>
        <v/>
      </c>
      <c r="O465" s="10" t="str">
        <f aca="false">IF($B465="","",IFERROR(INDEX(Drinks!$E$4:$E$53,MATCH($B465,Drinks!$A$4:$A$53,0)),0))</f>
        <v/>
      </c>
      <c r="P465" s="10" t="str">
        <f aca="false">IF($B465="","",$N465*$O465)</f>
        <v/>
      </c>
      <c r="Q465" s="10" t="str">
        <f aca="false">IF($B465="","",$N465*IFERROR(INDEX(Drinks!$D$4:$D$53,MATCH($B465,Drinks!$A$4:$A$53,0)),0))</f>
        <v/>
      </c>
      <c r="R465" s="10" t="str">
        <f aca="false">IF($B465="","",$P465-$Q465)</f>
        <v/>
      </c>
      <c r="S465" s="23" t="str">
        <f aca="false">IF($B465="","",IF(COUNTIFS($A$4:$A$2003,$A465-1,$B$4:$B$2003,$B465)=0,"first day",IF(SUMIFS($M$4:$M$2003,$A$4:$A$2003,$A465-1,$B$4:$B$2003,$B465)=$J465,"OK","CHECK")))</f>
        <v/>
      </c>
      <c r="T465" s="10" t="str">
        <f aca="false">IF($B465="","",IFERROR(INDEX(Drinks!$D$4:$D$53,MATCH($B465,Drinks!$A$4:$A$53,0)),0))</f>
        <v/>
      </c>
    </row>
    <row r="466" customFormat="false" ht="15" hidden="false" customHeight="false" outlineLevel="0" collapsed="false">
      <c r="A466" s="22"/>
      <c r="B466" s="9"/>
      <c r="C466" s="9"/>
      <c r="D466" s="9"/>
      <c r="E466" s="9"/>
      <c r="F466" s="10" t="str">
        <f aca="false">IF($B466="","",$C466+$D466-$E466)</f>
        <v/>
      </c>
      <c r="G466" s="10" t="str">
        <f aca="false">IF($B466="","",IFERROR(INDEX(Drinks!$C$4:$C$53,MATCH($B466,Drinks!$A$4:$A$53,0)),0))</f>
        <v/>
      </c>
      <c r="H466" s="10" t="str">
        <f aca="false">IF($B466="","",$D466*$G466)</f>
        <v/>
      </c>
      <c r="I466" s="10" t="str">
        <f aca="false">IF($B466="","",$F466*$G466)</f>
        <v/>
      </c>
      <c r="J466" s="9"/>
      <c r="K466" s="10" t="str">
        <f aca="false">IF($B466="","",$E466*IFERROR(INDEX(Drinks!$B$4:$B$53,MATCH($B466,Drinks!$A$4:$A$53,0)),0))</f>
        <v/>
      </c>
      <c r="L466" s="10" t="str">
        <f aca="false">IF($B466="","",$J466+$K466)</f>
        <v/>
      </c>
      <c r="M466" s="9"/>
      <c r="N466" s="10" t="str">
        <f aca="false">IF($B466="","",$L466-$M466)</f>
        <v/>
      </c>
      <c r="O466" s="10" t="str">
        <f aca="false">IF($B466="","",IFERROR(INDEX(Drinks!$E$4:$E$53,MATCH($B466,Drinks!$A$4:$A$53,0)),0))</f>
        <v/>
      </c>
      <c r="P466" s="10" t="str">
        <f aca="false">IF($B466="","",$N466*$O466)</f>
        <v/>
      </c>
      <c r="Q466" s="10" t="str">
        <f aca="false">IF($B466="","",$N466*IFERROR(INDEX(Drinks!$D$4:$D$53,MATCH($B466,Drinks!$A$4:$A$53,0)),0))</f>
        <v/>
      </c>
      <c r="R466" s="10" t="str">
        <f aca="false">IF($B466="","",$P466-$Q466)</f>
        <v/>
      </c>
      <c r="S466" s="23" t="str">
        <f aca="false">IF($B466="","",IF(COUNTIFS($A$4:$A$2003,$A466-1,$B$4:$B$2003,$B466)=0,"first day",IF(SUMIFS($M$4:$M$2003,$A$4:$A$2003,$A466-1,$B$4:$B$2003,$B466)=$J466,"OK","CHECK")))</f>
        <v/>
      </c>
      <c r="T466" s="10" t="str">
        <f aca="false">IF($B466="","",IFERROR(INDEX(Drinks!$D$4:$D$53,MATCH($B466,Drinks!$A$4:$A$53,0)),0))</f>
        <v/>
      </c>
    </row>
    <row r="467" customFormat="false" ht="15" hidden="false" customHeight="false" outlineLevel="0" collapsed="false">
      <c r="A467" s="22"/>
      <c r="B467" s="9"/>
      <c r="C467" s="9"/>
      <c r="D467" s="9"/>
      <c r="E467" s="9"/>
      <c r="F467" s="10" t="str">
        <f aca="false">IF($B467="","",$C467+$D467-$E467)</f>
        <v/>
      </c>
      <c r="G467" s="10" t="str">
        <f aca="false">IF($B467="","",IFERROR(INDEX(Drinks!$C$4:$C$53,MATCH($B467,Drinks!$A$4:$A$53,0)),0))</f>
        <v/>
      </c>
      <c r="H467" s="10" t="str">
        <f aca="false">IF($B467="","",$D467*$G467)</f>
        <v/>
      </c>
      <c r="I467" s="10" t="str">
        <f aca="false">IF($B467="","",$F467*$G467)</f>
        <v/>
      </c>
      <c r="J467" s="9"/>
      <c r="K467" s="10" t="str">
        <f aca="false">IF($B467="","",$E467*IFERROR(INDEX(Drinks!$B$4:$B$53,MATCH($B467,Drinks!$A$4:$A$53,0)),0))</f>
        <v/>
      </c>
      <c r="L467" s="10" t="str">
        <f aca="false">IF($B467="","",$J467+$K467)</f>
        <v/>
      </c>
      <c r="M467" s="9"/>
      <c r="N467" s="10" t="str">
        <f aca="false">IF($B467="","",$L467-$M467)</f>
        <v/>
      </c>
      <c r="O467" s="10" t="str">
        <f aca="false">IF($B467="","",IFERROR(INDEX(Drinks!$E$4:$E$53,MATCH($B467,Drinks!$A$4:$A$53,0)),0))</f>
        <v/>
      </c>
      <c r="P467" s="10" t="str">
        <f aca="false">IF($B467="","",$N467*$O467)</f>
        <v/>
      </c>
      <c r="Q467" s="10" t="str">
        <f aca="false">IF($B467="","",$N467*IFERROR(INDEX(Drinks!$D$4:$D$53,MATCH($B467,Drinks!$A$4:$A$53,0)),0))</f>
        <v/>
      </c>
      <c r="R467" s="10" t="str">
        <f aca="false">IF($B467="","",$P467-$Q467)</f>
        <v/>
      </c>
      <c r="S467" s="23" t="str">
        <f aca="false">IF($B467="","",IF(COUNTIFS($A$4:$A$2003,$A467-1,$B$4:$B$2003,$B467)=0,"first day",IF(SUMIFS($M$4:$M$2003,$A$4:$A$2003,$A467-1,$B$4:$B$2003,$B467)=$J467,"OK","CHECK")))</f>
        <v/>
      </c>
      <c r="T467" s="10" t="str">
        <f aca="false">IF($B467="","",IFERROR(INDEX(Drinks!$D$4:$D$53,MATCH($B467,Drinks!$A$4:$A$53,0)),0))</f>
        <v/>
      </c>
    </row>
    <row r="468" customFormat="false" ht="15" hidden="false" customHeight="false" outlineLevel="0" collapsed="false">
      <c r="A468" s="22"/>
      <c r="B468" s="9"/>
      <c r="C468" s="9"/>
      <c r="D468" s="9"/>
      <c r="E468" s="9"/>
      <c r="F468" s="10" t="str">
        <f aca="false">IF($B468="","",$C468+$D468-$E468)</f>
        <v/>
      </c>
      <c r="G468" s="10" t="str">
        <f aca="false">IF($B468="","",IFERROR(INDEX(Drinks!$C$4:$C$53,MATCH($B468,Drinks!$A$4:$A$53,0)),0))</f>
        <v/>
      </c>
      <c r="H468" s="10" t="str">
        <f aca="false">IF($B468="","",$D468*$G468)</f>
        <v/>
      </c>
      <c r="I468" s="10" t="str">
        <f aca="false">IF($B468="","",$F468*$G468)</f>
        <v/>
      </c>
      <c r="J468" s="9"/>
      <c r="K468" s="10" t="str">
        <f aca="false">IF($B468="","",$E468*IFERROR(INDEX(Drinks!$B$4:$B$53,MATCH($B468,Drinks!$A$4:$A$53,0)),0))</f>
        <v/>
      </c>
      <c r="L468" s="10" t="str">
        <f aca="false">IF($B468="","",$J468+$K468)</f>
        <v/>
      </c>
      <c r="M468" s="9"/>
      <c r="N468" s="10" t="str">
        <f aca="false">IF($B468="","",$L468-$M468)</f>
        <v/>
      </c>
      <c r="O468" s="10" t="str">
        <f aca="false">IF($B468="","",IFERROR(INDEX(Drinks!$E$4:$E$53,MATCH($B468,Drinks!$A$4:$A$53,0)),0))</f>
        <v/>
      </c>
      <c r="P468" s="10" t="str">
        <f aca="false">IF($B468="","",$N468*$O468)</f>
        <v/>
      </c>
      <c r="Q468" s="10" t="str">
        <f aca="false">IF($B468="","",$N468*IFERROR(INDEX(Drinks!$D$4:$D$53,MATCH($B468,Drinks!$A$4:$A$53,0)),0))</f>
        <v/>
      </c>
      <c r="R468" s="10" t="str">
        <f aca="false">IF($B468="","",$P468-$Q468)</f>
        <v/>
      </c>
      <c r="S468" s="23" t="str">
        <f aca="false">IF($B468="","",IF(COUNTIFS($A$4:$A$2003,$A468-1,$B$4:$B$2003,$B468)=0,"first day",IF(SUMIFS($M$4:$M$2003,$A$4:$A$2003,$A468-1,$B$4:$B$2003,$B468)=$J468,"OK","CHECK")))</f>
        <v/>
      </c>
      <c r="T468" s="10" t="str">
        <f aca="false">IF($B468="","",IFERROR(INDEX(Drinks!$D$4:$D$53,MATCH($B468,Drinks!$A$4:$A$53,0)),0))</f>
        <v/>
      </c>
    </row>
    <row r="469" customFormat="false" ht="15" hidden="false" customHeight="false" outlineLevel="0" collapsed="false">
      <c r="A469" s="22"/>
      <c r="B469" s="9"/>
      <c r="C469" s="9"/>
      <c r="D469" s="9"/>
      <c r="E469" s="9"/>
      <c r="F469" s="10" t="str">
        <f aca="false">IF($B469="","",$C469+$D469-$E469)</f>
        <v/>
      </c>
      <c r="G469" s="10" t="str">
        <f aca="false">IF($B469="","",IFERROR(INDEX(Drinks!$C$4:$C$53,MATCH($B469,Drinks!$A$4:$A$53,0)),0))</f>
        <v/>
      </c>
      <c r="H469" s="10" t="str">
        <f aca="false">IF($B469="","",$D469*$G469)</f>
        <v/>
      </c>
      <c r="I469" s="10" t="str">
        <f aca="false">IF($B469="","",$F469*$G469)</f>
        <v/>
      </c>
      <c r="J469" s="9"/>
      <c r="K469" s="10" t="str">
        <f aca="false">IF($B469="","",$E469*IFERROR(INDEX(Drinks!$B$4:$B$53,MATCH($B469,Drinks!$A$4:$A$53,0)),0))</f>
        <v/>
      </c>
      <c r="L469" s="10" t="str">
        <f aca="false">IF($B469="","",$J469+$K469)</f>
        <v/>
      </c>
      <c r="M469" s="9"/>
      <c r="N469" s="10" t="str">
        <f aca="false">IF($B469="","",$L469-$M469)</f>
        <v/>
      </c>
      <c r="O469" s="10" t="str">
        <f aca="false">IF($B469="","",IFERROR(INDEX(Drinks!$E$4:$E$53,MATCH($B469,Drinks!$A$4:$A$53,0)),0))</f>
        <v/>
      </c>
      <c r="P469" s="10" t="str">
        <f aca="false">IF($B469="","",$N469*$O469)</f>
        <v/>
      </c>
      <c r="Q469" s="10" t="str">
        <f aca="false">IF($B469="","",$N469*IFERROR(INDEX(Drinks!$D$4:$D$53,MATCH($B469,Drinks!$A$4:$A$53,0)),0))</f>
        <v/>
      </c>
      <c r="R469" s="10" t="str">
        <f aca="false">IF($B469="","",$P469-$Q469)</f>
        <v/>
      </c>
      <c r="S469" s="23" t="str">
        <f aca="false">IF($B469="","",IF(COUNTIFS($A$4:$A$2003,$A469-1,$B$4:$B$2003,$B469)=0,"first day",IF(SUMIFS($M$4:$M$2003,$A$4:$A$2003,$A469-1,$B$4:$B$2003,$B469)=$J469,"OK","CHECK")))</f>
        <v/>
      </c>
      <c r="T469" s="10" t="str">
        <f aca="false">IF($B469="","",IFERROR(INDEX(Drinks!$D$4:$D$53,MATCH($B469,Drinks!$A$4:$A$53,0)),0))</f>
        <v/>
      </c>
    </row>
    <row r="470" customFormat="false" ht="15" hidden="false" customHeight="false" outlineLevel="0" collapsed="false">
      <c r="A470" s="22"/>
      <c r="B470" s="9"/>
      <c r="C470" s="9"/>
      <c r="D470" s="9"/>
      <c r="E470" s="9"/>
      <c r="F470" s="10" t="str">
        <f aca="false">IF($B470="","",$C470+$D470-$E470)</f>
        <v/>
      </c>
      <c r="G470" s="10" t="str">
        <f aca="false">IF($B470="","",IFERROR(INDEX(Drinks!$C$4:$C$53,MATCH($B470,Drinks!$A$4:$A$53,0)),0))</f>
        <v/>
      </c>
      <c r="H470" s="10" t="str">
        <f aca="false">IF($B470="","",$D470*$G470)</f>
        <v/>
      </c>
      <c r="I470" s="10" t="str">
        <f aca="false">IF($B470="","",$F470*$G470)</f>
        <v/>
      </c>
      <c r="J470" s="9"/>
      <c r="K470" s="10" t="str">
        <f aca="false">IF($B470="","",$E470*IFERROR(INDEX(Drinks!$B$4:$B$53,MATCH($B470,Drinks!$A$4:$A$53,0)),0))</f>
        <v/>
      </c>
      <c r="L470" s="10" t="str">
        <f aca="false">IF($B470="","",$J470+$K470)</f>
        <v/>
      </c>
      <c r="M470" s="9"/>
      <c r="N470" s="10" t="str">
        <f aca="false">IF($B470="","",$L470-$M470)</f>
        <v/>
      </c>
      <c r="O470" s="10" t="str">
        <f aca="false">IF($B470="","",IFERROR(INDEX(Drinks!$E$4:$E$53,MATCH($B470,Drinks!$A$4:$A$53,0)),0))</f>
        <v/>
      </c>
      <c r="P470" s="10" t="str">
        <f aca="false">IF($B470="","",$N470*$O470)</f>
        <v/>
      </c>
      <c r="Q470" s="10" t="str">
        <f aca="false">IF($B470="","",$N470*IFERROR(INDEX(Drinks!$D$4:$D$53,MATCH($B470,Drinks!$A$4:$A$53,0)),0))</f>
        <v/>
      </c>
      <c r="R470" s="10" t="str">
        <f aca="false">IF($B470="","",$P470-$Q470)</f>
        <v/>
      </c>
      <c r="S470" s="23" t="str">
        <f aca="false">IF($B470="","",IF(COUNTIFS($A$4:$A$2003,$A470-1,$B$4:$B$2003,$B470)=0,"first day",IF(SUMIFS($M$4:$M$2003,$A$4:$A$2003,$A470-1,$B$4:$B$2003,$B470)=$J470,"OK","CHECK")))</f>
        <v/>
      </c>
      <c r="T470" s="10" t="str">
        <f aca="false">IF($B470="","",IFERROR(INDEX(Drinks!$D$4:$D$53,MATCH($B470,Drinks!$A$4:$A$53,0)),0))</f>
        <v/>
      </c>
    </row>
    <row r="471" customFormat="false" ht="15" hidden="false" customHeight="false" outlineLevel="0" collapsed="false">
      <c r="A471" s="22"/>
      <c r="B471" s="9"/>
      <c r="C471" s="9"/>
      <c r="D471" s="9"/>
      <c r="E471" s="9"/>
      <c r="F471" s="10" t="str">
        <f aca="false">IF($B471="","",$C471+$D471-$E471)</f>
        <v/>
      </c>
      <c r="G471" s="10" t="str">
        <f aca="false">IF($B471="","",IFERROR(INDEX(Drinks!$C$4:$C$53,MATCH($B471,Drinks!$A$4:$A$53,0)),0))</f>
        <v/>
      </c>
      <c r="H471" s="10" t="str">
        <f aca="false">IF($B471="","",$D471*$G471)</f>
        <v/>
      </c>
      <c r="I471" s="10" t="str">
        <f aca="false">IF($B471="","",$F471*$G471)</f>
        <v/>
      </c>
      <c r="J471" s="9"/>
      <c r="K471" s="10" t="str">
        <f aca="false">IF($B471="","",$E471*IFERROR(INDEX(Drinks!$B$4:$B$53,MATCH($B471,Drinks!$A$4:$A$53,0)),0))</f>
        <v/>
      </c>
      <c r="L471" s="10" t="str">
        <f aca="false">IF($B471="","",$J471+$K471)</f>
        <v/>
      </c>
      <c r="M471" s="9"/>
      <c r="N471" s="10" t="str">
        <f aca="false">IF($B471="","",$L471-$M471)</f>
        <v/>
      </c>
      <c r="O471" s="10" t="str">
        <f aca="false">IF($B471="","",IFERROR(INDEX(Drinks!$E$4:$E$53,MATCH($B471,Drinks!$A$4:$A$53,0)),0))</f>
        <v/>
      </c>
      <c r="P471" s="10" t="str">
        <f aca="false">IF($B471="","",$N471*$O471)</f>
        <v/>
      </c>
      <c r="Q471" s="10" t="str">
        <f aca="false">IF($B471="","",$N471*IFERROR(INDEX(Drinks!$D$4:$D$53,MATCH($B471,Drinks!$A$4:$A$53,0)),0))</f>
        <v/>
      </c>
      <c r="R471" s="10" t="str">
        <f aca="false">IF($B471="","",$P471-$Q471)</f>
        <v/>
      </c>
      <c r="S471" s="23" t="str">
        <f aca="false">IF($B471="","",IF(COUNTIFS($A$4:$A$2003,$A471-1,$B$4:$B$2003,$B471)=0,"first day",IF(SUMIFS($M$4:$M$2003,$A$4:$A$2003,$A471-1,$B$4:$B$2003,$B471)=$J471,"OK","CHECK")))</f>
        <v/>
      </c>
      <c r="T471" s="10" t="str">
        <f aca="false">IF($B471="","",IFERROR(INDEX(Drinks!$D$4:$D$53,MATCH($B471,Drinks!$A$4:$A$53,0)),0))</f>
        <v/>
      </c>
    </row>
    <row r="472" customFormat="false" ht="15" hidden="false" customHeight="false" outlineLevel="0" collapsed="false">
      <c r="A472" s="22"/>
      <c r="B472" s="9"/>
      <c r="C472" s="9"/>
      <c r="D472" s="9"/>
      <c r="E472" s="9"/>
      <c r="F472" s="10" t="str">
        <f aca="false">IF($B472="","",$C472+$D472-$E472)</f>
        <v/>
      </c>
      <c r="G472" s="10" t="str">
        <f aca="false">IF($B472="","",IFERROR(INDEX(Drinks!$C$4:$C$53,MATCH($B472,Drinks!$A$4:$A$53,0)),0))</f>
        <v/>
      </c>
      <c r="H472" s="10" t="str">
        <f aca="false">IF($B472="","",$D472*$G472)</f>
        <v/>
      </c>
      <c r="I472" s="10" t="str">
        <f aca="false">IF($B472="","",$F472*$G472)</f>
        <v/>
      </c>
      <c r="J472" s="9"/>
      <c r="K472" s="10" t="str">
        <f aca="false">IF($B472="","",$E472*IFERROR(INDEX(Drinks!$B$4:$B$53,MATCH($B472,Drinks!$A$4:$A$53,0)),0))</f>
        <v/>
      </c>
      <c r="L472" s="10" t="str">
        <f aca="false">IF($B472="","",$J472+$K472)</f>
        <v/>
      </c>
      <c r="M472" s="9"/>
      <c r="N472" s="10" t="str">
        <f aca="false">IF($B472="","",$L472-$M472)</f>
        <v/>
      </c>
      <c r="O472" s="10" t="str">
        <f aca="false">IF($B472="","",IFERROR(INDEX(Drinks!$E$4:$E$53,MATCH($B472,Drinks!$A$4:$A$53,0)),0))</f>
        <v/>
      </c>
      <c r="P472" s="10" t="str">
        <f aca="false">IF($B472="","",$N472*$O472)</f>
        <v/>
      </c>
      <c r="Q472" s="10" t="str">
        <f aca="false">IF($B472="","",$N472*IFERROR(INDEX(Drinks!$D$4:$D$53,MATCH($B472,Drinks!$A$4:$A$53,0)),0))</f>
        <v/>
      </c>
      <c r="R472" s="10" t="str">
        <f aca="false">IF($B472="","",$P472-$Q472)</f>
        <v/>
      </c>
      <c r="S472" s="23" t="str">
        <f aca="false">IF($B472="","",IF(COUNTIFS($A$4:$A$2003,$A472-1,$B$4:$B$2003,$B472)=0,"first day",IF(SUMIFS($M$4:$M$2003,$A$4:$A$2003,$A472-1,$B$4:$B$2003,$B472)=$J472,"OK","CHECK")))</f>
        <v/>
      </c>
      <c r="T472" s="10" t="str">
        <f aca="false">IF($B472="","",IFERROR(INDEX(Drinks!$D$4:$D$53,MATCH($B472,Drinks!$A$4:$A$53,0)),0))</f>
        <v/>
      </c>
    </row>
    <row r="473" customFormat="false" ht="15" hidden="false" customHeight="false" outlineLevel="0" collapsed="false">
      <c r="A473" s="22"/>
      <c r="B473" s="9"/>
      <c r="C473" s="9"/>
      <c r="D473" s="9"/>
      <c r="E473" s="9"/>
      <c r="F473" s="10" t="str">
        <f aca="false">IF($B473="","",$C473+$D473-$E473)</f>
        <v/>
      </c>
      <c r="G473" s="10" t="str">
        <f aca="false">IF($B473="","",IFERROR(INDEX(Drinks!$C$4:$C$53,MATCH($B473,Drinks!$A$4:$A$53,0)),0))</f>
        <v/>
      </c>
      <c r="H473" s="10" t="str">
        <f aca="false">IF($B473="","",$D473*$G473)</f>
        <v/>
      </c>
      <c r="I473" s="10" t="str">
        <f aca="false">IF($B473="","",$F473*$G473)</f>
        <v/>
      </c>
      <c r="J473" s="9"/>
      <c r="K473" s="10" t="str">
        <f aca="false">IF($B473="","",$E473*IFERROR(INDEX(Drinks!$B$4:$B$53,MATCH($B473,Drinks!$A$4:$A$53,0)),0))</f>
        <v/>
      </c>
      <c r="L473" s="10" t="str">
        <f aca="false">IF($B473="","",$J473+$K473)</f>
        <v/>
      </c>
      <c r="M473" s="9"/>
      <c r="N473" s="10" t="str">
        <f aca="false">IF($B473="","",$L473-$M473)</f>
        <v/>
      </c>
      <c r="O473" s="10" t="str">
        <f aca="false">IF($B473="","",IFERROR(INDEX(Drinks!$E$4:$E$53,MATCH($B473,Drinks!$A$4:$A$53,0)),0))</f>
        <v/>
      </c>
      <c r="P473" s="10" t="str">
        <f aca="false">IF($B473="","",$N473*$O473)</f>
        <v/>
      </c>
      <c r="Q473" s="10" t="str">
        <f aca="false">IF($B473="","",$N473*IFERROR(INDEX(Drinks!$D$4:$D$53,MATCH($B473,Drinks!$A$4:$A$53,0)),0))</f>
        <v/>
      </c>
      <c r="R473" s="10" t="str">
        <f aca="false">IF($B473="","",$P473-$Q473)</f>
        <v/>
      </c>
      <c r="S473" s="23" t="str">
        <f aca="false">IF($B473="","",IF(COUNTIFS($A$4:$A$2003,$A473-1,$B$4:$B$2003,$B473)=0,"first day",IF(SUMIFS($M$4:$M$2003,$A$4:$A$2003,$A473-1,$B$4:$B$2003,$B473)=$J473,"OK","CHECK")))</f>
        <v/>
      </c>
      <c r="T473" s="10" t="str">
        <f aca="false">IF($B473="","",IFERROR(INDEX(Drinks!$D$4:$D$53,MATCH($B473,Drinks!$A$4:$A$53,0)),0))</f>
        <v/>
      </c>
    </row>
    <row r="474" customFormat="false" ht="15" hidden="false" customHeight="false" outlineLevel="0" collapsed="false">
      <c r="A474" s="22"/>
      <c r="B474" s="9"/>
      <c r="C474" s="9"/>
      <c r="D474" s="9"/>
      <c r="E474" s="9"/>
      <c r="F474" s="10" t="str">
        <f aca="false">IF($B474="","",$C474+$D474-$E474)</f>
        <v/>
      </c>
      <c r="G474" s="10" t="str">
        <f aca="false">IF($B474="","",IFERROR(INDEX(Drinks!$C$4:$C$53,MATCH($B474,Drinks!$A$4:$A$53,0)),0))</f>
        <v/>
      </c>
      <c r="H474" s="10" t="str">
        <f aca="false">IF($B474="","",$D474*$G474)</f>
        <v/>
      </c>
      <c r="I474" s="10" t="str">
        <f aca="false">IF($B474="","",$F474*$G474)</f>
        <v/>
      </c>
      <c r="J474" s="9"/>
      <c r="K474" s="10" t="str">
        <f aca="false">IF($B474="","",$E474*IFERROR(INDEX(Drinks!$B$4:$B$53,MATCH($B474,Drinks!$A$4:$A$53,0)),0))</f>
        <v/>
      </c>
      <c r="L474" s="10" t="str">
        <f aca="false">IF($B474="","",$J474+$K474)</f>
        <v/>
      </c>
      <c r="M474" s="9"/>
      <c r="N474" s="10" t="str">
        <f aca="false">IF($B474="","",$L474-$M474)</f>
        <v/>
      </c>
      <c r="O474" s="10" t="str">
        <f aca="false">IF($B474="","",IFERROR(INDEX(Drinks!$E$4:$E$53,MATCH($B474,Drinks!$A$4:$A$53,0)),0))</f>
        <v/>
      </c>
      <c r="P474" s="10" t="str">
        <f aca="false">IF($B474="","",$N474*$O474)</f>
        <v/>
      </c>
      <c r="Q474" s="10" t="str">
        <f aca="false">IF($B474="","",$N474*IFERROR(INDEX(Drinks!$D$4:$D$53,MATCH($B474,Drinks!$A$4:$A$53,0)),0))</f>
        <v/>
      </c>
      <c r="R474" s="10" t="str">
        <f aca="false">IF($B474="","",$P474-$Q474)</f>
        <v/>
      </c>
      <c r="S474" s="23" t="str">
        <f aca="false">IF($B474="","",IF(COUNTIFS($A$4:$A$2003,$A474-1,$B$4:$B$2003,$B474)=0,"first day",IF(SUMIFS($M$4:$M$2003,$A$4:$A$2003,$A474-1,$B$4:$B$2003,$B474)=$J474,"OK","CHECK")))</f>
        <v/>
      </c>
      <c r="T474" s="10" t="str">
        <f aca="false">IF($B474="","",IFERROR(INDEX(Drinks!$D$4:$D$53,MATCH($B474,Drinks!$A$4:$A$53,0)),0))</f>
        <v/>
      </c>
    </row>
    <row r="475" customFormat="false" ht="15" hidden="false" customHeight="false" outlineLevel="0" collapsed="false">
      <c r="A475" s="22"/>
      <c r="B475" s="9"/>
      <c r="C475" s="9"/>
      <c r="D475" s="9"/>
      <c r="E475" s="9"/>
      <c r="F475" s="10" t="str">
        <f aca="false">IF($B475="","",$C475+$D475-$E475)</f>
        <v/>
      </c>
      <c r="G475" s="10" t="str">
        <f aca="false">IF($B475="","",IFERROR(INDEX(Drinks!$C$4:$C$53,MATCH($B475,Drinks!$A$4:$A$53,0)),0))</f>
        <v/>
      </c>
      <c r="H475" s="10" t="str">
        <f aca="false">IF($B475="","",$D475*$G475)</f>
        <v/>
      </c>
      <c r="I475" s="10" t="str">
        <f aca="false">IF($B475="","",$F475*$G475)</f>
        <v/>
      </c>
      <c r="J475" s="9"/>
      <c r="K475" s="10" t="str">
        <f aca="false">IF($B475="","",$E475*IFERROR(INDEX(Drinks!$B$4:$B$53,MATCH($B475,Drinks!$A$4:$A$53,0)),0))</f>
        <v/>
      </c>
      <c r="L475" s="10" t="str">
        <f aca="false">IF($B475="","",$J475+$K475)</f>
        <v/>
      </c>
      <c r="M475" s="9"/>
      <c r="N475" s="10" t="str">
        <f aca="false">IF($B475="","",$L475-$M475)</f>
        <v/>
      </c>
      <c r="O475" s="10" t="str">
        <f aca="false">IF($B475="","",IFERROR(INDEX(Drinks!$E$4:$E$53,MATCH($B475,Drinks!$A$4:$A$53,0)),0))</f>
        <v/>
      </c>
      <c r="P475" s="10" t="str">
        <f aca="false">IF($B475="","",$N475*$O475)</f>
        <v/>
      </c>
      <c r="Q475" s="10" t="str">
        <f aca="false">IF($B475="","",$N475*IFERROR(INDEX(Drinks!$D$4:$D$53,MATCH($B475,Drinks!$A$4:$A$53,0)),0))</f>
        <v/>
      </c>
      <c r="R475" s="10" t="str">
        <f aca="false">IF($B475="","",$P475-$Q475)</f>
        <v/>
      </c>
      <c r="S475" s="23" t="str">
        <f aca="false">IF($B475="","",IF(COUNTIFS($A$4:$A$2003,$A475-1,$B$4:$B$2003,$B475)=0,"first day",IF(SUMIFS($M$4:$M$2003,$A$4:$A$2003,$A475-1,$B$4:$B$2003,$B475)=$J475,"OK","CHECK")))</f>
        <v/>
      </c>
      <c r="T475" s="10" t="str">
        <f aca="false">IF($B475="","",IFERROR(INDEX(Drinks!$D$4:$D$53,MATCH($B475,Drinks!$A$4:$A$53,0)),0))</f>
        <v/>
      </c>
    </row>
    <row r="476" customFormat="false" ht="15" hidden="false" customHeight="false" outlineLevel="0" collapsed="false">
      <c r="A476" s="22"/>
      <c r="B476" s="9"/>
      <c r="C476" s="9"/>
      <c r="D476" s="9"/>
      <c r="E476" s="9"/>
      <c r="F476" s="10" t="str">
        <f aca="false">IF($B476="","",$C476+$D476-$E476)</f>
        <v/>
      </c>
      <c r="G476" s="10" t="str">
        <f aca="false">IF($B476="","",IFERROR(INDEX(Drinks!$C$4:$C$53,MATCH($B476,Drinks!$A$4:$A$53,0)),0))</f>
        <v/>
      </c>
      <c r="H476" s="10" t="str">
        <f aca="false">IF($B476="","",$D476*$G476)</f>
        <v/>
      </c>
      <c r="I476" s="10" t="str">
        <f aca="false">IF($B476="","",$F476*$G476)</f>
        <v/>
      </c>
      <c r="J476" s="9"/>
      <c r="K476" s="10" t="str">
        <f aca="false">IF($B476="","",$E476*IFERROR(INDEX(Drinks!$B$4:$B$53,MATCH($B476,Drinks!$A$4:$A$53,0)),0))</f>
        <v/>
      </c>
      <c r="L476" s="10" t="str">
        <f aca="false">IF($B476="","",$J476+$K476)</f>
        <v/>
      </c>
      <c r="M476" s="9"/>
      <c r="N476" s="10" t="str">
        <f aca="false">IF($B476="","",$L476-$M476)</f>
        <v/>
      </c>
      <c r="O476" s="10" t="str">
        <f aca="false">IF($B476="","",IFERROR(INDEX(Drinks!$E$4:$E$53,MATCH($B476,Drinks!$A$4:$A$53,0)),0))</f>
        <v/>
      </c>
      <c r="P476" s="10" t="str">
        <f aca="false">IF($B476="","",$N476*$O476)</f>
        <v/>
      </c>
      <c r="Q476" s="10" t="str">
        <f aca="false">IF($B476="","",$N476*IFERROR(INDEX(Drinks!$D$4:$D$53,MATCH($B476,Drinks!$A$4:$A$53,0)),0))</f>
        <v/>
      </c>
      <c r="R476" s="10" t="str">
        <f aca="false">IF($B476="","",$P476-$Q476)</f>
        <v/>
      </c>
      <c r="S476" s="23" t="str">
        <f aca="false">IF($B476="","",IF(COUNTIFS($A$4:$A$2003,$A476-1,$B$4:$B$2003,$B476)=0,"first day",IF(SUMIFS($M$4:$M$2003,$A$4:$A$2003,$A476-1,$B$4:$B$2003,$B476)=$J476,"OK","CHECK")))</f>
        <v/>
      </c>
      <c r="T476" s="10" t="str">
        <f aca="false">IF($B476="","",IFERROR(INDEX(Drinks!$D$4:$D$53,MATCH($B476,Drinks!$A$4:$A$53,0)),0))</f>
        <v/>
      </c>
    </row>
    <row r="477" customFormat="false" ht="15" hidden="false" customHeight="false" outlineLevel="0" collapsed="false">
      <c r="A477" s="22"/>
      <c r="B477" s="9"/>
      <c r="C477" s="9"/>
      <c r="D477" s="9"/>
      <c r="E477" s="9"/>
      <c r="F477" s="10" t="str">
        <f aca="false">IF($B477="","",$C477+$D477-$E477)</f>
        <v/>
      </c>
      <c r="G477" s="10" t="str">
        <f aca="false">IF($B477="","",IFERROR(INDEX(Drinks!$C$4:$C$53,MATCH($B477,Drinks!$A$4:$A$53,0)),0))</f>
        <v/>
      </c>
      <c r="H477" s="10" t="str">
        <f aca="false">IF($B477="","",$D477*$G477)</f>
        <v/>
      </c>
      <c r="I477" s="10" t="str">
        <f aca="false">IF($B477="","",$F477*$G477)</f>
        <v/>
      </c>
      <c r="J477" s="9"/>
      <c r="K477" s="10" t="str">
        <f aca="false">IF($B477="","",$E477*IFERROR(INDEX(Drinks!$B$4:$B$53,MATCH($B477,Drinks!$A$4:$A$53,0)),0))</f>
        <v/>
      </c>
      <c r="L477" s="10" t="str">
        <f aca="false">IF($B477="","",$J477+$K477)</f>
        <v/>
      </c>
      <c r="M477" s="9"/>
      <c r="N477" s="10" t="str">
        <f aca="false">IF($B477="","",$L477-$M477)</f>
        <v/>
      </c>
      <c r="O477" s="10" t="str">
        <f aca="false">IF($B477="","",IFERROR(INDEX(Drinks!$E$4:$E$53,MATCH($B477,Drinks!$A$4:$A$53,0)),0))</f>
        <v/>
      </c>
      <c r="P477" s="10" t="str">
        <f aca="false">IF($B477="","",$N477*$O477)</f>
        <v/>
      </c>
      <c r="Q477" s="10" t="str">
        <f aca="false">IF($B477="","",$N477*IFERROR(INDEX(Drinks!$D$4:$D$53,MATCH($B477,Drinks!$A$4:$A$53,0)),0))</f>
        <v/>
      </c>
      <c r="R477" s="10" t="str">
        <f aca="false">IF($B477="","",$P477-$Q477)</f>
        <v/>
      </c>
      <c r="S477" s="23" t="str">
        <f aca="false">IF($B477="","",IF(COUNTIFS($A$4:$A$2003,$A477-1,$B$4:$B$2003,$B477)=0,"first day",IF(SUMIFS($M$4:$M$2003,$A$4:$A$2003,$A477-1,$B$4:$B$2003,$B477)=$J477,"OK","CHECK")))</f>
        <v/>
      </c>
      <c r="T477" s="10" t="str">
        <f aca="false">IF($B477="","",IFERROR(INDEX(Drinks!$D$4:$D$53,MATCH($B477,Drinks!$A$4:$A$53,0)),0))</f>
        <v/>
      </c>
    </row>
    <row r="478" customFormat="false" ht="15" hidden="false" customHeight="false" outlineLevel="0" collapsed="false">
      <c r="A478" s="22"/>
      <c r="B478" s="9"/>
      <c r="C478" s="9"/>
      <c r="D478" s="9"/>
      <c r="E478" s="9"/>
      <c r="F478" s="10" t="str">
        <f aca="false">IF($B478="","",$C478+$D478-$E478)</f>
        <v/>
      </c>
      <c r="G478" s="10" t="str">
        <f aca="false">IF($B478="","",IFERROR(INDEX(Drinks!$C$4:$C$53,MATCH($B478,Drinks!$A$4:$A$53,0)),0))</f>
        <v/>
      </c>
      <c r="H478" s="10" t="str">
        <f aca="false">IF($B478="","",$D478*$G478)</f>
        <v/>
      </c>
      <c r="I478" s="10" t="str">
        <f aca="false">IF($B478="","",$F478*$G478)</f>
        <v/>
      </c>
      <c r="J478" s="9"/>
      <c r="K478" s="10" t="str">
        <f aca="false">IF($B478="","",$E478*IFERROR(INDEX(Drinks!$B$4:$B$53,MATCH($B478,Drinks!$A$4:$A$53,0)),0))</f>
        <v/>
      </c>
      <c r="L478" s="10" t="str">
        <f aca="false">IF($B478="","",$J478+$K478)</f>
        <v/>
      </c>
      <c r="M478" s="9"/>
      <c r="N478" s="10" t="str">
        <f aca="false">IF($B478="","",$L478-$M478)</f>
        <v/>
      </c>
      <c r="O478" s="10" t="str">
        <f aca="false">IF($B478="","",IFERROR(INDEX(Drinks!$E$4:$E$53,MATCH($B478,Drinks!$A$4:$A$53,0)),0))</f>
        <v/>
      </c>
      <c r="P478" s="10" t="str">
        <f aca="false">IF($B478="","",$N478*$O478)</f>
        <v/>
      </c>
      <c r="Q478" s="10" t="str">
        <f aca="false">IF($B478="","",$N478*IFERROR(INDEX(Drinks!$D$4:$D$53,MATCH($B478,Drinks!$A$4:$A$53,0)),0))</f>
        <v/>
      </c>
      <c r="R478" s="10" t="str">
        <f aca="false">IF($B478="","",$P478-$Q478)</f>
        <v/>
      </c>
      <c r="S478" s="23" t="str">
        <f aca="false">IF($B478="","",IF(COUNTIFS($A$4:$A$2003,$A478-1,$B$4:$B$2003,$B478)=0,"first day",IF(SUMIFS($M$4:$M$2003,$A$4:$A$2003,$A478-1,$B$4:$B$2003,$B478)=$J478,"OK","CHECK")))</f>
        <v/>
      </c>
      <c r="T478" s="10" t="str">
        <f aca="false">IF($B478="","",IFERROR(INDEX(Drinks!$D$4:$D$53,MATCH($B478,Drinks!$A$4:$A$53,0)),0))</f>
        <v/>
      </c>
    </row>
    <row r="479" customFormat="false" ht="15" hidden="false" customHeight="false" outlineLevel="0" collapsed="false">
      <c r="A479" s="22"/>
      <c r="B479" s="9"/>
      <c r="C479" s="9"/>
      <c r="D479" s="9"/>
      <c r="E479" s="9"/>
      <c r="F479" s="10" t="str">
        <f aca="false">IF($B479="","",$C479+$D479-$E479)</f>
        <v/>
      </c>
      <c r="G479" s="10" t="str">
        <f aca="false">IF($B479="","",IFERROR(INDEX(Drinks!$C$4:$C$53,MATCH($B479,Drinks!$A$4:$A$53,0)),0))</f>
        <v/>
      </c>
      <c r="H479" s="10" t="str">
        <f aca="false">IF($B479="","",$D479*$G479)</f>
        <v/>
      </c>
      <c r="I479" s="10" t="str">
        <f aca="false">IF($B479="","",$F479*$G479)</f>
        <v/>
      </c>
      <c r="J479" s="9"/>
      <c r="K479" s="10" t="str">
        <f aca="false">IF($B479="","",$E479*IFERROR(INDEX(Drinks!$B$4:$B$53,MATCH($B479,Drinks!$A$4:$A$53,0)),0))</f>
        <v/>
      </c>
      <c r="L479" s="10" t="str">
        <f aca="false">IF($B479="","",$J479+$K479)</f>
        <v/>
      </c>
      <c r="M479" s="9"/>
      <c r="N479" s="10" t="str">
        <f aca="false">IF($B479="","",$L479-$M479)</f>
        <v/>
      </c>
      <c r="O479" s="10" t="str">
        <f aca="false">IF($B479="","",IFERROR(INDEX(Drinks!$E$4:$E$53,MATCH($B479,Drinks!$A$4:$A$53,0)),0))</f>
        <v/>
      </c>
      <c r="P479" s="10" t="str">
        <f aca="false">IF($B479="","",$N479*$O479)</f>
        <v/>
      </c>
      <c r="Q479" s="10" t="str">
        <f aca="false">IF($B479="","",$N479*IFERROR(INDEX(Drinks!$D$4:$D$53,MATCH($B479,Drinks!$A$4:$A$53,0)),0))</f>
        <v/>
      </c>
      <c r="R479" s="10" t="str">
        <f aca="false">IF($B479="","",$P479-$Q479)</f>
        <v/>
      </c>
      <c r="S479" s="23" t="str">
        <f aca="false">IF($B479="","",IF(COUNTIFS($A$4:$A$2003,$A479-1,$B$4:$B$2003,$B479)=0,"first day",IF(SUMIFS($M$4:$M$2003,$A$4:$A$2003,$A479-1,$B$4:$B$2003,$B479)=$J479,"OK","CHECK")))</f>
        <v/>
      </c>
      <c r="T479" s="10" t="str">
        <f aca="false">IF($B479="","",IFERROR(INDEX(Drinks!$D$4:$D$53,MATCH($B479,Drinks!$A$4:$A$53,0)),0))</f>
        <v/>
      </c>
    </row>
    <row r="480" customFormat="false" ht="15" hidden="false" customHeight="false" outlineLevel="0" collapsed="false">
      <c r="A480" s="22"/>
      <c r="B480" s="9"/>
      <c r="C480" s="9"/>
      <c r="D480" s="9"/>
      <c r="E480" s="9"/>
      <c r="F480" s="10" t="str">
        <f aca="false">IF($B480="","",$C480+$D480-$E480)</f>
        <v/>
      </c>
      <c r="G480" s="10" t="str">
        <f aca="false">IF($B480="","",IFERROR(INDEX(Drinks!$C$4:$C$53,MATCH($B480,Drinks!$A$4:$A$53,0)),0))</f>
        <v/>
      </c>
      <c r="H480" s="10" t="str">
        <f aca="false">IF($B480="","",$D480*$G480)</f>
        <v/>
      </c>
      <c r="I480" s="10" t="str">
        <f aca="false">IF($B480="","",$F480*$G480)</f>
        <v/>
      </c>
      <c r="J480" s="9"/>
      <c r="K480" s="10" t="str">
        <f aca="false">IF($B480="","",$E480*IFERROR(INDEX(Drinks!$B$4:$B$53,MATCH($B480,Drinks!$A$4:$A$53,0)),0))</f>
        <v/>
      </c>
      <c r="L480" s="10" t="str">
        <f aca="false">IF($B480="","",$J480+$K480)</f>
        <v/>
      </c>
      <c r="M480" s="9"/>
      <c r="N480" s="10" t="str">
        <f aca="false">IF($B480="","",$L480-$M480)</f>
        <v/>
      </c>
      <c r="O480" s="10" t="str">
        <f aca="false">IF($B480="","",IFERROR(INDEX(Drinks!$E$4:$E$53,MATCH($B480,Drinks!$A$4:$A$53,0)),0))</f>
        <v/>
      </c>
      <c r="P480" s="10" t="str">
        <f aca="false">IF($B480="","",$N480*$O480)</f>
        <v/>
      </c>
      <c r="Q480" s="10" t="str">
        <f aca="false">IF($B480="","",$N480*IFERROR(INDEX(Drinks!$D$4:$D$53,MATCH($B480,Drinks!$A$4:$A$53,0)),0))</f>
        <v/>
      </c>
      <c r="R480" s="10" t="str">
        <f aca="false">IF($B480="","",$P480-$Q480)</f>
        <v/>
      </c>
      <c r="S480" s="23" t="str">
        <f aca="false">IF($B480="","",IF(COUNTIFS($A$4:$A$2003,$A480-1,$B$4:$B$2003,$B480)=0,"first day",IF(SUMIFS($M$4:$M$2003,$A$4:$A$2003,$A480-1,$B$4:$B$2003,$B480)=$J480,"OK","CHECK")))</f>
        <v/>
      </c>
      <c r="T480" s="10" t="str">
        <f aca="false">IF($B480="","",IFERROR(INDEX(Drinks!$D$4:$D$53,MATCH($B480,Drinks!$A$4:$A$53,0)),0))</f>
        <v/>
      </c>
    </row>
    <row r="481" customFormat="false" ht="15" hidden="false" customHeight="false" outlineLevel="0" collapsed="false">
      <c r="A481" s="22"/>
      <c r="B481" s="9"/>
      <c r="C481" s="9"/>
      <c r="D481" s="9"/>
      <c r="E481" s="9"/>
      <c r="F481" s="10" t="str">
        <f aca="false">IF($B481="","",$C481+$D481-$E481)</f>
        <v/>
      </c>
      <c r="G481" s="10" t="str">
        <f aca="false">IF($B481="","",IFERROR(INDEX(Drinks!$C$4:$C$53,MATCH($B481,Drinks!$A$4:$A$53,0)),0))</f>
        <v/>
      </c>
      <c r="H481" s="10" t="str">
        <f aca="false">IF($B481="","",$D481*$G481)</f>
        <v/>
      </c>
      <c r="I481" s="10" t="str">
        <f aca="false">IF($B481="","",$F481*$G481)</f>
        <v/>
      </c>
      <c r="J481" s="9"/>
      <c r="K481" s="10" t="str">
        <f aca="false">IF($B481="","",$E481*IFERROR(INDEX(Drinks!$B$4:$B$53,MATCH($B481,Drinks!$A$4:$A$53,0)),0))</f>
        <v/>
      </c>
      <c r="L481" s="10" t="str">
        <f aca="false">IF($B481="","",$J481+$K481)</f>
        <v/>
      </c>
      <c r="M481" s="9"/>
      <c r="N481" s="10" t="str">
        <f aca="false">IF($B481="","",$L481-$M481)</f>
        <v/>
      </c>
      <c r="O481" s="10" t="str">
        <f aca="false">IF($B481="","",IFERROR(INDEX(Drinks!$E$4:$E$53,MATCH($B481,Drinks!$A$4:$A$53,0)),0))</f>
        <v/>
      </c>
      <c r="P481" s="10" t="str">
        <f aca="false">IF($B481="","",$N481*$O481)</f>
        <v/>
      </c>
      <c r="Q481" s="10" t="str">
        <f aca="false">IF($B481="","",$N481*IFERROR(INDEX(Drinks!$D$4:$D$53,MATCH($B481,Drinks!$A$4:$A$53,0)),0))</f>
        <v/>
      </c>
      <c r="R481" s="10" t="str">
        <f aca="false">IF($B481="","",$P481-$Q481)</f>
        <v/>
      </c>
      <c r="S481" s="23" t="str">
        <f aca="false">IF($B481="","",IF(COUNTIFS($A$4:$A$2003,$A481-1,$B$4:$B$2003,$B481)=0,"first day",IF(SUMIFS($M$4:$M$2003,$A$4:$A$2003,$A481-1,$B$4:$B$2003,$B481)=$J481,"OK","CHECK")))</f>
        <v/>
      </c>
      <c r="T481" s="10" t="str">
        <f aca="false">IF($B481="","",IFERROR(INDEX(Drinks!$D$4:$D$53,MATCH($B481,Drinks!$A$4:$A$53,0)),0))</f>
        <v/>
      </c>
    </row>
    <row r="482" customFormat="false" ht="15" hidden="false" customHeight="false" outlineLevel="0" collapsed="false">
      <c r="A482" s="22"/>
      <c r="B482" s="9"/>
      <c r="C482" s="9"/>
      <c r="D482" s="9"/>
      <c r="E482" s="9"/>
      <c r="F482" s="10" t="str">
        <f aca="false">IF($B482="","",$C482+$D482-$E482)</f>
        <v/>
      </c>
      <c r="G482" s="10" t="str">
        <f aca="false">IF($B482="","",IFERROR(INDEX(Drinks!$C$4:$C$53,MATCH($B482,Drinks!$A$4:$A$53,0)),0))</f>
        <v/>
      </c>
      <c r="H482" s="10" t="str">
        <f aca="false">IF($B482="","",$D482*$G482)</f>
        <v/>
      </c>
      <c r="I482" s="10" t="str">
        <f aca="false">IF($B482="","",$F482*$G482)</f>
        <v/>
      </c>
      <c r="J482" s="9"/>
      <c r="K482" s="10" t="str">
        <f aca="false">IF($B482="","",$E482*IFERROR(INDEX(Drinks!$B$4:$B$53,MATCH($B482,Drinks!$A$4:$A$53,0)),0))</f>
        <v/>
      </c>
      <c r="L482" s="10" t="str">
        <f aca="false">IF($B482="","",$J482+$K482)</f>
        <v/>
      </c>
      <c r="M482" s="9"/>
      <c r="N482" s="10" t="str">
        <f aca="false">IF($B482="","",$L482-$M482)</f>
        <v/>
      </c>
      <c r="O482" s="10" t="str">
        <f aca="false">IF($B482="","",IFERROR(INDEX(Drinks!$E$4:$E$53,MATCH($B482,Drinks!$A$4:$A$53,0)),0))</f>
        <v/>
      </c>
      <c r="P482" s="10" t="str">
        <f aca="false">IF($B482="","",$N482*$O482)</f>
        <v/>
      </c>
      <c r="Q482" s="10" t="str">
        <f aca="false">IF($B482="","",$N482*IFERROR(INDEX(Drinks!$D$4:$D$53,MATCH($B482,Drinks!$A$4:$A$53,0)),0))</f>
        <v/>
      </c>
      <c r="R482" s="10" t="str">
        <f aca="false">IF($B482="","",$P482-$Q482)</f>
        <v/>
      </c>
      <c r="S482" s="23" t="str">
        <f aca="false">IF($B482="","",IF(COUNTIFS($A$4:$A$2003,$A482-1,$B$4:$B$2003,$B482)=0,"first day",IF(SUMIFS($M$4:$M$2003,$A$4:$A$2003,$A482-1,$B$4:$B$2003,$B482)=$J482,"OK","CHECK")))</f>
        <v/>
      </c>
      <c r="T482" s="10" t="str">
        <f aca="false">IF($B482="","",IFERROR(INDEX(Drinks!$D$4:$D$53,MATCH($B482,Drinks!$A$4:$A$53,0)),0))</f>
        <v/>
      </c>
    </row>
    <row r="483" customFormat="false" ht="15" hidden="false" customHeight="false" outlineLevel="0" collapsed="false">
      <c r="A483" s="22"/>
      <c r="B483" s="9"/>
      <c r="C483" s="9"/>
      <c r="D483" s="9"/>
      <c r="E483" s="9"/>
      <c r="F483" s="10" t="str">
        <f aca="false">IF($B483="","",$C483+$D483-$E483)</f>
        <v/>
      </c>
      <c r="G483" s="10" t="str">
        <f aca="false">IF($B483="","",IFERROR(INDEX(Drinks!$C$4:$C$53,MATCH($B483,Drinks!$A$4:$A$53,0)),0))</f>
        <v/>
      </c>
      <c r="H483" s="10" t="str">
        <f aca="false">IF($B483="","",$D483*$G483)</f>
        <v/>
      </c>
      <c r="I483" s="10" t="str">
        <f aca="false">IF($B483="","",$F483*$G483)</f>
        <v/>
      </c>
      <c r="J483" s="9"/>
      <c r="K483" s="10" t="str">
        <f aca="false">IF($B483="","",$E483*IFERROR(INDEX(Drinks!$B$4:$B$53,MATCH($B483,Drinks!$A$4:$A$53,0)),0))</f>
        <v/>
      </c>
      <c r="L483" s="10" t="str">
        <f aca="false">IF($B483="","",$J483+$K483)</f>
        <v/>
      </c>
      <c r="M483" s="9"/>
      <c r="N483" s="10" t="str">
        <f aca="false">IF($B483="","",$L483-$M483)</f>
        <v/>
      </c>
      <c r="O483" s="10" t="str">
        <f aca="false">IF($B483="","",IFERROR(INDEX(Drinks!$E$4:$E$53,MATCH($B483,Drinks!$A$4:$A$53,0)),0))</f>
        <v/>
      </c>
      <c r="P483" s="10" t="str">
        <f aca="false">IF($B483="","",$N483*$O483)</f>
        <v/>
      </c>
      <c r="Q483" s="10" t="str">
        <f aca="false">IF($B483="","",$N483*IFERROR(INDEX(Drinks!$D$4:$D$53,MATCH($B483,Drinks!$A$4:$A$53,0)),0))</f>
        <v/>
      </c>
      <c r="R483" s="10" t="str">
        <f aca="false">IF($B483="","",$P483-$Q483)</f>
        <v/>
      </c>
      <c r="S483" s="23" t="str">
        <f aca="false">IF($B483="","",IF(COUNTIFS($A$4:$A$2003,$A483-1,$B$4:$B$2003,$B483)=0,"first day",IF(SUMIFS($M$4:$M$2003,$A$4:$A$2003,$A483-1,$B$4:$B$2003,$B483)=$J483,"OK","CHECK")))</f>
        <v/>
      </c>
      <c r="T483" s="10" t="str">
        <f aca="false">IF($B483="","",IFERROR(INDEX(Drinks!$D$4:$D$53,MATCH($B483,Drinks!$A$4:$A$53,0)),0))</f>
        <v/>
      </c>
    </row>
    <row r="484" customFormat="false" ht="15" hidden="false" customHeight="false" outlineLevel="0" collapsed="false">
      <c r="A484" s="22"/>
      <c r="B484" s="9"/>
      <c r="C484" s="9"/>
      <c r="D484" s="9"/>
      <c r="E484" s="9"/>
      <c r="F484" s="10" t="str">
        <f aca="false">IF($B484="","",$C484+$D484-$E484)</f>
        <v/>
      </c>
      <c r="G484" s="10" t="str">
        <f aca="false">IF($B484="","",IFERROR(INDEX(Drinks!$C$4:$C$53,MATCH($B484,Drinks!$A$4:$A$53,0)),0))</f>
        <v/>
      </c>
      <c r="H484" s="10" t="str">
        <f aca="false">IF($B484="","",$D484*$G484)</f>
        <v/>
      </c>
      <c r="I484" s="10" t="str">
        <f aca="false">IF($B484="","",$F484*$G484)</f>
        <v/>
      </c>
      <c r="J484" s="9"/>
      <c r="K484" s="10" t="str">
        <f aca="false">IF($B484="","",$E484*IFERROR(INDEX(Drinks!$B$4:$B$53,MATCH($B484,Drinks!$A$4:$A$53,0)),0))</f>
        <v/>
      </c>
      <c r="L484" s="10" t="str">
        <f aca="false">IF($B484="","",$J484+$K484)</f>
        <v/>
      </c>
      <c r="M484" s="9"/>
      <c r="N484" s="10" t="str">
        <f aca="false">IF($B484="","",$L484-$M484)</f>
        <v/>
      </c>
      <c r="O484" s="10" t="str">
        <f aca="false">IF($B484="","",IFERROR(INDEX(Drinks!$E$4:$E$53,MATCH($B484,Drinks!$A$4:$A$53,0)),0))</f>
        <v/>
      </c>
      <c r="P484" s="10" t="str">
        <f aca="false">IF($B484="","",$N484*$O484)</f>
        <v/>
      </c>
      <c r="Q484" s="10" t="str">
        <f aca="false">IF($B484="","",$N484*IFERROR(INDEX(Drinks!$D$4:$D$53,MATCH($B484,Drinks!$A$4:$A$53,0)),0))</f>
        <v/>
      </c>
      <c r="R484" s="10" t="str">
        <f aca="false">IF($B484="","",$P484-$Q484)</f>
        <v/>
      </c>
      <c r="S484" s="23" t="str">
        <f aca="false">IF($B484="","",IF(COUNTIFS($A$4:$A$2003,$A484-1,$B$4:$B$2003,$B484)=0,"first day",IF(SUMIFS($M$4:$M$2003,$A$4:$A$2003,$A484-1,$B$4:$B$2003,$B484)=$J484,"OK","CHECK")))</f>
        <v/>
      </c>
      <c r="T484" s="10" t="str">
        <f aca="false">IF($B484="","",IFERROR(INDEX(Drinks!$D$4:$D$53,MATCH($B484,Drinks!$A$4:$A$53,0)),0))</f>
        <v/>
      </c>
    </row>
    <row r="485" customFormat="false" ht="15" hidden="false" customHeight="false" outlineLevel="0" collapsed="false">
      <c r="A485" s="22"/>
      <c r="B485" s="9"/>
      <c r="C485" s="9"/>
      <c r="D485" s="9"/>
      <c r="E485" s="9"/>
      <c r="F485" s="10" t="str">
        <f aca="false">IF($B485="","",$C485+$D485-$E485)</f>
        <v/>
      </c>
      <c r="G485" s="10" t="str">
        <f aca="false">IF($B485="","",IFERROR(INDEX(Drinks!$C$4:$C$53,MATCH($B485,Drinks!$A$4:$A$53,0)),0))</f>
        <v/>
      </c>
      <c r="H485" s="10" t="str">
        <f aca="false">IF($B485="","",$D485*$G485)</f>
        <v/>
      </c>
      <c r="I485" s="10" t="str">
        <f aca="false">IF($B485="","",$F485*$G485)</f>
        <v/>
      </c>
      <c r="J485" s="9"/>
      <c r="K485" s="10" t="str">
        <f aca="false">IF($B485="","",$E485*IFERROR(INDEX(Drinks!$B$4:$B$53,MATCH($B485,Drinks!$A$4:$A$53,0)),0))</f>
        <v/>
      </c>
      <c r="L485" s="10" t="str">
        <f aca="false">IF($B485="","",$J485+$K485)</f>
        <v/>
      </c>
      <c r="M485" s="9"/>
      <c r="N485" s="10" t="str">
        <f aca="false">IF($B485="","",$L485-$M485)</f>
        <v/>
      </c>
      <c r="O485" s="10" t="str">
        <f aca="false">IF($B485="","",IFERROR(INDEX(Drinks!$E$4:$E$53,MATCH($B485,Drinks!$A$4:$A$53,0)),0))</f>
        <v/>
      </c>
      <c r="P485" s="10" t="str">
        <f aca="false">IF($B485="","",$N485*$O485)</f>
        <v/>
      </c>
      <c r="Q485" s="10" t="str">
        <f aca="false">IF($B485="","",$N485*IFERROR(INDEX(Drinks!$D$4:$D$53,MATCH($B485,Drinks!$A$4:$A$53,0)),0))</f>
        <v/>
      </c>
      <c r="R485" s="10" t="str">
        <f aca="false">IF($B485="","",$P485-$Q485)</f>
        <v/>
      </c>
      <c r="S485" s="23" t="str">
        <f aca="false">IF($B485="","",IF(COUNTIFS($A$4:$A$2003,$A485-1,$B$4:$B$2003,$B485)=0,"first day",IF(SUMIFS($M$4:$M$2003,$A$4:$A$2003,$A485-1,$B$4:$B$2003,$B485)=$J485,"OK","CHECK")))</f>
        <v/>
      </c>
      <c r="T485" s="10" t="str">
        <f aca="false">IF($B485="","",IFERROR(INDEX(Drinks!$D$4:$D$53,MATCH($B485,Drinks!$A$4:$A$53,0)),0))</f>
        <v/>
      </c>
    </row>
    <row r="486" customFormat="false" ht="15" hidden="false" customHeight="false" outlineLevel="0" collapsed="false">
      <c r="A486" s="22"/>
      <c r="B486" s="9"/>
      <c r="C486" s="9"/>
      <c r="D486" s="9"/>
      <c r="E486" s="9"/>
      <c r="F486" s="10" t="str">
        <f aca="false">IF($B486="","",$C486+$D486-$E486)</f>
        <v/>
      </c>
      <c r="G486" s="10" t="str">
        <f aca="false">IF($B486="","",IFERROR(INDEX(Drinks!$C$4:$C$53,MATCH($B486,Drinks!$A$4:$A$53,0)),0))</f>
        <v/>
      </c>
      <c r="H486" s="10" t="str">
        <f aca="false">IF($B486="","",$D486*$G486)</f>
        <v/>
      </c>
      <c r="I486" s="10" t="str">
        <f aca="false">IF($B486="","",$F486*$G486)</f>
        <v/>
      </c>
      <c r="J486" s="9"/>
      <c r="K486" s="10" t="str">
        <f aca="false">IF($B486="","",$E486*IFERROR(INDEX(Drinks!$B$4:$B$53,MATCH($B486,Drinks!$A$4:$A$53,0)),0))</f>
        <v/>
      </c>
      <c r="L486" s="10" t="str">
        <f aca="false">IF($B486="","",$J486+$K486)</f>
        <v/>
      </c>
      <c r="M486" s="9"/>
      <c r="N486" s="10" t="str">
        <f aca="false">IF($B486="","",$L486-$M486)</f>
        <v/>
      </c>
      <c r="O486" s="10" t="str">
        <f aca="false">IF($B486="","",IFERROR(INDEX(Drinks!$E$4:$E$53,MATCH($B486,Drinks!$A$4:$A$53,0)),0))</f>
        <v/>
      </c>
      <c r="P486" s="10" t="str">
        <f aca="false">IF($B486="","",$N486*$O486)</f>
        <v/>
      </c>
      <c r="Q486" s="10" t="str">
        <f aca="false">IF($B486="","",$N486*IFERROR(INDEX(Drinks!$D$4:$D$53,MATCH($B486,Drinks!$A$4:$A$53,0)),0))</f>
        <v/>
      </c>
      <c r="R486" s="10" t="str">
        <f aca="false">IF($B486="","",$P486-$Q486)</f>
        <v/>
      </c>
      <c r="S486" s="23" t="str">
        <f aca="false">IF($B486="","",IF(COUNTIFS($A$4:$A$2003,$A486-1,$B$4:$B$2003,$B486)=0,"first day",IF(SUMIFS($M$4:$M$2003,$A$4:$A$2003,$A486-1,$B$4:$B$2003,$B486)=$J486,"OK","CHECK")))</f>
        <v/>
      </c>
      <c r="T486" s="10" t="str">
        <f aca="false">IF($B486="","",IFERROR(INDEX(Drinks!$D$4:$D$53,MATCH($B486,Drinks!$A$4:$A$53,0)),0))</f>
        <v/>
      </c>
    </row>
    <row r="487" customFormat="false" ht="15" hidden="false" customHeight="false" outlineLevel="0" collapsed="false">
      <c r="A487" s="22"/>
      <c r="B487" s="9"/>
      <c r="C487" s="9"/>
      <c r="D487" s="9"/>
      <c r="E487" s="9"/>
      <c r="F487" s="10" t="str">
        <f aca="false">IF($B487="","",$C487+$D487-$E487)</f>
        <v/>
      </c>
      <c r="G487" s="10" t="str">
        <f aca="false">IF($B487="","",IFERROR(INDEX(Drinks!$C$4:$C$53,MATCH($B487,Drinks!$A$4:$A$53,0)),0))</f>
        <v/>
      </c>
      <c r="H487" s="10" t="str">
        <f aca="false">IF($B487="","",$D487*$G487)</f>
        <v/>
      </c>
      <c r="I487" s="10" t="str">
        <f aca="false">IF($B487="","",$F487*$G487)</f>
        <v/>
      </c>
      <c r="J487" s="9"/>
      <c r="K487" s="10" t="str">
        <f aca="false">IF($B487="","",$E487*IFERROR(INDEX(Drinks!$B$4:$B$53,MATCH($B487,Drinks!$A$4:$A$53,0)),0))</f>
        <v/>
      </c>
      <c r="L487" s="10" t="str">
        <f aca="false">IF($B487="","",$J487+$K487)</f>
        <v/>
      </c>
      <c r="M487" s="9"/>
      <c r="N487" s="10" t="str">
        <f aca="false">IF($B487="","",$L487-$M487)</f>
        <v/>
      </c>
      <c r="O487" s="10" t="str">
        <f aca="false">IF($B487="","",IFERROR(INDEX(Drinks!$E$4:$E$53,MATCH($B487,Drinks!$A$4:$A$53,0)),0))</f>
        <v/>
      </c>
      <c r="P487" s="10" t="str">
        <f aca="false">IF($B487="","",$N487*$O487)</f>
        <v/>
      </c>
      <c r="Q487" s="10" t="str">
        <f aca="false">IF($B487="","",$N487*IFERROR(INDEX(Drinks!$D$4:$D$53,MATCH($B487,Drinks!$A$4:$A$53,0)),0))</f>
        <v/>
      </c>
      <c r="R487" s="10" t="str">
        <f aca="false">IF($B487="","",$P487-$Q487)</f>
        <v/>
      </c>
      <c r="S487" s="23" t="str">
        <f aca="false">IF($B487="","",IF(COUNTIFS($A$4:$A$2003,$A487-1,$B$4:$B$2003,$B487)=0,"first day",IF(SUMIFS($M$4:$M$2003,$A$4:$A$2003,$A487-1,$B$4:$B$2003,$B487)=$J487,"OK","CHECK")))</f>
        <v/>
      </c>
      <c r="T487" s="10" t="str">
        <f aca="false">IF($B487="","",IFERROR(INDEX(Drinks!$D$4:$D$53,MATCH($B487,Drinks!$A$4:$A$53,0)),0))</f>
        <v/>
      </c>
    </row>
    <row r="488" customFormat="false" ht="15" hidden="false" customHeight="false" outlineLevel="0" collapsed="false">
      <c r="A488" s="22"/>
      <c r="B488" s="9"/>
      <c r="C488" s="9"/>
      <c r="D488" s="9"/>
      <c r="E488" s="9"/>
      <c r="F488" s="10" t="str">
        <f aca="false">IF($B488="","",$C488+$D488-$E488)</f>
        <v/>
      </c>
      <c r="G488" s="10" t="str">
        <f aca="false">IF($B488="","",IFERROR(INDEX(Drinks!$C$4:$C$53,MATCH($B488,Drinks!$A$4:$A$53,0)),0))</f>
        <v/>
      </c>
      <c r="H488" s="10" t="str">
        <f aca="false">IF($B488="","",$D488*$G488)</f>
        <v/>
      </c>
      <c r="I488" s="10" t="str">
        <f aca="false">IF($B488="","",$F488*$G488)</f>
        <v/>
      </c>
      <c r="J488" s="9"/>
      <c r="K488" s="10" t="str">
        <f aca="false">IF($B488="","",$E488*IFERROR(INDEX(Drinks!$B$4:$B$53,MATCH($B488,Drinks!$A$4:$A$53,0)),0))</f>
        <v/>
      </c>
      <c r="L488" s="10" t="str">
        <f aca="false">IF($B488="","",$J488+$K488)</f>
        <v/>
      </c>
      <c r="M488" s="9"/>
      <c r="N488" s="10" t="str">
        <f aca="false">IF($B488="","",$L488-$M488)</f>
        <v/>
      </c>
      <c r="O488" s="10" t="str">
        <f aca="false">IF($B488="","",IFERROR(INDEX(Drinks!$E$4:$E$53,MATCH($B488,Drinks!$A$4:$A$53,0)),0))</f>
        <v/>
      </c>
      <c r="P488" s="10" t="str">
        <f aca="false">IF($B488="","",$N488*$O488)</f>
        <v/>
      </c>
      <c r="Q488" s="10" t="str">
        <f aca="false">IF($B488="","",$N488*IFERROR(INDEX(Drinks!$D$4:$D$53,MATCH($B488,Drinks!$A$4:$A$53,0)),0))</f>
        <v/>
      </c>
      <c r="R488" s="10" t="str">
        <f aca="false">IF($B488="","",$P488-$Q488)</f>
        <v/>
      </c>
      <c r="S488" s="23" t="str">
        <f aca="false">IF($B488="","",IF(COUNTIFS($A$4:$A$2003,$A488-1,$B$4:$B$2003,$B488)=0,"first day",IF(SUMIFS($M$4:$M$2003,$A$4:$A$2003,$A488-1,$B$4:$B$2003,$B488)=$J488,"OK","CHECK")))</f>
        <v/>
      </c>
      <c r="T488" s="10" t="str">
        <f aca="false">IF($B488="","",IFERROR(INDEX(Drinks!$D$4:$D$53,MATCH($B488,Drinks!$A$4:$A$53,0)),0))</f>
        <v/>
      </c>
    </row>
    <row r="489" customFormat="false" ht="15" hidden="false" customHeight="false" outlineLevel="0" collapsed="false">
      <c r="A489" s="22"/>
      <c r="B489" s="9"/>
      <c r="C489" s="9"/>
      <c r="D489" s="9"/>
      <c r="E489" s="9"/>
      <c r="F489" s="10" t="str">
        <f aca="false">IF($B489="","",$C489+$D489-$E489)</f>
        <v/>
      </c>
      <c r="G489" s="10" t="str">
        <f aca="false">IF($B489="","",IFERROR(INDEX(Drinks!$C$4:$C$53,MATCH($B489,Drinks!$A$4:$A$53,0)),0))</f>
        <v/>
      </c>
      <c r="H489" s="10" t="str">
        <f aca="false">IF($B489="","",$D489*$G489)</f>
        <v/>
      </c>
      <c r="I489" s="10" t="str">
        <f aca="false">IF($B489="","",$F489*$G489)</f>
        <v/>
      </c>
      <c r="J489" s="9"/>
      <c r="K489" s="10" t="str">
        <f aca="false">IF($B489="","",$E489*IFERROR(INDEX(Drinks!$B$4:$B$53,MATCH($B489,Drinks!$A$4:$A$53,0)),0))</f>
        <v/>
      </c>
      <c r="L489" s="10" t="str">
        <f aca="false">IF($B489="","",$J489+$K489)</f>
        <v/>
      </c>
      <c r="M489" s="9"/>
      <c r="N489" s="10" t="str">
        <f aca="false">IF($B489="","",$L489-$M489)</f>
        <v/>
      </c>
      <c r="O489" s="10" t="str">
        <f aca="false">IF($B489="","",IFERROR(INDEX(Drinks!$E$4:$E$53,MATCH($B489,Drinks!$A$4:$A$53,0)),0))</f>
        <v/>
      </c>
      <c r="P489" s="10" t="str">
        <f aca="false">IF($B489="","",$N489*$O489)</f>
        <v/>
      </c>
      <c r="Q489" s="10" t="str">
        <f aca="false">IF($B489="","",$N489*IFERROR(INDEX(Drinks!$D$4:$D$53,MATCH($B489,Drinks!$A$4:$A$53,0)),0))</f>
        <v/>
      </c>
      <c r="R489" s="10" t="str">
        <f aca="false">IF($B489="","",$P489-$Q489)</f>
        <v/>
      </c>
      <c r="S489" s="23" t="str">
        <f aca="false">IF($B489="","",IF(COUNTIFS($A$4:$A$2003,$A489-1,$B$4:$B$2003,$B489)=0,"first day",IF(SUMIFS($M$4:$M$2003,$A$4:$A$2003,$A489-1,$B$4:$B$2003,$B489)=$J489,"OK","CHECK")))</f>
        <v/>
      </c>
      <c r="T489" s="10" t="str">
        <f aca="false">IF($B489="","",IFERROR(INDEX(Drinks!$D$4:$D$53,MATCH($B489,Drinks!$A$4:$A$53,0)),0))</f>
        <v/>
      </c>
    </row>
    <row r="490" customFormat="false" ht="15" hidden="false" customHeight="false" outlineLevel="0" collapsed="false">
      <c r="A490" s="22"/>
      <c r="B490" s="9"/>
      <c r="C490" s="9"/>
      <c r="D490" s="9"/>
      <c r="E490" s="9"/>
      <c r="F490" s="10" t="str">
        <f aca="false">IF($B490="","",$C490+$D490-$E490)</f>
        <v/>
      </c>
      <c r="G490" s="10" t="str">
        <f aca="false">IF($B490="","",IFERROR(INDEX(Drinks!$C$4:$C$53,MATCH($B490,Drinks!$A$4:$A$53,0)),0))</f>
        <v/>
      </c>
      <c r="H490" s="10" t="str">
        <f aca="false">IF($B490="","",$D490*$G490)</f>
        <v/>
      </c>
      <c r="I490" s="10" t="str">
        <f aca="false">IF($B490="","",$F490*$G490)</f>
        <v/>
      </c>
      <c r="J490" s="9"/>
      <c r="K490" s="10" t="str">
        <f aca="false">IF($B490="","",$E490*IFERROR(INDEX(Drinks!$B$4:$B$53,MATCH($B490,Drinks!$A$4:$A$53,0)),0))</f>
        <v/>
      </c>
      <c r="L490" s="10" t="str">
        <f aca="false">IF($B490="","",$J490+$K490)</f>
        <v/>
      </c>
      <c r="M490" s="9"/>
      <c r="N490" s="10" t="str">
        <f aca="false">IF($B490="","",$L490-$M490)</f>
        <v/>
      </c>
      <c r="O490" s="10" t="str">
        <f aca="false">IF($B490="","",IFERROR(INDEX(Drinks!$E$4:$E$53,MATCH($B490,Drinks!$A$4:$A$53,0)),0))</f>
        <v/>
      </c>
      <c r="P490" s="10" t="str">
        <f aca="false">IF($B490="","",$N490*$O490)</f>
        <v/>
      </c>
      <c r="Q490" s="10" t="str">
        <f aca="false">IF($B490="","",$N490*IFERROR(INDEX(Drinks!$D$4:$D$53,MATCH($B490,Drinks!$A$4:$A$53,0)),0))</f>
        <v/>
      </c>
      <c r="R490" s="10" t="str">
        <f aca="false">IF($B490="","",$P490-$Q490)</f>
        <v/>
      </c>
      <c r="S490" s="23" t="str">
        <f aca="false">IF($B490="","",IF(COUNTIFS($A$4:$A$2003,$A490-1,$B$4:$B$2003,$B490)=0,"first day",IF(SUMIFS($M$4:$M$2003,$A$4:$A$2003,$A490-1,$B$4:$B$2003,$B490)=$J490,"OK","CHECK")))</f>
        <v/>
      </c>
      <c r="T490" s="10" t="str">
        <f aca="false">IF($B490="","",IFERROR(INDEX(Drinks!$D$4:$D$53,MATCH($B490,Drinks!$A$4:$A$53,0)),0))</f>
        <v/>
      </c>
    </row>
    <row r="491" customFormat="false" ht="15" hidden="false" customHeight="false" outlineLevel="0" collapsed="false">
      <c r="A491" s="22"/>
      <c r="B491" s="9"/>
      <c r="C491" s="9"/>
      <c r="D491" s="9"/>
      <c r="E491" s="9"/>
      <c r="F491" s="10" t="str">
        <f aca="false">IF($B491="","",$C491+$D491-$E491)</f>
        <v/>
      </c>
      <c r="G491" s="10" t="str">
        <f aca="false">IF($B491="","",IFERROR(INDEX(Drinks!$C$4:$C$53,MATCH($B491,Drinks!$A$4:$A$53,0)),0))</f>
        <v/>
      </c>
      <c r="H491" s="10" t="str">
        <f aca="false">IF($B491="","",$D491*$G491)</f>
        <v/>
      </c>
      <c r="I491" s="10" t="str">
        <f aca="false">IF($B491="","",$F491*$G491)</f>
        <v/>
      </c>
      <c r="J491" s="9"/>
      <c r="K491" s="10" t="str">
        <f aca="false">IF($B491="","",$E491*IFERROR(INDEX(Drinks!$B$4:$B$53,MATCH($B491,Drinks!$A$4:$A$53,0)),0))</f>
        <v/>
      </c>
      <c r="L491" s="10" t="str">
        <f aca="false">IF($B491="","",$J491+$K491)</f>
        <v/>
      </c>
      <c r="M491" s="9"/>
      <c r="N491" s="10" t="str">
        <f aca="false">IF($B491="","",$L491-$M491)</f>
        <v/>
      </c>
      <c r="O491" s="10" t="str">
        <f aca="false">IF($B491="","",IFERROR(INDEX(Drinks!$E$4:$E$53,MATCH($B491,Drinks!$A$4:$A$53,0)),0))</f>
        <v/>
      </c>
      <c r="P491" s="10" t="str">
        <f aca="false">IF($B491="","",$N491*$O491)</f>
        <v/>
      </c>
      <c r="Q491" s="10" t="str">
        <f aca="false">IF($B491="","",$N491*IFERROR(INDEX(Drinks!$D$4:$D$53,MATCH($B491,Drinks!$A$4:$A$53,0)),0))</f>
        <v/>
      </c>
      <c r="R491" s="10" t="str">
        <f aca="false">IF($B491="","",$P491-$Q491)</f>
        <v/>
      </c>
      <c r="S491" s="23" t="str">
        <f aca="false">IF($B491="","",IF(COUNTIFS($A$4:$A$2003,$A491-1,$B$4:$B$2003,$B491)=0,"first day",IF(SUMIFS($M$4:$M$2003,$A$4:$A$2003,$A491-1,$B$4:$B$2003,$B491)=$J491,"OK","CHECK")))</f>
        <v/>
      </c>
      <c r="T491" s="10" t="str">
        <f aca="false">IF($B491="","",IFERROR(INDEX(Drinks!$D$4:$D$53,MATCH($B491,Drinks!$A$4:$A$53,0)),0))</f>
        <v/>
      </c>
    </row>
    <row r="492" customFormat="false" ht="15" hidden="false" customHeight="false" outlineLevel="0" collapsed="false">
      <c r="A492" s="22"/>
      <c r="B492" s="9"/>
      <c r="C492" s="9"/>
      <c r="D492" s="9"/>
      <c r="E492" s="9"/>
      <c r="F492" s="10" t="str">
        <f aca="false">IF($B492="","",$C492+$D492-$E492)</f>
        <v/>
      </c>
      <c r="G492" s="10" t="str">
        <f aca="false">IF($B492="","",IFERROR(INDEX(Drinks!$C$4:$C$53,MATCH($B492,Drinks!$A$4:$A$53,0)),0))</f>
        <v/>
      </c>
      <c r="H492" s="10" t="str">
        <f aca="false">IF($B492="","",$D492*$G492)</f>
        <v/>
      </c>
      <c r="I492" s="10" t="str">
        <f aca="false">IF($B492="","",$F492*$G492)</f>
        <v/>
      </c>
      <c r="J492" s="9"/>
      <c r="K492" s="10" t="str">
        <f aca="false">IF($B492="","",$E492*IFERROR(INDEX(Drinks!$B$4:$B$53,MATCH($B492,Drinks!$A$4:$A$53,0)),0))</f>
        <v/>
      </c>
      <c r="L492" s="10" t="str">
        <f aca="false">IF($B492="","",$J492+$K492)</f>
        <v/>
      </c>
      <c r="M492" s="9"/>
      <c r="N492" s="10" t="str">
        <f aca="false">IF($B492="","",$L492-$M492)</f>
        <v/>
      </c>
      <c r="O492" s="10" t="str">
        <f aca="false">IF($B492="","",IFERROR(INDEX(Drinks!$E$4:$E$53,MATCH($B492,Drinks!$A$4:$A$53,0)),0))</f>
        <v/>
      </c>
      <c r="P492" s="10" t="str">
        <f aca="false">IF($B492="","",$N492*$O492)</f>
        <v/>
      </c>
      <c r="Q492" s="10" t="str">
        <f aca="false">IF($B492="","",$N492*IFERROR(INDEX(Drinks!$D$4:$D$53,MATCH($B492,Drinks!$A$4:$A$53,0)),0))</f>
        <v/>
      </c>
      <c r="R492" s="10" t="str">
        <f aca="false">IF($B492="","",$P492-$Q492)</f>
        <v/>
      </c>
      <c r="S492" s="23" t="str">
        <f aca="false">IF($B492="","",IF(COUNTIFS($A$4:$A$2003,$A492-1,$B$4:$B$2003,$B492)=0,"first day",IF(SUMIFS($M$4:$M$2003,$A$4:$A$2003,$A492-1,$B$4:$B$2003,$B492)=$J492,"OK","CHECK")))</f>
        <v/>
      </c>
      <c r="T492" s="10" t="str">
        <f aca="false">IF($B492="","",IFERROR(INDEX(Drinks!$D$4:$D$53,MATCH($B492,Drinks!$A$4:$A$53,0)),0))</f>
        <v/>
      </c>
    </row>
    <row r="493" customFormat="false" ht="15" hidden="false" customHeight="false" outlineLevel="0" collapsed="false">
      <c r="A493" s="22"/>
      <c r="B493" s="9"/>
      <c r="C493" s="9"/>
      <c r="D493" s="9"/>
      <c r="E493" s="9"/>
      <c r="F493" s="10" t="str">
        <f aca="false">IF($B493="","",$C493+$D493-$E493)</f>
        <v/>
      </c>
      <c r="G493" s="10" t="str">
        <f aca="false">IF($B493="","",IFERROR(INDEX(Drinks!$C$4:$C$53,MATCH($B493,Drinks!$A$4:$A$53,0)),0))</f>
        <v/>
      </c>
      <c r="H493" s="10" t="str">
        <f aca="false">IF($B493="","",$D493*$G493)</f>
        <v/>
      </c>
      <c r="I493" s="10" t="str">
        <f aca="false">IF($B493="","",$F493*$G493)</f>
        <v/>
      </c>
      <c r="J493" s="9"/>
      <c r="K493" s="10" t="str">
        <f aca="false">IF($B493="","",$E493*IFERROR(INDEX(Drinks!$B$4:$B$53,MATCH($B493,Drinks!$A$4:$A$53,0)),0))</f>
        <v/>
      </c>
      <c r="L493" s="10" t="str">
        <f aca="false">IF($B493="","",$J493+$K493)</f>
        <v/>
      </c>
      <c r="M493" s="9"/>
      <c r="N493" s="10" t="str">
        <f aca="false">IF($B493="","",$L493-$M493)</f>
        <v/>
      </c>
      <c r="O493" s="10" t="str">
        <f aca="false">IF($B493="","",IFERROR(INDEX(Drinks!$E$4:$E$53,MATCH($B493,Drinks!$A$4:$A$53,0)),0))</f>
        <v/>
      </c>
      <c r="P493" s="10" t="str">
        <f aca="false">IF($B493="","",$N493*$O493)</f>
        <v/>
      </c>
      <c r="Q493" s="10" t="str">
        <f aca="false">IF($B493="","",$N493*IFERROR(INDEX(Drinks!$D$4:$D$53,MATCH($B493,Drinks!$A$4:$A$53,0)),0))</f>
        <v/>
      </c>
      <c r="R493" s="10" t="str">
        <f aca="false">IF($B493="","",$P493-$Q493)</f>
        <v/>
      </c>
      <c r="S493" s="23" t="str">
        <f aca="false">IF($B493="","",IF(COUNTIFS($A$4:$A$2003,$A493-1,$B$4:$B$2003,$B493)=0,"first day",IF(SUMIFS($M$4:$M$2003,$A$4:$A$2003,$A493-1,$B$4:$B$2003,$B493)=$J493,"OK","CHECK")))</f>
        <v/>
      </c>
      <c r="T493" s="10" t="str">
        <f aca="false">IF($B493="","",IFERROR(INDEX(Drinks!$D$4:$D$53,MATCH($B493,Drinks!$A$4:$A$53,0)),0))</f>
        <v/>
      </c>
    </row>
    <row r="494" customFormat="false" ht="15" hidden="false" customHeight="false" outlineLevel="0" collapsed="false">
      <c r="A494" s="22"/>
      <c r="B494" s="9"/>
      <c r="C494" s="9"/>
      <c r="D494" s="9"/>
      <c r="E494" s="9"/>
      <c r="F494" s="10" t="str">
        <f aca="false">IF($B494="","",$C494+$D494-$E494)</f>
        <v/>
      </c>
      <c r="G494" s="10" t="str">
        <f aca="false">IF($B494="","",IFERROR(INDEX(Drinks!$C$4:$C$53,MATCH($B494,Drinks!$A$4:$A$53,0)),0))</f>
        <v/>
      </c>
      <c r="H494" s="10" t="str">
        <f aca="false">IF($B494="","",$D494*$G494)</f>
        <v/>
      </c>
      <c r="I494" s="10" t="str">
        <f aca="false">IF($B494="","",$F494*$G494)</f>
        <v/>
      </c>
      <c r="J494" s="9"/>
      <c r="K494" s="10" t="str">
        <f aca="false">IF($B494="","",$E494*IFERROR(INDEX(Drinks!$B$4:$B$53,MATCH($B494,Drinks!$A$4:$A$53,0)),0))</f>
        <v/>
      </c>
      <c r="L494" s="10" t="str">
        <f aca="false">IF($B494="","",$J494+$K494)</f>
        <v/>
      </c>
      <c r="M494" s="9"/>
      <c r="N494" s="10" t="str">
        <f aca="false">IF($B494="","",$L494-$M494)</f>
        <v/>
      </c>
      <c r="O494" s="10" t="str">
        <f aca="false">IF($B494="","",IFERROR(INDEX(Drinks!$E$4:$E$53,MATCH($B494,Drinks!$A$4:$A$53,0)),0))</f>
        <v/>
      </c>
      <c r="P494" s="10" t="str">
        <f aca="false">IF($B494="","",$N494*$O494)</f>
        <v/>
      </c>
      <c r="Q494" s="10" t="str">
        <f aca="false">IF($B494="","",$N494*IFERROR(INDEX(Drinks!$D$4:$D$53,MATCH($B494,Drinks!$A$4:$A$53,0)),0))</f>
        <v/>
      </c>
      <c r="R494" s="10" t="str">
        <f aca="false">IF($B494="","",$P494-$Q494)</f>
        <v/>
      </c>
      <c r="S494" s="23" t="str">
        <f aca="false">IF($B494="","",IF(COUNTIFS($A$4:$A$2003,$A494-1,$B$4:$B$2003,$B494)=0,"first day",IF(SUMIFS($M$4:$M$2003,$A$4:$A$2003,$A494-1,$B$4:$B$2003,$B494)=$J494,"OK","CHECK")))</f>
        <v/>
      </c>
      <c r="T494" s="10" t="str">
        <f aca="false">IF($B494="","",IFERROR(INDEX(Drinks!$D$4:$D$53,MATCH($B494,Drinks!$A$4:$A$53,0)),0))</f>
        <v/>
      </c>
    </row>
    <row r="495" customFormat="false" ht="15" hidden="false" customHeight="false" outlineLevel="0" collapsed="false">
      <c r="A495" s="22"/>
      <c r="B495" s="9"/>
      <c r="C495" s="9"/>
      <c r="D495" s="9"/>
      <c r="E495" s="9"/>
      <c r="F495" s="10" t="str">
        <f aca="false">IF($B495="","",$C495+$D495-$E495)</f>
        <v/>
      </c>
      <c r="G495" s="10" t="str">
        <f aca="false">IF($B495="","",IFERROR(INDEX(Drinks!$C$4:$C$53,MATCH($B495,Drinks!$A$4:$A$53,0)),0))</f>
        <v/>
      </c>
      <c r="H495" s="10" t="str">
        <f aca="false">IF($B495="","",$D495*$G495)</f>
        <v/>
      </c>
      <c r="I495" s="10" t="str">
        <f aca="false">IF($B495="","",$F495*$G495)</f>
        <v/>
      </c>
      <c r="J495" s="9"/>
      <c r="K495" s="10" t="str">
        <f aca="false">IF($B495="","",$E495*IFERROR(INDEX(Drinks!$B$4:$B$53,MATCH($B495,Drinks!$A$4:$A$53,0)),0))</f>
        <v/>
      </c>
      <c r="L495" s="10" t="str">
        <f aca="false">IF($B495="","",$J495+$K495)</f>
        <v/>
      </c>
      <c r="M495" s="9"/>
      <c r="N495" s="10" t="str">
        <f aca="false">IF($B495="","",$L495-$M495)</f>
        <v/>
      </c>
      <c r="O495" s="10" t="str">
        <f aca="false">IF($B495="","",IFERROR(INDEX(Drinks!$E$4:$E$53,MATCH($B495,Drinks!$A$4:$A$53,0)),0))</f>
        <v/>
      </c>
      <c r="P495" s="10" t="str">
        <f aca="false">IF($B495="","",$N495*$O495)</f>
        <v/>
      </c>
      <c r="Q495" s="10" t="str">
        <f aca="false">IF($B495="","",$N495*IFERROR(INDEX(Drinks!$D$4:$D$53,MATCH($B495,Drinks!$A$4:$A$53,0)),0))</f>
        <v/>
      </c>
      <c r="R495" s="10" t="str">
        <f aca="false">IF($B495="","",$P495-$Q495)</f>
        <v/>
      </c>
      <c r="S495" s="23" t="str">
        <f aca="false">IF($B495="","",IF(COUNTIFS($A$4:$A$2003,$A495-1,$B$4:$B$2003,$B495)=0,"first day",IF(SUMIFS($M$4:$M$2003,$A$4:$A$2003,$A495-1,$B$4:$B$2003,$B495)=$J495,"OK","CHECK")))</f>
        <v/>
      </c>
      <c r="T495" s="10" t="str">
        <f aca="false">IF($B495="","",IFERROR(INDEX(Drinks!$D$4:$D$53,MATCH($B495,Drinks!$A$4:$A$53,0)),0))</f>
        <v/>
      </c>
    </row>
    <row r="496" customFormat="false" ht="15" hidden="false" customHeight="false" outlineLevel="0" collapsed="false">
      <c r="A496" s="22"/>
      <c r="B496" s="9"/>
      <c r="C496" s="9"/>
      <c r="D496" s="9"/>
      <c r="E496" s="9"/>
      <c r="F496" s="10" t="str">
        <f aca="false">IF($B496="","",$C496+$D496-$E496)</f>
        <v/>
      </c>
      <c r="G496" s="10" t="str">
        <f aca="false">IF($B496="","",IFERROR(INDEX(Drinks!$C$4:$C$53,MATCH($B496,Drinks!$A$4:$A$53,0)),0))</f>
        <v/>
      </c>
      <c r="H496" s="10" t="str">
        <f aca="false">IF($B496="","",$D496*$G496)</f>
        <v/>
      </c>
      <c r="I496" s="10" t="str">
        <f aca="false">IF($B496="","",$F496*$G496)</f>
        <v/>
      </c>
      <c r="J496" s="9"/>
      <c r="K496" s="10" t="str">
        <f aca="false">IF($B496="","",$E496*IFERROR(INDEX(Drinks!$B$4:$B$53,MATCH($B496,Drinks!$A$4:$A$53,0)),0))</f>
        <v/>
      </c>
      <c r="L496" s="10" t="str">
        <f aca="false">IF($B496="","",$J496+$K496)</f>
        <v/>
      </c>
      <c r="M496" s="9"/>
      <c r="N496" s="10" t="str">
        <f aca="false">IF($B496="","",$L496-$M496)</f>
        <v/>
      </c>
      <c r="O496" s="10" t="str">
        <f aca="false">IF($B496="","",IFERROR(INDEX(Drinks!$E$4:$E$53,MATCH($B496,Drinks!$A$4:$A$53,0)),0))</f>
        <v/>
      </c>
      <c r="P496" s="10" t="str">
        <f aca="false">IF($B496="","",$N496*$O496)</f>
        <v/>
      </c>
      <c r="Q496" s="10" t="str">
        <f aca="false">IF($B496="","",$N496*IFERROR(INDEX(Drinks!$D$4:$D$53,MATCH($B496,Drinks!$A$4:$A$53,0)),0))</f>
        <v/>
      </c>
      <c r="R496" s="10" t="str">
        <f aca="false">IF($B496="","",$P496-$Q496)</f>
        <v/>
      </c>
      <c r="S496" s="23" t="str">
        <f aca="false">IF($B496="","",IF(COUNTIFS($A$4:$A$2003,$A496-1,$B$4:$B$2003,$B496)=0,"first day",IF(SUMIFS($M$4:$M$2003,$A$4:$A$2003,$A496-1,$B$4:$B$2003,$B496)=$J496,"OK","CHECK")))</f>
        <v/>
      </c>
      <c r="T496" s="10" t="str">
        <f aca="false">IF($B496="","",IFERROR(INDEX(Drinks!$D$4:$D$53,MATCH($B496,Drinks!$A$4:$A$53,0)),0))</f>
        <v/>
      </c>
    </row>
    <row r="497" customFormat="false" ht="15" hidden="false" customHeight="false" outlineLevel="0" collapsed="false">
      <c r="A497" s="22"/>
      <c r="B497" s="9"/>
      <c r="C497" s="9"/>
      <c r="D497" s="9"/>
      <c r="E497" s="9"/>
      <c r="F497" s="10" t="str">
        <f aca="false">IF($B497="","",$C497+$D497-$E497)</f>
        <v/>
      </c>
      <c r="G497" s="10" t="str">
        <f aca="false">IF($B497="","",IFERROR(INDEX(Drinks!$C$4:$C$53,MATCH($B497,Drinks!$A$4:$A$53,0)),0))</f>
        <v/>
      </c>
      <c r="H497" s="10" t="str">
        <f aca="false">IF($B497="","",$D497*$G497)</f>
        <v/>
      </c>
      <c r="I497" s="10" t="str">
        <f aca="false">IF($B497="","",$F497*$G497)</f>
        <v/>
      </c>
      <c r="J497" s="9"/>
      <c r="K497" s="10" t="str">
        <f aca="false">IF($B497="","",$E497*IFERROR(INDEX(Drinks!$B$4:$B$53,MATCH($B497,Drinks!$A$4:$A$53,0)),0))</f>
        <v/>
      </c>
      <c r="L497" s="10" t="str">
        <f aca="false">IF($B497="","",$J497+$K497)</f>
        <v/>
      </c>
      <c r="M497" s="9"/>
      <c r="N497" s="10" t="str">
        <f aca="false">IF($B497="","",$L497-$M497)</f>
        <v/>
      </c>
      <c r="O497" s="10" t="str">
        <f aca="false">IF($B497="","",IFERROR(INDEX(Drinks!$E$4:$E$53,MATCH($B497,Drinks!$A$4:$A$53,0)),0))</f>
        <v/>
      </c>
      <c r="P497" s="10" t="str">
        <f aca="false">IF($B497="","",$N497*$O497)</f>
        <v/>
      </c>
      <c r="Q497" s="10" t="str">
        <f aca="false">IF($B497="","",$N497*IFERROR(INDEX(Drinks!$D$4:$D$53,MATCH($B497,Drinks!$A$4:$A$53,0)),0))</f>
        <v/>
      </c>
      <c r="R497" s="10" t="str">
        <f aca="false">IF($B497="","",$P497-$Q497)</f>
        <v/>
      </c>
      <c r="S497" s="23" t="str">
        <f aca="false">IF($B497="","",IF(COUNTIFS($A$4:$A$2003,$A497-1,$B$4:$B$2003,$B497)=0,"first day",IF(SUMIFS($M$4:$M$2003,$A$4:$A$2003,$A497-1,$B$4:$B$2003,$B497)=$J497,"OK","CHECK")))</f>
        <v/>
      </c>
      <c r="T497" s="10" t="str">
        <f aca="false">IF($B497="","",IFERROR(INDEX(Drinks!$D$4:$D$53,MATCH($B497,Drinks!$A$4:$A$53,0)),0))</f>
        <v/>
      </c>
    </row>
    <row r="498" customFormat="false" ht="15" hidden="false" customHeight="false" outlineLevel="0" collapsed="false">
      <c r="A498" s="22"/>
      <c r="B498" s="9"/>
      <c r="C498" s="9"/>
      <c r="D498" s="9"/>
      <c r="E498" s="9"/>
      <c r="F498" s="10" t="str">
        <f aca="false">IF($B498="","",$C498+$D498-$E498)</f>
        <v/>
      </c>
      <c r="G498" s="10" t="str">
        <f aca="false">IF($B498="","",IFERROR(INDEX(Drinks!$C$4:$C$53,MATCH($B498,Drinks!$A$4:$A$53,0)),0))</f>
        <v/>
      </c>
      <c r="H498" s="10" t="str">
        <f aca="false">IF($B498="","",$D498*$G498)</f>
        <v/>
      </c>
      <c r="I498" s="10" t="str">
        <f aca="false">IF($B498="","",$F498*$G498)</f>
        <v/>
      </c>
      <c r="J498" s="9"/>
      <c r="K498" s="10" t="str">
        <f aca="false">IF($B498="","",$E498*IFERROR(INDEX(Drinks!$B$4:$B$53,MATCH($B498,Drinks!$A$4:$A$53,0)),0))</f>
        <v/>
      </c>
      <c r="L498" s="10" t="str">
        <f aca="false">IF($B498="","",$J498+$K498)</f>
        <v/>
      </c>
      <c r="M498" s="9"/>
      <c r="N498" s="10" t="str">
        <f aca="false">IF($B498="","",$L498-$M498)</f>
        <v/>
      </c>
      <c r="O498" s="10" t="str">
        <f aca="false">IF($B498="","",IFERROR(INDEX(Drinks!$E$4:$E$53,MATCH($B498,Drinks!$A$4:$A$53,0)),0))</f>
        <v/>
      </c>
      <c r="P498" s="10" t="str">
        <f aca="false">IF($B498="","",$N498*$O498)</f>
        <v/>
      </c>
      <c r="Q498" s="10" t="str">
        <f aca="false">IF($B498="","",$N498*IFERROR(INDEX(Drinks!$D$4:$D$53,MATCH($B498,Drinks!$A$4:$A$53,0)),0))</f>
        <v/>
      </c>
      <c r="R498" s="10" t="str">
        <f aca="false">IF($B498="","",$P498-$Q498)</f>
        <v/>
      </c>
      <c r="S498" s="23" t="str">
        <f aca="false">IF($B498="","",IF(COUNTIFS($A$4:$A$2003,$A498-1,$B$4:$B$2003,$B498)=0,"first day",IF(SUMIFS($M$4:$M$2003,$A$4:$A$2003,$A498-1,$B$4:$B$2003,$B498)=$J498,"OK","CHECK")))</f>
        <v/>
      </c>
      <c r="T498" s="10" t="str">
        <f aca="false">IF($B498="","",IFERROR(INDEX(Drinks!$D$4:$D$53,MATCH($B498,Drinks!$A$4:$A$53,0)),0))</f>
        <v/>
      </c>
    </row>
    <row r="499" customFormat="false" ht="15" hidden="false" customHeight="false" outlineLevel="0" collapsed="false">
      <c r="A499" s="22"/>
      <c r="B499" s="9"/>
      <c r="C499" s="9"/>
      <c r="D499" s="9"/>
      <c r="E499" s="9"/>
      <c r="F499" s="10" t="str">
        <f aca="false">IF($B499="","",$C499+$D499-$E499)</f>
        <v/>
      </c>
      <c r="G499" s="10" t="str">
        <f aca="false">IF($B499="","",IFERROR(INDEX(Drinks!$C$4:$C$53,MATCH($B499,Drinks!$A$4:$A$53,0)),0))</f>
        <v/>
      </c>
      <c r="H499" s="10" t="str">
        <f aca="false">IF($B499="","",$D499*$G499)</f>
        <v/>
      </c>
      <c r="I499" s="10" t="str">
        <f aca="false">IF($B499="","",$F499*$G499)</f>
        <v/>
      </c>
      <c r="J499" s="9"/>
      <c r="K499" s="10" t="str">
        <f aca="false">IF($B499="","",$E499*IFERROR(INDEX(Drinks!$B$4:$B$53,MATCH($B499,Drinks!$A$4:$A$53,0)),0))</f>
        <v/>
      </c>
      <c r="L499" s="10" t="str">
        <f aca="false">IF($B499="","",$J499+$K499)</f>
        <v/>
      </c>
      <c r="M499" s="9"/>
      <c r="N499" s="10" t="str">
        <f aca="false">IF($B499="","",$L499-$M499)</f>
        <v/>
      </c>
      <c r="O499" s="10" t="str">
        <f aca="false">IF($B499="","",IFERROR(INDEX(Drinks!$E$4:$E$53,MATCH($B499,Drinks!$A$4:$A$53,0)),0))</f>
        <v/>
      </c>
      <c r="P499" s="10" t="str">
        <f aca="false">IF($B499="","",$N499*$O499)</f>
        <v/>
      </c>
      <c r="Q499" s="10" t="str">
        <f aca="false">IF($B499="","",$N499*IFERROR(INDEX(Drinks!$D$4:$D$53,MATCH($B499,Drinks!$A$4:$A$53,0)),0))</f>
        <v/>
      </c>
      <c r="R499" s="10" t="str">
        <f aca="false">IF($B499="","",$P499-$Q499)</f>
        <v/>
      </c>
      <c r="S499" s="23" t="str">
        <f aca="false">IF($B499="","",IF(COUNTIFS($A$4:$A$2003,$A499-1,$B$4:$B$2003,$B499)=0,"first day",IF(SUMIFS($M$4:$M$2003,$A$4:$A$2003,$A499-1,$B$4:$B$2003,$B499)=$J499,"OK","CHECK")))</f>
        <v/>
      </c>
      <c r="T499" s="10" t="str">
        <f aca="false">IF($B499="","",IFERROR(INDEX(Drinks!$D$4:$D$53,MATCH($B499,Drinks!$A$4:$A$53,0)),0))</f>
        <v/>
      </c>
    </row>
    <row r="500" customFormat="false" ht="15" hidden="false" customHeight="false" outlineLevel="0" collapsed="false">
      <c r="A500" s="22"/>
      <c r="B500" s="9"/>
      <c r="C500" s="9"/>
      <c r="D500" s="9"/>
      <c r="E500" s="9"/>
      <c r="F500" s="10" t="str">
        <f aca="false">IF($B500="","",$C500+$D500-$E500)</f>
        <v/>
      </c>
      <c r="G500" s="10" t="str">
        <f aca="false">IF($B500="","",IFERROR(INDEX(Drinks!$C$4:$C$53,MATCH($B500,Drinks!$A$4:$A$53,0)),0))</f>
        <v/>
      </c>
      <c r="H500" s="10" t="str">
        <f aca="false">IF($B500="","",$D500*$G500)</f>
        <v/>
      </c>
      <c r="I500" s="10" t="str">
        <f aca="false">IF($B500="","",$F500*$G500)</f>
        <v/>
      </c>
      <c r="J500" s="9"/>
      <c r="K500" s="10" t="str">
        <f aca="false">IF($B500="","",$E500*IFERROR(INDEX(Drinks!$B$4:$B$53,MATCH($B500,Drinks!$A$4:$A$53,0)),0))</f>
        <v/>
      </c>
      <c r="L500" s="10" t="str">
        <f aca="false">IF($B500="","",$J500+$K500)</f>
        <v/>
      </c>
      <c r="M500" s="9"/>
      <c r="N500" s="10" t="str">
        <f aca="false">IF($B500="","",$L500-$M500)</f>
        <v/>
      </c>
      <c r="O500" s="10" t="str">
        <f aca="false">IF($B500="","",IFERROR(INDEX(Drinks!$E$4:$E$53,MATCH($B500,Drinks!$A$4:$A$53,0)),0))</f>
        <v/>
      </c>
      <c r="P500" s="10" t="str">
        <f aca="false">IF($B500="","",$N500*$O500)</f>
        <v/>
      </c>
      <c r="Q500" s="10" t="str">
        <f aca="false">IF($B500="","",$N500*IFERROR(INDEX(Drinks!$D$4:$D$53,MATCH($B500,Drinks!$A$4:$A$53,0)),0))</f>
        <v/>
      </c>
      <c r="R500" s="10" t="str">
        <f aca="false">IF($B500="","",$P500-$Q500)</f>
        <v/>
      </c>
      <c r="S500" s="23" t="str">
        <f aca="false">IF($B500="","",IF(COUNTIFS($A$4:$A$2003,$A500-1,$B$4:$B$2003,$B500)=0,"first day",IF(SUMIFS($M$4:$M$2003,$A$4:$A$2003,$A500-1,$B$4:$B$2003,$B500)=$J500,"OK","CHECK")))</f>
        <v/>
      </c>
      <c r="T500" s="10" t="str">
        <f aca="false">IF($B500="","",IFERROR(INDEX(Drinks!$D$4:$D$53,MATCH($B500,Drinks!$A$4:$A$53,0)),0))</f>
        <v/>
      </c>
    </row>
    <row r="501" customFormat="false" ht="15" hidden="false" customHeight="false" outlineLevel="0" collapsed="false">
      <c r="A501" s="22"/>
      <c r="B501" s="9"/>
      <c r="C501" s="9"/>
      <c r="D501" s="9"/>
      <c r="E501" s="9"/>
      <c r="F501" s="10" t="str">
        <f aca="false">IF($B501="","",$C501+$D501-$E501)</f>
        <v/>
      </c>
      <c r="G501" s="10" t="str">
        <f aca="false">IF($B501="","",IFERROR(INDEX(Drinks!$C$4:$C$53,MATCH($B501,Drinks!$A$4:$A$53,0)),0))</f>
        <v/>
      </c>
      <c r="H501" s="10" t="str">
        <f aca="false">IF($B501="","",$D501*$G501)</f>
        <v/>
      </c>
      <c r="I501" s="10" t="str">
        <f aca="false">IF($B501="","",$F501*$G501)</f>
        <v/>
      </c>
      <c r="J501" s="9"/>
      <c r="K501" s="10" t="str">
        <f aca="false">IF($B501="","",$E501*IFERROR(INDEX(Drinks!$B$4:$B$53,MATCH($B501,Drinks!$A$4:$A$53,0)),0))</f>
        <v/>
      </c>
      <c r="L501" s="10" t="str">
        <f aca="false">IF($B501="","",$J501+$K501)</f>
        <v/>
      </c>
      <c r="M501" s="9"/>
      <c r="N501" s="10" t="str">
        <f aca="false">IF($B501="","",$L501-$M501)</f>
        <v/>
      </c>
      <c r="O501" s="10" t="str">
        <f aca="false">IF($B501="","",IFERROR(INDEX(Drinks!$E$4:$E$53,MATCH($B501,Drinks!$A$4:$A$53,0)),0))</f>
        <v/>
      </c>
      <c r="P501" s="10" t="str">
        <f aca="false">IF($B501="","",$N501*$O501)</f>
        <v/>
      </c>
      <c r="Q501" s="10" t="str">
        <f aca="false">IF($B501="","",$N501*IFERROR(INDEX(Drinks!$D$4:$D$53,MATCH($B501,Drinks!$A$4:$A$53,0)),0))</f>
        <v/>
      </c>
      <c r="R501" s="10" t="str">
        <f aca="false">IF($B501="","",$P501-$Q501)</f>
        <v/>
      </c>
      <c r="S501" s="23" t="str">
        <f aca="false">IF($B501="","",IF(COUNTIFS($A$4:$A$2003,$A501-1,$B$4:$B$2003,$B501)=0,"first day",IF(SUMIFS($M$4:$M$2003,$A$4:$A$2003,$A501-1,$B$4:$B$2003,$B501)=$J501,"OK","CHECK")))</f>
        <v/>
      </c>
      <c r="T501" s="10" t="str">
        <f aca="false">IF($B501="","",IFERROR(INDEX(Drinks!$D$4:$D$53,MATCH($B501,Drinks!$A$4:$A$53,0)),0))</f>
        <v/>
      </c>
    </row>
    <row r="502" customFormat="false" ht="15" hidden="false" customHeight="false" outlineLevel="0" collapsed="false">
      <c r="A502" s="22"/>
      <c r="B502" s="9"/>
      <c r="C502" s="9"/>
      <c r="D502" s="9"/>
      <c r="E502" s="9"/>
      <c r="F502" s="10" t="str">
        <f aca="false">IF($B502="","",$C502+$D502-$E502)</f>
        <v/>
      </c>
      <c r="G502" s="10" t="str">
        <f aca="false">IF($B502="","",IFERROR(INDEX(Drinks!$C$4:$C$53,MATCH($B502,Drinks!$A$4:$A$53,0)),0))</f>
        <v/>
      </c>
      <c r="H502" s="10" t="str">
        <f aca="false">IF($B502="","",$D502*$G502)</f>
        <v/>
      </c>
      <c r="I502" s="10" t="str">
        <f aca="false">IF($B502="","",$F502*$G502)</f>
        <v/>
      </c>
      <c r="J502" s="9"/>
      <c r="K502" s="10" t="str">
        <f aca="false">IF($B502="","",$E502*IFERROR(INDEX(Drinks!$B$4:$B$53,MATCH($B502,Drinks!$A$4:$A$53,0)),0))</f>
        <v/>
      </c>
      <c r="L502" s="10" t="str">
        <f aca="false">IF($B502="","",$J502+$K502)</f>
        <v/>
      </c>
      <c r="M502" s="9"/>
      <c r="N502" s="10" t="str">
        <f aca="false">IF($B502="","",$L502-$M502)</f>
        <v/>
      </c>
      <c r="O502" s="10" t="str">
        <f aca="false">IF($B502="","",IFERROR(INDEX(Drinks!$E$4:$E$53,MATCH($B502,Drinks!$A$4:$A$53,0)),0))</f>
        <v/>
      </c>
      <c r="P502" s="10" t="str">
        <f aca="false">IF($B502="","",$N502*$O502)</f>
        <v/>
      </c>
      <c r="Q502" s="10" t="str">
        <f aca="false">IF($B502="","",$N502*IFERROR(INDEX(Drinks!$D$4:$D$53,MATCH($B502,Drinks!$A$4:$A$53,0)),0))</f>
        <v/>
      </c>
      <c r="R502" s="10" t="str">
        <f aca="false">IF($B502="","",$P502-$Q502)</f>
        <v/>
      </c>
      <c r="S502" s="23" t="str">
        <f aca="false">IF($B502="","",IF(COUNTIFS($A$4:$A$2003,$A502-1,$B$4:$B$2003,$B502)=0,"first day",IF(SUMIFS($M$4:$M$2003,$A$4:$A$2003,$A502-1,$B$4:$B$2003,$B502)=$J502,"OK","CHECK")))</f>
        <v/>
      </c>
      <c r="T502" s="10" t="str">
        <f aca="false">IF($B502="","",IFERROR(INDEX(Drinks!$D$4:$D$53,MATCH($B502,Drinks!$A$4:$A$53,0)),0))</f>
        <v/>
      </c>
    </row>
    <row r="503" customFormat="false" ht="15" hidden="false" customHeight="false" outlineLevel="0" collapsed="false">
      <c r="A503" s="22"/>
      <c r="B503" s="9"/>
      <c r="C503" s="9"/>
      <c r="D503" s="9"/>
      <c r="E503" s="9"/>
      <c r="F503" s="10" t="str">
        <f aca="false">IF($B503="","",$C503+$D503-$E503)</f>
        <v/>
      </c>
      <c r="G503" s="10" t="str">
        <f aca="false">IF($B503="","",IFERROR(INDEX(Drinks!$C$4:$C$53,MATCH($B503,Drinks!$A$4:$A$53,0)),0))</f>
        <v/>
      </c>
      <c r="H503" s="10" t="str">
        <f aca="false">IF($B503="","",$D503*$G503)</f>
        <v/>
      </c>
      <c r="I503" s="10" t="str">
        <f aca="false">IF($B503="","",$F503*$G503)</f>
        <v/>
      </c>
      <c r="J503" s="9"/>
      <c r="K503" s="10" t="str">
        <f aca="false">IF($B503="","",$E503*IFERROR(INDEX(Drinks!$B$4:$B$53,MATCH($B503,Drinks!$A$4:$A$53,0)),0))</f>
        <v/>
      </c>
      <c r="L503" s="10" t="str">
        <f aca="false">IF($B503="","",$J503+$K503)</f>
        <v/>
      </c>
      <c r="M503" s="9"/>
      <c r="N503" s="10" t="str">
        <f aca="false">IF($B503="","",$L503-$M503)</f>
        <v/>
      </c>
      <c r="O503" s="10" t="str">
        <f aca="false">IF($B503="","",IFERROR(INDEX(Drinks!$E$4:$E$53,MATCH($B503,Drinks!$A$4:$A$53,0)),0))</f>
        <v/>
      </c>
      <c r="P503" s="10" t="str">
        <f aca="false">IF($B503="","",$N503*$O503)</f>
        <v/>
      </c>
      <c r="Q503" s="10" t="str">
        <f aca="false">IF($B503="","",$N503*IFERROR(INDEX(Drinks!$D$4:$D$53,MATCH($B503,Drinks!$A$4:$A$53,0)),0))</f>
        <v/>
      </c>
      <c r="R503" s="10" t="str">
        <f aca="false">IF($B503="","",$P503-$Q503)</f>
        <v/>
      </c>
      <c r="S503" s="23" t="str">
        <f aca="false">IF($B503="","",IF(COUNTIFS($A$4:$A$2003,$A503-1,$B$4:$B$2003,$B503)=0,"first day",IF(SUMIFS($M$4:$M$2003,$A$4:$A$2003,$A503-1,$B$4:$B$2003,$B503)=$J503,"OK","CHECK")))</f>
        <v/>
      </c>
      <c r="T503" s="10" t="str">
        <f aca="false">IF($B503="","",IFERROR(INDEX(Drinks!$D$4:$D$53,MATCH($B503,Drinks!$A$4:$A$53,0)),0))</f>
        <v/>
      </c>
    </row>
    <row r="504" customFormat="false" ht="15" hidden="false" customHeight="false" outlineLevel="0" collapsed="false">
      <c r="A504" s="22"/>
      <c r="B504" s="9"/>
      <c r="C504" s="9"/>
      <c r="D504" s="9"/>
      <c r="E504" s="9"/>
      <c r="F504" s="10" t="str">
        <f aca="false">IF($B504="","",$C504+$D504-$E504)</f>
        <v/>
      </c>
      <c r="G504" s="10" t="str">
        <f aca="false">IF($B504="","",IFERROR(INDEX(Drinks!$C$4:$C$53,MATCH($B504,Drinks!$A$4:$A$53,0)),0))</f>
        <v/>
      </c>
      <c r="H504" s="10" t="str">
        <f aca="false">IF($B504="","",$D504*$G504)</f>
        <v/>
      </c>
      <c r="I504" s="10" t="str">
        <f aca="false">IF($B504="","",$F504*$G504)</f>
        <v/>
      </c>
      <c r="J504" s="9"/>
      <c r="K504" s="10" t="str">
        <f aca="false">IF($B504="","",$E504*IFERROR(INDEX(Drinks!$B$4:$B$53,MATCH($B504,Drinks!$A$4:$A$53,0)),0))</f>
        <v/>
      </c>
      <c r="L504" s="10" t="str">
        <f aca="false">IF($B504="","",$J504+$K504)</f>
        <v/>
      </c>
      <c r="M504" s="9"/>
      <c r="N504" s="10" t="str">
        <f aca="false">IF($B504="","",$L504-$M504)</f>
        <v/>
      </c>
      <c r="O504" s="10" t="str">
        <f aca="false">IF($B504="","",IFERROR(INDEX(Drinks!$E$4:$E$53,MATCH($B504,Drinks!$A$4:$A$53,0)),0))</f>
        <v/>
      </c>
      <c r="P504" s="10" t="str">
        <f aca="false">IF($B504="","",$N504*$O504)</f>
        <v/>
      </c>
      <c r="Q504" s="10" t="str">
        <f aca="false">IF($B504="","",$N504*IFERROR(INDEX(Drinks!$D$4:$D$53,MATCH($B504,Drinks!$A$4:$A$53,0)),0))</f>
        <v/>
      </c>
      <c r="R504" s="10" t="str">
        <f aca="false">IF($B504="","",$P504-$Q504)</f>
        <v/>
      </c>
      <c r="S504" s="23" t="str">
        <f aca="false">IF($B504="","",IF(COUNTIFS($A$4:$A$2003,$A504-1,$B$4:$B$2003,$B504)=0,"first day",IF(SUMIFS($M$4:$M$2003,$A$4:$A$2003,$A504-1,$B$4:$B$2003,$B504)=$J504,"OK","CHECK")))</f>
        <v/>
      </c>
      <c r="T504" s="10" t="str">
        <f aca="false">IF($B504="","",IFERROR(INDEX(Drinks!$D$4:$D$53,MATCH($B504,Drinks!$A$4:$A$53,0)),0))</f>
        <v/>
      </c>
    </row>
    <row r="505" customFormat="false" ht="15" hidden="false" customHeight="false" outlineLevel="0" collapsed="false">
      <c r="A505" s="22"/>
      <c r="B505" s="9"/>
      <c r="C505" s="9"/>
      <c r="D505" s="9"/>
      <c r="E505" s="9"/>
      <c r="F505" s="10" t="str">
        <f aca="false">IF($B505="","",$C505+$D505-$E505)</f>
        <v/>
      </c>
      <c r="G505" s="10" t="str">
        <f aca="false">IF($B505="","",IFERROR(INDEX(Drinks!$C$4:$C$53,MATCH($B505,Drinks!$A$4:$A$53,0)),0))</f>
        <v/>
      </c>
      <c r="H505" s="10" t="str">
        <f aca="false">IF($B505="","",$D505*$G505)</f>
        <v/>
      </c>
      <c r="I505" s="10" t="str">
        <f aca="false">IF($B505="","",$F505*$G505)</f>
        <v/>
      </c>
      <c r="J505" s="9"/>
      <c r="K505" s="10" t="str">
        <f aca="false">IF($B505="","",$E505*IFERROR(INDEX(Drinks!$B$4:$B$53,MATCH($B505,Drinks!$A$4:$A$53,0)),0))</f>
        <v/>
      </c>
      <c r="L505" s="10" t="str">
        <f aca="false">IF($B505="","",$J505+$K505)</f>
        <v/>
      </c>
      <c r="M505" s="9"/>
      <c r="N505" s="10" t="str">
        <f aca="false">IF($B505="","",$L505-$M505)</f>
        <v/>
      </c>
      <c r="O505" s="10" t="str">
        <f aca="false">IF($B505="","",IFERROR(INDEX(Drinks!$E$4:$E$53,MATCH($B505,Drinks!$A$4:$A$53,0)),0))</f>
        <v/>
      </c>
      <c r="P505" s="10" t="str">
        <f aca="false">IF($B505="","",$N505*$O505)</f>
        <v/>
      </c>
      <c r="Q505" s="10" t="str">
        <f aca="false">IF($B505="","",$N505*IFERROR(INDEX(Drinks!$D$4:$D$53,MATCH($B505,Drinks!$A$4:$A$53,0)),0))</f>
        <v/>
      </c>
      <c r="R505" s="10" t="str">
        <f aca="false">IF($B505="","",$P505-$Q505)</f>
        <v/>
      </c>
      <c r="S505" s="23" t="str">
        <f aca="false">IF($B505="","",IF(COUNTIFS($A$4:$A$2003,$A505-1,$B$4:$B$2003,$B505)=0,"first day",IF(SUMIFS($M$4:$M$2003,$A$4:$A$2003,$A505-1,$B$4:$B$2003,$B505)=$J505,"OK","CHECK")))</f>
        <v/>
      </c>
      <c r="T505" s="10" t="str">
        <f aca="false">IF($B505="","",IFERROR(INDEX(Drinks!$D$4:$D$53,MATCH($B505,Drinks!$A$4:$A$53,0)),0))</f>
        <v/>
      </c>
    </row>
    <row r="506" customFormat="false" ht="15" hidden="false" customHeight="false" outlineLevel="0" collapsed="false">
      <c r="A506" s="22"/>
      <c r="B506" s="9"/>
      <c r="C506" s="9"/>
      <c r="D506" s="9"/>
      <c r="E506" s="9"/>
      <c r="F506" s="10" t="str">
        <f aca="false">IF($B506="","",$C506+$D506-$E506)</f>
        <v/>
      </c>
      <c r="G506" s="10" t="str">
        <f aca="false">IF($B506="","",IFERROR(INDEX(Drinks!$C$4:$C$53,MATCH($B506,Drinks!$A$4:$A$53,0)),0))</f>
        <v/>
      </c>
      <c r="H506" s="10" t="str">
        <f aca="false">IF($B506="","",$D506*$G506)</f>
        <v/>
      </c>
      <c r="I506" s="10" t="str">
        <f aca="false">IF($B506="","",$F506*$G506)</f>
        <v/>
      </c>
      <c r="J506" s="9"/>
      <c r="K506" s="10" t="str">
        <f aca="false">IF($B506="","",$E506*IFERROR(INDEX(Drinks!$B$4:$B$53,MATCH($B506,Drinks!$A$4:$A$53,0)),0))</f>
        <v/>
      </c>
      <c r="L506" s="10" t="str">
        <f aca="false">IF($B506="","",$J506+$K506)</f>
        <v/>
      </c>
      <c r="M506" s="9"/>
      <c r="N506" s="10" t="str">
        <f aca="false">IF($B506="","",$L506-$M506)</f>
        <v/>
      </c>
      <c r="O506" s="10" t="str">
        <f aca="false">IF($B506="","",IFERROR(INDEX(Drinks!$E$4:$E$53,MATCH($B506,Drinks!$A$4:$A$53,0)),0))</f>
        <v/>
      </c>
      <c r="P506" s="10" t="str">
        <f aca="false">IF($B506="","",$N506*$O506)</f>
        <v/>
      </c>
      <c r="Q506" s="10" t="str">
        <f aca="false">IF($B506="","",$N506*IFERROR(INDEX(Drinks!$D$4:$D$53,MATCH($B506,Drinks!$A$4:$A$53,0)),0))</f>
        <v/>
      </c>
      <c r="R506" s="10" t="str">
        <f aca="false">IF($B506="","",$P506-$Q506)</f>
        <v/>
      </c>
      <c r="S506" s="23" t="str">
        <f aca="false">IF($B506="","",IF(COUNTIFS($A$4:$A$2003,$A506-1,$B$4:$B$2003,$B506)=0,"first day",IF(SUMIFS($M$4:$M$2003,$A$4:$A$2003,$A506-1,$B$4:$B$2003,$B506)=$J506,"OK","CHECK")))</f>
        <v/>
      </c>
      <c r="T506" s="10" t="str">
        <f aca="false">IF($B506="","",IFERROR(INDEX(Drinks!$D$4:$D$53,MATCH($B506,Drinks!$A$4:$A$53,0)),0))</f>
        <v/>
      </c>
    </row>
    <row r="507" customFormat="false" ht="15" hidden="false" customHeight="false" outlineLevel="0" collapsed="false">
      <c r="A507" s="22"/>
      <c r="B507" s="9"/>
      <c r="C507" s="9"/>
      <c r="D507" s="9"/>
      <c r="E507" s="9"/>
      <c r="F507" s="10" t="str">
        <f aca="false">IF($B507="","",$C507+$D507-$E507)</f>
        <v/>
      </c>
      <c r="G507" s="10" t="str">
        <f aca="false">IF($B507="","",IFERROR(INDEX(Drinks!$C$4:$C$53,MATCH($B507,Drinks!$A$4:$A$53,0)),0))</f>
        <v/>
      </c>
      <c r="H507" s="10" t="str">
        <f aca="false">IF($B507="","",$D507*$G507)</f>
        <v/>
      </c>
      <c r="I507" s="10" t="str">
        <f aca="false">IF($B507="","",$F507*$G507)</f>
        <v/>
      </c>
      <c r="J507" s="9"/>
      <c r="K507" s="10" t="str">
        <f aca="false">IF($B507="","",$E507*IFERROR(INDEX(Drinks!$B$4:$B$53,MATCH($B507,Drinks!$A$4:$A$53,0)),0))</f>
        <v/>
      </c>
      <c r="L507" s="10" t="str">
        <f aca="false">IF($B507="","",$J507+$K507)</f>
        <v/>
      </c>
      <c r="M507" s="9"/>
      <c r="N507" s="10" t="str">
        <f aca="false">IF($B507="","",$L507-$M507)</f>
        <v/>
      </c>
      <c r="O507" s="10" t="str">
        <f aca="false">IF($B507="","",IFERROR(INDEX(Drinks!$E$4:$E$53,MATCH($B507,Drinks!$A$4:$A$53,0)),0))</f>
        <v/>
      </c>
      <c r="P507" s="10" t="str">
        <f aca="false">IF($B507="","",$N507*$O507)</f>
        <v/>
      </c>
      <c r="Q507" s="10" t="str">
        <f aca="false">IF($B507="","",$N507*IFERROR(INDEX(Drinks!$D$4:$D$53,MATCH($B507,Drinks!$A$4:$A$53,0)),0))</f>
        <v/>
      </c>
      <c r="R507" s="10" t="str">
        <f aca="false">IF($B507="","",$P507-$Q507)</f>
        <v/>
      </c>
      <c r="S507" s="23" t="str">
        <f aca="false">IF($B507="","",IF(COUNTIFS($A$4:$A$2003,$A507-1,$B$4:$B$2003,$B507)=0,"first day",IF(SUMIFS($M$4:$M$2003,$A$4:$A$2003,$A507-1,$B$4:$B$2003,$B507)=$J507,"OK","CHECK")))</f>
        <v/>
      </c>
      <c r="T507" s="10" t="str">
        <f aca="false">IF($B507="","",IFERROR(INDEX(Drinks!$D$4:$D$53,MATCH($B507,Drinks!$A$4:$A$53,0)),0))</f>
        <v/>
      </c>
    </row>
    <row r="508" customFormat="false" ht="15" hidden="false" customHeight="false" outlineLevel="0" collapsed="false">
      <c r="A508" s="22"/>
      <c r="B508" s="9"/>
      <c r="C508" s="9"/>
      <c r="D508" s="9"/>
      <c r="E508" s="9"/>
      <c r="F508" s="10" t="str">
        <f aca="false">IF($B508="","",$C508+$D508-$E508)</f>
        <v/>
      </c>
      <c r="G508" s="10" t="str">
        <f aca="false">IF($B508="","",IFERROR(INDEX(Drinks!$C$4:$C$53,MATCH($B508,Drinks!$A$4:$A$53,0)),0))</f>
        <v/>
      </c>
      <c r="H508" s="10" t="str">
        <f aca="false">IF($B508="","",$D508*$G508)</f>
        <v/>
      </c>
      <c r="I508" s="10" t="str">
        <f aca="false">IF($B508="","",$F508*$G508)</f>
        <v/>
      </c>
      <c r="J508" s="9"/>
      <c r="K508" s="10" t="str">
        <f aca="false">IF($B508="","",$E508*IFERROR(INDEX(Drinks!$B$4:$B$53,MATCH($B508,Drinks!$A$4:$A$53,0)),0))</f>
        <v/>
      </c>
      <c r="L508" s="10" t="str">
        <f aca="false">IF($B508="","",$J508+$K508)</f>
        <v/>
      </c>
      <c r="M508" s="9"/>
      <c r="N508" s="10" t="str">
        <f aca="false">IF($B508="","",$L508-$M508)</f>
        <v/>
      </c>
      <c r="O508" s="10" t="str">
        <f aca="false">IF($B508="","",IFERROR(INDEX(Drinks!$E$4:$E$53,MATCH($B508,Drinks!$A$4:$A$53,0)),0))</f>
        <v/>
      </c>
      <c r="P508" s="10" t="str">
        <f aca="false">IF($B508="","",$N508*$O508)</f>
        <v/>
      </c>
      <c r="Q508" s="10" t="str">
        <f aca="false">IF($B508="","",$N508*IFERROR(INDEX(Drinks!$D$4:$D$53,MATCH($B508,Drinks!$A$4:$A$53,0)),0))</f>
        <v/>
      </c>
      <c r="R508" s="10" t="str">
        <f aca="false">IF($B508="","",$P508-$Q508)</f>
        <v/>
      </c>
      <c r="S508" s="23" t="str">
        <f aca="false">IF($B508="","",IF(COUNTIFS($A$4:$A$2003,$A508-1,$B$4:$B$2003,$B508)=0,"first day",IF(SUMIFS($M$4:$M$2003,$A$4:$A$2003,$A508-1,$B$4:$B$2003,$B508)=$J508,"OK","CHECK")))</f>
        <v/>
      </c>
      <c r="T508" s="10" t="str">
        <f aca="false">IF($B508="","",IFERROR(INDEX(Drinks!$D$4:$D$53,MATCH($B508,Drinks!$A$4:$A$53,0)),0))</f>
        <v/>
      </c>
    </row>
    <row r="509" customFormat="false" ht="15" hidden="false" customHeight="false" outlineLevel="0" collapsed="false">
      <c r="A509" s="22"/>
      <c r="B509" s="9"/>
      <c r="C509" s="9"/>
      <c r="D509" s="9"/>
      <c r="E509" s="9"/>
      <c r="F509" s="10" t="str">
        <f aca="false">IF($B509="","",$C509+$D509-$E509)</f>
        <v/>
      </c>
      <c r="G509" s="10" t="str">
        <f aca="false">IF($B509="","",IFERROR(INDEX(Drinks!$C$4:$C$53,MATCH($B509,Drinks!$A$4:$A$53,0)),0))</f>
        <v/>
      </c>
      <c r="H509" s="10" t="str">
        <f aca="false">IF($B509="","",$D509*$G509)</f>
        <v/>
      </c>
      <c r="I509" s="10" t="str">
        <f aca="false">IF($B509="","",$F509*$G509)</f>
        <v/>
      </c>
      <c r="J509" s="9"/>
      <c r="K509" s="10" t="str">
        <f aca="false">IF($B509="","",$E509*IFERROR(INDEX(Drinks!$B$4:$B$53,MATCH($B509,Drinks!$A$4:$A$53,0)),0))</f>
        <v/>
      </c>
      <c r="L509" s="10" t="str">
        <f aca="false">IF($B509="","",$J509+$K509)</f>
        <v/>
      </c>
      <c r="M509" s="9"/>
      <c r="N509" s="10" t="str">
        <f aca="false">IF($B509="","",$L509-$M509)</f>
        <v/>
      </c>
      <c r="O509" s="10" t="str">
        <f aca="false">IF($B509="","",IFERROR(INDEX(Drinks!$E$4:$E$53,MATCH($B509,Drinks!$A$4:$A$53,0)),0))</f>
        <v/>
      </c>
      <c r="P509" s="10" t="str">
        <f aca="false">IF($B509="","",$N509*$O509)</f>
        <v/>
      </c>
      <c r="Q509" s="10" t="str">
        <f aca="false">IF($B509="","",$N509*IFERROR(INDEX(Drinks!$D$4:$D$53,MATCH($B509,Drinks!$A$4:$A$53,0)),0))</f>
        <v/>
      </c>
      <c r="R509" s="10" t="str">
        <f aca="false">IF($B509="","",$P509-$Q509)</f>
        <v/>
      </c>
      <c r="S509" s="23" t="str">
        <f aca="false">IF($B509="","",IF(COUNTIFS($A$4:$A$2003,$A509-1,$B$4:$B$2003,$B509)=0,"first day",IF(SUMIFS($M$4:$M$2003,$A$4:$A$2003,$A509-1,$B$4:$B$2003,$B509)=$J509,"OK","CHECK")))</f>
        <v/>
      </c>
      <c r="T509" s="10" t="str">
        <f aca="false">IF($B509="","",IFERROR(INDEX(Drinks!$D$4:$D$53,MATCH($B509,Drinks!$A$4:$A$53,0)),0))</f>
        <v/>
      </c>
    </row>
    <row r="510" customFormat="false" ht="15" hidden="false" customHeight="false" outlineLevel="0" collapsed="false">
      <c r="A510" s="22"/>
      <c r="B510" s="9"/>
      <c r="C510" s="9"/>
      <c r="D510" s="9"/>
      <c r="E510" s="9"/>
      <c r="F510" s="10" t="str">
        <f aca="false">IF($B510="","",$C510+$D510-$E510)</f>
        <v/>
      </c>
      <c r="G510" s="10" t="str">
        <f aca="false">IF($B510="","",IFERROR(INDEX(Drinks!$C$4:$C$53,MATCH($B510,Drinks!$A$4:$A$53,0)),0))</f>
        <v/>
      </c>
      <c r="H510" s="10" t="str">
        <f aca="false">IF($B510="","",$D510*$G510)</f>
        <v/>
      </c>
      <c r="I510" s="10" t="str">
        <f aca="false">IF($B510="","",$F510*$G510)</f>
        <v/>
      </c>
      <c r="J510" s="9"/>
      <c r="K510" s="10" t="str">
        <f aca="false">IF($B510="","",$E510*IFERROR(INDEX(Drinks!$B$4:$B$53,MATCH($B510,Drinks!$A$4:$A$53,0)),0))</f>
        <v/>
      </c>
      <c r="L510" s="10" t="str">
        <f aca="false">IF($B510="","",$J510+$K510)</f>
        <v/>
      </c>
      <c r="M510" s="9"/>
      <c r="N510" s="10" t="str">
        <f aca="false">IF($B510="","",$L510-$M510)</f>
        <v/>
      </c>
      <c r="O510" s="10" t="str">
        <f aca="false">IF($B510="","",IFERROR(INDEX(Drinks!$E$4:$E$53,MATCH($B510,Drinks!$A$4:$A$53,0)),0))</f>
        <v/>
      </c>
      <c r="P510" s="10" t="str">
        <f aca="false">IF($B510="","",$N510*$O510)</f>
        <v/>
      </c>
      <c r="Q510" s="10" t="str">
        <f aca="false">IF($B510="","",$N510*IFERROR(INDEX(Drinks!$D$4:$D$53,MATCH($B510,Drinks!$A$4:$A$53,0)),0))</f>
        <v/>
      </c>
      <c r="R510" s="10" t="str">
        <f aca="false">IF($B510="","",$P510-$Q510)</f>
        <v/>
      </c>
      <c r="S510" s="23" t="str">
        <f aca="false">IF($B510="","",IF(COUNTIFS($A$4:$A$2003,$A510-1,$B$4:$B$2003,$B510)=0,"first day",IF(SUMIFS($M$4:$M$2003,$A$4:$A$2003,$A510-1,$B$4:$B$2003,$B510)=$J510,"OK","CHECK")))</f>
        <v/>
      </c>
      <c r="T510" s="10" t="str">
        <f aca="false">IF($B510="","",IFERROR(INDEX(Drinks!$D$4:$D$53,MATCH($B510,Drinks!$A$4:$A$53,0)),0))</f>
        <v/>
      </c>
    </row>
    <row r="511" customFormat="false" ht="15" hidden="false" customHeight="false" outlineLevel="0" collapsed="false">
      <c r="A511" s="22"/>
      <c r="B511" s="9"/>
      <c r="C511" s="9"/>
      <c r="D511" s="9"/>
      <c r="E511" s="9"/>
      <c r="F511" s="10" t="str">
        <f aca="false">IF($B511="","",$C511+$D511-$E511)</f>
        <v/>
      </c>
      <c r="G511" s="10" t="str">
        <f aca="false">IF($B511="","",IFERROR(INDEX(Drinks!$C$4:$C$53,MATCH($B511,Drinks!$A$4:$A$53,0)),0))</f>
        <v/>
      </c>
      <c r="H511" s="10" t="str">
        <f aca="false">IF($B511="","",$D511*$G511)</f>
        <v/>
      </c>
      <c r="I511" s="10" t="str">
        <f aca="false">IF($B511="","",$F511*$G511)</f>
        <v/>
      </c>
      <c r="J511" s="9"/>
      <c r="K511" s="10" t="str">
        <f aca="false">IF($B511="","",$E511*IFERROR(INDEX(Drinks!$B$4:$B$53,MATCH($B511,Drinks!$A$4:$A$53,0)),0))</f>
        <v/>
      </c>
      <c r="L511" s="10" t="str">
        <f aca="false">IF($B511="","",$J511+$K511)</f>
        <v/>
      </c>
      <c r="M511" s="9"/>
      <c r="N511" s="10" t="str">
        <f aca="false">IF($B511="","",$L511-$M511)</f>
        <v/>
      </c>
      <c r="O511" s="10" t="str">
        <f aca="false">IF($B511="","",IFERROR(INDEX(Drinks!$E$4:$E$53,MATCH($B511,Drinks!$A$4:$A$53,0)),0))</f>
        <v/>
      </c>
      <c r="P511" s="10" t="str">
        <f aca="false">IF($B511="","",$N511*$O511)</f>
        <v/>
      </c>
      <c r="Q511" s="10" t="str">
        <f aca="false">IF($B511="","",$N511*IFERROR(INDEX(Drinks!$D$4:$D$53,MATCH($B511,Drinks!$A$4:$A$53,0)),0))</f>
        <v/>
      </c>
      <c r="R511" s="10" t="str">
        <f aca="false">IF($B511="","",$P511-$Q511)</f>
        <v/>
      </c>
      <c r="S511" s="23" t="str">
        <f aca="false">IF($B511="","",IF(COUNTIFS($A$4:$A$2003,$A511-1,$B$4:$B$2003,$B511)=0,"first day",IF(SUMIFS($M$4:$M$2003,$A$4:$A$2003,$A511-1,$B$4:$B$2003,$B511)=$J511,"OK","CHECK")))</f>
        <v/>
      </c>
      <c r="T511" s="10" t="str">
        <f aca="false">IF($B511="","",IFERROR(INDEX(Drinks!$D$4:$D$53,MATCH($B511,Drinks!$A$4:$A$53,0)),0))</f>
        <v/>
      </c>
    </row>
    <row r="512" customFormat="false" ht="15" hidden="false" customHeight="false" outlineLevel="0" collapsed="false">
      <c r="A512" s="22"/>
      <c r="B512" s="9"/>
      <c r="C512" s="9"/>
      <c r="D512" s="9"/>
      <c r="E512" s="9"/>
      <c r="F512" s="10" t="str">
        <f aca="false">IF($B512="","",$C512+$D512-$E512)</f>
        <v/>
      </c>
      <c r="G512" s="10" t="str">
        <f aca="false">IF($B512="","",IFERROR(INDEX(Drinks!$C$4:$C$53,MATCH($B512,Drinks!$A$4:$A$53,0)),0))</f>
        <v/>
      </c>
      <c r="H512" s="10" t="str">
        <f aca="false">IF($B512="","",$D512*$G512)</f>
        <v/>
      </c>
      <c r="I512" s="10" t="str">
        <f aca="false">IF($B512="","",$F512*$G512)</f>
        <v/>
      </c>
      <c r="J512" s="9"/>
      <c r="K512" s="10" t="str">
        <f aca="false">IF($B512="","",$E512*IFERROR(INDEX(Drinks!$B$4:$B$53,MATCH($B512,Drinks!$A$4:$A$53,0)),0))</f>
        <v/>
      </c>
      <c r="L512" s="10" t="str">
        <f aca="false">IF($B512="","",$J512+$K512)</f>
        <v/>
      </c>
      <c r="M512" s="9"/>
      <c r="N512" s="10" t="str">
        <f aca="false">IF($B512="","",$L512-$M512)</f>
        <v/>
      </c>
      <c r="O512" s="10" t="str">
        <f aca="false">IF($B512="","",IFERROR(INDEX(Drinks!$E$4:$E$53,MATCH($B512,Drinks!$A$4:$A$53,0)),0))</f>
        <v/>
      </c>
      <c r="P512" s="10" t="str">
        <f aca="false">IF($B512="","",$N512*$O512)</f>
        <v/>
      </c>
      <c r="Q512" s="10" t="str">
        <f aca="false">IF($B512="","",$N512*IFERROR(INDEX(Drinks!$D$4:$D$53,MATCH($B512,Drinks!$A$4:$A$53,0)),0))</f>
        <v/>
      </c>
      <c r="R512" s="10" t="str">
        <f aca="false">IF($B512="","",$P512-$Q512)</f>
        <v/>
      </c>
      <c r="S512" s="23" t="str">
        <f aca="false">IF($B512="","",IF(COUNTIFS($A$4:$A$2003,$A512-1,$B$4:$B$2003,$B512)=0,"first day",IF(SUMIFS($M$4:$M$2003,$A$4:$A$2003,$A512-1,$B$4:$B$2003,$B512)=$J512,"OK","CHECK")))</f>
        <v/>
      </c>
      <c r="T512" s="10" t="str">
        <f aca="false">IF($B512="","",IFERROR(INDEX(Drinks!$D$4:$D$53,MATCH($B512,Drinks!$A$4:$A$53,0)),0))</f>
        <v/>
      </c>
    </row>
    <row r="513" customFormat="false" ht="15" hidden="false" customHeight="false" outlineLevel="0" collapsed="false">
      <c r="A513" s="22"/>
      <c r="B513" s="9"/>
      <c r="C513" s="9"/>
      <c r="D513" s="9"/>
      <c r="E513" s="9"/>
      <c r="F513" s="10" t="str">
        <f aca="false">IF($B513="","",$C513+$D513-$E513)</f>
        <v/>
      </c>
      <c r="G513" s="10" t="str">
        <f aca="false">IF($B513="","",IFERROR(INDEX(Drinks!$C$4:$C$53,MATCH($B513,Drinks!$A$4:$A$53,0)),0))</f>
        <v/>
      </c>
      <c r="H513" s="10" t="str">
        <f aca="false">IF($B513="","",$D513*$G513)</f>
        <v/>
      </c>
      <c r="I513" s="10" t="str">
        <f aca="false">IF($B513="","",$F513*$G513)</f>
        <v/>
      </c>
      <c r="J513" s="9"/>
      <c r="K513" s="10" t="str">
        <f aca="false">IF($B513="","",$E513*IFERROR(INDEX(Drinks!$B$4:$B$53,MATCH($B513,Drinks!$A$4:$A$53,0)),0))</f>
        <v/>
      </c>
      <c r="L513" s="10" t="str">
        <f aca="false">IF($B513="","",$J513+$K513)</f>
        <v/>
      </c>
      <c r="M513" s="9"/>
      <c r="N513" s="10" t="str">
        <f aca="false">IF($B513="","",$L513-$M513)</f>
        <v/>
      </c>
      <c r="O513" s="10" t="str">
        <f aca="false">IF($B513="","",IFERROR(INDEX(Drinks!$E$4:$E$53,MATCH($B513,Drinks!$A$4:$A$53,0)),0))</f>
        <v/>
      </c>
      <c r="P513" s="10" t="str">
        <f aca="false">IF($B513="","",$N513*$O513)</f>
        <v/>
      </c>
      <c r="Q513" s="10" t="str">
        <f aca="false">IF($B513="","",$N513*IFERROR(INDEX(Drinks!$D$4:$D$53,MATCH($B513,Drinks!$A$4:$A$53,0)),0))</f>
        <v/>
      </c>
      <c r="R513" s="10" t="str">
        <f aca="false">IF($B513="","",$P513-$Q513)</f>
        <v/>
      </c>
      <c r="S513" s="23" t="str">
        <f aca="false">IF($B513="","",IF(COUNTIFS($A$4:$A$2003,$A513-1,$B$4:$B$2003,$B513)=0,"first day",IF(SUMIFS($M$4:$M$2003,$A$4:$A$2003,$A513-1,$B$4:$B$2003,$B513)=$J513,"OK","CHECK")))</f>
        <v/>
      </c>
      <c r="T513" s="10" t="str">
        <f aca="false">IF($B513="","",IFERROR(INDEX(Drinks!$D$4:$D$53,MATCH($B513,Drinks!$A$4:$A$53,0)),0))</f>
        <v/>
      </c>
    </row>
    <row r="514" customFormat="false" ht="15" hidden="false" customHeight="false" outlineLevel="0" collapsed="false">
      <c r="A514" s="22"/>
      <c r="B514" s="9"/>
      <c r="C514" s="9"/>
      <c r="D514" s="9"/>
      <c r="E514" s="9"/>
      <c r="F514" s="10" t="str">
        <f aca="false">IF($B514="","",$C514+$D514-$E514)</f>
        <v/>
      </c>
      <c r="G514" s="10" t="str">
        <f aca="false">IF($B514="","",IFERROR(INDEX(Drinks!$C$4:$C$53,MATCH($B514,Drinks!$A$4:$A$53,0)),0))</f>
        <v/>
      </c>
      <c r="H514" s="10" t="str">
        <f aca="false">IF($B514="","",$D514*$G514)</f>
        <v/>
      </c>
      <c r="I514" s="10" t="str">
        <f aca="false">IF($B514="","",$F514*$G514)</f>
        <v/>
      </c>
      <c r="J514" s="9"/>
      <c r="K514" s="10" t="str">
        <f aca="false">IF($B514="","",$E514*IFERROR(INDEX(Drinks!$B$4:$B$53,MATCH($B514,Drinks!$A$4:$A$53,0)),0))</f>
        <v/>
      </c>
      <c r="L514" s="10" t="str">
        <f aca="false">IF($B514="","",$J514+$K514)</f>
        <v/>
      </c>
      <c r="M514" s="9"/>
      <c r="N514" s="10" t="str">
        <f aca="false">IF($B514="","",$L514-$M514)</f>
        <v/>
      </c>
      <c r="O514" s="10" t="str">
        <f aca="false">IF($B514="","",IFERROR(INDEX(Drinks!$E$4:$E$53,MATCH($B514,Drinks!$A$4:$A$53,0)),0))</f>
        <v/>
      </c>
      <c r="P514" s="10" t="str">
        <f aca="false">IF($B514="","",$N514*$O514)</f>
        <v/>
      </c>
      <c r="Q514" s="10" t="str">
        <f aca="false">IF($B514="","",$N514*IFERROR(INDEX(Drinks!$D$4:$D$53,MATCH($B514,Drinks!$A$4:$A$53,0)),0))</f>
        <v/>
      </c>
      <c r="R514" s="10" t="str">
        <f aca="false">IF($B514="","",$P514-$Q514)</f>
        <v/>
      </c>
      <c r="S514" s="23" t="str">
        <f aca="false">IF($B514="","",IF(COUNTIFS($A$4:$A$2003,$A514-1,$B$4:$B$2003,$B514)=0,"first day",IF(SUMIFS($M$4:$M$2003,$A$4:$A$2003,$A514-1,$B$4:$B$2003,$B514)=$J514,"OK","CHECK")))</f>
        <v/>
      </c>
      <c r="T514" s="10" t="str">
        <f aca="false">IF($B514="","",IFERROR(INDEX(Drinks!$D$4:$D$53,MATCH($B514,Drinks!$A$4:$A$53,0)),0))</f>
        <v/>
      </c>
    </row>
    <row r="515" customFormat="false" ht="15" hidden="false" customHeight="false" outlineLevel="0" collapsed="false">
      <c r="A515" s="22"/>
      <c r="B515" s="9"/>
      <c r="C515" s="9"/>
      <c r="D515" s="9"/>
      <c r="E515" s="9"/>
      <c r="F515" s="10" t="str">
        <f aca="false">IF($B515="","",$C515+$D515-$E515)</f>
        <v/>
      </c>
      <c r="G515" s="10" t="str">
        <f aca="false">IF($B515="","",IFERROR(INDEX(Drinks!$C$4:$C$53,MATCH($B515,Drinks!$A$4:$A$53,0)),0))</f>
        <v/>
      </c>
      <c r="H515" s="10" t="str">
        <f aca="false">IF($B515="","",$D515*$G515)</f>
        <v/>
      </c>
      <c r="I515" s="10" t="str">
        <f aca="false">IF($B515="","",$F515*$G515)</f>
        <v/>
      </c>
      <c r="J515" s="9"/>
      <c r="K515" s="10" t="str">
        <f aca="false">IF($B515="","",$E515*IFERROR(INDEX(Drinks!$B$4:$B$53,MATCH($B515,Drinks!$A$4:$A$53,0)),0))</f>
        <v/>
      </c>
      <c r="L515" s="10" t="str">
        <f aca="false">IF($B515="","",$J515+$K515)</f>
        <v/>
      </c>
      <c r="M515" s="9"/>
      <c r="N515" s="10" t="str">
        <f aca="false">IF($B515="","",$L515-$M515)</f>
        <v/>
      </c>
      <c r="O515" s="10" t="str">
        <f aca="false">IF($B515="","",IFERROR(INDEX(Drinks!$E$4:$E$53,MATCH($B515,Drinks!$A$4:$A$53,0)),0))</f>
        <v/>
      </c>
      <c r="P515" s="10" t="str">
        <f aca="false">IF($B515="","",$N515*$O515)</f>
        <v/>
      </c>
      <c r="Q515" s="10" t="str">
        <f aca="false">IF($B515="","",$N515*IFERROR(INDEX(Drinks!$D$4:$D$53,MATCH($B515,Drinks!$A$4:$A$53,0)),0))</f>
        <v/>
      </c>
      <c r="R515" s="10" t="str">
        <f aca="false">IF($B515="","",$P515-$Q515)</f>
        <v/>
      </c>
      <c r="S515" s="23" t="str">
        <f aca="false">IF($B515="","",IF(COUNTIFS($A$4:$A$2003,$A515-1,$B$4:$B$2003,$B515)=0,"first day",IF(SUMIFS($M$4:$M$2003,$A$4:$A$2003,$A515-1,$B$4:$B$2003,$B515)=$J515,"OK","CHECK")))</f>
        <v/>
      </c>
      <c r="T515" s="10" t="str">
        <f aca="false">IF($B515="","",IFERROR(INDEX(Drinks!$D$4:$D$53,MATCH($B515,Drinks!$A$4:$A$53,0)),0))</f>
        <v/>
      </c>
    </row>
    <row r="516" customFormat="false" ht="15" hidden="false" customHeight="false" outlineLevel="0" collapsed="false">
      <c r="A516" s="22"/>
      <c r="B516" s="9"/>
      <c r="C516" s="9"/>
      <c r="D516" s="9"/>
      <c r="E516" s="9"/>
      <c r="F516" s="10" t="str">
        <f aca="false">IF($B516="","",$C516+$D516-$E516)</f>
        <v/>
      </c>
      <c r="G516" s="10" t="str">
        <f aca="false">IF($B516="","",IFERROR(INDEX(Drinks!$C$4:$C$53,MATCH($B516,Drinks!$A$4:$A$53,0)),0))</f>
        <v/>
      </c>
      <c r="H516" s="10" t="str">
        <f aca="false">IF($B516="","",$D516*$G516)</f>
        <v/>
      </c>
      <c r="I516" s="10" t="str">
        <f aca="false">IF($B516="","",$F516*$G516)</f>
        <v/>
      </c>
      <c r="J516" s="9"/>
      <c r="K516" s="10" t="str">
        <f aca="false">IF($B516="","",$E516*IFERROR(INDEX(Drinks!$B$4:$B$53,MATCH($B516,Drinks!$A$4:$A$53,0)),0))</f>
        <v/>
      </c>
      <c r="L516" s="10" t="str">
        <f aca="false">IF($B516="","",$J516+$K516)</f>
        <v/>
      </c>
      <c r="M516" s="9"/>
      <c r="N516" s="10" t="str">
        <f aca="false">IF($B516="","",$L516-$M516)</f>
        <v/>
      </c>
      <c r="O516" s="10" t="str">
        <f aca="false">IF($B516="","",IFERROR(INDEX(Drinks!$E$4:$E$53,MATCH($B516,Drinks!$A$4:$A$53,0)),0))</f>
        <v/>
      </c>
      <c r="P516" s="10" t="str">
        <f aca="false">IF($B516="","",$N516*$O516)</f>
        <v/>
      </c>
      <c r="Q516" s="10" t="str">
        <f aca="false">IF($B516="","",$N516*IFERROR(INDEX(Drinks!$D$4:$D$53,MATCH($B516,Drinks!$A$4:$A$53,0)),0))</f>
        <v/>
      </c>
      <c r="R516" s="10" t="str">
        <f aca="false">IF($B516="","",$P516-$Q516)</f>
        <v/>
      </c>
      <c r="S516" s="23" t="str">
        <f aca="false">IF($B516="","",IF(COUNTIFS($A$4:$A$2003,$A516-1,$B$4:$B$2003,$B516)=0,"first day",IF(SUMIFS($M$4:$M$2003,$A$4:$A$2003,$A516-1,$B$4:$B$2003,$B516)=$J516,"OK","CHECK")))</f>
        <v/>
      </c>
      <c r="T516" s="10" t="str">
        <f aca="false">IF($B516="","",IFERROR(INDEX(Drinks!$D$4:$D$53,MATCH($B516,Drinks!$A$4:$A$53,0)),0))</f>
        <v/>
      </c>
    </row>
    <row r="517" customFormat="false" ht="15" hidden="false" customHeight="false" outlineLevel="0" collapsed="false">
      <c r="A517" s="22"/>
      <c r="B517" s="9"/>
      <c r="C517" s="9"/>
      <c r="D517" s="9"/>
      <c r="E517" s="9"/>
      <c r="F517" s="10" t="str">
        <f aca="false">IF($B517="","",$C517+$D517-$E517)</f>
        <v/>
      </c>
      <c r="G517" s="10" t="str">
        <f aca="false">IF($B517="","",IFERROR(INDEX(Drinks!$C$4:$C$53,MATCH($B517,Drinks!$A$4:$A$53,0)),0))</f>
        <v/>
      </c>
      <c r="H517" s="10" t="str">
        <f aca="false">IF($B517="","",$D517*$G517)</f>
        <v/>
      </c>
      <c r="I517" s="10" t="str">
        <f aca="false">IF($B517="","",$F517*$G517)</f>
        <v/>
      </c>
      <c r="J517" s="9"/>
      <c r="K517" s="10" t="str">
        <f aca="false">IF($B517="","",$E517*IFERROR(INDEX(Drinks!$B$4:$B$53,MATCH($B517,Drinks!$A$4:$A$53,0)),0))</f>
        <v/>
      </c>
      <c r="L517" s="10" t="str">
        <f aca="false">IF($B517="","",$J517+$K517)</f>
        <v/>
      </c>
      <c r="M517" s="9"/>
      <c r="N517" s="10" t="str">
        <f aca="false">IF($B517="","",$L517-$M517)</f>
        <v/>
      </c>
      <c r="O517" s="10" t="str">
        <f aca="false">IF($B517="","",IFERROR(INDEX(Drinks!$E$4:$E$53,MATCH($B517,Drinks!$A$4:$A$53,0)),0))</f>
        <v/>
      </c>
      <c r="P517" s="10" t="str">
        <f aca="false">IF($B517="","",$N517*$O517)</f>
        <v/>
      </c>
      <c r="Q517" s="10" t="str">
        <f aca="false">IF($B517="","",$N517*IFERROR(INDEX(Drinks!$D$4:$D$53,MATCH($B517,Drinks!$A$4:$A$53,0)),0))</f>
        <v/>
      </c>
      <c r="R517" s="10" t="str">
        <f aca="false">IF($B517="","",$P517-$Q517)</f>
        <v/>
      </c>
      <c r="S517" s="23" t="str">
        <f aca="false">IF($B517="","",IF(COUNTIFS($A$4:$A$2003,$A517-1,$B$4:$B$2003,$B517)=0,"first day",IF(SUMIFS($M$4:$M$2003,$A$4:$A$2003,$A517-1,$B$4:$B$2003,$B517)=$J517,"OK","CHECK")))</f>
        <v/>
      </c>
      <c r="T517" s="10" t="str">
        <f aca="false">IF($B517="","",IFERROR(INDEX(Drinks!$D$4:$D$53,MATCH($B517,Drinks!$A$4:$A$53,0)),0))</f>
        <v/>
      </c>
    </row>
    <row r="518" customFormat="false" ht="15" hidden="false" customHeight="false" outlineLevel="0" collapsed="false">
      <c r="A518" s="22"/>
      <c r="B518" s="9"/>
      <c r="C518" s="9"/>
      <c r="D518" s="9"/>
      <c r="E518" s="9"/>
      <c r="F518" s="10" t="str">
        <f aca="false">IF($B518="","",$C518+$D518-$E518)</f>
        <v/>
      </c>
      <c r="G518" s="10" t="str">
        <f aca="false">IF($B518="","",IFERROR(INDEX(Drinks!$C$4:$C$53,MATCH($B518,Drinks!$A$4:$A$53,0)),0))</f>
        <v/>
      </c>
      <c r="H518" s="10" t="str">
        <f aca="false">IF($B518="","",$D518*$G518)</f>
        <v/>
      </c>
      <c r="I518" s="10" t="str">
        <f aca="false">IF($B518="","",$F518*$G518)</f>
        <v/>
      </c>
      <c r="J518" s="9"/>
      <c r="K518" s="10" t="str">
        <f aca="false">IF($B518="","",$E518*IFERROR(INDEX(Drinks!$B$4:$B$53,MATCH($B518,Drinks!$A$4:$A$53,0)),0))</f>
        <v/>
      </c>
      <c r="L518" s="10" t="str">
        <f aca="false">IF($B518="","",$J518+$K518)</f>
        <v/>
      </c>
      <c r="M518" s="9"/>
      <c r="N518" s="10" t="str">
        <f aca="false">IF($B518="","",$L518-$M518)</f>
        <v/>
      </c>
      <c r="O518" s="10" t="str">
        <f aca="false">IF($B518="","",IFERROR(INDEX(Drinks!$E$4:$E$53,MATCH($B518,Drinks!$A$4:$A$53,0)),0))</f>
        <v/>
      </c>
      <c r="P518" s="10" t="str">
        <f aca="false">IF($B518="","",$N518*$O518)</f>
        <v/>
      </c>
      <c r="Q518" s="10" t="str">
        <f aca="false">IF($B518="","",$N518*IFERROR(INDEX(Drinks!$D$4:$D$53,MATCH($B518,Drinks!$A$4:$A$53,0)),0))</f>
        <v/>
      </c>
      <c r="R518" s="10" t="str">
        <f aca="false">IF($B518="","",$P518-$Q518)</f>
        <v/>
      </c>
      <c r="S518" s="23" t="str">
        <f aca="false">IF($B518="","",IF(COUNTIFS($A$4:$A$2003,$A518-1,$B$4:$B$2003,$B518)=0,"first day",IF(SUMIFS($M$4:$M$2003,$A$4:$A$2003,$A518-1,$B$4:$B$2003,$B518)=$J518,"OK","CHECK")))</f>
        <v/>
      </c>
      <c r="T518" s="10" t="str">
        <f aca="false">IF($B518="","",IFERROR(INDEX(Drinks!$D$4:$D$53,MATCH($B518,Drinks!$A$4:$A$53,0)),0))</f>
        <v/>
      </c>
    </row>
    <row r="519" customFormat="false" ht="15" hidden="false" customHeight="false" outlineLevel="0" collapsed="false">
      <c r="A519" s="22"/>
      <c r="B519" s="9"/>
      <c r="C519" s="9"/>
      <c r="D519" s="9"/>
      <c r="E519" s="9"/>
      <c r="F519" s="10" t="str">
        <f aca="false">IF($B519="","",$C519+$D519-$E519)</f>
        <v/>
      </c>
      <c r="G519" s="10" t="str">
        <f aca="false">IF($B519="","",IFERROR(INDEX(Drinks!$C$4:$C$53,MATCH($B519,Drinks!$A$4:$A$53,0)),0))</f>
        <v/>
      </c>
      <c r="H519" s="10" t="str">
        <f aca="false">IF($B519="","",$D519*$G519)</f>
        <v/>
      </c>
      <c r="I519" s="10" t="str">
        <f aca="false">IF($B519="","",$F519*$G519)</f>
        <v/>
      </c>
      <c r="J519" s="9"/>
      <c r="K519" s="10" t="str">
        <f aca="false">IF($B519="","",$E519*IFERROR(INDEX(Drinks!$B$4:$B$53,MATCH($B519,Drinks!$A$4:$A$53,0)),0))</f>
        <v/>
      </c>
      <c r="L519" s="10" t="str">
        <f aca="false">IF($B519="","",$J519+$K519)</f>
        <v/>
      </c>
      <c r="M519" s="9"/>
      <c r="N519" s="10" t="str">
        <f aca="false">IF($B519="","",$L519-$M519)</f>
        <v/>
      </c>
      <c r="O519" s="10" t="str">
        <f aca="false">IF($B519="","",IFERROR(INDEX(Drinks!$E$4:$E$53,MATCH($B519,Drinks!$A$4:$A$53,0)),0))</f>
        <v/>
      </c>
      <c r="P519" s="10" t="str">
        <f aca="false">IF($B519="","",$N519*$O519)</f>
        <v/>
      </c>
      <c r="Q519" s="10" t="str">
        <f aca="false">IF($B519="","",$N519*IFERROR(INDEX(Drinks!$D$4:$D$53,MATCH($B519,Drinks!$A$4:$A$53,0)),0))</f>
        <v/>
      </c>
      <c r="R519" s="10" t="str">
        <f aca="false">IF($B519="","",$P519-$Q519)</f>
        <v/>
      </c>
      <c r="S519" s="23" t="str">
        <f aca="false">IF($B519="","",IF(COUNTIFS($A$4:$A$2003,$A519-1,$B$4:$B$2003,$B519)=0,"first day",IF(SUMIFS($M$4:$M$2003,$A$4:$A$2003,$A519-1,$B$4:$B$2003,$B519)=$J519,"OK","CHECK")))</f>
        <v/>
      </c>
      <c r="T519" s="10" t="str">
        <f aca="false">IF($B519="","",IFERROR(INDEX(Drinks!$D$4:$D$53,MATCH($B519,Drinks!$A$4:$A$53,0)),0))</f>
        <v/>
      </c>
    </row>
    <row r="520" customFormat="false" ht="15" hidden="false" customHeight="false" outlineLevel="0" collapsed="false">
      <c r="A520" s="22"/>
      <c r="B520" s="9"/>
      <c r="C520" s="9"/>
      <c r="D520" s="9"/>
      <c r="E520" s="9"/>
      <c r="F520" s="10" t="str">
        <f aca="false">IF($B520="","",$C520+$D520-$E520)</f>
        <v/>
      </c>
      <c r="G520" s="10" t="str">
        <f aca="false">IF($B520="","",IFERROR(INDEX(Drinks!$C$4:$C$53,MATCH($B520,Drinks!$A$4:$A$53,0)),0))</f>
        <v/>
      </c>
      <c r="H520" s="10" t="str">
        <f aca="false">IF($B520="","",$D520*$G520)</f>
        <v/>
      </c>
      <c r="I520" s="10" t="str">
        <f aca="false">IF($B520="","",$F520*$G520)</f>
        <v/>
      </c>
      <c r="J520" s="9"/>
      <c r="K520" s="10" t="str">
        <f aca="false">IF($B520="","",$E520*IFERROR(INDEX(Drinks!$B$4:$B$53,MATCH($B520,Drinks!$A$4:$A$53,0)),0))</f>
        <v/>
      </c>
      <c r="L520" s="10" t="str">
        <f aca="false">IF($B520="","",$J520+$K520)</f>
        <v/>
      </c>
      <c r="M520" s="9"/>
      <c r="N520" s="10" t="str">
        <f aca="false">IF($B520="","",$L520-$M520)</f>
        <v/>
      </c>
      <c r="O520" s="10" t="str">
        <f aca="false">IF($B520="","",IFERROR(INDEX(Drinks!$E$4:$E$53,MATCH($B520,Drinks!$A$4:$A$53,0)),0))</f>
        <v/>
      </c>
      <c r="P520" s="10" t="str">
        <f aca="false">IF($B520="","",$N520*$O520)</f>
        <v/>
      </c>
      <c r="Q520" s="10" t="str">
        <f aca="false">IF($B520="","",$N520*IFERROR(INDEX(Drinks!$D$4:$D$53,MATCH($B520,Drinks!$A$4:$A$53,0)),0))</f>
        <v/>
      </c>
      <c r="R520" s="10" t="str">
        <f aca="false">IF($B520="","",$P520-$Q520)</f>
        <v/>
      </c>
      <c r="S520" s="23" t="str">
        <f aca="false">IF($B520="","",IF(COUNTIFS($A$4:$A$2003,$A520-1,$B$4:$B$2003,$B520)=0,"first day",IF(SUMIFS($M$4:$M$2003,$A$4:$A$2003,$A520-1,$B$4:$B$2003,$B520)=$J520,"OK","CHECK")))</f>
        <v/>
      </c>
      <c r="T520" s="10" t="str">
        <f aca="false">IF($B520="","",IFERROR(INDEX(Drinks!$D$4:$D$53,MATCH($B520,Drinks!$A$4:$A$53,0)),0))</f>
        <v/>
      </c>
    </row>
    <row r="521" customFormat="false" ht="15" hidden="false" customHeight="false" outlineLevel="0" collapsed="false">
      <c r="A521" s="22"/>
      <c r="B521" s="9"/>
      <c r="C521" s="9"/>
      <c r="D521" s="9"/>
      <c r="E521" s="9"/>
      <c r="F521" s="10" t="str">
        <f aca="false">IF($B521="","",$C521+$D521-$E521)</f>
        <v/>
      </c>
      <c r="G521" s="10" t="str">
        <f aca="false">IF($B521="","",IFERROR(INDEX(Drinks!$C$4:$C$53,MATCH($B521,Drinks!$A$4:$A$53,0)),0))</f>
        <v/>
      </c>
      <c r="H521" s="10" t="str">
        <f aca="false">IF($B521="","",$D521*$G521)</f>
        <v/>
      </c>
      <c r="I521" s="10" t="str">
        <f aca="false">IF($B521="","",$F521*$G521)</f>
        <v/>
      </c>
      <c r="J521" s="9"/>
      <c r="K521" s="10" t="str">
        <f aca="false">IF($B521="","",$E521*IFERROR(INDEX(Drinks!$B$4:$B$53,MATCH($B521,Drinks!$A$4:$A$53,0)),0))</f>
        <v/>
      </c>
      <c r="L521" s="10" t="str">
        <f aca="false">IF($B521="","",$J521+$K521)</f>
        <v/>
      </c>
      <c r="M521" s="9"/>
      <c r="N521" s="10" t="str">
        <f aca="false">IF($B521="","",$L521-$M521)</f>
        <v/>
      </c>
      <c r="O521" s="10" t="str">
        <f aca="false">IF($B521="","",IFERROR(INDEX(Drinks!$E$4:$E$53,MATCH($B521,Drinks!$A$4:$A$53,0)),0))</f>
        <v/>
      </c>
      <c r="P521" s="10" t="str">
        <f aca="false">IF($B521="","",$N521*$O521)</f>
        <v/>
      </c>
      <c r="Q521" s="10" t="str">
        <f aca="false">IF($B521="","",$N521*IFERROR(INDEX(Drinks!$D$4:$D$53,MATCH($B521,Drinks!$A$4:$A$53,0)),0))</f>
        <v/>
      </c>
      <c r="R521" s="10" t="str">
        <f aca="false">IF($B521="","",$P521-$Q521)</f>
        <v/>
      </c>
      <c r="S521" s="23" t="str">
        <f aca="false">IF($B521="","",IF(COUNTIFS($A$4:$A$2003,$A521-1,$B$4:$B$2003,$B521)=0,"first day",IF(SUMIFS($M$4:$M$2003,$A$4:$A$2003,$A521-1,$B$4:$B$2003,$B521)=$J521,"OK","CHECK")))</f>
        <v/>
      </c>
      <c r="T521" s="10" t="str">
        <f aca="false">IF($B521="","",IFERROR(INDEX(Drinks!$D$4:$D$53,MATCH($B521,Drinks!$A$4:$A$53,0)),0))</f>
        <v/>
      </c>
    </row>
    <row r="522" customFormat="false" ht="15" hidden="false" customHeight="false" outlineLevel="0" collapsed="false">
      <c r="A522" s="22"/>
      <c r="B522" s="9"/>
      <c r="C522" s="9"/>
      <c r="D522" s="9"/>
      <c r="E522" s="9"/>
      <c r="F522" s="10" t="str">
        <f aca="false">IF($B522="","",$C522+$D522-$E522)</f>
        <v/>
      </c>
      <c r="G522" s="10" t="str">
        <f aca="false">IF($B522="","",IFERROR(INDEX(Drinks!$C$4:$C$53,MATCH($B522,Drinks!$A$4:$A$53,0)),0))</f>
        <v/>
      </c>
      <c r="H522" s="10" t="str">
        <f aca="false">IF($B522="","",$D522*$G522)</f>
        <v/>
      </c>
      <c r="I522" s="10" t="str">
        <f aca="false">IF($B522="","",$F522*$G522)</f>
        <v/>
      </c>
      <c r="J522" s="9"/>
      <c r="K522" s="10" t="str">
        <f aca="false">IF($B522="","",$E522*IFERROR(INDEX(Drinks!$B$4:$B$53,MATCH($B522,Drinks!$A$4:$A$53,0)),0))</f>
        <v/>
      </c>
      <c r="L522" s="10" t="str">
        <f aca="false">IF($B522="","",$J522+$K522)</f>
        <v/>
      </c>
      <c r="M522" s="9"/>
      <c r="N522" s="10" t="str">
        <f aca="false">IF($B522="","",$L522-$M522)</f>
        <v/>
      </c>
      <c r="O522" s="10" t="str">
        <f aca="false">IF($B522="","",IFERROR(INDEX(Drinks!$E$4:$E$53,MATCH($B522,Drinks!$A$4:$A$53,0)),0))</f>
        <v/>
      </c>
      <c r="P522" s="10" t="str">
        <f aca="false">IF($B522="","",$N522*$O522)</f>
        <v/>
      </c>
      <c r="Q522" s="10" t="str">
        <f aca="false">IF($B522="","",$N522*IFERROR(INDEX(Drinks!$D$4:$D$53,MATCH($B522,Drinks!$A$4:$A$53,0)),0))</f>
        <v/>
      </c>
      <c r="R522" s="10" t="str">
        <f aca="false">IF($B522="","",$P522-$Q522)</f>
        <v/>
      </c>
      <c r="S522" s="23" t="str">
        <f aca="false">IF($B522="","",IF(COUNTIFS($A$4:$A$2003,$A522-1,$B$4:$B$2003,$B522)=0,"first day",IF(SUMIFS($M$4:$M$2003,$A$4:$A$2003,$A522-1,$B$4:$B$2003,$B522)=$J522,"OK","CHECK")))</f>
        <v/>
      </c>
      <c r="T522" s="10" t="str">
        <f aca="false">IF($B522="","",IFERROR(INDEX(Drinks!$D$4:$D$53,MATCH($B522,Drinks!$A$4:$A$53,0)),0))</f>
        <v/>
      </c>
    </row>
    <row r="523" customFormat="false" ht="15" hidden="false" customHeight="false" outlineLevel="0" collapsed="false">
      <c r="A523" s="22"/>
      <c r="B523" s="9"/>
      <c r="C523" s="9"/>
      <c r="D523" s="9"/>
      <c r="E523" s="9"/>
      <c r="F523" s="10" t="str">
        <f aca="false">IF($B523="","",$C523+$D523-$E523)</f>
        <v/>
      </c>
      <c r="G523" s="10" t="str">
        <f aca="false">IF($B523="","",IFERROR(INDEX(Drinks!$C$4:$C$53,MATCH($B523,Drinks!$A$4:$A$53,0)),0))</f>
        <v/>
      </c>
      <c r="H523" s="10" t="str">
        <f aca="false">IF($B523="","",$D523*$G523)</f>
        <v/>
      </c>
      <c r="I523" s="10" t="str">
        <f aca="false">IF($B523="","",$F523*$G523)</f>
        <v/>
      </c>
      <c r="J523" s="9"/>
      <c r="K523" s="10" t="str">
        <f aca="false">IF($B523="","",$E523*IFERROR(INDEX(Drinks!$B$4:$B$53,MATCH($B523,Drinks!$A$4:$A$53,0)),0))</f>
        <v/>
      </c>
      <c r="L523" s="10" t="str">
        <f aca="false">IF($B523="","",$J523+$K523)</f>
        <v/>
      </c>
      <c r="M523" s="9"/>
      <c r="N523" s="10" t="str">
        <f aca="false">IF($B523="","",$L523-$M523)</f>
        <v/>
      </c>
      <c r="O523" s="10" t="str">
        <f aca="false">IF($B523="","",IFERROR(INDEX(Drinks!$E$4:$E$53,MATCH($B523,Drinks!$A$4:$A$53,0)),0))</f>
        <v/>
      </c>
      <c r="P523" s="10" t="str">
        <f aca="false">IF($B523="","",$N523*$O523)</f>
        <v/>
      </c>
      <c r="Q523" s="10" t="str">
        <f aca="false">IF($B523="","",$N523*IFERROR(INDEX(Drinks!$D$4:$D$53,MATCH($B523,Drinks!$A$4:$A$53,0)),0))</f>
        <v/>
      </c>
      <c r="R523" s="10" t="str">
        <f aca="false">IF($B523="","",$P523-$Q523)</f>
        <v/>
      </c>
      <c r="S523" s="23" t="str">
        <f aca="false">IF($B523="","",IF(COUNTIFS($A$4:$A$2003,$A523-1,$B$4:$B$2003,$B523)=0,"first day",IF(SUMIFS($M$4:$M$2003,$A$4:$A$2003,$A523-1,$B$4:$B$2003,$B523)=$J523,"OK","CHECK")))</f>
        <v/>
      </c>
      <c r="T523" s="10" t="str">
        <f aca="false">IF($B523="","",IFERROR(INDEX(Drinks!$D$4:$D$53,MATCH($B523,Drinks!$A$4:$A$53,0)),0))</f>
        <v/>
      </c>
    </row>
    <row r="524" customFormat="false" ht="15" hidden="false" customHeight="false" outlineLevel="0" collapsed="false">
      <c r="A524" s="22"/>
      <c r="B524" s="9"/>
      <c r="C524" s="9"/>
      <c r="D524" s="9"/>
      <c r="E524" s="9"/>
      <c r="F524" s="10" t="str">
        <f aca="false">IF($B524="","",$C524+$D524-$E524)</f>
        <v/>
      </c>
      <c r="G524" s="10" t="str">
        <f aca="false">IF($B524="","",IFERROR(INDEX(Drinks!$C$4:$C$53,MATCH($B524,Drinks!$A$4:$A$53,0)),0))</f>
        <v/>
      </c>
      <c r="H524" s="10" t="str">
        <f aca="false">IF($B524="","",$D524*$G524)</f>
        <v/>
      </c>
      <c r="I524" s="10" t="str">
        <f aca="false">IF($B524="","",$F524*$G524)</f>
        <v/>
      </c>
      <c r="J524" s="9"/>
      <c r="K524" s="10" t="str">
        <f aca="false">IF($B524="","",$E524*IFERROR(INDEX(Drinks!$B$4:$B$53,MATCH($B524,Drinks!$A$4:$A$53,0)),0))</f>
        <v/>
      </c>
      <c r="L524" s="10" t="str">
        <f aca="false">IF($B524="","",$J524+$K524)</f>
        <v/>
      </c>
      <c r="M524" s="9"/>
      <c r="N524" s="10" t="str">
        <f aca="false">IF($B524="","",$L524-$M524)</f>
        <v/>
      </c>
      <c r="O524" s="10" t="str">
        <f aca="false">IF($B524="","",IFERROR(INDEX(Drinks!$E$4:$E$53,MATCH($B524,Drinks!$A$4:$A$53,0)),0))</f>
        <v/>
      </c>
      <c r="P524" s="10" t="str">
        <f aca="false">IF($B524="","",$N524*$O524)</f>
        <v/>
      </c>
      <c r="Q524" s="10" t="str">
        <f aca="false">IF($B524="","",$N524*IFERROR(INDEX(Drinks!$D$4:$D$53,MATCH($B524,Drinks!$A$4:$A$53,0)),0))</f>
        <v/>
      </c>
      <c r="R524" s="10" t="str">
        <f aca="false">IF($B524="","",$P524-$Q524)</f>
        <v/>
      </c>
      <c r="S524" s="23" t="str">
        <f aca="false">IF($B524="","",IF(COUNTIFS($A$4:$A$2003,$A524-1,$B$4:$B$2003,$B524)=0,"first day",IF(SUMIFS($M$4:$M$2003,$A$4:$A$2003,$A524-1,$B$4:$B$2003,$B524)=$J524,"OK","CHECK")))</f>
        <v/>
      </c>
      <c r="T524" s="10" t="str">
        <f aca="false">IF($B524="","",IFERROR(INDEX(Drinks!$D$4:$D$53,MATCH($B524,Drinks!$A$4:$A$53,0)),0))</f>
        <v/>
      </c>
    </row>
    <row r="525" customFormat="false" ht="15" hidden="false" customHeight="false" outlineLevel="0" collapsed="false">
      <c r="A525" s="22"/>
      <c r="B525" s="9"/>
      <c r="C525" s="9"/>
      <c r="D525" s="9"/>
      <c r="E525" s="9"/>
      <c r="F525" s="10" t="str">
        <f aca="false">IF($B525="","",$C525+$D525-$E525)</f>
        <v/>
      </c>
      <c r="G525" s="10" t="str">
        <f aca="false">IF($B525="","",IFERROR(INDEX(Drinks!$C$4:$C$53,MATCH($B525,Drinks!$A$4:$A$53,0)),0))</f>
        <v/>
      </c>
      <c r="H525" s="10" t="str">
        <f aca="false">IF($B525="","",$D525*$G525)</f>
        <v/>
      </c>
      <c r="I525" s="10" t="str">
        <f aca="false">IF($B525="","",$F525*$G525)</f>
        <v/>
      </c>
      <c r="J525" s="9"/>
      <c r="K525" s="10" t="str">
        <f aca="false">IF($B525="","",$E525*IFERROR(INDEX(Drinks!$B$4:$B$53,MATCH($B525,Drinks!$A$4:$A$53,0)),0))</f>
        <v/>
      </c>
      <c r="L525" s="10" t="str">
        <f aca="false">IF($B525="","",$J525+$K525)</f>
        <v/>
      </c>
      <c r="M525" s="9"/>
      <c r="N525" s="10" t="str">
        <f aca="false">IF($B525="","",$L525-$M525)</f>
        <v/>
      </c>
      <c r="O525" s="10" t="str">
        <f aca="false">IF($B525="","",IFERROR(INDEX(Drinks!$E$4:$E$53,MATCH($B525,Drinks!$A$4:$A$53,0)),0))</f>
        <v/>
      </c>
      <c r="P525" s="10" t="str">
        <f aca="false">IF($B525="","",$N525*$O525)</f>
        <v/>
      </c>
      <c r="Q525" s="10" t="str">
        <f aca="false">IF($B525="","",$N525*IFERROR(INDEX(Drinks!$D$4:$D$53,MATCH($B525,Drinks!$A$4:$A$53,0)),0))</f>
        <v/>
      </c>
      <c r="R525" s="10" t="str">
        <f aca="false">IF($B525="","",$P525-$Q525)</f>
        <v/>
      </c>
      <c r="S525" s="23" t="str">
        <f aca="false">IF($B525="","",IF(COUNTIFS($A$4:$A$2003,$A525-1,$B$4:$B$2003,$B525)=0,"first day",IF(SUMIFS($M$4:$M$2003,$A$4:$A$2003,$A525-1,$B$4:$B$2003,$B525)=$J525,"OK","CHECK")))</f>
        <v/>
      </c>
      <c r="T525" s="10" t="str">
        <f aca="false">IF($B525="","",IFERROR(INDEX(Drinks!$D$4:$D$53,MATCH($B525,Drinks!$A$4:$A$53,0)),0))</f>
        <v/>
      </c>
    </row>
    <row r="526" customFormat="false" ht="15" hidden="false" customHeight="false" outlineLevel="0" collapsed="false">
      <c r="A526" s="22"/>
      <c r="B526" s="9"/>
      <c r="C526" s="9"/>
      <c r="D526" s="9"/>
      <c r="E526" s="9"/>
      <c r="F526" s="10" t="str">
        <f aca="false">IF($B526="","",$C526+$D526-$E526)</f>
        <v/>
      </c>
      <c r="G526" s="10" t="str">
        <f aca="false">IF($B526="","",IFERROR(INDEX(Drinks!$C$4:$C$53,MATCH($B526,Drinks!$A$4:$A$53,0)),0))</f>
        <v/>
      </c>
      <c r="H526" s="10" t="str">
        <f aca="false">IF($B526="","",$D526*$G526)</f>
        <v/>
      </c>
      <c r="I526" s="10" t="str">
        <f aca="false">IF($B526="","",$F526*$G526)</f>
        <v/>
      </c>
      <c r="J526" s="9"/>
      <c r="K526" s="10" t="str">
        <f aca="false">IF($B526="","",$E526*IFERROR(INDEX(Drinks!$B$4:$B$53,MATCH($B526,Drinks!$A$4:$A$53,0)),0))</f>
        <v/>
      </c>
      <c r="L526" s="10" t="str">
        <f aca="false">IF($B526="","",$J526+$K526)</f>
        <v/>
      </c>
      <c r="M526" s="9"/>
      <c r="N526" s="10" t="str">
        <f aca="false">IF($B526="","",$L526-$M526)</f>
        <v/>
      </c>
      <c r="O526" s="10" t="str">
        <f aca="false">IF($B526="","",IFERROR(INDEX(Drinks!$E$4:$E$53,MATCH($B526,Drinks!$A$4:$A$53,0)),0))</f>
        <v/>
      </c>
      <c r="P526" s="10" t="str">
        <f aca="false">IF($B526="","",$N526*$O526)</f>
        <v/>
      </c>
      <c r="Q526" s="10" t="str">
        <f aca="false">IF($B526="","",$N526*IFERROR(INDEX(Drinks!$D$4:$D$53,MATCH($B526,Drinks!$A$4:$A$53,0)),0))</f>
        <v/>
      </c>
      <c r="R526" s="10" t="str">
        <f aca="false">IF($B526="","",$P526-$Q526)</f>
        <v/>
      </c>
      <c r="S526" s="23" t="str">
        <f aca="false">IF($B526="","",IF(COUNTIFS($A$4:$A$2003,$A526-1,$B$4:$B$2003,$B526)=0,"first day",IF(SUMIFS($M$4:$M$2003,$A$4:$A$2003,$A526-1,$B$4:$B$2003,$B526)=$J526,"OK","CHECK")))</f>
        <v/>
      </c>
      <c r="T526" s="10" t="str">
        <f aca="false">IF($B526="","",IFERROR(INDEX(Drinks!$D$4:$D$53,MATCH($B526,Drinks!$A$4:$A$53,0)),0))</f>
        <v/>
      </c>
    </row>
    <row r="527" customFormat="false" ht="15" hidden="false" customHeight="false" outlineLevel="0" collapsed="false">
      <c r="A527" s="22"/>
      <c r="B527" s="9"/>
      <c r="C527" s="9"/>
      <c r="D527" s="9"/>
      <c r="E527" s="9"/>
      <c r="F527" s="10" t="str">
        <f aca="false">IF($B527="","",$C527+$D527-$E527)</f>
        <v/>
      </c>
      <c r="G527" s="10" t="str">
        <f aca="false">IF($B527="","",IFERROR(INDEX(Drinks!$C$4:$C$53,MATCH($B527,Drinks!$A$4:$A$53,0)),0))</f>
        <v/>
      </c>
      <c r="H527" s="10" t="str">
        <f aca="false">IF($B527="","",$D527*$G527)</f>
        <v/>
      </c>
      <c r="I527" s="10" t="str">
        <f aca="false">IF($B527="","",$F527*$G527)</f>
        <v/>
      </c>
      <c r="J527" s="9"/>
      <c r="K527" s="10" t="str">
        <f aca="false">IF($B527="","",$E527*IFERROR(INDEX(Drinks!$B$4:$B$53,MATCH($B527,Drinks!$A$4:$A$53,0)),0))</f>
        <v/>
      </c>
      <c r="L527" s="10" t="str">
        <f aca="false">IF($B527="","",$J527+$K527)</f>
        <v/>
      </c>
      <c r="M527" s="9"/>
      <c r="N527" s="10" t="str">
        <f aca="false">IF($B527="","",$L527-$M527)</f>
        <v/>
      </c>
      <c r="O527" s="10" t="str">
        <f aca="false">IF($B527="","",IFERROR(INDEX(Drinks!$E$4:$E$53,MATCH($B527,Drinks!$A$4:$A$53,0)),0))</f>
        <v/>
      </c>
      <c r="P527" s="10" t="str">
        <f aca="false">IF($B527="","",$N527*$O527)</f>
        <v/>
      </c>
      <c r="Q527" s="10" t="str">
        <f aca="false">IF($B527="","",$N527*IFERROR(INDEX(Drinks!$D$4:$D$53,MATCH($B527,Drinks!$A$4:$A$53,0)),0))</f>
        <v/>
      </c>
      <c r="R527" s="10" t="str">
        <f aca="false">IF($B527="","",$P527-$Q527)</f>
        <v/>
      </c>
      <c r="S527" s="23" t="str">
        <f aca="false">IF($B527="","",IF(COUNTIFS($A$4:$A$2003,$A527-1,$B$4:$B$2003,$B527)=0,"first day",IF(SUMIFS($M$4:$M$2003,$A$4:$A$2003,$A527-1,$B$4:$B$2003,$B527)=$J527,"OK","CHECK")))</f>
        <v/>
      </c>
      <c r="T527" s="10" t="str">
        <f aca="false">IF($B527="","",IFERROR(INDEX(Drinks!$D$4:$D$53,MATCH($B527,Drinks!$A$4:$A$53,0)),0))</f>
        <v/>
      </c>
    </row>
    <row r="528" customFormat="false" ht="15" hidden="false" customHeight="false" outlineLevel="0" collapsed="false">
      <c r="A528" s="22"/>
      <c r="B528" s="9"/>
      <c r="C528" s="9"/>
      <c r="D528" s="9"/>
      <c r="E528" s="9"/>
      <c r="F528" s="10" t="str">
        <f aca="false">IF($B528="","",$C528+$D528-$E528)</f>
        <v/>
      </c>
      <c r="G528" s="10" t="str">
        <f aca="false">IF($B528="","",IFERROR(INDEX(Drinks!$C$4:$C$53,MATCH($B528,Drinks!$A$4:$A$53,0)),0))</f>
        <v/>
      </c>
      <c r="H528" s="10" t="str">
        <f aca="false">IF($B528="","",$D528*$G528)</f>
        <v/>
      </c>
      <c r="I528" s="10" t="str">
        <f aca="false">IF($B528="","",$F528*$G528)</f>
        <v/>
      </c>
      <c r="J528" s="9"/>
      <c r="K528" s="10" t="str">
        <f aca="false">IF($B528="","",$E528*IFERROR(INDEX(Drinks!$B$4:$B$53,MATCH($B528,Drinks!$A$4:$A$53,0)),0))</f>
        <v/>
      </c>
      <c r="L528" s="10" t="str">
        <f aca="false">IF($B528="","",$J528+$K528)</f>
        <v/>
      </c>
      <c r="M528" s="9"/>
      <c r="N528" s="10" t="str">
        <f aca="false">IF($B528="","",$L528-$M528)</f>
        <v/>
      </c>
      <c r="O528" s="10" t="str">
        <f aca="false">IF($B528="","",IFERROR(INDEX(Drinks!$E$4:$E$53,MATCH($B528,Drinks!$A$4:$A$53,0)),0))</f>
        <v/>
      </c>
      <c r="P528" s="10" t="str">
        <f aca="false">IF($B528="","",$N528*$O528)</f>
        <v/>
      </c>
      <c r="Q528" s="10" t="str">
        <f aca="false">IF($B528="","",$N528*IFERROR(INDEX(Drinks!$D$4:$D$53,MATCH($B528,Drinks!$A$4:$A$53,0)),0))</f>
        <v/>
      </c>
      <c r="R528" s="10" t="str">
        <f aca="false">IF($B528="","",$P528-$Q528)</f>
        <v/>
      </c>
      <c r="S528" s="23" t="str">
        <f aca="false">IF($B528="","",IF(COUNTIFS($A$4:$A$2003,$A528-1,$B$4:$B$2003,$B528)=0,"first day",IF(SUMIFS($M$4:$M$2003,$A$4:$A$2003,$A528-1,$B$4:$B$2003,$B528)=$J528,"OK","CHECK")))</f>
        <v/>
      </c>
      <c r="T528" s="10" t="str">
        <f aca="false">IF($B528="","",IFERROR(INDEX(Drinks!$D$4:$D$53,MATCH($B528,Drinks!$A$4:$A$53,0)),0))</f>
        <v/>
      </c>
    </row>
    <row r="529" customFormat="false" ht="15" hidden="false" customHeight="false" outlineLevel="0" collapsed="false">
      <c r="A529" s="22"/>
      <c r="B529" s="9"/>
      <c r="C529" s="9"/>
      <c r="D529" s="9"/>
      <c r="E529" s="9"/>
      <c r="F529" s="10" t="str">
        <f aca="false">IF($B529="","",$C529+$D529-$E529)</f>
        <v/>
      </c>
      <c r="G529" s="10" t="str">
        <f aca="false">IF($B529="","",IFERROR(INDEX(Drinks!$C$4:$C$53,MATCH($B529,Drinks!$A$4:$A$53,0)),0))</f>
        <v/>
      </c>
      <c r="H529" s="10" t="str">
        <f aca="false">IF($B529="","",$D529*$G529)</f>
        <v/>
      </c>
      <c r="I529" s="10" t="str">
        <f aca="false">IF($B529="","",$F529*$G529)</f>
        <v/>
      </c>
      <c r="J529" s="9"/>
      <c r="K529" s="10" t="str">
        <f aca="false">IF($B529="","",$E529*IFERROR(INDEX(Drinks!$B$4:$B$53,MATCH($B529,Drinks!$A$4:$A$53,0)),0))</f>
        <v/>
      </c>
      <c r="L529" s="10" t="str">
        <f aca="false">IF($B529="","",$J529+$K529)</f>
        <v/>
      </c>
      <c r="M529" s="9"/>
      <c r="N529" s="10" t="str">
        <f aca="false">IF($B529="","",$L529-$M529)</f>
        <v/>
      </c>
      <c r="O529" s="10" t="str">
        <f aca="false">IF($B529="","",IFERROR(INDEX(Drinks!$E$4:$E$53,MATCH($B529,Drinks!$A$4:$A$53,0)),0))</f>
        <v/>
      </c>
      <c r="P529" s="10" t="str">
        <f aca="false">IF($B529="","",$N529*$O529)</f>
        <v/>
      </c>
      <c r="Q529" s="10" t="str">
        <f aca="false">IF($B529="","",$N529*IFERROR(INDEX(Drinks!$D$4:$D$53,MATCH($B529,Drinks!$A$4:$A$53,0)),0))</f>
        <v/>
      </c>
      <c r="R529" s="10" t="str">
        <f aca="false">IF($B529="","",$P529-$Q529)</f>
        <v/>
      </c>
      <c r="S529" s="23" t="str">
        <f aca="false">IF($B529="","",IF(COUNTIFS($A$4:$A$2003,$A529-1,$B$4:$B$2003,$B529)=0,"first day",IF(SUMIFS($M$4:$M$2003,$A$4:$A$2003,$A529-1,$B$4:$B$2003,$B529)=$J529,"OK","CHECK")))</f>
        <v/>
      </c>
      <c r="T529" s="10" t="str">
        <f aca="false">IF($B529="","",IFERROR(INDEX(Drinks!$D$4:$D$53,MATCH($B529,Drinks!$A$4:$A$53,0)),0))</f>
        <v/>
      </c>
    </row>
    <row r="530" customFormat="false" ht="15" hidden="false" customHeight="false" outlineLevel="0" collapsed="false">
      <c r="A530" s="22"/>
      <c r="B530" s="9"/>
      <c r="C530" s="9"/>
      <c r="D530" s="9"/>
      <c r="E530" s="9"/>
      <c r="F530" s="10" t="str">
        <f aca="false">IF($B530="","",$C530+$D530-$E530)</f>
        <v/>
      </c>
      <c r="G530" s="10" t="str">
        <f aca="false">IF($B530="","",IFERROR(INDEX(Drinks!$C$4:$C$53,MATCH($B530,Drinks!$A$4:$A$53,0)),0))</f>
        <v/>
      </c>
      <c r="H530" s="10" t="str">
        <f aca="false">IF($B530="","",$D530*$G530)</f>
        <v/>
      </c>
      <c r="I530" s="10" t="str">
        <f aca="false">IF($B530="","",$F530*$G530)</f>
        <v/>
      </c>
      <c r="J530" s="9"/>
      <c r="K530" s="10" t="str">
        <f aca="false">IF($B530="","",$E530*IFERROR(INDEX(Drinks!$B$4:$B$53,MATCH($B530,Drinks!$A$4:$A$53,0)),0))</f>
        <v/>
      </c>
      <c r="L530" s="10" t="str">
        <f aca="false">IF($B530="","",$J530+$K530)</f>
        <v/>
      </c>
      <c r="M530" s="9"/>
      <c r="N530" s="10" t="str">
        <f aca="false">IF($B530="","",$L530-$M530)</f>
        <v/>
      </c>
      <c r="O530" s="10" t="str">
        <f aca="false">IF($B530="","",IFERROR(INDEX(Drinks!$E$4:$E$53,MATCH($B530,Drinks!$A$4:$A$53,0)),0))</f>
        <v/>
      </c>
      <c r="P530" s="10" t="str">
        <f aca="false">IF($B530="","",$N530*$O530)</f>
        <v/>
      </c>
      <c r="Q530" s="10" t="str">
        <f aca="false">IF($B530="","",$N530*IFERROR(INDEX(Drinks!$D$4:$D$53,MATCH($B530,Drinks!$A$4:$A$53,0)),0))</f>
        <v/>
      </c>
      <c r="R530" s="10" t="str">
        <f aca="false">IF($B530="","",$P530-$Q530)</f>
        <v/>
      </c>
      <c r="S530" s="23" t="str">
        <f aca="false">IF($B530="","",IF(COUNTIFS($A$4:$A$2003,$A530-1,$B$4:$B$2003,$B530)=0,"first day",IF(SUMIFS($M$4:$M$2003,$A$4:$A$2003,$A530-1,$B$4:$B$2003,$B530)=$J530,"OK","CHECK")))</f>
        <v/>
      </c>
      <c r="T530" s="10" t="str">
        <f aca="false">IF($B530="","",IFERROR(INDEX(Drinks!$D$4:$D$53,MATCH($B530,Drinks!$A$4:$A$53,0)),0))</f>
        <v/>
      </c>
    </row>
    <row r="531" customFormat="false" ht="15" hidden="false" customHeight="false" outlineLevel="0" collapsed="false">
      <c r="A531" s="22"/>
      <c r="B531" s="9"/>
      <c r="C531" s="9"/>
      <c r="D531" s="9"/>
      <c r="E531" s="9"/>
      <c r="F531" s="10" t="str">
        <f aca="false">IF($B531="","",$C531+$D531-$E531)</f>
        <v/>
      </c>
      <c r="G531" s="10" t="str">
        <f aca="false">IF($B531="","",IFERROR(INDEX(Drinks!$C$4:$C$53,MATCH($B531,Drinks!$A$4:$A$53,0)),0))</f>
        <v/>
      </c>
      <c r="H531" s="10" t="str">
        <f aca="false">IF($B531="","",$D531*$G531)</f>
        <v/>
      </c>
      <c r="I531" s="10" t="str">
        <f aca="false">IF($B531="","",$F531*$G531)</f>
        <v/>
      </c>
      <c r="J531" s="9"/>
      <c r="K531" s="10" t="str">
        <f aca="false">IF($B531="","",$E531*IFERROR(INDEX(Drinks!$B$4:$B$53,MATCH($B531,Drinks!$A$4:$A$53,0)),0))</f>
        <v/>
      </c>
      <c r="L531" s="10" t="str">
        <f aca="false">IF($B531="","",$J531+$K531)</f>
        <v/>
      </c>
      <c r="M531" s="9"/>
      <c r="N531" s="10" t="str">
        <f aca="false">IF($B531="","",$L531-$M531)</f>
        <v/>
      </c>
      <c r="O531" s="10" t="str">
        <f aca="false">IF($B531="","",IFERROR(INDEX(Drinks!$E$4:$E$53,MATCH($B531,Drinks!$A$4:$A$53,0)),0))</f>
        <v/>
      </c>
      <c r="P531" s="10" t="str">
        <f aca="false">IF($B531="","",$N531*$O531)</f>
        <v/>
      </c>
      <c r="Q531" s="10" t="str">
        <f aca="false">IF($B531="","",$N531*IFERROR(INDEX(Drinks!$D$4:$D$53,MATCH($B531,Drinks!$A$4:$A$53,0)),0))</f>
        <v/>
      </c>
      <c r="R531" s="10" t="str">
        <f aca="false">IF($B531="","",$P531-$Q531)</f>
        <v/>
      </c>
      <c r="S531" s="23" t="str">
        <f aca="false">IF($B531="","",IF(COUNTIFS($A$4:$A$2003,$A531-1,$B$4:$B$2003,$B531)=0,"first day",IF(SUMIFS($M$4:$M$2003,$A$4:$A$2003,$A531-1,$B$4:$B$2003,$B531)=$J531,"OK","CHECK")))</f>
        <v/>
      </c>
      <c r="T531" s="10" t="str">
        <f aca="false">IF($B531="","",IFERROR(INDEX(Drinks!$D$4:$D$53,MATCH($B531,Drinks!$A$4:$A$53,0)),0))</f>
        <v/>
      </c>
    </row>
    <row r="532" customFormat="false" ht="15" hidden="false" customHeight="false" outlineLevel="0" collapsed="false">
      <c r="A532" s="22"/>
      <c r="B532" s="9"/>
      <c r="C532" s="9"/>
      <c r="D532" s="9"/>
      <c r="E532" s="9"/>
      <c r="F532" s="10" t="str">
        <f aca="false">IF($B532="","",$C532+$D532-$E532)</f>
        <v/>
      </c>
      <c r="G532" s="10" t="str">
        <f aca="false">IF($B532="","",IFERROR(INDEX(Drinks!$C$4:$C$53,MATCH($B532,Drinks!$A$4:$A$53,0)),0))</f>
        <v/>
      </c>
      <c r="H532" s="10" t="str">
        <f aca="false">IF($B532="","",$D532*$G532)</f>
        <v/>
      </c>
      <c r="I532" s="10" t="str">
        <f aca="false">IF($B532="","",$F532*$G532)</f>
        <v/>
      </c>
      <c r="J532" s="9"/>
      <c r="K532" s="10" t="str">
        <f aca="false">IF($B532="","",$E532*IFERROR(INDEX(Drinks!$B$4:$B$53,MATCH($B532,Drinks!$A$4:$A$53,0)),0))</f>
        <v/>
      </c>
      <c r="L532" s="10" t="str">
        <f aca="false">IF($B532="","",$J532+$K532)</f>
        <v/>
      </c>
      <c r="M532" s="9"/>
      <c r="N532" s="10" t="str">
        <f aca="false">IF($B532="","",$L532-$M532)</f>
        <v/>
      </c>
      <c r="O532" s="10" t="str">
        <f aca="false">IF($B532="","",IFERROR(INDEX(Drinks!$E$4:$E$53,MATCH($B532,Drinks!$A$4:$A$53,0)),0))</f>
        <v/>
      </c>
      <c r="P532" s="10" t="str">
        <f aca="false">IF($B532="","",$N532*$O532)</f>
        <v/>
      </c>
      <c r="Q532" s="10" t="str">
        <f aca="false">IF($B532="","",$N532*IFERROR(INDEX(Drinks!$D$4:$D$53,MATCH($B532,Drinks!$A$4:$A$53,0)),0))</f>
        <v/>
      </c>
      <c r="R532" s="10" t="str">
        <f aca="false">IF($B532="","",$P532-$Q532)</f>
        <v/>
      </c>
      <c r="S532" s="23" t="str">
        <f aca="false">IF($B532="","",IF(COUNTIFS($A$4:$A$2003,$A532-1,$B$4:$B$2003,$B532)=0,"first day",IF(SUMIFS($M$4:$M$2003,$A$4:$A$2003,$A532-1,$B$4:$B$2003,$B532)=$J532,"OK","CHECK")))</f>
        <v/>
      </c>
      <c r="T532" s="10" t="str">
        <f aca="false">IF($B532="","",IFERROR(INDEX(Drinks!$D$4:$D$53,MATCH($B532,Drinks!$A$4:$A$53,0)),0))</f>
        <v/>
      </c>
    </row>
    <row r="533" customFormat="false" ht="15" hidden="false" customHeight="false" outlineLevel="0" collapsed="false">
      <c r="A533" s="22"/>
      <c r="B533" s="9"/>
      <c r="C533" s="9"/>
      <c r="D533" s="9"/>
      <c r="E533" s="9"/>
      <c r="F533" s="10" t="str">
        <f aca="false">IF($B533="","",$C533+$D533-$E533)</f>
        <v/>
      </c>
      <c r="G533" s="10" t="str">
        <f aca="false">IF($B533="","",IFERROR(INDEX(Drinks!$C$4:$C$53,MATCH($B533,Drinks!$A$4:$A$53,0)),0))</f>
        <v/>
      </c>
      <c r="H533" s="10" t="str">
        <f aca="false">IF($B533="","",$D533*$G533)</f>
        <v/>
      </c>
      <c r="I533" s="10" t="str">
        <f aca="false">IF($B533="","",$F533*$G533)</f>
        <v/>
      </c>
      <c r="J533" s="9"/>
      <c r="K533" s="10" t="str">
        <f aca="false">IF($B533="","",$E533*IFERROR(INDEX(Drinks!$B$4:$B$53,MATCH($B533,Drinks!$A$4:$A$53,0)),0))</f>
        <v/>
      </c>
      <c r="L533" s="10" t="str">
        <f aca="false">IF($B533="","",$J533+$K533)</f>
        <v/>
      </c>
      <c r="M533" s="9"/>
      <c r="N533" s="10" t="str">
        <f aca="false">IF($B533="","",$L533-$M533)</f>
        <v/>
      </c>
      <c r="O533" s="10" t="str">
        <f aca="false">IF($B533="","",IFERROR(INDEX(Drinks!$E$4:$E$53,MATCH($B533,Drinks!$A$4:$A$53,0)),0))</f>
        <v/>
      </c>
      <c r="P533" s="10" t="str">
        <f aca="false">IF($B533="","",$N533*$O533)</f>
        <v/>
      </c>
      <c r="Q533" s="10" t="str">
        <f aca="false">IF($B533="","",$N533*IFERROR(INDEX(Drinks!$D$4:$D$53,MATCH($B533,Drinks!$A$4:$A$53,0)),0))</f>
        <v/>
      </c>
      <c r="R533" s="10" t="str">
        <f aca="false">IF($B533="","",$P533-$Q533)</f>
        <v/>
      </c>
      <c r="S533" s="23" t="str">
        <f aca="false">IF($B533="","",IF(COUNTIFS($A$4:$A$2003,$A533-1,$B$4:$B$2003,$B533)=0,"first day",IF(SUMIFS($M$4:$M$2003,$A$4:$A$2003,$A533-1,$B$4:$B$2003,$B533)=$J533,"OK","CHECK")))</f>
        <v/>
      </c>
      <c r="T533" s="10" t="str">
        <f aca="false">IF($B533="","",IFERROR(INDEX(Drinks!$D$4:$D$53,MATCH($B533,Drinks!$A$4:$A$53,0)),0))</f>
        <v/>
      </c>
    </row>
    <row r="534" customFormat="false" ht="15" hidden="false" customHeight="false" outlineLevel="0" collapsed="false">
      <c r="A534" s="22"/>
      <c r="B534" s="9"/>
      <c r="C534" s="9"/>
      <c r="D534" s="9"/>
      <c r="E534" s="9"/>
      <c r="F534" s="10" t="str">
        <f aca="false">IF($B534="","",$C534+$D534-$E534)</f>
        <v/>
      </c>
      <c r="G534" s="10" t="str">
        <f aca="false">IF($B534="","",IFERROR(INDEX(Drinks!$C$4:$C$53,MATCH($B534,Drinks!$A$4:$A$53,0)),0))</f>
        <v/>
      </c>
      <c r="H534" s="10" t="str">
        <f aca="false">IF($B534="","",$D534*$G534)</f>
        <v/>
      </c>
      <c r="I534" s="10" t="str">
        <f aca="false">IF($B534="","",$F534*$G534)</f>
        <v/>
      </c>
      <c r="J534" s="9"/>
      <c r="K534" s="10" t="str">
        <f aca="false">IF($B534="","",$E534*IFERROR(INDEX(Drinks!$B$4:$B$53,MATCH($B534,Drinks!$A$4:$A$53,0)),0))</f>
        <v/>
      </c>
      <c r="L534" s="10" t="str">
        <f aca="false">IF($B534="","",$J534+$K534)</f>
        <v/>
      </c>
      <c r="M534" s="9"/>
      <c r="N534" s="10" t="str">
        <f aca="false">IF($B534="","",$L534-$M534)</f>
        <v/>
      </c>
      <c r="O534" s="10" t="str">
        <f aca="false">IF($B534="","",IFERROR(INDEX(Drinks!$E$4:$E$53,MATCH($B534,Drinks!$A$4:$A$53,0)),0))</f>
        <v/>
      </c>
      <c r="P534" s="10" t="str">
        <f aca="false">IF($B534="","",$N534*$O534)</f>
        <v/>
      </c>
      <c r="Q534" s="10" t="str">
        <f aca="false">IF($B534="","",$N534*IFERROR(INDEX(Drinks!$D$4:$D$53,MATCH($B534,Drinks!$A$4:$A$53,0)),0))</f>
        <v/>
      </c>
      <c r="R534" s="10" t="str">
        <f aca="false">IF($B534="","",$P534-$Q534)</f>
        <v/>
      </c>
      <c r="S534" s="23" t="str">
        <f aca="false">IF($B534="","",IF(COUNTIFS($A$4:$A$2003,$A534-1,$B$4:$B$2003,$B534)=0,"first day",IF(SUMIFS($M$4:$M$2003,$A$4:$A$2003,$A534-1,$B$4:$B$2003,$B534)=$J534,"OK","CHECK")))</f>
        <v/>
      </c>
      <c r="T534" s="10" t="str">
        <f aca="false">IF($B534="","",IFERROR(INDEX(Drinks!$D$4:$D$53,MATCH($B534,Drinks!$A$4:$A$53,0)),0))</f>
        <v/>
      </c>
    </row>
    <row r="535" customFormat="false" ht="15" hidden="false" customHeight="false" outlineLevel="0" collapsed="false">
      <c r="A535" s="22"/>
      <c r="B535" s="9"/>
      <c r="C535" s="9"/>
      <c r="D535" s="9"/>
      <c r="E535" s="9"/>
      <c r="F535" s="10" t="str">
        <f aca="false">IF($B535="","",$C535+$D535-$E535)</f>
        <v/>
      </c>
      <c r="G535" s="10" t="str">
        <f aca="false">IF($B535="","",IFERROR(INDEX(Drinks!$C$4:$C$53,MATCH($B535,Drinks!$A$4:$A$53,0)),0))</f>
        <v/>
      </c>
      <c r="H535" s="10" t="str">
        <f aca="false">IF($B535="","",$D535*$G535)</f>
        <v/>
      </c>
      <c r="I535" s="10" t="str">
        <f aca="false">IF($B535="","",$F535*$G535)</f>
        <v/>
      </c>
      <c r="J535" s="9"/>
      <c r="K535" s="10" t="str">
        <f aca="false">IF($B535="","",$E535*IFERROR(INDEX(Drinks!$B$4:$B$53,MATCH($B535,Drinks!$A$4:$A$53,0)),0))</f>
        <v/>
      </c>
      <c r="L535" s="10" t="str">
        <f aca="false">IF($B535="","",$J535+$K535)</f>
        <v/>
      </c>
      <c r="M535" s="9"/>
      <c r="N535" s="10" t="str">
        <f aca="false">IF($B535="","",$L535-$M535)</f>
        <v/>
      </c>
      <c r="O535" s="10" t="str">
        <f aca="false">IF($B535="","",IFERROR(INDEX(Drinks!$E$4:$E$53,MATCH($B535,Drinks!$A$4:$A$53,0)),0))</f>
        <v/>
      </c>
      <c r="P535" s="10" t="str">
        <f aca="false">IF($B535="","",$N535*$O535)</f>
        <v/>
      </c>
      <c r="Q535" s="10" t="str">
        <f aca="false">IF($B535="","",$N535*IFERROR(INDEX(Drinks!$D$4:$D$53,MATCH($B535,Drinks!$A$4:$A$53,0)),0))</f>
        <v/>
      </c>
      <c r="R535" s="10" t="str">
        <f aca="false">IF($B535="","",$P535-$Q535)</f>
        <v/>
      </c>
      <c r="S535" s="23" t="str">
        <f aca="false">IF($B535="","",IF(COUNTIFS($A$4:$A$2003,$A535-1,$B$4:$B$2003,$B535)=0,"first day",IF(SUMIFS($M$4:$M$2003,$A$4:$A$2003,$A535-1,$B$4:$B$2003,$B535)=$J535,"OK","CHECK")))</f>
        <v/>
      </c>
      <c r="T535" s="10" t="str">
        <f aca="false">IF($B535="","",IFERROR(INDEX(Drinks!$D$4:$D$53,MATCH($B535,Drinks!$A$4:$A$53,0)),0))</f>
        <v/>
      </c>
    </row>
    <row r="536" customFormat="false" ht="15" hidden="false" customHeight="false" outlineLevel="0" collapsed="false">
      <c r="A536" s="22"/>
      <c r="B536" s="9"/>
      <c r="C536" s="9"/>
      <c r="D536" s="9"/>
      <c r="E536" s="9"/>
      <c r="F536" s="10" t="str">
        <f aca="false">IF($B536="","",$C536+$D536-$E536)</f>
        <v/>
      </c>
      <c r="G536" s="10" t="str">
        <f aca="false">IF($B536="","",IFERROR(INDEX(Drinks!$C$4:$C$53,MATCH($B536,Drinks!$A$4:$A$53,0)),0))</f>
        <v/>
      </c>
      <c r="H536" s="10" t="str">
        <f aca="false">IF($B536="","",$D536*$G536)</f>
        <v/>
      </c>
      <c r="I536" s="10" t="str">
        <f aca="false">IF($B536="","",$F536*$G536)</f>
        <v/>
      </c>
      <c r="J536" s="9"/>
      <c r="K536" s="10" t="str">
        <f aca="false">IF($B536="","",$E536*IFERROR(INDEX(Drinks!$B$4:$B$53,MATCH($B536,Drinks!$A$4:$A$53,0)),0))</f>
        <v/>
      </c>
      <c r="L536" s="10" t="str">
        <f aca="false">IF($B536="","",$J536+$K536)</f>
        <v/>
      </c>
      <c r="M536" s="9"/>
      <c r="N536" s="10" t="str">
        <f aca="false">IF($B536="","",$L536-$M536)</f>
        <v/>
      </c>
      <c r="O536" s="10" t="str">
        <f aca="false">IF($B536="","",IFERROR(INDEX(Drinks!$E$4:$E$53,MATCH($B536,Drinks!$A$4:$A$53,0)),0))</f>
        <v/>
      </c>
      <c r="P536" s="10" t="str">
        <f aca="false">IF($B536="","",$N536*$O536)</f>
        <v/>
      </c>
      <c r="Q536" s="10" t="str">
        <f aca="false">IF($B536="","",$N536*IFERROR(INDEX(Drinks!$D$4:$D$53,MATCH($B536,Drinks!$A$4:$A$53,0)),0))</f>
        <v/>
      </c>
      <c r="R536" s="10" t="str">
        <f aca="false">IF($B536="","",$P536-$Q536)</f>
        <v/>
      </c>
      <c r="S536" s="23" t="str">
        <f aca="false">IF($B536="","",IF(COUNTIFS($A$4:$A$2003,$A536-1,$B$4:$B$2003,$B536)=0,"first day",IF(SUMIFS($M$4:$M$2003,$A$4:$A$2003,$A536-1,$B$4:$B$2003,$B536)=$J536,"OK","CHECK")))</f>
        <v/>
      </c>
      <c r="T536" s="10" t="str">
        <f aca="false">IF($B536="","",IFERROR(INDEX(Drinks!$D$4:$D$53,MATCH($B536,Drinks!$A$4:$A$53,0)),0))</f>
        <v/>
      </c>
    </row>
    <row r="537" customFormat="false" ht="15" hidden="false" customHeight="false" outlineLevel="0" collapsed="false">
      <c r="A537" s="22"/>
      <c r="B537" s="9"/>
      <c r="C537" s="9"/>
      <c r="D537" s="9"/>
      <c r="E537" s="9"/>
      <c r="F537" s="10" t="str">
        <f aca="false">IF($B537="","",$C537+$D537-$E537)</f>
        <v/>
      </c>
      <c r="G537" s="10" t="str">
        <f aca="false">IF($B537="","",IFERROR(INDEX(Drinks!$C$4:$C$53,MATCH($B537,Drinks!$A$4:$A$53,0)),0))</f>
        <v/>
      </c>
      <c r="H537" s="10" t="str">
        <f aca="false">IF($B537="","",$D537*$G537)</f>
        <v/>
      </c>
      <c r="I537" s="10" t="str">
        <f aca="false">IF($B537="","",$F537*$G537)</f>
        <v/>
      </c>
      <c r="J537" s="9"/>
      <c r="K537" s="10" t="str">
        <f aca="false">IF($B537="","",$E537*IFERROR(INDEX(Drinks!$B$4:$B$53,MATCH($B537,Drinks!$A$4:$A$53,0)),0))</f>
        <v/>
      </c>
      <c r="L537" s="10" t="str">
        <f aca="false">IF($B537="","",$J537+$K537)</f>
        <v/>
      </c>
      <c r="M537" s="9"/>
      <c r="N537" s="10" t="str">
        <f aca="false">IF($B537="","",$L537-$M537)</f>
        <v/>
      </c>
      <c r="O537" s="10" t="str">
        <f aca="false">IF($B537="","",IFERROR(INDEX(Drinks!$E$4:$E$53,MATCH($B537,Drinks!$A$4:$A$53,0)),0))</f>
        <v/>
      </c>
      <c r="P537" s="10" t="str">
        <f aca="false">IF($B537="","",$N537*$O537)</f>
        <v/>
      </c>
      <c r="Q537" s="10" t="str">
        <f aca="false">IF($B537="","",$N537*IFERROR(INDEX(Drinks!$D$4:$D$53,MATCH($B537,Drinks!$A$4:$A$53,0)),0))</f>
        <v/>
      </c>
      <c r="R537" s="10" t="str">
        <f aca="false">IF($B537="","",$P537-$Q537)</f>
        <v/>
      </c>
      <c r="S537" s="23" t="str">
        <f aca="false">IF($B537="","",IF(COUNTIFS($A$4:$A$2003,$A537-1,$B$4:$B$2003,$B537)=0,"first day",IF(SUMIFS($M$4:$M$2003,$A$4:$A$2003,$A537-1,$B$4:$B$2003,$B537)=$J537,"OK","CHECK")))</f>
        <v/>
      </c>
      <c r="T537" s="10" t="str">
        <f aca="false">IF($B537="","",IFERROR(INDEX(Drinks!$D$4:$D$53,MATCH($B537,Drinks!$A$4:$A$53,0)),0))</f>
        <v/>
      </c>
    </row>
    <row r="538" customFormat="false" ht="15" hidden="false" customHeight="false" outlineLevel="0" collapsed="false">
      <c r="A538" s="22"/>
      <c r="B538" s="9"/>
      <c r="C538" s="9"/>
      <c r="D538" s="9"/>
      <c r="E538" s="9"/>
      <c r="F538" s="10" t="str">
        <f aca="false">IF($B538="","",$C538+$D538-$E538)</f>
        <v/>
      </c>
      <c r="G538" s="10" t="str">
        <f aca="false">IF($B538="","",IFERROR(INDEX(Drinks!$C$4:$C$53,MATCH($B538,Drinks!$A$4:$A$53,0)),0))</f>
        <v/>
      </c>
      <c r="H538" s="10" t="str">
        <f aca="false">IF($B538="","",$D538*$G538)</f>
        <v/>
      </c>
      <c r="I538" s="10" t="str">
        <f aca="false">IF($B538="","",$F538*$G538)</f>
        <v/>
      </c>
      <c r="J538" s="9"/>
      <c r="K538" s="10" t="str">
        <f aca="false">IF($B538="","",$E538*IFERROR(INDEX(Drinks!$B$4:$B$53,MATCH($B538,Drinks!$A$4:$A$53,0)),0))</f>
        <v/>
      </c>
      <c r="L538" s="10" t="str">
        <f aca="false">IF($B538="","",$J538+$K538)</f>
        <v/>
      </c>
      <c r="M538" s="9"/>
      <c r="N538" s="10" t="str">
        <f aca="false">IF($B538="","",$L538-$M538)</f>
        <v/>
      </c>
      <c r="O538" s="10" t="str">
        <f aca="false">IF($B538="","",IFERROR(INDEX(Drinks!$E$4:$E$53,MATCH($B538,Drinks!$A$4:$A$53,0)),0))</f>
        <v/>
      </c>
      <c r="P538" s="10" t="str">
        <f aca="false">IF($B538="","",$N538*$O538)</f>
        <v/>
      </c>
      <c r="Q538" s="10" t="str">
        <f aca="false">IF($B538="","",$N538*IFERROR(INDEX(Drinks!$D$4:$D$53,MATCH($B538,Drinks!$A$4:$A$53,0)),0))</f>
        <v/>
      </c>
      <c r="R538" s="10" t="str">
        <f aca="false">IF($B538="","",$P538-$Q538)</f>
        <v/>
      </c>
      <c r="S538" s="23" t="str">
        <f aca="false">IF($B538="","",IF(COUNTIFS($A$4:$A$2003,$A538-1,$B$4:$B$2003,$B538)=0,"first day",IF(SUMIFS($M$4:$M$2003,$A$4:$A$2003,$A538-1,$B$4:$B$2003,$B538)=$J538,"OK","CHECK")))</f>
        <v/>
      </c>
      <c r="T538" s="10" t="str">
        <f aca="false">IF($B538="","",IFERROR(INDEX(Drinks!$D$4:$D$53,MATCH($B538,Drinks!$A$4:$A$53,0)),0))</f>
        <v/>
      </c>
    </row>
    <row r="539" customFormat="false" ht="15" hidden="false" customHeight="false" outlineLevel="0" collapsed="false">
      <c r="A539" s="22"/>
      <c r="B539" s="9"/>
      <c r="C539" s="9"/>
      <c r="D539" s="9"/>
      <c r="E539" s="9"/>
      <c r="F539" s="10" t="str">
        <f aca="false">IF($B539="","",$C539+$D539-$E539)</f>
        <v/>
      </c>
      <c r="G539" s="10" t="str">
        <f aca="false">IF($B539="","",IFERROR(INDEX(Drinks!$C$4:$C$53,MATCH($B539,Drinks!$A$4:$A$53,0)),0))</f>
        <v/>
      </c>
      <c r="H539" s="10" t="str">
        <f aca="false">IF($B539="","",$D539*$G539)</f>
        <v/>
      </c>
      <c r="I539" s="10" t="str">
        <f aca="false">IF($B539="","",$F539*$G539)</f>
        <v/>
      </c>
      <c r="J539" s="9"/>
      <c r="K539" s="10" t="str">
        <f aca="false">IF($B539="","",$E539*IFERROR(INDEX(Drinks!$B$4:$B$53,MATCH($B539,Drinks!$A$4:$A$53,0)),0))</f>
        <v/>
      </c>
      <c r="L539" s="10" t="str">
        <f aca="false">IF($B539="","",$J539+$K539)</f>
        <v/>
      </c>
      <c r="M539" s="9"/>
      <c r="N539" s="10" t="str">
        <f aca="false">IF($B539="","",$L539-$M539)</f>
        <v/>
      </c>
      <c r="O539" s="10" t="str">
        <f aca="false">IF($B539="","",IFERROR(INDEX(Drinks!$E$4:$E$53,MATCH($B539,Drinks!$A$4:$A$53,0)),0))</f>
        <v/>
      </c>
      <c r="P539" s="10" t="str">
        <f aca="false">IF($B539="","",$N539*$O539)</f>
        <v/>
      </c>
      <c r="Q539" s="10" t="str">
        <f aca="false">IF($B539="","",$N539*IFERROR(INDEX(Drinks!$D$4:$D$53,MATCH($B539,Drinks!$A$4:$A$53,0)),0))</f>
        <v/>
      </c>
      <c r="R539" s="10" t="str">
        <f aca="false">IF($B539="","",$P539-$Q539)</f>
        <v/>
      </c>
      <c r="S539" s="23" t="str">
        <f aca="false">IF($B539="","",IF(COUNTIFS($A$4:$A$2003,$A539-1,$B$4:$B$2003,$B539)=0,"first day",IF(SUMIFS($M$4:$M$2003,$A$4:$A$2003,$A539-1,$B$4:$B$2003,$B539)=$J539,"OK","CHECK")))</f>
        <v/>
      </c>
      <c r="T539" s="10" t="str">
        <f aca="false">IF($B539="","",IFERROR(INDEX(Drinks!$D$4:$D$53,MATCH($B539,Drinks!$A$4:$A$53,0)),0))</f>
        <v/>
      </c>
    </row>
    <row r="540" customFormat="false" ht="15" hidden="false" customHeight="false" outlineLevel="0" collapsed="false">
      <c r="A540" s="22"/>
      <c r="B540" s="9"/>
      <c r="C540" s="9"/>
      <c r="D540" s="9"/>
      <c r="E540" s="9"/>
      <c r="F540" s="10" t="str">
        <f aca="false">IF($B540="","",$C540+$D540-$E540)</f>
        <v/>
      </c>
      <c r="G540" s="10" t="str">
        <f aca="false">IF($B540="","",IFERROR(INDEX(Drinks!$C$4:$C$53,MATCH($B540,Drinks!$A$4:$A$53,0)),0))</f>
        <v/>
      </c>
      <c r="H540" s="10" t="str">
        <f aca="false">IF($B540="","",$D540*$G540)</f>
        <v/>
      </c>
      <c r="I540" s="10" t="str">
        <f aca="false">IF($B540="","",$F540*$G540)</f>
        <v/>
      </c>
      <c r="J540" s="9"/>
      <c r="K540" s="10" t="str">
        <f aca="false">IF($B540="","",$E540*IFERROR(INDEX(Drinks!$B$4:$B$53,MATCH($B540,Drinks!$A$4:$A$53,0)),0))</f>
        <v/>
      </c>
      <c r="L540" s="10" t="str">
        <f aca="false">IF($B540="","",$J540+$K540)</f>
        <v/>
      </c>
      <c r="M540" s="9"/>
      <c r="N540" s="10" t="str">
        <f aca="false">IF($B540="","",$L540-$M540)</f>
        <v/>
      </c>
      <c r="O540" s="10" t="str">
        <f aca="false">IF($B540="","",IFERROR(INDEX(Drinks!$E$4:$E$53,MATCH($B540,Drinks!$A$4:$A$53,0)),0))</f>
        <v/>
      </c>
      <c r="P540" s="10" t="str">
        <f aca="false">IF($B540="","",$N540*$O540)</f>
        <v/>
      </c>
      <c r="Q540" s="10" t="str">
        <f aca="false">IF($B540="","",$N540*IFERROR(INDEX(Drinks!$D$4:$D$53,MATCH($B540,Drinks!$A$4:$A$53,0)),0))</f>
        <v/>
      </c>
      <c r="R540" s="10" t="str">
        <f aca="false">IF($B540="","",$P540-$Q540)</f>
        <v/>
      </c>
      <c r="S540" s="23" t="str">
        <f aca="false">IF($B540="","",IF(COUNTIFS($A$4:$A$2003,$A540-1,$B$4:$B$2003,$B540)=0,"first day",IF(SUMIFS($M$4:$M$2003,$A$4:$A$2003,$A540-1,$B$4:$B$2003,$B540)=$J540,"OK","CHECK")))</f>
        <v/>
      </c>
      <c r="T540" s="10" t="str">
        <f aca="false">IF($B540="","",IFERROR(INDEX(Drinks!$D$4:$D$53,MATCH($B540,Drinks!$A$4:$A$53,0)),0))</f>
        <v/>
      </c>
    </row>
    <row r="541" customFormat="false" ht="15" hidden="false" customHeight="false" outlineLevel="0" collapsed="false">
      <c r="A541" s="22"/>
      <c r="B541" s="9"/>
      <c r="C541" s="9"/>
      <c r="D541" s="9"/>
      <c r="E541" s="9"/>
      <c r="F541" s="10" t="str">
        <f aca="false">IF($B541="","",$C541+$D541-$E541)</f>
        <v/>
      </c>
      <c r="G541" s="10" t="str">
        <f aca="false">IF($B541="","",IFERROR(INDEX(Drinks!$C$4:$C$53,MATCH($B541,Drinks!$A$4:$A$53,0)),0))</f>
        <v/>
      </c>
      <c r="H541" s="10" t="str">
        <f aca="false">IF($B541="","",$D541*$G541)</f>
        <v/>
      </c>
      <c r="I541" s="10" t="str">
        <f aca="false">IF($B541="","",$F541*$G541)</f>
        <v/>
      </c>
      <c r="J541" s="9"/>
      <c r="K541" s="10" t="str">
        <f aca="false">IF($B541="","",$E541*IFERROR(INDEX(Drinks!$B$4:$B$53,MATCH($B541,Drinks!$A$4:$A$53,0)),0))</f>
        <v/>
      </c>
      <c r="L541" s="10" t="str">
        <f aca="false">IF($B541="","",$J541+$K541)</f>
        <v/>
      </c>
      <c r="M541" s="9"/>
      <c r="N541" s="10" t="str">
        <f aca="false">IF($B541="","",$L541-$M541)</f>
        <v/>
      </c>
      <c r="O541" s="10" t="str">
        <f aca="false">IF($B541="","",IFERROR(INDEX(Drinks!$E$4:$E$53,MATCH($B541,Drinks!$A$4:$A$53,0)),0))</f>
        <v/>
      </c>
      <c r="P541" s="10" t="str">
        <f aca="false">IF($B541="","",$N541*$O541)</f>
        <v/>
      </c>
      <c r="Q541" s="10" t="str">
        <f aca="false">IF($B541="","",$N541*IFERROR(INDEX(Drinks!$D$4:$D$53,MATCH($B541,Drinks!$A$4:$A$53,0)),0))</f>
        <v/>
      </c>
      <c r="R541" s="10" t="str">
        <f aca="false">IF($B541="","",$P541-$Q541)</f>
        <v/>
      </c>
      <c r="S541" s="23" t="str">
        <f aca="false">IF($B541="","",IF(COUNTIFS($A$4:$A$2003,$A541-1,$B$4:$B$2003,$B541)=0,"first day",IF(SUMIFS($M$4:$M$2003,$A$4:$A$2003,$A541-1,$B$4:$B$2003,$B541)=$J541,"OK","CHECK")))</f>
        <v/>
      </c>
      <c r="T541" s="10" t="str">
        <f aca="false">IF($B541="","",IFERROR(INDEX(Drinks!$D$4:$D$53,MATCH($B541,Drinks!$A$4:$A$53,0)),0))</f>
        <v/>
      </c>
    </row>
    <row r="542" customFormat="false" ht="15" hidden="false" customHeight="false" outlineLevel="0" collapsed="false">
      <c r="A542" s="22"/>
      <c r="B542" s="9"/>
      <c r="C542" s="9"/>
      <c r="D542" s="9"/>
      <c r="E542" s="9"/>
      <c r="F542" s="10" t="str">
        <f aca="false">IF($B542="","",$C542+$D542-$E542)</f>
        <v/>
      </c>
      <c r="G542" s="10" t="str">
        <f aca="false">IF($B542="","",IFERROR(INDEX(Drinks!$C$4:$C$53,MATCH($B542,Drinks!$A$4:$A$53,0)),0))</f>
        <v/>
      </c>
      <c r="H542" s="10" t="str">
        <f aca="false">IF($B542="","",$D542*$G542)</f>
        <v/>
      </c>
      <c r="I542" s="10" t="str">
        <f aca="false">IF($B542="","",$F542*$G542)</f>
        <v/>
      </c>
      <c r="J542" s="9"/>
      <c r="K542" s="10" t="str">
        <f aca="false">IF($B542="","",$E542*IFERROR(INDEX(Drinks!$B$4:$B$53,MATCH($B542,Drinks!$A$4:$A$53,0)),0))</f>
        <v/>
      </c>
      <c r="L542" s="10" t="str">
        <f aca="false">IF($B542="","",$J542+$K542)</f>
        <v/>
      </c>
      <c r="M542" s="9"/>
      <c r="N542" s="10" t="str">
        <f aca="false">IF($B542="","",$L542-$M542)</f>
        <v/>
      </c>
      <c r="O542" s="10" t="str">
        <f aca="false">IF($B542="","",IFERROR(INDEX(Drinks!$E$4:$E$53,MATCH($B542,Drinks!$A$4:$A$53,0)),0))</f>
        <v/>
      </c>
      <c r="P542" s="10" t="str">
        <f aca="false">IF($B542="","",$N542*$O542)</f>
        <v/>
      </c>
      <c r="Q542" s="10" t="str">
        <f aca="false">IF($B542="","",$N542*IFERROR(INDEX(Drinks!$D$4:$D$53,MATCH($B542,Drinks!$A$4:$A$53,0)),0))</f>
        <v/>
      </c>
      <c r="R542" s="10" t="str">
        <f aca="false">IF($B542="","",$P542-$Q542)</f>
        <v/>
      </c>
      <c r="S542" s="23" t="str">
        <f aca="false">IF($B542="","",IF(COUNTIFS($A$4:$A$2003,$A542-1,$B$4:$B$2003,$B542)=0,"first day",IF(SUMIFS($M$4:$M$2003,$A$4:$A$2003,$A542-1,$B$4:$B$2003,$B542)=$J542,"OK","CHECK")))</f>
        <v/>
      </c>
      <c r="T542" s="10" t="str">
        <f aca="false">IF($B542="","",IFERROR(INDEX(Drinks!$D$4:$D$53,MATCH($B542,Drinks!$A$4:$A$53,0)),0))</f>
        <v/>
      </c>
    </row>
    <row r="543" customFormat="false" ht="15" hidden="false" customHeight="false" outlineLevel="0" collapsed="false">
      <c r="A543" s="22"/>
      <c r="B543" s="9"/>
      <c r="C543" s="9"/>
      <c r="D543" s="9"/>
      <c r="E543" s="9"/>
      <c r="F543" s="10" t="str">
        <f aca="false">IF($B543="","",$C543+$D543-$E543)</f>
        <v/>
      </c>
      <c r="G543" s="10" t="str">
        <f aca="false">IF($B543="","",IFERROR(INDEX(Drinks!$C$4:$C$53,MATCH($B543,Drinks!$A$4:$A$53,0)),0))</f>
        <v/>
      </c>
      <c r="H543" s="10" t="str">
        <f aca="false">IF($B543="","",$D543*$G543)</f>
        <v/>
      </c>
      <c r="I543" s="10" t="str">
        <f aca="false">IF($B543="","",$F543*$G543)</f>
        <v/>
      </c>
      <c r="J543" s="9"/>
      <c r="K543" s="10" t="str">
        <f aca="false">IF($B543="","",$E543*IFERROR(INDEX(Drinks!$B$4:$B$53,MATCH($B543,Drinks!$A$4:$A$53,0)),0))</f>
        <v/>
      </c>
      <c r="L543" s="10" t="str">
        <f aca="false">IF($B543="","",$J543+$K543)</f>
        <v/>
      </c>
      <c r="M543" s="9"/>
      <c r="N543" s="10" t="str">
        <f aca="false">IF($B543="","",$L543-$M543)</f>
        <v/>
      </c>
      <c r="O543" s="10" t="str">
        <f aca="false">IF($B543="","",IFERROR(INDEX(Drinks!$E$4:$E$53,MATCH($B543,Drinks!$A$4:$A$53,0)),0))</f>
        <v/>
      </c>
      <c r="P543" s="10" t="str">
        <f aca="false">IF($B543="","",$N543*$O543)</f>
        <v/>
      </c>
      <c r="Q543" s="10" t="str">
        <f aca="false">IF($B543="","",$N543*IFERROR(INDEX(Drinks!$D$4:$D$53,MATCH($B543,Drinks!$A$4:$A$53,0)),0))</f>
        <v/>
      </c>
      <c r="R543" s="10" t="str">
        <f aca="false">IF($B543="","",$P543-$Q543)</f>
        <v/>
      </c>
      <c r="S543" s="23" t="str">
        <f aca="false">IF($B543="","",IF(COUNTIFS($A$4:$A$2003,$A543-1,$B$4:$B$2003,$B543)=0,"first day",IF(SUMIFS($M$4:$M$2003,$A$4:$A$2003,$A543-1,$B$4:$B$2003,$B543)=$J543,"OK","CHECK")))</f>
        <v/>
      </c>
      <c r="T543" s="10" t="str">
        <f aca="false">IF($B543="","",IFERROR(INDEX(Drinks!$D$4:$D$53,MATCH($B543,Drinks!$A$4:$A$53,0)),0))</f>
        <v/>
      </c>
    </row>
    <row r="544" customFormat="false" ht="15" hidden="false" customHeight="false" outlineLevel="0" collapsed="false">
      <c r="A544" s="22"/>
      <c r="B544" s="9"/>
      <c r="C544" s="9"/>
      <c r="D544" s="9"/>
      <c r="E544" s="9"/>
      <c r="F544" s="10" t="str">
        <f aca="false">IF($B544="","",$C544+$D544-$E544)</f>
        <v/>
      </c>
      <c r="G544" s="10" t="str">
        <f aca="false">IF($B544="","",IFERROR(INDEX(Drinks!$C$4:$C$53,MATCH($B544,Drinks!$A$4:$A$53,0)),0))</f>
        <v/>
      </c>
      <c r="H544" s="10" t="str">
        <f aca="false">IF($B544="","",$D544*$G544)</f>
        <v/>
      </c>
      <c r="I544" s="10" t="str">
        <f aca="false">IF($B544="","",$F544*$G544)</f>
        <v/>
      </c>
      <c r="J544" s="9"/>
      <c r="K544" s="10" t="str">
        <f aca="false">IF($B544="","",$E544*IFERROR(INDEX(Drinks!$B$4:$B$53,MATCH($B544,Drinks!$A$4:$A$53,0)),0))</f>
        <v/>
      </c>
      <c r="L544" s="10" t="str">
        <f aca="false">IF($B544="","",$J544+$K544)</f>
        <v/>
      </c>
      <c r="M544" s="9"/>
      <c r="N544" s="10" t="str">
        <f aca="false">IF($B544="","",$L544-$M544)</f>
        <v/>
      </c>
      <c r="O544" s="10" t="str">
        <f aca="false">IF($B544="","",IFERROR(INDEX(Drinks!$E$4:$E$53,MATCH($B544,Drinks!$A$4:$A$53,0)),0))</f>
        <v/>
      </c>
      <c r="P544" s="10" t="str">
        <f aca="false">IF($B544="","",$N544*$O544)</f>
        <v/>
      </c>
      <c r="Q544" s="10" t="str">
        <f aca="false">IF($B544="","",$N544*IFERROR(INDEX(Drinks!$D$4:$D$53,MATCH($B544,Drinks!$A$4:$A$53,0)),0))</f>
        <v/>
      </c>
      <c r="R544" s="10" t="str">
        <f aca="false">IF($B544="","",$P544-$Q544)</f>
        <v/>
      </c>
      <c r="S544" s="23" t="str">
        <f aca="false">IF($B544="","",IF(COUNTIFS($A$4:$A$2003,$A544-1,$B$4:$B$2003,$B544)=0,"first day",IF(SUMIFS($M$4:$M$2003,$A$4:$A$2003,$A544-1,$B$4:$B$2003,$B544)=$J544,"OK","CHECK")))</f>
        <v/>
      </c>
      <c r="T544" s="10" t="str">
        <f aca="false">IF($B544="","",IFERROR(INDEX(Drinks!$D$4:$D$53,MATCH($B544,Drinks!$A$4:$A$53,0)),0))</f>
        <v/>
      </c>
    </row>
    <row r="545" customFormat="false" ht="15" hidden="false" customHeight="false" outlineLevel="0" collapsed="false">
      <c r="A545" s="22"/>
      <c r="B545" s="9"/>
      <c r="C545" s="9"/>
      <c r="D545" s="9"/>
      <c r="E545" s="9"/>
      <c r="F545" s="10" t="str">
        <f aca="false">IF($B545="","",$C545+$D545-$E545)</f>
        <v/>
      </c>
      <c r="G545" s="10" t="str">
        <f aca="false">IF($B545="","",IFERROR(INDEX(Drinks!$C$4:$C$53,MATCH($B545,Drinks!$A$4:$A$53,0)),0))</f>
        <v/>
      </c>
      <c r="H545" s="10" t="str">
        <f aca="false">IF($B545="","",$D545*$G545)</f>
        <v/>
      </c>
      <c r="I545" s="10" t="str">
        <f aca="false">IF($B545="","",$F545*$G545)</f>
        <v/>
      </c>
      <c r="J545" s="9"/>
      <c r="K545" s="10" t="str">
        <f aca="false">IF($B545="","",$E545*IFERROR(INDEX(Drinks!$B$4:$B$53,MATCH($B545,Drinks!$A$4:$A$53,0)),0))</f>
        <v/>
      </c>
      <c r="L545" s="10" t="str">
        <f aca="false">IF($B545="","",$J545+$K545)</f>
        <v/>
      </c>
      <c r="M545" s="9"/>
      <c r="N545" s="10" t="str">
        <f aca="false">IF($B545="","",$L545-$M545)</f>
        <v/>
      </c>
      <c r="O545" s="10" t="str">
        <f aca="false">IF($B545="","",IFERROR(INDEX(Drinks!$E$4:$E$53,MATCH($B545,Drinks!$A$4:$A$53,0)),0))</f>
        <v/>
      </c>
      <c r="P545" s="10" t="str">
        <f aca="false">IF($B545="","",$N545*$O545)</f>
        <v/>
      </c>
      <c r="Q545" s="10" t="str">
        <f aca="false">IF($B545="","",$N545*IFERROR(INDEX(Drinks!$D$4:$D$53,MATCH($B545,Drinks!$A$4:$A$53,0)),0))</f>
        <v/>
      </c>
      <c r="R545" s="10" t="str">
        <f aca="false">IF($B545="","",$P545-$Q545)</f>
        <v/>
      </c>
      <c r="S545" s="23" t="str">
        <f aca="false">IF($B545="","",IF(COUNTIFS($A$4:$A$2003,$A545-1,$B$4:$B$2003,$B545)=0,"first day",IF(SUMIFS($M$4:$M$2003,$A$4:$A$2003,$A545-1,$B$4:$B$2003,$B545)=$J545,"OK","CHECK")))</f>
        <v/>
      </c>
      <c r="T545" s="10" t="str">
        <f aca="false">IF($B545="","",IFERROR(INDEX(Drinks!$D$4:$D$53,MATCH($B545,Drinks!$A$4:$A$53,0)),0))</f>
        <v/>
      </c>
    </row>
    <row r="546" customFormat="false" ht="15" hidden="false" customHeight="false" outlineLevel="0" collapsed="false">
      <c r="A546" s="22"/>
      <c r="B546" s="9"/>
      <c r="C546" s="9"/>
      <c r="D546" s="9"/>
      <c r="E546" s="9"/>
      <c r="F546" s="10" t="str">
        <f aca="false">IF($B546="","",$C546+$D546-$E546)</f>
        <v/>
      </c>
      <c r="G546" s="10" t="str">
        <f aca="false">IF($B546="","",IFERROR(INDEX(Drinks!$C$4:$C$53,MATCH($B546,Drinks!$A$4:$A$53,0)),0))</f>
        <v/>
      </c>
      <c r="H546" s="10" t="str">
        <f aca="false">IF($B546="","",$D546*$G546)</f>
        <v/>
      </c>
      <c r="I546" s="10" t="str">
        <f aca="false">IF($B546="","",$F546*$G546)</f>
        <v/>
      </c>
      <c r="J546" s="9"/>
      <c r="K546" s="10" t="str">
        <f aca="false">IF($B546="","",$E546*IFERROR(INDEX(Drinks!$B$4:$B$53,MATCH($B546,Drinks!$A$4:$A$53,0)),0))</f>
        <v/>
      </c>
      <c r="L546" s="10" t="str">
        <f aca="false">IF($B546="","",$J546+$K546)</f>
        <v/>
      </c>
      <c r="M546" s="9"/>
      <c r="N546" s="10" t="str">
        <f aca="false">IF($B546="","",$L546-$M546)</f>
        <v/>
      </c>
      <c r="O546" s="10" t="str">
        <f aca="false">IF($B546="","",IFERROR(INDEX(Drinks!$E$4:$E$53,MATCH($B546,Drinks!$A$4:$A$53,0)),0))</f>
        <v/>
      </c>
      <c r="P546" s="10" t="str">
        <f aca="false">IF($B546="","",$N546*$O546)</f>
        <v/>
      </c>
      <c r="Q546" s="10" t="str">
        <f aca="false">IF($B546="","",$N546*IFERROR(INDEX(Drinks!$D$4:$D$53,MATCH($B546,Drinks!$A$4:$A$53,0)),0))</f>
        <v/>
      </c>
      <c r="R546" s="10" t="str">
        <f aca="false">IF($B546="","",$P546-$Q546)</f>
        <v/>
      </c>
      <c r="S546" s="23" t="str">
        <f aca="false">IF($B546="","",IF(COUNTIFS($A$4:$A$2003,$A546-1,$B$4:$B$2003,$B546)=0,"first day",IF(SUMIFS($M$4:$M$2003,$A$4:$A$2003,$A546-1,$B$4:$B$2003,$B546)=$J546,"OK","CHECK")))</f>
        <v/>
      </c>
      <c r="T546" s="10" t="str">
        <f aca="false">IF($B546="","",IFERROR(INDEX(Drinks!$D$4:$D$53,MATCH($B546,Drinks!$A$4:$A$53,0)),0))</f>
        <v/>
      </c>
    </row>
    <row r="547" customFormat="false" ht="15" hidden="false" customHeight="false" outlineLevel="0" collapsed="false">
      <c r="A547" s="22"/>
      <c r="B547" s="9"/>
      <c r="C547" s="9"/>
      <c r="D547" s="9"/>
      <c r="E547" s="9"/>
      <c r="F547" s="10" t="str">
        <f aca="false">IF($B547="","",$C547+$D547-$E547)</f>
        <v/>
      </c>
      <c r="G547" s="10" t="str">
        <f aca="false">IF($B547="","",IFERROR(INDEX(Drinks!$C$4:$C$53,MATCH($B547,Drinks!$A$4:$A$53,0)),0))</f>
        <v/>
      </c>
      <c r="H547" s="10" t="str">
        <f aca="false">IF($B547="","",$D547*$G547)</f>
        <v/>
      </c>
      <c r="I547" s="10" t="str">
        <f aca="false">IF($B547="","",$F547*$G547)</f>
        <v/>
      </c>
      <c r="J547" s="9"/>
      <c r="K547" s="10" t="str">
        <f aca="false">IF($B547="","",$E547*IFERROR(INDEX(Drinks!$B$4:$B$53,MATCH($B547,Drinks!$A$4:$A$53,0)),0))</f>
        <v/>
      </c>
      <c r="L547" s="10" t="str">
        <f aca="false">IF($B547="","",$J547+$K547)</f>
        <v/>
      </c>
      <c r="M547" s="9"/>
      <c r="N547" s="10" t="str">
        <f aca="false">IF($B547="","",$L547-$M547)</f>
        <v/>
      </c>
      <c r="O547" s="10" t="str">
        <f aca="false">IF($B547="","",IFERROR(INDEX(Drinks!$E$4:$E$53,MATCH($B547,Drinks!$A$4:$A$53,0)),0))</f>
        <v/>
      </c>
      <c r="P547" s="10" t="str">
        <f aca="false">IF($B547="","",$N547*$O547)</f>
        <v/>
      </c>
      <c r="Q547" s="10" t="str">
        <f aca="false">IF($B547="","",$N547*IFERROR(INDEX(Drinks!$D$4:$D$53,MATCH($B547,Drinks!$A$4:$A$53,0)),0))</f>
        <v/>
      </c>
      <c r="R547" s="10" t="str">
        <f aca="false">IF($B547="","",$P547-$Q547)</f>
        <v/>
      </c>
      <c r="S547" s="23" t="str">
        <f aca="false">IF($B547="","",IF(COUNTIFS($A$4:$A$2003,$A547-1,$B$4:$B$2003,$B547)=0,"first day",IF(SUMIFS($M$4:$M$2003,$A$4:$A$2003,$A547-1,$B$4:$B$2003,$B547)=$J547,"OK","CHECK")))</f>
        <v/>
      </c>
      <c r="T547" s="10" t="str">
        <f aca="false">IF($B547="","",IFERROR(INDEX(Drinks!$D$4:$D$53,MATCH($B547,Drinks!$A$4:$A$53,0)),0))</f>
        <v/>
      </c>
    </row>
    <row r="548" customFormat="false" ht="15" hidden="false" customHeight="false" outlineLevel="0" collapsed="false">
      <c r="A548" s="22"/>
      <c r="B548" s="9"/>
      <c r="C548" s="9"/>
      <c r="D548" s="9"/>
      <c r="E548" s="9"/>
      <c r="F548" s="10" t="str">
        <f aca="false">IF($B548="","",$C548+$D548-$E548)</f>
        <v/>
      </c>
      <c r="G548" s="10" t="str">
        <f aca="false">IF($B548="","",IFERROR(INDEX(Drinks!$C$4:$C$53,MATCH($B548,Drinks!$A$4:$A$53,0)),0))</f>
        <v/>
      </c>
      <c r="H548" s="10" t="str">
        <f aca="false">IF($B548="","",$D548*$G548)</f>
        <v/>
      </c>
      <c r="I548" s="10" t="str">
        <f aca="false">IF($B548="","",$F548*$G548)</f>
        <v/>
      </c>
      <c r="J548" s="9"/>
      <c r="K548" s="10" t="str">
        <f aca="false">IF($B548="","",$E548*IFERROR(INDEX(Drinks!$B$4:$B$53,MATCH($B548,Drinks!$A$4:$A$53,0)),0))</f>
        <v/>
      </c>
      <c r="L548" s="10" t="str">
        <f aca="false">IF($B548="","",$J548+$K548)</f>
        <v/>
      </c>
      <c r="M548" s="9"/>
      <c r="N548" s="10" t="str">
        <f aca="false">IF($B548="","",$L548-$M548)</f>
        <v/>
      </c>
      <c r="O548" s="10" t="str">
        <f aca="false">IF($B548="","",IFERROR(INDEX(Drinks!$E$4:$E$53,MATCH($B548,Drinks!$A$4:$A$53,0)),0))</f>
        <v/>
      </c>
      <c r="P548" s="10" t="str">
        <f aca="false">IF($B548="","",$N548*$O548)</f>
        <v/>
      </c>
      <c r="Q548" s="10" t="str">
        <f aca="false">IF($B548="","",$N548*IFERROR(INDEX(Drinks!$D$4:$D$53,MATCH($B548,Drinks!$A$4:$A$53,0)),0))</f>
        <v/>
      </c>
      <c r="R548" s="10" t="str">
        <f aca="false">IF($B548="","",$P548-$Q548)</f>
        <v/>
      </c>
      <c r="S548" s="23" t="str">
        <f aca="false">IF($B548="","",IF(COUNTIFS($A$4:$A$2003,$A548-1,$B$4:$B$2003,$B548)=0,"first day",IF(SUMIFS($M$4:$M$2003,$A$4:$A$2003,$A548-1,$B$4:$B$2003,$B548)=$J548,"OK","CHECK")))</f>
        <v/>
      </c>
      <c r="T548" s="10" t="str">
        <f aca="false">IF($B548="","",IFERROR(INDEX(Drinks!$D$4:$D$53,MATCH($B548,Drinks!$A$4:$A$53,0)),0))</f>
        <v/>
      </c>
    </row>
    <row r="549" customFormat="false" ht="15" hidden="false" customHeight="false" outlineLevel="0" collapsed="false">
      <c r="A549" s="22"/>
      <c r="B549" s="9"/>
      <c r="C549" s="9"/>
      <c r="D549" s="9"/>
      <c r="E549" s="9"/>
      <c r="F549" s="10" t="str">
        <f aca="false">IF($B549="","",$C549+$D549-$E549)</f>
        <v/>
      </c>
      <c r="G549" s="10" t="str">
        <f aca="false">IF($B549="","",IFERROR(INDEX(Drinks!$C$4:$C$53,MATCH($B549,Drinks!$A$4:$A$53,0)),0))</f>
        <v/>
      </c>
      <c r="H549" s="10" t="str">
        <f aca="false">IF($B549="","",$D549*$G549)</f>
        <v/>
      </c>
      <c r="I549" s="10" t="str">
        <f aca="false">IF($B549="","",$F549*$G549)</f>
        <v/>
      </c>
      <c r="J549" s="9"/>
      <c r="K549" s="10" t="str">
        <f aca="false">IF($B549="","",$E549*IFERROR(INDEX(Drinks!$B$4:$B$53,MATCH($B549,Drinks!$A$4:$A$53,0)),0))</f>
        <v/>
      </c>
      <c r="L549" s="10" t="str">
        <f aca="false">IF($B549="","",$J549+$K549)</f>
        <v/>
      </c>
      <c r="M549" s="9"/>
      <c r="N549" s="10" t="str">
        <f aca="false">IF($B549="","",$L549-$M549)</f>
        <v/>
      </c>
      <c r="O549" s="10" t="str">
        <f aca="false">IF($B549="","",IFERROR(INDEX(Drinks!$E$4:$E$53,MATCH($B549,Drinks!$A$4:$A$53,0)),0))</f>
        <v/>
      </c>
      <c r="P549" s="10" t="str">
        <f aca="false">IF($B549="","",$N549*$O549)</f>
        <v/>
      </c>
      <c r="Q549" s="10" t="str">
        <f aca="false">IF($B549="","",$N549*IFERROR(INDEX(Drinks!$D$4:$D$53,MATCH($B549,Drinks!$A$4:$A$53,0)),0))</f>
        <v/>
      </c>
      <c r="R549" s="10" t="str">
        <f aca="false">IF($B549="","",$P549-$Q549)</f>
        <v/>
      </c>
      <c r="S549" s="23" t="str">
        <f aca="false">IF($B549="","",IF(COUNTIFS($A$4:$A$2003,$A549-1,$B$4:$B$2003,$B549)=0,"first day",IF(SUMIFS($M$4:$M$2003,$A$4:$A$2003,$A549-1,$B$4:$B$2003,$B549)=$J549,"OK","CHECK")))</f>
        <v/>
      </c>
      <c r="T549" s="10" t="str">
        <f aca="false">IF($B549="","",IFERROR(INDEX(Drinks!$D$4:$D$53,MATCH($B549,Drinks!$A$4:$A$53,0)),0))</f>
        <v/>
      </c>
    </row>
    <row r="550" customFormat="false" ht="15" hidden="false" customHeight="false" outlineLevel="0" collapsed="false">
      <c r="A550" s="22"/>
      <c r="B550" s="9"/>
      <c r="C550" s="9"/>
      <c r="D550" s="9"/>
      <c r="E550" s="9"/>
      <c r="F550" s="10" t="str">
        <f aca="false">IF($B550="","",$C550+$D550-$E550)</f>
        <v/>
      </c>
      <c r="G550" s="10" t="str">
        <f aca="false">IF($B550="","",IFERROR(INDEX(Drinks!$C$4:$C$53,MATCH($B550,Drinks!$A$4:$A$53,0)),0))</f>
        <v/>
      </c>
      <c r="H550" s="10" t="str">
        <f aca="false">IF($B550="","",$D550*$G550)</f>
        <v/>
      </c>
      <c r="I550" s="10" t="str">
        <f aca="false">IF($B550="","",$F550*$G550)</f>
        <v/>
      </c>
      <c r="J550" s="9"/>
      <c r="K550" s="10" t="str">
        <f aca="false">IF($B550="","",$E550*IFERROR(INDEX(Drinks!$B$4:$B$53,MATCH($B550,Drinks!$A$4:$A$53,0)),0))</f>
        <v/>
      </c>
      <c r="L550" s="10" t="str">
        <f aca="false">IF($B550="","",$J550+$K550)</f>
        <v/>
      </c>
      <c r="M550" s="9"/>
      <c r="N550" s="10" t="str">
        <f aca="false">IF($B550="","",$L550-$M550)</f>
        <v/>
      </c>
      <c r="O550" s="10" t="str">
        <f aca="false">IF($B550="","",IFERROR(INDEX(Drinks!$E$4:$E$53,MATCH($B550,Drinks!$A$4:$A$53,0)),0))</f>
        <v/>
      </c>
      <c r="P550" s="10" t="str">
        <f aca="false">IF($B550="","",$N550*$O550)</f>
        <v/>
      </c>
      <c r="Q550" s="10" t="str">
        <f aca="false">IF($B550="","",$N550*IFERROR(INDEX(Drinks!$D$4:$D$53,MATCH($B550,Drinks!$A$4:$A$53,0)),0))</f>
        <v/>
      </c>
      <c r="R550" s="10" t="str">
        <f aca="false">IF($B550="","",$P550-$Q550)</f>
        <v/>
      </c>
      <c r="S550" s="23" t="str">
        <f aca="false">IF($B550="","",IF(COUNTIFS($A$4:$A$2003,$A550-1,$B$4:$B$2003,$B550)=0,"first day",IF(SUMIFS($M$4:$M$2003,$A$4:$A$2003,$A550-1,$B$4:$B$2003,$B550)=$J550,"OK","CHECK")))</f>
        <v/>
      </c>
      <c r="T550" s="10" t="str">
        <f aca="false">IF($B550="","",IFERROR(INDEX(Drinks!$D$4:$D$53,MATCH($B550,Drinks!$A$4:$A$53,0)),0))</f>
        <v/>
      </c>
    </row>
    <row r="551" customFormat="false" ht="15" hidden="false" customHeight="false" outlineLevel="0" collapsed="false">
      <c r="A551" s="22"/>
      <c r="B551" s="9"/>
      <c r="C551" s="9"/>
      <c r="D551" s="9"/>
      <c r="E551" s="9"/>
      <c r="F551" s="10" t="str">
        <f aca="false">IF($B551="","",$C551+$D551-$E551)</f>
        <v/>
      </c>
      <c r="G551" s="10" t="str">
        <f aca="false">IF($B551="","",IFERROR(INDEX(Drinks!$C$4:$C$53,MATCH($B551,Drinks!$A$4:$A$53,0)),0))</f>
        <v/>
      </c>
      <c r="H551" s="10" t="str">
        <f aca="false">IF($B551="","",$D551*$G551)</f>
        <v/>
      </c>
      <c r="I551" s="10" t="str">
        <f aca="false">IF($B551="","",$F551*$G551)</f>
        <v/>
      </c>
      <c r="J551" s="9"/>
      <c r="K551" s="10" t="str">
        <f aca="false">IF($B551="","",$E551*IFERROR(INDEX(Drinks!$B$4:$B$53,MATCH($B551,Drinks!$A$4:$A$53,0)),0))</f>
        <v/>
      </c>
      <c r="L551" s="10" t="str">
        <f aca="false">IF($B551="","",$J551+$K551)</f>
        <v/>
      </c>
      <c r="M551" s="9"/>
      <c r="N551" s="10" t="str">
        <f aca="false">IF($B551="","",$L551-$M551)</f>
        <v/>
      </c>
      <c r="O551" s="10" t="str">
        <f aca="false">IF($B551="","",IFERROR(INDEX(Drinks!$E$4:$E$53,MATCH($B551,Drinks!$A$4:$A$53,0)),0))</f>
        <v/>
      </c>
      <c r="P551" s="10" t="str">
        <f aca="false">IF($B551="","",$N551*$O551)</f>
        <v/>
      </c>
      <c r="Q551" s="10" t="str">
        <f aca="false">IF($B551="","",$N551*IFERROR(INDEX(Drinks!$D$4:$D$53,MATCH($B551,Drinks!$A$4:$A$53,0)),0))</f>
        <v/>
      </c>
      <c r="R551" s="10" t="str">
        <f aca="false">IF($B551="","",$P551-$Q551)</f>
        <v/>
      </c>
      <c r="S551" s="23" t="str">
        <f aca="false">IF($B551="","",IF(COUNTIFS($A$4:$A$2003,$A551-1,$B$4:$B$2003,$B551)=0,"first day",IF(SUMIFS($M$4:$M$2003,$A$4:$A$2003,$A551-1,$B$4:$B$2003,$B551)=$J551,"OK","CHECK")))</f>
        <v/>
      </c>
      <c r="T551" s="10" t="str">
        <f aca="false">IF($B551="","",IFERROR(INDEX(Drinks!$D$4:$D$53,MATCH($B551,Drinks!$A$4:$A$53,0)),0))</f>
        <v/>
      </c>
    </row>
    <row r="552" customFormat="false" ht="15" hidden="false" customHeight="false" outlineLevel="0" collapsed="false">
      <c r="A552" s="22"/>
      <c r="B552" s="9"/>
      <c r="C552" s="9"/>
      <c r="D552" s="9"/>
      <c r="E552" s="9"/>
      <c r="F552" s="10" t="str">
        <f aca="false">IF($B552="","",$C552+$D552-$E552)</f>
        <v/>
      </c>
      <c r="G552" s="10" t="str">
        <f aca="false">IF($B552="","",IFERROR(INDEX(Drinks!$C$4:$C$53,MATCH($B552,Drinks!$A$4:$A$53,0)),0))</f>
        <v/>
      </c>
      <c r="H552" s="10" t="str">
        <f aca="false">IF($B552="","",$D552*$G552)</f>
        <v/>
      </c>
      <c r="I552" s="10" t="str">
        <f aca="false">IF($B552="","",$F552*$G552)</f>
        <v/>
      </c>
      <c r="J552" s="9"/>
      <c r="K552" s="10" t="str">
        <f aca="false">IF($B552="","",$E552*IFERROR(INDEX(Drinks!$B$4:$B$53,MATCH($B552,Drinks!$A$4:$A$53,0)),0))</f>
        <v/>
      </c>
      <c r="L552" s="10" t="str">
        <f aca="false">IF($B552="","",$J552+$K552)</f>
        <v/>
      </c>
      <c r="M552" s="9"/>
      <c r="N552" s="10" t="str">
        <f aca="false">IF($B552="","",$L552-$M552)</f>
        <v/>
      </c>
      <c r="O552" s="10" t="str">
        <f aca="false">IF($B552="","",IFERROR(INDEX(Drinks!$E$4:$E$53,MATCH($B552,Drinks!$A$4:$A$53,0)),0))</f>
        <v/>
      </c>
      <c r="P552" s="10" t="str">
        <f aca="false">IF($B552="","",$N552*$O552)</f>
        <v/>
      </c>
      <c r="Q552" s="10" t="str">
        <f aca="false">IF($B552="","",$N552*IFERROR(INDEX(Drinks!$D$4:$D$53,MATCH($B552,Drinks!$A$4:$A$53,0)),0))</f>
        <v/>
      </c>
      <c r="R552" s="10" t="str">
        <f aca="false">IF($B552="","",$P552-$Q552)</f>
        <v/>
      </c>
      <c r="S552" s="23" t="str">
        <f aca="false">IF($B552="","",IF(COUNTIFS($A$4:$A$2003,$A552-1,$B$4:$B$2003,$B552)=0,"first day",IF(SUMIFS($M$4:$M$2003,$A$4:$A$2003,$A552-1,$B$4:$B$2003,$B552)=$J552,"OK","CHECK")))</f>
        <v/>
      </c>
      <c r="T552" s="10" t="str">
        <f aca="false">IF($B552="","",IFERROR(INDEX(Drinks!$D$4:$D$53,MATCH($B552,Drinks!$A$4:$A$53,0)),0))</f>
        <v/>
      </c>
    </row>
    <row r="553" customFormat="false" ht="15" hidden="false" customHeight="false" outlineLevel="0" collapsed="false">
      <c r="A553" s="22"/>
      <c r="B553" s="9"/>
      <c r="C553" s="9"/>
      <c r="D553" s="9"/>
      <c r="E553" s="9"/>
      <c r="F553" s="10" t="str">
        <f aca="false">IF($B553="","",$C553+$D553-$E553)</f>
        <v/>
      </c>
      <c r="G553" s="10" t="str">
        <f aca="false">IF($B553="","",IFERROR(INDEX(Drinks!$C$4:$C$53,MATCH($B553,Drinks!$A$4:$A$53,0)),0))</f>
        <v/>
      </c>
      <c r="H553" s="10" t="str">
        <f aca="false">IF($B553="","",$D553*$G553)</f>
        <v/>
      </c>
      <c r="I553" s="10" t="str">
        <f aca="false">IF($B553="","",$F553*$G553)</f>
        <v/>
      </c>
      <c r="J553" s="9"/>
      <c r="K553" s="10" t="str">
        <f aca="false">IF($B553="","",$E553*IFERROR(INDEX(Drinks!$B$4:$B$53,MATCH($B553,Drinks!$A$4:$A$53,0)),0))</f>
        <v/>
      </c>
      <c r="L553" s="10" t="str">
        <f aca="false">IF($B553="","",$J553+$K553)</f>
        <v/>
      </c>
      <c r="M553" s="9"/>
      <c r="N553" s="10" t="str">
        <f aca="false">IF($B553="","",$L553-$M553)</f>
        <v/>
      </c>
      <c r="O553" s="10" t="str">
        <f aca="false">IF($B553="","",IFERROR(INDEX(Drinks!$E$4:$E$53,MATCH($B553,Drinks!$A$4:$A$53,0)),0))</f>
        <v/>
      </c>
      <c r="P553" s="10" t="str">
        <f aca="false">IF($B553="","",$N553*$O553)</f>
        <v/>
      </c>
      <c r="Q553" s="10" t="str">
        <f aca="false">IF($B553="","",$N553*IFERROR(INDEX(Drinks!$D$4:$D$53,MATCH($B553,Drinks!$A$4:$A$53,0)),0))</f>
        <v/>
      </c>
      <c r="R553" s="10" t="str">
        <f aca="false">IF($B553="","",$P553-$Q553)</f>
        <v/>
      </c>
      <c r="S553" s="23" t="str">
        <f aca="false">IF($B553="","",IF(COUNTIFS($A$4:$A$2003,$A553-1,$B$4:$B$2003,$B553)=0,"first day",IF(SUMIFS($M$4:$M$2003,$A$4:$A$2003,$A553-1,$B$4:$B$2003,$B553)=$J553,"OK","CHECK")))</f>
        <v/>
      </c>
      <c r="T553" s="10" t="str">
        <f aca="false">IF($B553="","",IFERROR(INDEX(Drinks!$D$4:$D$53,MATCH($B553,Drinks!$A$4:$A$53,0)),0))</f>
        <v/>
      </c>
    </row>
    <row r="554" customFormat="false" ht="15" hidden="false" customHeight="false" outlineLevel="0" collapsed="false">
      <c r="A554" s="22"/>
      <c r="B554" s="9"/>
      <c r="C554" s="9"/>
      <c r="D554" s="9"/>
      <c r="E554" s="9"/>
      <c r="F554" s="10" t="str">
        <f aca="false">IF($B554="","",$C554+$D554-$E554)</f>
        <v/>
      </c>
      <c r="G554" s="10" t="str">
        <f aca="false">IF($B554="","",IFERROR(INDEX(Drinks!$C$4:$C$53,MATCH($B554,Drinks!$A$4:$A$53,0)),0))</f>
        <v/>
      </c>
      <c r="H554" s="10" t="str">
        <f aca="false">IF($B554="","",$D554*$G554)</f>
        <v/>
      </c>
      <c r="I554" s="10" t="str">
        <f aca="false">IF($B554="","",$F554*$G554)</f>
        <v/>
      </c>
      <c r="J554" s="9"/>
      <c r="K554" s="10" t="str">
        <f aca="false">IF($B554="","",$E554*IFERROR(INDEX(Drinks!$B$4:$B$53,MATCH($B554,Drinks!$A$4:$A$53,0)),0))</f>
        <v/>
      </c>
      <c r="L554" s="10" t="str">
        <f aca="false">IF($B554="","",$J554+$K554)</f>
        <v/>
      </c>
      <c r="M554" s="9"/>
      <c r="N554" s="10" t="str">
        <f aca="false">IF($B554="","",$L554-$M554)</f>
        <v/>
      </c>
      <c r="O554" s="10" t="str">
        <f aca="false">IF($B554="","",IFERROR(INDEX(Drinks!$E$4:$E$53,MATCH($B554,Drinks!$A$4:$A$53,0)),0))</f>
        <v/>
      </c>
      <c r="P554" s="10" t="str">
        <f aca="false">IF($B554="","",$N554*$O554)</f>
        <v/>
      </c>
      <c r="Q554" s="10" t="str">
        <f aca="false">IF($B554="","",$N554*IFERROR(INDEX(Drinks!$D$4:$D$53,MATCH($B554,Drinks!$A$4:$A$53,0)),0))</f>
        <v/>
      </c>
      <c r="R554" s="10" t="str">
        <f aca="false">IF($B554="","",$P554-$Q554)</f>
        <v/>
      </c>
      <c r="S554" s="23" t="str">
        <f aca="false">IF($B554="","",IF(COUNTIFS($A$4:$A$2003,$A554-1,$B$4:$B$2003,$B554)=0,"first day",IF(SUMIFS($M$4:$M$2003,$A$4:$A$2003,$A554-1,$B$4:$B$2003,$B554)=$J554,"OK","CHECK")))</f>
        <v/>
      </c>
      <c r="T554" s="10" t="str">
        <f aca="false">IF($B554="","",IFERROR(INDEX(Drinks!$D$4:$D$53,MATCH($B554,Drinks!$A$4:$A$53,0)),0))</f>
        <v/>
      </c>
    </row>
    <row r="555" customFormat="false" ht="15" hidden="false" customHeight="false" outlineLevel="0" collapsed="false">
      <c r="A555" s="22"/>
      <c r="B555" s="9"/>
      <c r="C555" s="9"/>
      <c r="D555" s="9"/>
      <c r="E555" s="9"/>
      <c r="F555" s="10" t="str">
        <f aca="false">IF($B555="","",$C555+$D555-$E555)</f>
        <v/>
      </c>
      <c r="G555" s="10" t="str">
        <f aca="false">IF($B555="","",IFERROR(INDEX(Drinks!$C$4:$C$53,MATCH($B555,Drinks!$A$4:$A$53,0)),0))</f>
        <v/>
      </c>
      <c r="H555" s="10" t="str">
        <f aca="false">IF($B555="","",$D555*$G555)</f>
        <v/>
      </c>
      <c r="I555" s="10" t="str">
        <f aca="false">IF($B555="","",$F555*$G555)</f>
        <v/>
      </c>
      <c r="J555" s="9"/>
      <c r="K555" s="10" t="str">
        <f aca="false">IF($B555="","",$E555*IFERROR(INDEX(Drinks!$B$4:$B$53,MATCH($B555,Drinks!$A$4:$A$53,0)),0))</f>
        <v/>
      </c>
      <c r="L555" s="10" t="str">
        <f aca="false">IF($B555="","",$J555+$K555)</f>
        <v/>
      </c>
      <c r="M555" s="9"/>
      <c r="N555" s="10" t="str">
        <f aca="false">IF($B555="","",$L555-$M555)</f>
        <v/>
      </c>
      <c r="O555" s="10" t="str">
        <f aca="false">IF($B555="","",IFERROR(INDEX(Drinks!$E$4:$E$53,MATCH($B555,Drinks!$A$4:$A$53,0)),0))</f>
        <v/>
      </c>
      <c r="P555" s="10" t="str">
        <f aca="false">IF($B555="","",$N555*$O555)</f>
        <v/>
      </c>
      <c r="Q555" s="10" t="str">
        <f aca="false">IF($B555="","",$N555*IFERROR(INDEX(Drinks!$D$4:$D$53,MATCH($B555,Drinks!$A$4:$A$53,0)),0))</f>
        <v/>
      </c>
      <c r="R555" s="10" t="str">
        <f aca="false">IF($B555="","",$P555-$Q555)</f>
        <v/>
      </c>
      <c r="S555" s="23" t="str">
        <f aca="false">IF($B555="","",IF(COUNTIFS($A$4:$A$2003,$A555-1,$B$4:$B$2003,$B555)=0,"first day",IF(SUMIFS($M$4:$M$2003,$A$4:$A$2003,$A555-1,$B$4:$B$2003,$B555)=$J555,"OK","CHECK")))</f>
        <v/>
      </c>
      <c r="T555" s="10" t="str">
        <f aca="false">IF($B555="","",IFERROR(INDEX(Drinks!$D$4:$D$53,MATCH($B555,Drinks!$A$4:$A$53,0)),0))</f>
        <v/>
      </c>
    </row>
    <row r="556" customFormat="false" ht="15" hidden="false" customHeight="false" outlineLevel="0" collapsed="false">
      <c r="A556" s="22"/>
      <c r="B556" s="9"/>
      <c r="C556" s="9"/>
      <c r="D556" s="9"/>
      <c r="E556" s="9"/>
      <c r="F556" s="10" t="str">
        <f aca="false">IF($B556="","",$C556+$D556-$E556)</f>
        <v/>
      </c>
      <c r="G556" s="10" t="str">
        <f aca="false">IF($B556="","",IFERROR(INDEX(Drinks!$C$4:$C$53,MATCH($B556,Drinks!$A$4:$A$53,0)),0))</f>
        <v/>
      </c>
      <c r="H556" s="10" t="str">
        <f aca="false">IF($B556="","",$D556*$G556)</f>
        <v/>
      </c>
      <c r="I556" s="10" t="str">
        <f aca="false">IF($B556="","",$F556*$G556)</f>
        <v/>
      </c>
      <c r="J556" s="9"/>
      <c r="K556" s="10" t="str">
        <f aca="false">IF($B556="","",$E556*IFERROR(INDEX(Drinks!$B$4:$B$53,MATCH($B556,Drinks!$A$4:$A$53,0)),0))</f>
        <v/>
      </c>
      <c r="L556" s="10" t="str">
        <f aca="false">IF($B556="","",$J556+$K556)</f>
        <v/>
      </c>
      <c r="M556" s="9"/>
      <c r="N556" s="10" t="str">
        <f aca="false">IF($B556="","",$L556-$M556)</f>
        <v/>
      </c>
      <c r="O556" s="10" t="str">
        <f aca="false">IF($B556="","",IFERROR(INDEX(Drinks!$E$4:$E$53,MATCH($B556,Drinks!$A$4:$A$53,0)),0))</f>
        <v/>
      </c>
      <c r="P556" s="10" t="str">
        <f aca="false">IF($B556="","",$N556*$O556)</f>
        <v/>
      </c>
      <c r="Q556" s="10" t="str">
        <f aca="false">IF($B556="","",$N556*IFERROR(INDEX(Drinks!$D$4:$D$53,MATCH($B556,Drinks!$A$4:$A$53,0)),0))</f>
        <v/>
      </c>
      <c r="R556" s="10" t="str">
        <f aca="false">IF($B556="","",$P556-$Q556)</f>
        <v/>
      </c>
      <c r="S556" s="23" t="str">
        <f aca="false">IF($B556="","",IF(COUNTIFS($A$4:$A$2003,$A556-1,$B$4:$B$2003,$B556)=0,"first day",IF(SUMIFS($M$4:$M$2003,$A$4:$A$2003,$A556-1,$B$4:$B$2003,$B556)=$J556,"OK","CHECK")))</f>
        <v/>
      </c>
      <c r="T556" s="10" t="str">
        <f aca="false">IF($B556="","",IFERROR(INDEX(Drinks!$D$4:$D$53,MATCH($B556,Drinks!$A$4:$A$53,0)),0))</f>
        <v/>
      </c>
    </row>
    <row r="557" customFormat="false" ht="15" hidden="false" customHeight="false" outlineLevel="0" collapsed="false">
      <c r="A557" s="22"/>
      <c r="B557" s="9"/>
      <c r="C557" s="9"/>
      <c r="D557" s="9"/>
      <c r="E557" s="9"/>
      <c r="F557" s="10" t="str">
        <f aca="false">IF($B557="","",$C557+$D557-$E557)</f>
        <v/>
      </c>
      <c r="G557" s="10" t="str">
        <f aca="false">IF($B557="","",IFERROR(INDEX(Drinks!$C$4:$C$53,MATCH($B557,Drinks!$A$4:$A$53,0)),0))</f>
        <v/>
      </c>
      <c r="H557" s="10" t="str">
        <f aca="false">IF($B557="","",$D557*$G557)</f>
        <v/>
      </c>
      <c r="I557" s="10" t="str">
        <f aca="false">IF($B557="","",$F557*$G557)</f>
        <v/>
      </c>
      <c r="J557" s="9"/>
      <c r="K557" s="10" t="str">
        <f aca="false">IF($B557="","",$E557*IFERROR(INDEX(Drinks!$B$4:$B$53,MATCH($B557,Drinks!$A$4:$A$53,0)),0))</f>
        <v/>
      </c>
      <c r="L557" s="10" t="str">
        <f aca="false">IF($B557="","",$J557+$K557)</f>
        <v/>
      </c>
      <c r="M557" s="9"/>
      <c r="N557" s="10" t="str">
        <f aca="false">IF($B557="","",$L557-$M557)</f>
        <v/>
      </c>
      <c r="O557" s="10" t="str">
        <f aca="false">IF($B557="","",IFERROR(INDEX(Drinks!$E$4:$E$53,MATCH($B557,Drinks!$A$4:$A$53,0)),0))</f>
        <v/>
      </c>
      <c r="P557" s="10" t="str">
        <f aca="false">IF($B557="","",$N557*$O557)</f>
        <v/>
      </c>
      <c r="Q557" s="10" t="str">
        <f aca="false">IF($B557="","",$N557*IFERROR(INDEX(Drinks!$D$4:$D$53,MATCH($B557,Drinks!$A$4:$A$53,0)),0))</f>
        <v/>
      </c>
      <c r="R557" s="10" t="str">
        <f aca="false">IF($B557="","",$P557-$Q557)</f>
        <v/>
      </c>
      <c r="S557" s="23" t="str">
        <f aca="false">IF($B557="","",IF(COUNTIFS($A$4:$A$2003,$A557-1,$B$4:$B$2003,$B557)=0,"first day",IF(SUMIFS($M$4:$M$2003,$A$4:$A$2003,$A557-1,$B$4:$B$2003,$B557)=$J557,"OK","CHECK")))</f>
        <v/>
      </c>
      <c r="T557" s="10" t="str">
        <f aca="false">IF($B557="","",IFERROR(INDEX(Drinks!$D$4:$D$53,MATCH($B557,Drinks!$A$4:$A$53,0)),0))</f>
        <v/>
      </c>
    </row>
    <row r="558" customFormat="false" ht="15" hidden="false" customHeight="false" outlineLevel="0" collapsed="false">
      <c r="A558" s="22"/>
      <c r="B558" s="9"/>
      <c r="C558" s="9"/>
      <c r="D558" s="9"/>
      <c r="E558" s="9"/>
      <c r="F558" s="10" t="str">
        <f aca="false">IF($B558="","",$C558+$D558-$E558)</f>
        <v/>
      </c>
      <c r="G558" s="10" t="str">
        <f aca="false">IF($B558="","",IFERROR(INDEX(Drinks!$C$4:$C$53,MATCH($B558,Drinks!$A$4:$A$53,0)),0))</f>
        <v/>
      </c>
      <c r="H558" s="10" t="str">
        <f aca="false">IF($B558="","",$D558*$G558)</f>
        <v/>
      </c>
      <c r="I558" s="10" t="str">
        <f aca="false">IF($B558="","",$F558*$G558)</f>
        <v/>
      </c>
      <c r="J558" s="9"/>
      <c r="K558" s="10" t="str">
        <f aca="false">IF($B558="","",$E558*IFERROR(INDEX(Drinks!$B$4:$B$53,MATCH($B558,Drinks!$A$4:$A$53,0)),0))</f>
        <v/>
      </c>
      <c r="L558" s="10" t="str">
        <f aca="false">IF($B558="","",$J558+$K558)</f>
        <v/>
      </c>
      <c r="M558" s="9"/>
      <c r="N558" s="10" t="str">
        <f aca="false">IF($B558="","",$L558-$M558)</f>
        <v/>
      </c>
      <c r="O558" s="10" t="str">
        <f aca="false">IF($B558="","",IFERROR(INDEX(Drinks!$E$4:$E$53,MATCH($B558,Drinks!$A$4:$A$53,0)),0))</f>
        <v/>
      </c>
      <c r="P558" s="10" t="str">
        <f aca="false">IF($B558="","",$N558*$O558)</f>
        <v/>
      </c>
      <c r="Q558" s="10" t="str">
        <f aca="false">IF($B558="","",$N558*IFERROR(INDEX(Drinks!$D$4:$D$53,MATCH($B558,Drinks!$A$4:$A$53,0)),0))</f>
        <v/>
      </c>
      <c r="R558" s="10" t="str">
        <f aca="false">IF($B558="","",$P558-$Q558)</f>
        <v/>
      </c>
      <c r="S558" s="23" t="str">
        <f aca="false">IF($B558="","",IF(COUNTIFS($A$4:$A$2003,$A558-1,$B$4:$B$2003,$B558)=0,"first day",IF(SUMIFS($M$4:$M$2003,$A$4:$A$2003,$A558-1,$B$4:$B$2003,$B558)=$J558,"OK","CHECK")))</f>
        <v/>
      </c>
      <c r="T558" s="10" t="str">
        <f aca="false">IF($B558="","",IFERROR(INDEX(Drinks!$D$4:$D$53,MATCH($B558,Drinks!$A$4:$A$53,0)),0))</f>
        <v/>
      </c>
    </row>
    <row r="559" customFormat="false" ht="15" hidden="false" customHeight="false" outlineLevel="0" collapsed="false">
      <c r="A559" s="22"/>
      <c r="B559" s="9"/>
      <c r="C559" s="9"/>
      <c r="D559" s="9"/>
      <c r="E559" s="9"/>
      <c r="F559" s="10" t="str">
        <f aca="false">IF($B559="","",$C559+$D559-$E559)</f>
        <v/>
      </c>
      <c r="G559" s="10" t="str">
        <f aca="false">IF($B559="","",IFERROR(INDEX(Drinks!$C$4:$C$53,MATCH($B559,Drinks!$A$4:$A$53,0)),0))</f>
        <v/>
      </c>
      <c r="H559" s="10" t="str">
        <f aca="false">IF($B559="","",$D559*$G559)</f>
        <v/>
      </c>
      <c r="I559" s="10" t="str">
        <f aca="false">IF($B559="","",$F559*$G559)</f>
        <v/>
      </c>
      <c r="J559" s="9"/>
      <c r="K559" s="10" t="str">
        <f aca="false">IF($B559="","",$E559*IFERROR(INDEX(Drinks!$B$4:$B$53,MATCH($B559,Drinks!$A$4:$A$53,0)),0))</f>
        <v/>
      </c>
      <c r="L559" s="10" t="str">
        <f aca="false">IF($B559="","",$J559+$K559)</f>
        <v/>
      </c>
      <c r="M559" s="9"/>
      <c r="N559" s="10" t="str">
        <f aca="false">IF($B559="","",$L559-$M559)</f>
        <v/>
      </c>
      <c r="O559" s="10" t="str">
        <f aca="false">IF($B559="","",IFERROR(INDEX(Drinks!$E$4:$E$53,MATCH($B559,Drinks!$A$4:$A$53,0)),0))</f>
        <v/>
      </c>
      <c r="P559" s="10" t="str">
        <f aca="false">IF($B559="","",$N559*$O559)</f>
        <v/>
      </c>
      <c r="Q559" s="10" t="str">
        <f aca="false">IF($B559="","",$N559*IFERROR(INDEX(Drinks!$D$4:$D$53,MATCH($B559,Drinks!$A$4:$A$53,0)),0))</f>
        <v/>
      </c>
      <c r="R559" s="10" t="str">
        <f aca="false">IF($B559="","",$P559-$Q559)</f>
        <v/>
      </c>
      <c r="S559" s="23" t="str">
        <f aca="false">IF($B559="","",IF(COUNTIFS($A$4:$A$2003,$A559-1,$B$4:$B$2003,$B559)=0,"first day",IF(SUMIFS($M$4:$M$2003,$A$4:$A$2003,$A559-1,$B$4:$B$2003,$B559)=$J559,"OK","CHECK")))</f>
        <v/>
      </c>
      <c r="T559" s="10" t="str">
        <f aca="false">IF($B559="","",IFERROR(INDEX(Drinks!$D$4:$D$53,MATCH($B559,Drinks!$A$4:$A$53,0)),0))</f>
        <v/>
      </c>
    </row>
    <row r="560" customFormat="false" ht="15" hidden="false" customHeight="false" outlineLevel="0" collapsed="false">
      <c r="A560" s="22"/>
      <c r="B560" s="9"/>
      <c r="C560" s="9"/>
      <c r="D560" s="9"/>
      <c r="E560" s="9"/>
      <c r="F560" s="10" t="str">
        <f aca="false">IF($B560="","",$C560+$D560-$E560)</f>
        <v/>
      </c>
      <c r="G560" s="10" t="str">
        <f aca="false">IF($B560="","",IFERROR(INDEX(Drinks!$C$4:$C$53,MATCH($B560,Drinks!$A$4:$A$53,0)),0))</f>
        <v/>
      </c>
      <c r="H560" s="10" t="str">
        <f aca="false">IF($B560="","",$D560*$G560)</f>
        <v/>
      </c>
      <c r="I560" s="10" t="str">
        <f aca="false">IF($B560="","",$F560*$G560)</f>
        <v/>
      </c>
      <c r="J560" s="9"/>
      <c r="K560" s="10" t="str">
        <f aca="false">IF($B560="","",$E560*IFERROR(INDEX(Drinks!$B$4:$B$53,MATCH($B560,Drinks!$A$4:$A$53,0)),0))</f>
        <v/>
      </c>
      <c r="L560" s="10" t="str">
        <f aca="false">IF($B560="","",$J560+$K560)</f>
        <v/>
      </c>
      <c r="M560" s="9"/>
      <c r="N560" s="10" t="str">
        <f aca="false">IF($B560="","",$L560-$M560)</f>
        <v/>
      </c>
      <c r="O560" s="10" t="str">
        <f aca="false">IF($B560="","",IFERROR(INDEX(Drinks!$E$4:$E$53,MATCH($B560,Drinks!$A$4:$A$53,0)),0))</f>
        <v/>
      </c>
      <c r="P560" s="10" t="str">
        <f aca="false">IF($B560="","",$N560*$O560)</f>
        <v/>
      </c>
      <c r="Q560" s="10" t="str">
        <f aca="false">IF($B560="","",$N560*IFERROR(INDEX(Drinks!$D$4:$D$53,MATCH($B560,Drinks!$A$4:$A$53,0)),0))</f>
        <v/>
      </c>
      <c r="R560" s="10" t="str">
        <f aca="false">IF($B560="","",$P560-$Q560)</f>
        <v/>
      </c>
      <c r="S560" s="23" t="str">
        <f aca="false">IF($B560="","",IF(COUNTIFS($A$4:$A$2003,$A560-1,$B$4:$B$2003,$B560)=0,"first day",IF(SUMIFS($M$4:$M$2003,$A$4:$A$2003,$A560-1,$B$4:$B$2003,$B560)=$J560,"OK","CHECK")))</f>
        <v/>
      </c>
      <c r="T560" s="10" t="str">
        <f aca="false">IF($B560="","",IFERROR(INDEX(Drinks!$D$4:$D$53,MATCH($B560,Drinks!$A$4:$A$53,0)),0))</f>
        <v/>
      </c>
    </row>
    <row r="561" customFormat="false" ht="15" hidden="false" customHeight="false" outlineLevel="0" collapsed="false">
      <c r="A561" s="22"/>
      <c r="B561" s="9"/>
      <c r="C561" s="9"/>
      <c r="D561" s="9"/>
      <c r="E561" s="9"/>
      <c r="F561" s="10" t="str">
        <f aca="false">IF($B561="","",$C561+$D561-$E561)</f>
        <v/>
      </c>
      <c r="G561" s="10" t="str">
        <f aca="false">IF($B561="","",IFERROR(INDEX(Drinks!$C$4:$C$53,MATCH($B561,Drinks!$A$4:$A$53,0)),0))</f>
        <v/>
      </c>
      <c r="H561" s="10" t="str">
        <f aca="false">IF($B561="","",$D561*$G561)</f>
        <v/>
      </c>
      <c r="I561" s="10" t="str">
        <f aca="false">IF($B561="","",$F561*$G561)</f>
        <v/>
      </c>
      <c r="J561" s="9"/>
      <c r="K561" s="10" t="str">
        <f aca="false">IF($B561="","",$E561*IFERROR(INDEX(Drinks!$B$4:$B$53,MATCH($B561,Drinks!$A$4:$A$53,0)),0))</f>
        <v/>
      </c>
      <c r="L561" s="10" t="str">
        <f aca="false">IF($B561="","",$J561+$K561)</f>
        <v/>
      </c>
      <c r="M561" s="9"/>
      <c r="N561" s="10" t="str">
        <f aca="false">IF($B561="","",$L561-$M561)</f>
        <v/>
      </c>
      <c r="O561" s="10" t="str">
        <f aca="false">IF($B561="","",IFERROR(INDEX(Drinks!$E$4:$E$53,MATCH($B561,Drinks!$A$4:$A$53,0)),0))</f>
        <v/>
      </c>
      <c r="P561" s="10" t="str">
        <f aca="false">IF($B561="","",$N561*$O561)</f>
        <v/>
      </c>
      <c r="Q561" s="10" t="str">
        <f aca="false">IF($B561="","",$N561*IFERROR(INDEX(Drinks!$D$4:$D$53,MATCH($B561,Drinks!$A$4:$A$53,0)),0))</f>
        <v/>
      </c>
      <c r="R561" s="10" t="str">
        <f aca="false">IF($B561="","",$P561-$Q561)</f>
        <v/>
      </c>
      <c r="S561" s="23" t="str">
        <f aca="false">IF($B561="","",IF(COUNTIFS($A$4:$A$2003,$A561-1,$B$4:$B$2003,$B561)=0,"first day",IF(SUMIFS($M$4:$M$2003,$A$4:$A$2003,$A561-1,$B$4:$B$2003,$B561)=$J561,"OK","CHECK")))</f>
        <v/>
      </c>
      <c r="T561" s="10" t="str">
        <f aca="false">IF($B561="","",IFERROR(INDEX(Drinks!$D$4:$D$53,MATCH($B561,Drinks!$A$4:$A$53,0)),0))</f>
        <v/>
      </c>
    </row>
    <row r="562" customFormat="false" ht="15" hidden="false" customHeight="false" outlineLevel="0" collapsed="false">
      <c r="A562" s="22"/>
      <c r="B562" s="9"/>
      <c r="C562" s="9"/>
      <c r="D562" s="9"/>
      <c r="E562" s="9"/>
      <c r="F562" s="10" t="str">
        <f aca="false">IF($B562="","",$C562+$D562-$E562)</f>
        <v/>
      </c>
      <c r="G562" s="10" t="str">
        <f aca="false">IF($B562="","",IFERROR(INDEX(Drinks!$C$4:$C$53,MATCH($B562,Drinks!$A$4:$A$53,0)),0))</f>
        <v/>
      </c>
      <c r="H562" s="10" t="str">
        <f aca="false">IF($B562="","",$D562*$G562)</f>
        <v/>
      </c>
      <c r="I562" s="10" t="str">
        <f aca="false">IF($B562="","",$F562*$G562)</f>
        <v/>
      </c>
      <c r="J562" s="9"/>
      <c r="K562" s="10" t="str">
        <f aca="false">IF($B562="","",$E562*IFERROR(INDEX(Drinks!$B$4:$B$53,MATCH($B562,Drinks!$A$4:$A$53,0)),0))</f>
        <v/>
      </c>
      <c r="L562" s="10" t="str">
        <f aca="false">IF($B562="","",$J562+$K562)</f>
        <v/>
      </c>
      <c r="M562" s="9"/>
      <c r="N562" s="10" t="str">
        <f aca="false">IF($B562="","",$L562-$M562)</f>
        <v/>
      </c>
      <c r="O562" s="10" t="str">
        <f aca="false">IF($B562="","",IFERROR(INDEX(Drinks!$E$4:$E$53,MATCH($B562,Drinks!$A$4:$A$53,0)),0))</f>
        <v/>
      </c>
      <c r="P562" s="10" t="str">
        <f aca="false">IF($B562="","",$N562*$O562)</f>
        <v/>
      </c>
      <c r="Q562" s="10" t="str">
        <f aca="false">IF($B562="","",$N562*IFERROR(INDEX(Drinks!$D$4:$D$53,MATCH($B562,Drinks!$A$4:$A$53,0)),0))</f>
        <v/>
      </c>
      <c r="R562" s="10" t="str">
        <f aca="false">IF($B562="","",$P562-$Q562)</f>
        <v/>
      </c>
      <c r="S562" s="23" t="str">
        <f aca="false">IF($B562="","",IF(COUNTIFS($A$4:$A$2003,$A562-1,$B$4:$B$2003,$B562)=0,"first day",IF(SUMIFS($M$4:$M$2003,$A$4:$A$2003,$A562-1,$B$4:$B$2003,$B562)=$J562,"OK","CHECK")))</f>
        <v/>
      </c>
      <c r="T562" s="10" t="str">
        <f aca="false">IF($B562="","",IFERROR(INDEX(Drinks!$D$4:$D$53,MATCH($B562,Drinks!$A$4:$A$53,0)),0))</f>
        <v/>
      </c>
    </row>
    <row r="563" customFormat="false" ht="15" hidden="false" customHeight="false" outlineLevel="0" collapsed="false">
      <c r="A563" s="22"/>
      <c r="B563" s="9"/>
      <c r="C563" s="9"/>
      <c r="D563" s="9"/>
      <c r="E563" s="9"/>
      <c r="F563" s="10" t="str">
        <f aca="false">IF($B563="","",$C563+$D563-$E563)</f>
        <v/>
      </c>
      <c r="G563" s="10" t="str">
        <f aca="false">IF($B563="","",IFERROR(INDEX(Drinks!$C$4:$C$53,MATCH($B563,Drinks!$A$4:$A$53,0)),0))</f>
        <v/>
      </c>
      <c r="H563" s="10" t="str">
        <f aca="false">IF($B563="","",$D563*$G563)</f>
        <v/>
      </c>
      <c r="I563" s="10" t="str">
        <f aca="false">IF($B563="","",$F563*$G563)</f>
        <v/>
      </c>
      <c r="J563" s="9"/>
      <c r="K563" s="10" t="str">
        <f aca="false">IF($B563="","",$E563*IFERROR(INDEX(Drinks!$B$4:$B$53,MATCH($B563,Drinks!$A$4:$A$53,0)),0))</f>
        <v/>
      </c>
      <c r="L563" s="10" t="str">
        <f aca="false">IF($B563="","",$J563+$K563)</f>
        <v/>
      </c>
      <c r="M563" s="9"/>
      <c r="N563" s="10" t="str">
        <f aca="false">IF($B563="","",$L563-$M563)</f>
        <v/>
      </c>
      <c r="O563" s="10" t="str">
        <f aca="false">IF($B563="","",IFERROR(INDEX(Drinks!$E$4:$E$53,MATCH($B563,Drinks!$A$4:$A$53,0)),0))</f>
        <v/>
      </c>
      <c r="P563" s="10" t="str">
        <f aca="false">IF($B563="","",$N563*$O563)</f>
        <v/>
      </c>
      <c r="Q563" s="10" t="str">
        <f aca="false">IF($B563="","",$N563*IFERROR(INDEX(Drinks!$D$4:$D$53,MATCH($B563,Drinks!$A$4:$A$53,0)),0))</f>
        <v/>
      </c>
      <c r="R563" s="10" t="str">
        <f aca="false">IF($B563="","",$P563-$Q563)</f>
        <v/>
      </c>
      <c r="S563" s="23" t="str">
        <f aca="false">IF($B563="","",IF(COUNTIFS($A$4:$A$2003,$A563-1,$B$4:$B$2003,$B563)=0,"first day",IF(SUMIFS($M$4:$M$2003,$A$4:$A$2003,$A563-1,$B$4:$B$2003,$B563)=$J563,"OK","CHECK")))</f>
        <v/>
      </c>
      <c r="T563" s="10" t="str">
        <f aca="false">IF($B563="","",IFERROR(INDEX(Drinks!$D$4:$D$53,MATCH($B563,Drinks!$A$4:$A$53,0)),0))</f>
        <v/>
      </c>
    </row>
    <row r="564" customFormat="false" ht="15" hidden="false" customHeight="false" outlineLevel="0" collapsed="false">
      <c r="A564" s="22"/>
      <c r="B564" s="9"/>
      <c r="C564" s="9"/>
      <c r="D564" s="9"/>
      <c r="E564" s="9"/>
      <c r="F564" s="10" t="str">
        <f aca="false">IF($B564="","",$C564+$D564-$E564)</f>
        <v/>
      </c>
      <c r="G564" s="10" t="str">
        <f aca="false">IF($B564="","",IFERROR(INDEX(Drinks!$C$4:$C$53,MATCH($B564,Drinks!$A$4:$A$53,0)),0))</f>
        <v/>
      </c>
      <c r="H564" s="10" t="str">
        <f aca="false">IF($B564="","",$D564*$G564)</f>
        <v/>
      </c>
      <c r="I564" s="10" t="str">
        <f aca="false">IF($B564="","",$F564*$G564)</f>
        <v/>
      </c>
      <c r="J564" s="9"/>
      <c r="K564" s="10" t="str">
        <f aca="false">IF($B564="","",$E564*IFERROR(INDEX(Drinks!$B$4:$B$53,MATCH($B564,Drinks!$A$4:$A$53,0)),0))</f>
        <v/>
      </c>
      <c r="L564" s="10" t="str">
        <f aca="false">IF($B564="","",$J564+$K564)</f>
        <v/>
      </c>
      <c r="M564" s="9"/>
      <c r="N564" s="10" t="str">
        <f aca="false">IF($B564="","",$L564-$M564)</f>
        <v/>
      </c>
      <c r="O564" s="10" t="str">
        <f aca="false">IF($B564="","",IFERROR(INDEX(Drinks!$E$4:$E$53,MATCH($B564,Drinks!$A$4:$A$53,0)),0))</f>
        <v/>
      </c>
      <c r="P564" s="10" t="str">
        <f aca="false">IF($B564="","",$N564*$O564)</f>
        <v/>
      </c>
      <c r="Q564" s="10" t="str">
        <f aca="false">IF($B564="","",$N564*IFERROR(INDEX(Drinks!$D$4:$D$53,MATCH($B564,Drinks!$A$4:$A$53,0)),0))</f>
        <v/>
      </c>
      <c r="R564" s="10" t="str">
        <f aca="false">IF($B564="","",$P564-$Q564)</f>
        <v/>
      </c>
      <c r="S564" s="23" t="str">
        <f aca="false">IF($B564="","",IF(COUNTIFS($A$4:$A$2003,$A564-1,$B$4:$B$2003,$B564)=0,"first day",IF(SUMIFS($M$4:$M$2003,$A$4:$A$2003,$A564-1,$B$4:$B$2003,$B564)=$J564,"OK","CHECK")))</f>
        <v/>
      </c>
      <c r="T564" s="10" t="str">
        <f aca="false">IF($B564="","",IFERROR(INDEX(Drinks!$D$4:$D$53,MATCH($B564,Drinks!$A$4:$A$53,0)),0))</f>
        <v/>
      </c>
    </row>
    <row r="565" customFormat="false" ht="15" hidden="false" customHeight="false" outlineLevel="0" collapsed="false">
      <c r="A565" s="22"/>
      <c r="B565" s="9"/>
      <c r="C565" s="9"/>
      <c r="D565" s="9"/>
      <c r="E565" s="9"/>
      <c r="F565" s="10" t="str">
        <f aca="false">IF($B565="","",$C565+$D565-$E565)</f>
        <v/>
      </c>
      <c r="G565" s="10" t="str">
        <f aca="false">IF($B565="","",IFERROR(INDEX(Drinks!$C$4:$C$53,MATCH($B565,Drinks!$A$4:$A$53,0)),0))</f>
        <v/>
      </c>
      <c r="H565" s="10" t="str">
        <f aca="false">IF($B565="","",$D565*$G565)</f>
        <v/>
      </c>
      <c r="I565" s="10" t="str">
        <f aca="false">IF($B565="","",$F565*$G565)</f>
        <v/>
      </c>
      <c r="J565" s="9"/>
      <c r="K565" s="10" t="str">
        <f aca="false">IF($B565="","",$E565*IFERROR(INDEX(Drinks!$B$4:$B$53,MATCH($B565,Drinks!$A$4:$A$53,0)),0))</f>
        <v/>
      </c>
      <c r="L565" s="10" t="str">
        <f aca="false">IF($B565="","",$J565+$K565)</f>
        <v/>
      </c>
      <c r="M565" s="9"/>
      <c r="N565" s="10" t="str">
        <f aca="false">IF($B565="","",$L565-$M565)</f>
        <v/>
      </c>
      <c r="O565" s="10" t="str">
        <f aca="false">IF($B565="","",IFERROR(INDEX(Drinks!$E$4:$E$53,MATCH($B565,Drinks!$A$4:$A$53,0)),0))</f>
        <v/>
      </c>
      <c r="P565" s="10" t="str">
        <f aca="false">IF($B565="","",$N565*$O565)</f>
        <v/>
      </c>
      <c r="Q565" s="10" t="str">
        <f aca="false">IF($B565="","",$N565*IFERROR(INDEX(Drinks!$D$4:$D$53,MATCH($B565,Drinks!$A$4:$A$53,0)),0))</f>
        <v/>
      </c>
      <c r="R565" s="10" t="str">
        <f aca="false">IF($B565="","",$P565-$Q565)</f>
        <v/>
      </c>
      <c r="S565" s="23" t="str">
        <f aca="false">IF($B565="","",IF(COUNTIFS($A$4:$A$2003,$A565-1,$B$4:$B$2003,$B565)=0,"first day",IF(SUMIFS($M$4:$M$2003,$A$4:$A$2003,$A565-1,$B$4:$B$2003,$B565)=$J565,"OK","CHECK")))</f>
        <v/>
      </c>
      <c r="T565" s="10" t="str">
        <f aca="false">IF($B565="","",IFERROR(INDEX(Drinks!$D$4:$D$53,MATCH($B565,Drinks!$A$4:$A$53,0)),0))</f>
        <v/>
      </c>
    </row>
    <row r="566" customFormat="false" ht="15" hidden="false" customHeight="false" outlineLevel="0" collapsed="false">
      <c r="A566" s="22"/>
      <c r="B566" s="9"/>
      <c r="C566" s="9"/>
      <c r="D566" s="9"/>
      <c r="E566" s="9"/>
      <c r="F566" s="10" t="str">
        <f aca="false">IF($B566="","",$C566+$D566-$E566)</f>
        <v/>
      </c>
      <c r="G566" s="10" t="str">
        <f aca="false">IF($B566="","",IFERROR(INDEX(Drinks!$C$4:$C$53,MATCH($B566,Drinks!$A$4:$A$53,0)),0))</f>
        <v/>
      </c>
      <c r="H566" s="10" t="str">
        <f aca="false">IF($B566="","",$D566*$G566)</f>
        <v/>
      </c>
      <c r="I566" s="10" t="str">
        <f aca="false">IF($B566="","",$F566*$G566)</f>
        <v/>
      </c>
      <c r="J566" s="9"/>
      <c r="K566" s="10" t="str">
        <f aca="false">IF($B566="","",$E566*IFERROR(INDEX(Drinks!$B$4:$B$53,MATCH($B566,Drinks!$A$4:$A$53,0)),0))</f>
        <v/>
      </c>
      <c r="L566" s="10" t="str">
        <f aca="false">IF($B566="","",$J566+$K566)</f>
        <v/>
      </c>
      <c r="M566" s="9"/>
      <c r="N566" s="10" t="str">
        <f aca="false">IF($B566="","",$L566-$M566)</f>
        <v/>
      </c>
      <c r="O566" s="10" t="str">
        <f aca="false">IF($B566="","",IFERROR(INDEX(Drinks!$E$4:$E$53,MATCH($B566,Drinks!$A$4:$A$53,0)),0))</f>
        <v/>
      </c>
      <c r="P566" s="10" t="str">
        <f aca="false">IF($B566="","",$N566*$O566)</f>
        <v/>
      </c>
      <c r="Q566" s="10" t="str">
        <f aca="false">IF($B566="","",$N566*IFERROR(INDEX(Drinks!$D$4:$D$53,MATCH($B566,Drinks!$A$4:$A$53,0)),0))</f>
        <v/>
      </c>
      <c r="R566" s="10" t="str">
        <f aca="false">IF($B566="","",$P566-$Q566)</f>
        <v/>
      </c>
      <c r="S566" s="23" t="str">
        <f aca="false">IF($B566="","",IF(COUNTIFS($A$4:$A$2003,$A566-1,$B$4:$B$2003,$B566)=0,"first day",IF(SUMIFS($M$4:$M$2003,$A$4:$A$2003,$A566-1,$B$4:$B$2003,$B566)=$J566,"OK","CHECK")))</f>
        <v/>
      </c>
      <c r="T566" s="10" t="str">
        <f aca="false">IF($B566="","",IFERROR(INDEX(Drinks!$D$4:$D$53,MATCH($B566,Drinks!$A$4:$A$53,0)),0))</f>
        <v/>
      </c>
    </row>
    <row r="567" customFormat="false" ht="15" hidden="false" customHeight="false" outlineLevel="0" collapsed="false">
      <c r="A567" s="22"/>
      <c r="B567" s="9"/>
      <c r="C567" s="9"/>
      <c r="D567" s="9"/>
      <c r="E567" s="9"/>
      <c r="F567" s="10" t="str">
        <f aca="false">IF($B567="","",$C567+$D567-$E567)</f>
        <v/>
      </c>
      <c r="G567" s="10" t="str">
        <f aca="false">IF($B567="","",IFERROR(INDEX(Drinks!$C$4:$C$53,MATCH($B567,Drinks!$A$4:$A$53,0)),0))</f>
        <v/>
      </c>
      <c r="H567" s="10" t="str">
        <f aca="false">IF($B567="","",$D567*$G567)</f>
        <v/>
      </c>
      <c r="I567" s="10" t="str">
        <f aca="false">IF($B567="","",$F567*$G567)</f>
        <v/>
      </c>
      <c r="J567" s="9"/>
      <c r="K567" s="10" t="str">
        <f aca="false">IF($B567="","",$E567*IFERROR(INDEX(Drinks!$B$4:$B$53,MATCH($B567,Drinks!$A$4:$A$53,0)),0))</f>
        <v/>
      </c>
      <c r="L567" s="10" t="str">
        <f aca="false">IF($B567="","",$J567+$K567)</f>
        <v/>
      </c>
      <c r="M567" s="9"/>
      <c r="N567" s="10" t="str">
        <f aca="false">IF($B567="","",$L567-$M567)</f>
        <v/>
      </c>
      <c r="O567" s="10" t="str">
        <f aca="false">IF($B567="","",IFERROR(INDEX(Drinks!$E$4:$E$53,MATCH($B567,Drinks!$A$4:$A$53,0)),0))</f>
        <v/>
      </c>
      <c r="P567" s="10" t="str">
        <f aca="false">IF($B567="","",$N567*$O567)</f>
        <v/>
      </c>
      <c r="Q567" s="10" t="str">
        <f aca="false">IF($B567="","",$N567*IFERROR(INDEX(Drinks!$D$4:$D$53,MATCH($B567,Drinks!$A$4:$A$53,0)),0))</f>
        <v/>
      </c>
      <c r="R567" s="10" t="str">
        <f aca="false">IF($B567="","",$P567-$Q567)</f>
        <v/>
      </c>
      <c r="S567" s="23" t="str">
        <f aca="false">IF($B567="","",IF(COUNTIFS($A$4:$A$2003,$A567-1,$B$4:$B$2003,$B567)=0,"first day",IF(SUMIFS($M$4:$M$2003,$A$4:$A$2003,$A567-1,$B$4:$B$2003,$B567)=$J567,"OK","CHECK")))</f>
        <v/>
      </c>
      <c r="T567" s="10" t="str">
        <f aca="false">IF($B567="","",IFERROR(INDEX(Drinks!$D$4:$D$53,MATCH($B567,Drinks!$A$4:$A$53,0)),0))</f>
        <v/>
      </c>
    </row>
    <row r="568" customFormat="false" ht="15" hidden="false" customHeight="false" outlineLevel="0" collapsed="false">
      <c r="A568" s="22"/>
      <c r="B568" s="9"/>
      <c r="C568" s="9"/>
      <c r="D568" s="9"/>
      <c r="E568" s="9"/>
      <c r="F568" s="10" t="str">
        <f aca="false">IF($B568="","",$C568+$D568-$E568)</f>
        <v/>
      </c>
      <c r="G568" s="10" t="str">
        <f aca="false">IF($B568="","",IFERROR(INDEX(Drinks!$C$4:$C$53,MATCH($B568,Drinks!$A$4:$A$53,0)),0))</f>
        <v/>
      </c>
      <c r="H568" s="10" t="str">
        <f aca="false">IF($B568="","",$D568*$G568)</f>
        <v/>
      </c>
      <c r="I568" s="10" t="str">
        <f aca="false">IF($B568="","",$F568*$G568)</f>
        <v/>
      </c>
      <c r="J568" s="9"/>
      <c r="K568" s="10" t="str">
        <f aca="false">IF($B568="","",$E568*IFERROR(INDEX(Drinks!$B$4:$B$53,MATCH($B568,Drinks!$A$4:$A$53,0)),0))</f>
        <v/>
      </c>
      <c r="L568" s="10" t="str">
        <f aca="false">IF($B568="","",$J568+$K568)</f>
        <v/>
      </c>
      <c r="M568" s="9"/>
      <c r="N568" s="10" t="str">
        <f aca="false">IF($B568="","",$L568-$M568)</f>
        <v/>
      </c>
      <c r="O568" s="10" t="str">
        <f aca="false">IF($B568="","",IFERROR(INDEX(Drinks!$E$4:$E$53,MATCH($B568,Drinks!$A$4:$A$53,0)),0))</f>
        <v/>
      </c>
      <c r="P568" s="10" t="str">
        <f aca="false">IF($B568="","",$N568*$O568)</f>
        <v/>
      </c>
      <c r="Q568" s="10" t="str">
        <f aca="false">IF($B568="","",$N568*IFERROR(INDEX(Drinks!$D$4:$D$53,MATCH($B568,Drinks!$A$4:$A$53,0)),0))</f>
        <v/>
      </c>
      <c r="R568" s="10" t="str">
        <f aca="false">IF($B568="","",$P568-$Q568)</f>
        <v/>
      </c>
      <c r="S568" s="23" t="str">
        <f aca="false">IF($B568="","",IF(COUNTIFS($A$4:$A$2003,$A568-1,$B$4:$B$2003,$B568)=0,"first day",IF(SUMIFS($M$4:$M$2003,$A$4:$A$2003,$A568-1,$B$4:$B$2003,$B568)=$J568,"OK","CHECK")))</f>
        <v/>
      </c>
      <c r="T568" s="10" t="str">
        <f aca="false">IF($B568="","",IFERROR(INDEX(Drinks!$D$4:$D$53,MATCH($B568,Drinks!$A$4:$A$53,0)),0))</f>
        <v/>
      </c>
    </row>
    <row r="569" customFormat="false" ht="15" hidden="false" customHeight="false" outlineLevel="0" collapsed="false">
      <c r="A569" s="22"/>
      <c r="B569" s="9"/>
      <c r="C569" s="9"/>
      <c r="D569" s="9"/>
      <c r="E569" s="9"/>
      <c r="F569" s="10" t="str">
        <f aca="false">IF($B569="","",$C569+$D569-$E569)</f>
        <v/>
      </c>
      <c r="G569" s="10" t="str">
        <f aca="false">IF($B569="","",IFERROR(INDEX(Drinks!$C$4:$C$53,MATCH($B569,Drinks!$A$4:$A$53,0)),0))</f>
        <v/>
      </c>
      <c r="H569" s="10" t="str">
        <f aca="false">IF($B569="","",$D569*$G569)</f>
        <v/>
      </c>
      <c r="I569" s="10" t="str">
        <f aca="false">IF($B569="","",$F569*$G569)</f>
        <v/>
      </c>
      <c r="J569" s="9"/>
      <c r="K569" s="10" t="str">
        <f aca="false">IF($B569="","",$E569*IFERROR(INDEX(Drinks!$B$4:$B$53,MATCH($B569,Drinks!$A$4:$A$53,0)),0))</f>
        <v/>
      </c>
      <c r="L569" s="10" t="str">
        <f aca="false">IF($B569="","",$J569+$K569)</f>
        <v/>
      </c>
      <c r="M569" s="9"/>
      <c r="N569" s="10" t="str">
        <f aca="false">IF($B569="","",$L569-$M569)</f>
        <v/>
      </c>
      <c r="O569" s="10" t="str">
        <f aca="false">IF($B569="","",IFERROR(INDEX(Drinks!$E$4:$E$53,MATCH($B569,Drinks!$A$4:$A$53,0)),0))</f>
        <v/>
      </c>
      <c r="P569" s="10" t="str">
        <f aca="false">IF($B569="","",$N569*$O569)</f>
        <v/>
      </c>
      <c r="Q569" s="10" t="str">
        <f aca="false">IF($B569="","",$N569*IFERROR(INDEX(Drinks!$D$4:$D$53,MATCH($B569,Drinks!$A$4:$A$53,0)),0))</f>
        <v/>
      </c>
      <c r="R569" s="10" t="str">
        <f aca="false">IF($B569="","",$P569-$Q569)</f>
        <v/>
      </c>
      <c r="S569" s="23" t="str">
        <f aca="false">IF($B569="","",IF(COUNTIFS($A$4:$A$2003,$A569-1,$B$4:$B$2003,$B569)=0,"first day",IF(SUMIFS($M$4:$M$2003,$A$4:$A$2003,$A569-1,$B$4:$B$2003,$B569)=$J569,"OK","CHECK")))</f>
        <v/>
      </c>
      <c r="T569" s="10" t="str">
        <f aca="false">IF($B569="","",IFERROR(INDEX(Drinks!$D$4:$D$53,MATCH($B569,Drinks!$A$4:$A$53,0)),0))</f>
        <v/>
      </c>
    </row>
    <row r="570" customFormat="false" ht="15" hidden="false" customHeight="false" outlineLevel="0" collapsed="false">
      <c r="A570" s="22"/>
      <c r="B570" s="9"/>
      <c r="C570" s="9"/>
      <c r="D570" s="9"/>
      <c r="E570" s="9"/>
      <c r="F570" s="10" t="str">
        <f aca="false">IF($B570="","",$C570+$D570-$E570)</f>
        <v/>
      </c>
      <c r="G570" s="10" t="str">
        <f aca="false">IF($B570="","",IFERROR(INDEX(Drinks!$C$4:$C$53,MATCH($B570,Drinks!$A$4:$A$53,0)),0))</f>
        <v/>
      </c>
      <c r="H570" s="10" t="str">
        <f aca="false">IF($B570="","",$D570*$G570)</f>
        <v/>
      </c>
      <c r="I570" s="10" t="str">
        <f aca="false">IF($B570="","",$F570*$G570)</f>
        <v/>
      </c>
      <c r="J570" s="9"/>
      <c r="K570" s="10" t="str">
        <f aca="false">IF($B570="","",$E570*IFERROR(INDEX(Drinks!$B$4:$B$53,MATCH($B570,Drinks!$A$4:$A$53,0)),0))</f>
        <v/>
      </c>
      <c r="L570" s="10" t="str">
        <f aca="false">IF($B570="","",$J570+$K570)</f>
        <v/>
      </c>
      <c r="M570" s="9"/>
      <c r="N570" s="10" t="str">
        <f aca="false">IF($B570="","",$L570-$M570)</f>
        <v/>
      </c>
      <c r="O570" s="10" t="str">
        <f aca="false">IF($B570="","",IFERROR(INDEX(Drinks!$E$4:$E$53,MATCH($B570,Drinks!$A$4:$A$53,0)),0))</f>
        <v/>
      </c>
      <c r="P570" s="10" t="str">
        <f aca="false">IF($B570="","",$N570*$O570)</f>
        <v/>
      </c>
      <c r="Q570" s="10" t="str">
        <f aca="false">IF($B570="","",$N570*IFERROR(INDEX(Drinks!$D$4:$D$53,MATCH($B570,Drinks!$A$4:$A$53,0)),0))</f>
        <v/>
      </c>
      <c r="R570" s="10" t="str">
        <f aca="false">IF($B570="","",$P570-$Q570)</f>
        <v/>
      </c>
      <c r="S570" s="23" t="str">
        <f aca="false">IF($B570="","",IF(COUNTIFS($A$4:$A$2003,$A570-1,$B$4:$B$2003,$B570)=0,"first day",IF(SUMIFS($M$4:$M$2003,$A$4:$A$2003,$A570-1,$B$4:$B$2003,$B570)=$J570,"OK","CHECK")))</f>
        <v/>
      </c>
      <c r="T570" s="10" t="str">
        <f aca="false">IF($B570="","",IFERROR(INDEX(Drinks!$D$4:$D$53,MATCH($B570,Drinks!$A$4:$A$53,0)),0))</f>
        <v/>
      </c>
    </row>
    <row r="571" customFormat="false" ht="15" hidden="false" customHeight="false" outlineLevel="0" collapsed="false">
      <c r="A571" s="22"/>
      <c r="B571" s="9"/>
      <c r="C571" s="9"/>
      <c r="D571" s="9"/>
      <c r="E571" s="9"/>
      <c r="F571" s="10" t="str">
        <f aca="false">IF($B571="","",$C571+$D571-$E571)</f>
        <v/>
      </c>
      <c r="G571" s="10" t="str">
        <f aca="false">IF($B571="","",IFERROR(INDEX(Drinks!$C$4:$C$53,MATCH($B571,Drinks!$A$4:$A$53,0)),0))</f>
        <v/>
      </c>
      <c r="H571" s="10" t="str">
        <f aca="false">IF($B571="","",$D571*$G571)</f>
        <v/>
      </c>
      <c r="I571" s="10" t="str">
        <f aca="false">IF($B571="","",$F571*$G571)</f>
        <v/>
      </c>
      <c r="J571" s="9"/>
      <c r="K571" s="10" t="str">
        <f aca="false">IF($B571="","",$E571*IFERROR(INDEX(Drinks!$B$4:$B$53,MATCH($B571,Drinks!$A$4:$A$53,0)),0))</f>
        <v/>
      </c>
      <c r="L571" s="10" t="str">
        <f aca="false">IF($B571="","",$J571+$K571)</f>
        <v/>
      </c>
      <c r="M571" s="9"/>
      <c r="N571" s="10" t="str">
        <f aca="false">IF($B571="","",$L571-$M571)</f>
        <v/>
      </c>
      <c r="O571" s="10" t="str">
        <f aca="false">IF($B571="","",IFERROR(INDEX(Drinks!$E$4:$E$53,MATCH($B571,Drinks!$A$4:$A$53,0)),0))</f>
        <v/>
      </c>
      <c r="P571" s="10" t="str">
        <f aca="false">IF($B571="","",$N571*$O571)</f>
        <v/>
      </c>
      <c r="Q571" s="10" t="str">
        <f aca="false">IF($B571="","",$N571*IFERROR(INDEX(Drinks!$D$4:$D$53,MATCH($B571,Drinks!$A$4:$A$53,0)),0))</f>
        <v/>
      </c>
      <c r="R571" s="10" t="str">
        <f aca="false">IF($B571="","",$P571-$Q571)</f>
        <v/>
      </c>
      <c r="S571" s="23" t="str">
        <f aca="false">IF($B571="","",IF(COUNTIFS($A$4:$A$2003,$A571-1,$B$4:$B$2003,$B571)=0,"first day",IF(SUMIFS($M$4:$M$2003,$A$4:$A$2003,$A571-1,$B$4:$B$2003,$B571)=$J571,"OK","CHECK")))</f>
        <v/>
      </c>
      <c r="T571" s="10" t="str">
        <f aca="false">IF($B571="","",IFERROR(INDEX(Drinks!$D$4:$D$53,MATCH($B571,Drinks!$A$4:$A$53,0)),0))</f>
        <v/>
      </c>
    </row>
    <row r="572" customFormat="false" ht="15" hidden="false" customHeight="false" outlineLevel="0" collapsed="false">
      <c r="A572" s="22"/>
      <c r="B572" s="9"/>
      <c r="C572" s="9"/>
      <c r="D572" s="9"/>
      <c r="E572" s="9"/>
      <c r="F572" s="10" t="str">
        <f aca="false">IF($B572="","",$C572+$D572-$E572)</f>
        <v/>
      </c>
      <c r="G572" s="10" t="str">
        <f aca="false">IF($B572="","",IFERROR(INDEX(Drinks!$C$4:$C$53,MATCH($B572,Drinks!$A$4:$A$53,0)),0))</f>
        <v/>
      </c>
      <c r="H572" s="10" t="str">
        <f aca="false">IF($B572="","",$D572*$G572)</f>
        <v/>
      </c>
      <c r="I572" s="10" t="str">
        <f aca="false">IF($B572="","",$F572*$G572)</f>
        <v/>
      </c>
      <c r="J572" s="9"/>
      <c r="K572" s="10" t="str">
        <f aca="false">IF($B572="","",$E572*IFERROR(INDEX(Drinks!$B$4:$B$53,MATCH($B572,Drinks!$A$4:$A$53,0)),0))</f>
        <v/>
      </c>
      <c r="L572" s="10" t="str">
        <f aca="false">IF($B572="","",$J572+$K572)</f>
        <v/>
      </c>
      <c r="M572" s="9"/>
      <c r="N572" s="10" t="str">
        <f aca="false">IF($B572="","",$L572-$M572)</f>
        <v/>
      </c>
      <c r="O572" s="10" t="str">
        <f aca="false">IF($B572="","",IFERROR(INDEX(Drinks!$E$4:$E$53,MATCH($B572,Drinks!$A$4:$A$53,0)),0))</f>
        <v/>
      </c>
      <c r="P572" s="10" t="str">
        <f aca="false">IF($B572="","",$N572*$O572)</f>
        <v/>
      </c>
      <c r="Q572" s="10" t="str">
        <f aca="false">IF($B572="","",$N572*IFERROR(INDEX(Drinks!$D$4:$D$53,MATCH($B572,Drinks!$A$4:$A$53,0)),0))</f>
        <v/>
      </c>
      <c r="R572" s="10" t="str">
        <f aca="false">IF($B572="","",$P572-$Q572)</f>
        <v/>
      </c>
      <c r="S572" s="23" t="str">
        <f aca="false">IF($B572="","",IF(COUNTIFS($A$4:$A$2003,$A572-1,$B$4:$B$2003,$B572)=0,"first day",IF(SUMIFS($M$4:$M$2003,$A$4:$A$2003,$A572-1,$B$4:$B$2003,$B572)=$J572,"OK","CHECK")))</f>
        <v/>
      </c>
      <c r="T572" s="10" t="str">
        <f aca="false">IF($B572="","",IFERROR(INDEX(Drinks!$D$4:$D$53,MATCH($B572,Drinks!$A$4:$A$53,0)),0))</f>
        <v/>
      </c>
    </row>
    <row r="573" customFormat="false" ht="15" hidden="false" customHeight="false" outlineLevel="0" collapsed="false">
      <c r="A573" s="22"/>
      <c r="B573" s="9"/>
      <c r="C573" s="9"/>
      <c r="D573" s="9"/>
      <c r="E573" s="9"/>
      <c r="F573" s="10" t="str">
        <f aca="false">IF($B573="","",$C573+$D573-$E573)</f>
        <v/>
      </c>
      <c r="G573" s="10" t="str">
        <f aca="false">IF($B573="","",IFERROR(INDEX(Drinks!$C$4:$C$53,MATCH($B573,Drinks!$A$4:$A$53,0)),0))</f>
        <v/>
      </c>
      <c r="H573" s="10" t="str">
        <f aca="false">IF($B573="","",$D573*$G573)</f>
        <v/>
      </c>
      <c r="I573" s="10" t="str">
        <f aca="false">IF($B573="","",$F573*$G573)</f>
        <v/>
      </c>
      <c r="J573" s="9"/>
      <c r="K573" s="10" t="str">
        <f aca="false">IF($B573="","",$E573*IFERROR(INDEX(Drinks!$B$4:$B$53,MATCH($B573,Drinks!$A$4:$A$53,0)),0))</f>
        <v/>
      </c>
      <c r="L573" s="10" t="str">
        <f aca="false">IF($B573="","",$J573+$K573)</f>
        <v/>
      </c>
      <c r="M573" s="9"/>
      <c r="N573" s="10" t="str">
        <f aca="false">IF($B573="","",$L573-$M573)</f>
        <v/>
      </c>
      <c r="O573" s="10" t="str">
        <f aca="false">IF($B573="","",IFERROR(INDEX(Drinks!$E$4:$E$53,MATCH($B573,Drinks!$A$4:$A$53,0)),0))</f>
        <v/>
      </c>
      <c r="P573" s="10" t="str">
        <f aca="false">IF($B573="","",$N573*$O573)</f>
        <v/>
      </c>
      <c r="Q573" s="10" t="str">
        <f aca="false">IF($B573="","",$N573*IFERROR(INDEX(Drinks!$D$4:$D$53,MATCH($B573,Drinks!$A$4:$A$53,0)),0))</f>
        <v/>
      </c>
      <c r="R573" s="10" t="str">
        <f aca="false">IF($B573="","",$P573-$Q573)</f>
        <v/>
      </c>
      <c r="S573" s="23" t="str">
        <f aca="false">IF($B573="","",IF(COUNTIFS($A$4:$A$2003,$A573-1,$B$4:$B$2003,$B573)=0,"first day",IF(SUMIFS($M$4:$M$2003,$A$4:$A$2003,$A573-1,$B$4:$B$2003,$B573)=$J573,"OK","CHECK")))</f>
        <v/>
      </c>
      <c r="T573" s="10" t="str">
        <f aca="false">IF($B573="","",IFERROR(INDEX(Drinks!$D$4:$D$53,MATCH($B573,Drinks!$A$4:$A$53,0)),0))</f>
        <v/>
      </c>
    </row>
    <row r="574" customFormat="false" ht="15" hidden="false" customHeight="false" outlineLevel="0" collapsed="false">
      <c r="A574" s="22"/>
      <c r="B574" s="9"/>
      <c r="C574" s="9"/>
      <c r="D574" s="9"/>
      <c r="E574" s="9"/>
      <c r="F574" s="10" t="str">
        <f aca="false">IF($B574="","",$C574+$D574-$E574)</f>
        <v/>
      </c>
      <c r="G574" s="10" t="str">
        <f aca="false">IF($B574="","",IFERROR(INDEX(Drinks!$C$4:$C$53,MATCH($B574,Drinks!$A$4:$A$53,0)),0))</f>
        <v/>
      </c>
      <c r="H574" s="10" t="str">
        <f aca="false">IF($B574="","",$D574*$G574)</f>
        <v/>
      </c>
      <c r="I574" s="10" t="str">
        <f aca="false">IF($B574="","",$F574*$G574)</f>
        <v/>
      </c>
      <c r="J574" s="9"/>
      <c r="K574" s="10" t="str">
        <f aca="false">IF($B574="","",$E574*IFERROR(INDEX(Drinks!$B$4:$B$53,MATCH($B574,Drinks!$A$4:$A$53,0)),0))</f>
        <v/>
      </c>
      <c r="L574" s="10" t="str">
        <f aca="false">IF($B574="","",$J574+$K574)</f>
        <v/>
      </c>
      <c r="M574" s="9"/>
      <c r="N574" s="10" t="str">
        <f aca="false">IF($B574="","",$L574-$M574)</f>
        <v/>
      </c>
      <c r="O574" s="10" t="str">
        <f aca="false">IF($B574="","",IFERROR(INDEX(Drinks!$E$4:$E$53,MATCH($B574,Drinks!$A$4:$A$53,0)),0))</f>
        <v/>
      </c>
      <c r="P574" s="10" t="str">
        <f aca="false">IF($B574="","",$N574*$O574)</f>
        <v/>
      </c>
      <c r="Q574" s="10" t="str">
        <f aca="false">IF($B574="","",$N574*IFERROR(INDEX(Drinks!$D$4:$D$53,MATCH($B574,Drinks!$A$4:$A$53,0)),0))</f>
        <v/>
      </c>
      <c r="R574" s="10" t="str">
        <f aca="false">IF($B574="","",$P574-$Q574)</f>
        <v/>
      </c>
      <c r="S574" s="23" t="str">
        <f aca="false">IF($B574="","",IF(COUNTIFS($A$4:$A$2003,$A574-1,$B$4:$B$2003,$B574)=0,"first day",IF(SUMIFS($M$4:$M$2003,$A$4:$A$2003,$A574-1,$B$4:$B$2003,$B574)=$J574,"OK","CHECK")))</f>
        <v/>
      </c>
      <c r="T574" s="10" t="str">
        <f aca="false">IF($B574="","",IFERROR(INDEX(Drinks!$D$4:$D$53,MATCH($B574,Drinks!$A$4:$A$53,0)),0))</f>
        <v/>
      </c>
    </row>
    <row r="575" customFormat="false" ht="15" hidden="false" customHeight="false" outlineLevel="0" collapsed="false">
      <c r="A575" s="22"/>
      <c r="B575" s="9"/>
      <c r="C575" s="9"/>
      <c r="D575" s="9"/>
      <c r="E575" s="9"/>
      <c r="F575" s="10" t="str">
        <f aca="false">IF($B575="","",$C575+$D575-$E575)</f>
        <v/>
      </c>
      <c r="G575" s="10" t="str">
        <f aca="false">IF($B575="","",IFERROR(INDEX(Drinks!$C$4:$C$53,MATCH($B575,Drinks!$A$4:$A$53,0)),0))</f>
        <v/>
      </c>
      <c r="H575" s="10" t="str">
        <f aca="false">IF($B575="","",$D575*$G575)</f>
        <v/>
      </c>
      <c r="I575" s="10" t="str">
        <f aca="false">IF($B575="","",$F575*$G575)</f>
        <v/>
      </c>
      <c r="J575" s="9"/>
      <c r="K575" s="10" t="str">
        <f aca="false">IF($B575="","",$E575*IFERROR(INDEX(Drinks!$B$4:$B$53,MATCH($B575,Drinks!$A$4:$A$53,0)),0))</f>
        <v/>
      </c>
      <c r="L575" s="10" t="str">
        <f aca="false">IF($B575="","",$J575+$K575)</f>
        <v/>
      </c>
      <c r="M575" s="9"/>
      <c r="N575" s="10" t="str">
        <f aca="false">IF($B575="","",$L575-$M575)</f>
        <v/>
      </c>
      <c r="O575" s="10" t="str">
        <f aca="false">IF($B575="","",IFERROR(INDEX(Drinks!$E$4:$E$53,MATCH($B575,Drinks!$A$4:$A$53,0)),0))</f>
        <v/>
      </c>
      <c r="P575" s="10" t="str">
        <f aca="false">IF($B575="","",$N575*$O575)</f>
        <v/>
      </c>
      <c r="Q575" s="10" t="str">
        <f aca="false">IF($B575="","",$N575*IFERROR(INDEX(Drinks!$D$4:$D$53,MATCH($B575,Drinks!$A$4:$A$53,0)),0))</f>
        <v/>
      </c>
      <c r="R575" s="10" t="str">
        <f aca="false">IF($B575="","",$P575-$Q575)</f>
        <v/>
      </c>
      <c r="S575" s="23" t="str">
        <f aca="false">IF($B575="","",IF(COUNTIFS($A$4:$A$2003,$A575-1,$B$4:$B$2003,$B575)=0,"first day",IF(SUMIFS($M$4:$M$2003,$A$4:$A$2003,$A575-1,$B$4:$B$2003,$B575)=$J575,"OK","CHECK")))</f>
        <v/>
      </c>
      <c r="T575" s="10" t="str">
        <f aca="false">IF($B575="","",IFERROR(INDEX(Drinks!$D$4:$D$53,MATCH($B575,Drinks!$A$4:$A$53,0)),0))</f>
        <v/>
      </c>
    </row>
    <row r="576" customFormat="false" ht="15" hidden="false" customHeight="false" outlineLevel="0" collapsed="false">
      <c r="A576" s="22"/>
      <c r="B576" s="9"/>
      <c r="C576" s="9"/>
      <c r="D576" s="9"/>
      <c r="E576" s="9"/>
      <c r="F576" s="10" t="str">
        <f aca="false">IF($B576="","",$C576+$D576-$E576)</f>
        <v/>
      </c>
      <c r="G576" s="10" t="str">
        <f aca="false">IF($B576="","",IFERROR(INDEX(Drinks!$C$4:$C$53,MATCH($B576,Drinks!$A$4:$A$53,0)),0))</f>
        <v/>
      </c>
      <c r="H576" s="10" t="str">
        <f aca="false">IF($B576="","",$D576*$G576)</f>
        <v/>
      </c>
      <c r="I576" s="10" t="str">
        <f aca="false">IF($B576="","",$F576*$G576)</f>
        <v/>
      </c>
      <c r="J576" s="9"/>
      <c r="K576" s="10" t="str">
        <f aca="false">IF($B576="","",$E576*IFERROR(INDEX(Drinks!$B$4:$B$53,MATCH($B576,Drinks!$A$4:$A$53,0)),0))</f>
        <v/>
      </c>
      <c r="L576" s="10" t="str">
        <f aca="false">IF($B576="","",$J576+$K576)</f>
        <v/>
      </c>
      <c r="M576" s="9"/>
      <c r="N576" s="10" t="str">
        <f aca="false">IF($B576="","",$L576-$M576)</f>
        <v/>
      </c>
      <c r="O576" s="10" t="str">
        <f aca="false">IF($B576="","",IFERROR(INDEX(Drinks!$E$4:$E$53,MATCH($B576,Drinks!$A$4:$A$53,0)),0))</f>
        <v/>
      </c>
      <c r="P576" s="10" t="str">
        <f aca="false">IF($B576="","",$N576*$O576)</f>
        <v/>
      </c>
      <c r="Q576" s="10" t="str">
        <f aca="false">IF($B576="","",$N576*IFERROR(INDEX(Drinks!$D$4:$D$53,MATCH($B576,Drinks!$A$4:$A$53,0)),0))</f>
        <v/>
      </c>
      <c r="R576" s="10" t="str">
        <f aca="false">IF($B576="","",$P576-$Q576)</f>
        <v/>
      </c>
      <c r="S576" s="23" t="str">
        <f aca="false">IF($B576="","",IF(COUNTIFS($A$4:$A$2003,$A576-1,$B$4:$B$2003,$B576)=0,"first day",IF(SUMIFS($M$4:$M$2003,$A$4:$A$2003,$A576-1,$B$4:$B$2003,$B576)=$J576,"OK","CHECK")))</f>
        <v/>
      </c>
      <c r="T576" s="10" t="str">
        <f aca="false">IF($B576="","",IFERROR(INDEX(Drinks!$D$4:$D$53,MATCH($B576,Drinks!$A$4:$A$53,0)),0))</f>
        <v/>
      </c>
    </row>
    <row r="577" customFormat="false" ht="15" hidden="false" customHeight="false" outlineLevel="0" collapsed="false">
      <c r="A577" s="22"/>
      <c r="B577" s="9"/>
      <c r="C577" s="9"/>
      <c r="D577" s="9"/>
      <c r="E577" s="9"/>
      <c r="F577" s="10" t="str">
        <f aca="false">IF($B577="","",$C577+$D577-$E577)</f>
        <v/>
      </c>
      <c r="G577" s="10" t="str">
        <f aca="false">IF($B577="","",IFERROR(INDEX(Drinks!$C$4:$C$53,MATCH($B577,Drinks!$A$4:$A$53,0)),0))</f>
        <v/>
      </c>
      <c r="H577" s="10" t="str">
        <f aca="false">IF($B577="","",$D577*$G577)</f>
        <v/>
      </c>
      <c r="I577" s="10" t="str">
        <f aca="false">IF($B577="","",$F577*$G577)</f>
        <v/>
      </c>
      <c r="J577" s="9"/>
      <c r="K577" s="10" t="str">
        <f aca="false">IF($B577="","",$E577*IFERROR(INDEX(Drinks!$B$4:$B$53,MATCH($B577,Drinks!$A$4:$A$53,0)),0))</f>
        <v/>
      </c>
      <c r="L577" s="10" t="str">
        <f aca="false">IF($B577="","",$J577+$K577)</f>
        <v/>
      </c>
      <c r="M577" s="9"/>
      <c r="N577" s="10" t="str">
        <f aca="false">IF($B577="","",$L577-$M577)</f>
        <v/>
      </c>
      <c r="O577" s="10" t="str">
        <f aca="false">IF($B577="","",IFERROR(INDEX(Drinks!$E$4:$E$53,MATCH($B577,Drinks!$A$4:$A$53,0)),0))</f>
        <v/>
      </c>
      <c r="P577" s="10" t="str">
        <f aca="false">IF($B577="","",$N577*$O577)</f>
        <v/>
      </c>
      <c r="Q577" s="10" t="str">
        <f aca="false">IF($B577="","",$N577*IFERROR(INDEX(Drinks!$D$4:$D$53,MATCH($B577,Drinks!$A$4:$A$53,0)),0))</f>
        <v/>
      </c>
      <c r="R577" s="10" t="str">
        <f aca="false">IF($B577="","",$P577-$Q577)</f>
        <v/>
      </c>
      <c r="S577" s="23" t="str">
        <f aca="false">IF($B577="","",IF(COUNTIFS($A$4:$A$2003,$A577-1,$B$4:$B$2003,$B577)=0,"first day",IF(SUMIFS($M$4:$M$2003,$A$4:$A$2003,$A577-1,$B$4:$B$2003,$B577)=$J577,"OK","CHECK")))</f>
        <v/>
      </c>
      <c r="T577" s="10" t="str">
        <f aca="false">IF($B577="","",IFERROR(INDEX(Drinks!$D$4:$D$53,MATCH($B577,Drinks!$A$4:$A$53,0)),0))</f>
        <v/>
      </c>
    </row>
    <row r="578" customFormat="false" ht="15" hidden="false" customHeight="false" outlineLevel="0" collapsed="false">
      <c r="A578" s="22"/>
      <c r="B578" s="9"/>
      <c r="C578" s="9"/>
      <c r="D578" s="9"/>
      <c r="E578" s="9"/>
      <c r="F578" s="10" t="str">
        <f aca="false">IF($B578="","",$C578+$D578-$E578)</f>
        <v/>
      </c>
      <c r="G578" s="10" t="str">
        <f aca="false">IF($B578="","",IFERROR(INDEX(Drinks!$C$4:$C$53,MATCH($B578,Drinks!$A$4:$A$53,0)),0))</f>
        <v/>
      </c>
      <c r="H578" s="10" t="str">
        <f aca="false">IF($B578="","",$D578*$G578)</f>
        <v/>
      </c>
      <c r="I578" s="10" t="str">
        <f aca="false">IF($B578="","",$F578*$G578)</f>
        <v/>
      </c>
      <c r="J578" s="9"/>
      <c r="K578" s="10" t="str">
        <f aca="false">IF($B578="","",$E578*IFERROR(INDEX(Drinks!$B$4:$B$53,MATCH($B578,Drinks!$A$4:$A$53,0)),0))</f>
        <v/>
      </c>
      <c r="L578" s="10" t="str">
        <f aca="false">IF($B578="","",$J578+$K578)</f>
        <v/>
      </c>
      <c r="M578" s="9"/>
      <c r="N578" s="10" t="str">
        <f aca="false">IF($B578="","",$L578-$M578)</f>
        <v/>
      </c>
      <c r="O578" s="10" t="str">
        <f aca="false">IF($B578="","",IFERROR(INDEX(Drinks!$E$4:$E$53,MATCH($B578,Drinks!$A$4:$A$53,0)),0))</f>
        <v/>
      </c>
      <c r="P578" s="10" t="str">
        <f aca="false">IF($B578="","",$N578*$O578)</f>
        <v/>
      </c>
      <c r="Q578" s="10" t="str">
        <f aca="false">IF($B578="","",$N578*IFERROR(INDEX(Drinks!$D$4:$D$53,MATCH($B578,Drinks!$A$4:$A$53,0)),0))</f>
        <v/>
      </c>
      <c r="R578" s="10" t="str">
        <f aca="false">IF($B578="","",$P578-$Q578)</f>
        <v/>
      </c>
      <c r="S578" s="23" t="str">
        <f aca="false">IF($B578="","",IF(COUNTIFS($A$4:$A$2003,$A578-1,$B$4:$B$2003,$B578)=0,"first day",IF(SUMIFS($M$4:$M$2003,$A$4:$A$2003,$A578-1,$B$4:$B$2003,$B578)=$J578,"OK","CHECK")))</f>
        <v/>
      </c>
      <c r="T578" s="10" t="str">
        <f aca="false">IF($B578="","",IFERROR(INDEX(Drinks!$D$4:$D$53,MATCH($B578,Drinks!$A$4:$A$53,0)),0))</f>
        <v/>
      </c>
    </row>
    <row r="579" customFormat="false" ht="15" hidden="false" customHeight="false" outlineLevel="0" collapsed="false">
      <c r="A579" s="22"/>
      <c r="B579" s="9"/>
      <c r="C579" s="9"/>
      <c r="D579" s="9"/>
      <c r="E579" s="9"/>
      <c r="F579" s="10" t="str">
        <f aca="false">IF($B579="","",$C579+$D579-$E579)</f>
        <v/>
      </c>
      <c r="G579" s="10" t="str">
        <f aca="false">IF($B579="","",IFERROR(INDEX(Drinks!$C$4:$C$53,MATCH($B579,Drinks!$A$4:$A$53,0)),0))</f>
        <v/>
      </c>
      <c r="H579" s="10" t="str">
        <f aca="false">IF($B579="","",$D579*$G579)</f>
        <v/>
      </c>
      <c r="I579" s="10" t="str">
        <f aca="false">IF($B579="","",$F579*$G579)</f>
        <v/>
      </c>
      <c r="J579" s="9"/>
      <c r="K579" s="10" t="str">
        <f aca="false">IF($B579="","",$E579*IFERROR(INDEX(Drinks!$B$4:$B$53,MATCH($B579,Drinks!$A$4:$A$53,0)),0))</f>
        <v/>
      </c>
      <c r="L579" s="10" t="str">
        <f aca="false">IF($B579="","",$J579+$K579)</f>
        <v/>
      </c>
      <c r="M579" s="9"/>
      <c r="N579" s="10" t="str">
        <f aca="false">IF($B579="","",$L579-$M579)</f>
        <v/>
      </c>
      <c r="O579" s="10" t="str">
        <f aca="false">IF($B579="","",IFERROR(INDEX(Drinks!$E$4:$E$53,MATCH($B579,Drinks!$A$4:$A$53,0)),0))</f>
        <v/>
      </c>
      <c r="P579" s="10" t="str">
        <f aca="false">IF($B579="","",$N579*$O579)</f>
        <v/>
      </c>
      <c r="Q579" s="10" t="str">
        <f aca="false">IF($B579="","",$N579*IFERROR(INDEX(Drinks!$D$4:$D$53,MATCH($B579,Drinks!$A$4:$A$53,0)),0))</f>
        <v/>
      </c>
      <c r="R579" s="10" t="str">
        <f aca="false">IF($B579="","",$P579-$Q579)</f>
        <v/>
      </c>
      <c r="S579" s="23" t="str">
        <f aca="false">IF($B579="","",IF(COUNTIFS($A$4:$A$2003,$A579-1,$B$4:$B$2003,$B579)=0,"first day",IF(SUMIFS($M$4:$M$2003,$A$4:$A$2003,$A579-1,$B$4:$B$2003,$B579)=$J579,"OK","CHECK")))</f>
        <v/>
      </c>
      <c r="T579" s="10" t="str">
        <f aca="false">IF($B579="","",IFERROR(INDEX(Drinks!$D$4:$D$53,MATCH($B579,Drinks!$A$4:$A$53,0)),0))</f>
        <v/>
      </c>
    </row>
    <row r="580" customFormat="false" ht="15" hidden="false" customHeight="false" outlineLevel="0" collapsed="false">
      <c r="A580" s="22"/>
      <c r="B580" s="9"/>
      <c r="C580" s="9"/>
      <c r="D580" s="9"/>
      <c r="E580" s="9"/>
      <c r="F580" s="10" t="str">
        <f aca="false">IF($B580="","",$C580+$D580-$E580)</f>
        <v/>
      </c>
      <c r="G580" s="10" t="str">
        <f aca="false">IF($B580="","",IFERROR(INDEX(Drinks!$C$4:$C$53,MATCH($B580,Drinks!$A$4:$A$53,0)),0))</f>
        <v/>
      </c>
      <c r="H580" s="10" t="str">
        <f aca="false">IF($B580="","",$D580*$G580)</f>
        <v/>
      </c>
      <c r="I580" s="10" t="str">
        <f aca="false">IF($B580="","",$F580*$G580)</f>
        <v/>
      </c>
      <c r="J580" s="9"/>
      <c r="K580" s="10" t="str">
        <f aca="false">IF($B580="","",$E580*IFERROR(INDEX(Drinks!$B$4:$B$53,MATCH($B580,Drinks!$A$4:$A$53,0)),0))</f>
        <v/>
      </c>
      <c r="L580" s="10" t="str">
        <f aca="false">IF($B580="","",$J580+$K580)</f>
        <v/>
      </c>
      <c r="M580" s="9"/>
      <c r="N580" s="10" t="str">
        <f aca="false">IF($B580="","",$L580-$M580)</f>
        <v/>
      </c>
      <c r="O580" s="10" t="str">
        <f aca="false">IF($B580="","",IFERROR(INDEX(Drinks!$E$4:$E$53,MATCH($B580,Drinks!$A$4:$A$53,0)),0))</f>
        <v/>
      </c>
      <c r="P580" s="10" t="str">
        <f aca="false">IF($B580="","",$N580*$O580)</f>
        <v/>
      </c>
      <c r="Q580" s="10" t="str">
        <f aca="false">IF($B580="","",$N580*IFERROR(INDEX(Drinks!$D$4:$D$53,MATCH($B580,Drinks!$A$4:$A$53,0)),0))</f>
        <v/>
      </c>
      <c r="R580" s="10" t="str">
        <f aca="false">IF($B580="","",$P580-$Q580)</f>
        <v/>
      </c>
      <c r="S580" s="23" t="str">
        <f aca="false">IF($B580="","",IF(COUNTIFS($A$4:$A$2003,$A580-1,$B$4:$B$2003,$B580)=0,"first day",IF(SUMIFS($M$4:$M$2003,$A$4:$A$2003,$A580-1,$B$4:$B$2003,$B580)=$J580,"OK","CHECK")))</f>
        <v/>
      </c>
      <c r="T580" s="10" t="str">
        <f aca="false">IF($B580="","",IFERROR(INDEX(Drinks!$D$4:$D$53,MATCH($B580,Drinks!$A$4:$A$53,0)),0))</f>
        <v/>
      </c>
    </row>
    <row r="581" customFormat="false" ht="15" hidden="false" customHeight="false" outlineLevel="0" collapsed="false">
      <c r="A581" s="22"/>
      <c r="B581" s="9"/>
      <c r="C581" s="9"/>
      <c r="D581" s="9"/>
      <c r="E581" s="9"/>
      <c r="F581" s="10" t="str">
        <f aca="false">IF($B581="","",$C581+$D581-$E581)</f>
        <v/>
      </c>
      <c r="G581" s="10" t="str">
        <f aca="false">IF($B581="","",IFERROR(INDEX(Drinks!$C$4:$C$53,MATCH($B581,Drinks!$A$4:$A$53,0)),0))</f>
        <v/>
      </c>
      <c r="H581" s="10" t="str">
        <f aca="false">IF($B581="","",$D581*$G581)</f>
        <v/>
      </c>
      <c r="I581" s="10" t="str">
        <f aca="false">IF($B581="","",$F581*$G581)</f>
        <v/>
      </c>
      <c r="J581" s="9"/>
      <c r="K581" s="10" t="str">
        <f aca="false">IF($B581="","",$E581*IFERROR(INDEX(Drinks!$B$4:$B$53,MATCH($B581,Drinks!$A$4:$A$53,0)),0))</f>
        <v/>
      </c>
      <c r="L581" s="10" t="str">
        <f aca="false">IF($B581="","",$J581+$K581)</f>
        <v/>
      </c>
      <c r="M581" s="9"/>
      <c r="N581" s="10" t="str">
        <f aca="false">IF($B581="","",$L581-$M581)</f>
        <v/>
      </c>
      <c r="O581" s="10" t="str">
        <f aca="false">IF($B581="","",IFERROR(INDEX(Drinks!$E$4:$E$53,MATCH($B581,Drinks!$A$4:$A$53,0)),0))</f>
        <v/>
      </c>
      <c r="P581" s="10" t="str">
        <f aca="false">IF($B581="","",$N581*$O581)</f>
        <v/>
      </c>
      <c r="Q581" s="10" t="str">
        <f aca="false">IF($B581="","",$N581*IFERROR(INDEX(Drinks!$D$4:$D$53,MATCH($B581,Drinks!$A$4:$A$53,0)),0))</f>
        <v/>
      </c>
      <c r="R581" s="10" t="str">
        <f aca="false">IF($B581="","",$P581-$Q581)</f>
        <v/>
      </c>
      <c r="S581" s="23" t="str">
        <f aca="false">IF($B581="","",IF(COUNTIFS($A$4:$A$2003,$A581-1,$B$4:$B$2003,$B581)=0,"first day",IF(SUMIFS($M$4:$M$2003,$A$4:$A$2003,$A581-1,$B$4:$B$2003,$B581)=$J581,"OK","CHECK")))</f>
        <v/>
      </c>
      <c r="T581" s="10" t="str">
        <f aca="false">IF($B581="","",IFERROR(INDEX(Drinks!$D$4:$D$53,MATCH($B581,Drinks!$A$4:$A$53,0)),0))</f>
        <v/>
      </c>
    </row>
    <row r="582" customFormat="false" ht="15" hidden="false" customHeight="false" outlineLevel="0" collapsed="false">
      <c r="A582" s="22"/>
      <c r="B582" s="9"/>
      <c r="C582" s="9"/>
      <c r="D582" s="9"/>
      <c r="E582" s="9"/>
      <c r="F582" s="10" t="str">
        <f aca="false">IF($B582="","",$C582+$D582-$E582)</f>
        <v/>
      </c>
      <c r="G582" s="10" t="str">
        <f aca="false">IF($B582="","",IFERROR(INDEX(Drinks!$C$4:$C$53,MATCH($B582,Drinks!$A$4:$A$53,0)),0))</f>
        <v/>
      </c>
      <c r="H582" s="10" t="str">
        <f aca="false">IF($B582="","",$D582*$G582)</f>
        <v/>
      </c>
      <c r="I582" s="10" t="str">
        <f aca="false">IF($B582="","",$F582*$G582)</f>
        <v/>
      </c>
      <c r="J582" s="9"/>
      <c r="K582" s="10" t="str">
        <f aca="false">IF($B582="","",$E582*IFERROR(INDEX(Drinks!$B$4:$B$53,MATCH($B582,Drinks!$A$4:$A$53,0)),0))</f>
        <v/>
      </c>
      <c r="L582" s="10" t="str">
        <f aca="false">IF($B582="","",$J582+$K582)</f>
        <v/>
      </c>
      <c r="M582" s="9"/>
      <c r="N582" s="10" t="str">
        <f aca="false">IF($B582="","",$L582-$M582)</f>
        <v/>
      </c>
      <c r="O582" s="10" t="str">
        <f aca="false">IF($B582="","",IFERROR(INDEX(Drinks!$E$4:$E$53,MATCH($B582,Drinks!$A$4:$A$53,0)),0))</f>
        <v/>
      </c>
      <c r="P582" s="10" t="str">
        <f aca="false">IF($B582="","",$N582*$O582)</f>
        <v/>
      </c>
      <c r="Q582" s="10" t="str">
        <f aca="false">IF($B582="","",$N582*IFERROR(INDEX(Drinks!$D$4:$D$53,MATCH($B582,Drinks!$A$4:$A$53,0)),0))</f>
        <v/>
      </c>
      <c r="R582" s="10" t="str">
        <f aca="false">IF($B582="","",$P582-$Q582)</f>
        <v/>
      </c>
      <c r="S582" s="23" t="str">
        <f aca="false">IF($B582="","",IF(COUNTIFS($A$4:$A$2003,$A582-1,$B$4:$B$2003,$B582)=0,"first day",IF(SUMIFS($M$4:$M$2003,$A$4:$A$2003,$A582-1,$B$4:$B$2003,$B582)=$J582,"OK","CHECK")))</f>
        <v/>
      </c>
      <c r="T582" s="10" t="str">
        <f aca="false">IF($B582="","",IFERROR(INDEX(Drinks!$D$4:$D$53,MATCH($B582,Drinks!$A$4:$A$53,0)),0))</f>
        <v/>
      </c>
    </row>
    <row r="583" customFormat="false" ht="15" hidden="false" customHeight="false" outlineLevel="0" collapsed="false">
      <c r="A583" s="22"/>
      <c r="B583" s="9"/>
      <c r="C583" s="9"/>
      <c r="D583" s="9"/>
      <c r="E583" s="9"/>
      <c r="F583" s="10" t="str">
        <f aca="false">IF($B583="","",$C583+$D583-$E583)</f>
        <v/>
      </c>
      <c r="G583" s="10" t="str">
        <f aca="false">IF($B583="","",IFERROR(INDEX(Drinks!$C$4:$C$53,MATCH($B583,Drinks!$A$4:$A$53,0)),0))</f>
        <v/>
      </c>
      <c r="H583" s="10" t="str">
        <f aca="false">IF($B583="","",$D583*$G583)</f>
        <v/>
      </c>
      <c r="I583" s="10" t="str">
        <f aca="false">IF($B583="","",$F583*$G583)</f>
        <v/>
      </c>
      <c r="J583" s="9"/>
      <c r="K583" s="10" t="str">
        <f aca="false">IF($B583="","",$E583*IFERROR(INDEX(Drinks!$B$4:$B$53,MATCH($B583,Drinks!$A$4:$A$53,0)),0))</f>
        <v/>
      </c>
      <c r="L583" s="10" t="str">
        <f aca="false">IF($B583="","",$J583+$K583)</f>
        <v/>
      </c>
      <c r="M583" s="9"/>
      <c r="N583" s="10" t="str">
        <f aca="false">IF($B583="","",$L583-$M583)</f>
        <v/>
      </c>
      <c r="O583" s="10" t="str">
        <f aca="false">IF($B583="","",IFERROR(INDEX(Drinks!$E$4:$E$53,MATCH($B583,Drinks!$A$4:$A$53,0)),0))</f>
        <v/>
      </c>
      <c r="P583" s="10" t="str">
        <f aca="false">IF($B583="","",$N583*$O583)</f>
        <v/>
      </c>
      <c r="Q583" s="10" t="str">
        <f aca="false">IF($B583="","",$N583*IFERROR(INDEX(Drinks!$D$4:$D$53,MATCH($B583,Drinks!$A$4:$A$53,0)),0))</f>
        <v/>
      </c>
      <c r="R583" s="10" t="str">
        <f aca="false">IF($B583="","",$P583-$Q583)</f>
        <v/>
      </c>
      <c r="S583" s="23" t="str">
        <f aca="false">IF($B583="","",IF(COUNTIFS($A$4:$A$2003,$A583-1,$B$4:$B$2003,$B583)=0,"first day",IF(SUMIFS($M$4:$M$2003,$A$4:$A$2003,$A583-1,$B$4:$B$2003,$B583)=$J583,"OK","CHECK")))</f>
        <v/>
      </c>
      <c r="T583" s="10" t="str">
        <f aca="false">IF($B583="","",IFERROR(INDEX(Drinks!$D$4:$D$53,MATCH($B583,Drinks!$A$4:$A$53,0)),0))</f>
        <v/>
      </c>
    </row>
    <row r="584" customFormat="false" ht="15" hidden="false" customHeight="false" outlineLevel="0" collapsed="false">
      <c r="A584" s="22"/>
      <c r="B584" s="9"/>
      <c r="C584" s="9"/>
      <c r="D584" s="9"/>
      <c r="E584" s="9"/>
      <c r="F584" s="10" t="str">
        <f aca="false">IF($B584="","",$C584+$D584-$E584)</f>
        <v/>
      </c>
      <c r="G584" s="10" t="str">
        <f aca="false">IF($B584="","",IFERROR(INDEX(Drinks!$C$4:$C$53,MATCH($B584,Drinks!$A$4:$A$53,0)),0))</f>
        <v/>
      </c>
      <c r="H584" s="10" t="str">
        <f aca="false">IF($B584="","",$D584*$G584)</f>
        <v/>
      </c>
      <c r="I584" s="10" t="str">
        <f aca="false">IF($B584="","",$F584*$G584)</f>
        <v/>
      </c>
      <c r="J584" s="9"/>
      <c r="K584" s="10" t="str">
        <f aca="false">IF($B584="","",$E584*IFERROR(INDEX(Drinks!$B$4:$B$53,MATCH($B584,Drinks!$A$4:$A$53,0)),0))</f>
        <v/>
      </c>
      <c r="L584" s="10" t="str">
        <f aca="false">IF($B584="","",$J584+$K584)</f>
        <v/>
      </c>
      <c r="M584" s="9"/>
      <c r="N584" s="10" t="str">
        <f aca="false">IF($B584="","",$L584-$M584)</f>
        <v/>
      </c>
      <c r="O584" s="10" t="str">
        <f aca="false">IF($B584="","",IFERROR(INDEX(Drinks!$E$4:$E$53,MATCH($B584,Drinks!$A$4:$A$53,0)),0))</f>
        <v/>
      </c>
      <c r="P584" s="10" t="str">
        <f aca="false">IF($B584="","",$N584*$O584)</f>
        <v/>
      </c>
      <c r="Q584" s="10" t="str">
        <f aca="false">IF($B584="","",$N584*IFERROR(INDEX(Drinks!$D$4:$D$53,MATCH($B584,Drinks!$A$4:$A$53,0)),0))</f>
        <v/>
      </c>
      <c r="R584" s="10" t="str">
        <f aca="false">IF($B584="","",$P584-$Q584)</f>
        <v/>
      </c>
      <c r="S584" s="23" t="str">
        <f aca="false">IF($B584="","",IF(COUNTIFS($A$4:$A$2003,$A584-1,$B$4:$B$2003,$B584)=0,"first day",IF(SUMIFS($M$4:$M$2003,$A$4:$A$2003,$A584-1,$B$4:$B$2003,$B584)=$J584,"OK","CHECK")))</f>
        <v/>
      </c>
      <c r="T584" s="10" t="str">
        <f aca="false">IF($B584="","",IFERROR(INDEX(Drinks!$D$4:$D$53,MATCH($B584,Drinks!$A$4:$A$53,0)),0))</f>
        <v/>
      </c>
    </row>
    <row r="585" customFormat="false" ht="15" hidden="false" customHeight="false" outlineLevel="0" collapsed="false">
      <c r="A585" s="22"/>
      <c r="B585" s="9"/>
      <c r="C585" s="9"/>
      <c r="D585" s="9"/>
      <c r="E585" s="9"/>
      <c r="F585" s="10" t="str">
        <f aca="false">IF($B585="","",$C585+$D585-$E585)</f>
        <v/>
      </c>
      <c r="G585" s="10" t="str">
        <f aca="false">IF($B585="","",IFERROR(INDEX(Drinks!$C$4:$C$53,MATCH($B585,Drinks!$A$4:$A$53,0)),0))</f>
        <v/>
      </c>
      <c r="H585" s="10" t="str">
        <f aca="false">IF($B585="","",$D585*$G585)</f>
        <v/>
      </c>
      <c r="I585" s="10" t="str">
        <f aca="false">IF($B585="","",$F585*$G585)</f>
        <v/>
      </c>
      <c r="J585" s="9"/>
      <c r="K585" s="10" t="str">
        <f aca="false">IF($B585="","",$E585*IFERROR(INDEX(Drinks!$B$4:$B$53,MATCH($B585,Drinks!$A$4:$A$53,0)),0))</f>
        <v/>
      </c>
      <c r="L585" s="10" t="str">
        <f aca="false">IF($B585="","",$J585+$K585)</f>
        <v/>
      </c>
      <c r="M585" s="9"/>
      <c r="N585" s="10" t="str">
        <f aca="false">IF($B585="","",$L585-$M585)</f>
        <v/>
      </c>
      <c r="O585" s="10" t="str">
        <f aca="false">IF($B585="","",IFERROR(INDEX(Drinks!$E$4:$E$53,MATCH($B585,Drinks!$A$4:$A$53,0)),0))</f>
        <v/>
      </c>
      <c r="P585" s="10" t="str">
        <f aca="false">IF($B585="","",$N585*$O585)</f>
        <v/>
      </c>
      <c r="Q585" s="10" t="str">
        <f aca="false">IF($B585="","",$N585*IFERROR(INDEX(Drinks!$D$4:$D$53,MATCH($B585,Drinks!$A$4:$A$53,0)),0))</f>
        <v/>
      </c>
      <c r="R585" s="10" t="str">
        <f aca="false">IF($B585="","",$P585-$Q585)</f>
        <v/>
      </c>
      <c r="S585" s="23" t="str">
        <f aca="false">IF($B585="","",IF(COUNTIFS($A$4:$A$2003,$A585-1,$B$4:$B$2003,$B585)=0,"first day",IF(SUMIFS($M$4:$M$2003,$A$4:$A$2003,$A585-1,$B$4:$B$2003,$B585)=$J585,"OK","CHECK")))</f>
        <v/>
      </c>
      <c r="T585" s="10" t="str">
        <f aca="false">IF($B585="","",IFERROR(INDEX(Drinks!$D$4:$D$53,MATCH($B585,Drinks!$A$4:$A$53,0)),0))</f>
        <v/>
      </c>
    </row>
    <row r="586" customFormat="false" ht="15" hidden="false" customHeight="false" outlineLevel="0" collapsed="false">
      <c r="A586" s="22"/>
      <c r="B586" s="9"/>
      <c r="C586" s="9"/>
      <c r="D586" s="9"/>
      <c r="E586" s="9"/>
      <c r="F586" s="10" t="str">
        <f aca="false">IF($B586="","",$C586+$D586-$E586)</f>
        <v/>
      </c>
      <c r="G586" s="10" t="str">
        <f aca="false">IF($B586="","",IFERROR(INDEX(Drinks!$C$4:$C$53,MATCH($B586,Drinks!$A$4:$A$53,0)),0))</f>
        <v/>
      </c>
      <c r="H586" s="10" t="str">
        <f aca="false">IF($B586="","",$D586*$G586)</f>
        <v/>
      </c>
      <c r="I586" s="10" t="str">
        <f aca="false">IF($B586="","",$F586*$G586)</f>
        <v/>
      </c>
      <c r="J586" s="9"/>
      <c r="K586" s="10" t="str">
        <f aca="false">IF($B586="","",$E586*IFERROR(INDEX(Drinks!$B$4:$B$53,MATCH($B586,Drinks!$A$4:$A$53,0)),0))</f>
        <v/>
      </c>
      <c r="L586" s="10" t="str">
        <f aca="false">IF($B586="","",$J586+$K586)</f>
        <v/>
      </c>
      <c r="M586" s="9"/>
      <c r="N586" s="10" t="str">
        <f aca="false">IF($B586="","",$L586-$M586)</f>
        <v/>
      </c>
      <c r="O586" s="10" t="str">
        <f aca="false">IF($B586="","",IFERROR(INDEX(Drinks!$E$4:$E$53,MATCH($B586,Drinks!$A$4:$A$53,0)),0))</f>
        <v/>
      </c>
      <c r="P586" s="10" t="str">
        <f aca="false">IF($B586="","",$N586*$O586)</f>
        <v/>
      </c>
      <c r="Q586" s="10" t="str">
        <f aca="false">IF($B586="","",$N586*IFERROR(INDEX(Drinks!$D$4:$D$53,MATCH($B586,Drinks!$A$4:$A$53,0)),0))</f>
        <v/>
      </c>
      <c r="R586" s="10" t="str">
        <f aca="false">IF($B586="","",$P586-$Q586)</f>
        <v/>
      </c>
      <c r="S586" s="23" t="str">
        <f aca="false">IF($B586="","",IF(COUNTIFS($A$4:$A$2003,$A586-1,$B$4:$B$2003,$B586)=0,"first day",IF(SUMIFS($M$4:$M$2003,$A$4:$A$2003,$A586-1,$B$4:$B$2003,$B586)=$J586,"OK","CHECK")))</f>
        <v/>
      </c>
      <c r="T586" s="10" t="str">
        <f aca="false">IF($B586="","",IFERROR(INDEX(Drinks!$D$4:$D$53,MATCH($B586,Drinks!$A$4:$A$53,0)),0))</f>
        <v/>
      </c>
    </row>
    <row r="587" customFormat="false" ht="15" hidden="false" customHeight="false" outlineLevel="0" collapsed="false">
      <c r="A587" s="22"/>
      <c r="B587" s="9"/>
      <c r="C587" s="9"/>
      <c r="D587" s="9"/>
      <c r="E587" s="9"/>
      <c r="F587" s="10" t="str">
        <f aca="false">IF($B587="","",$C587+$D587-$E587)</f>
        <v/>
      </c>
      <c r="G587" s="10" t="str">
        <f aca="false">IF($B587="","",IFERROR(INDEX(Drinks!$C$4:$C$53,MATCH($B587,Drinks!$A$4:$A$53,0)),0))</f>
        <v/>
      </c>
      <c r="H587" s="10" t="str">
        <f aca="false">IF($B587="","",$D587*$G587)</f>
        <v/>
      </c>
      <c r="I587" s="10" t="str">
        <f aca="false">IF($B587="","",$F587*$G587)</f>
        <v/>
      </c>
      <c r="J587" s="9"/>
      <c r="K587" s="10" t="str">
        <f aca="false">IF($B587="","",$E587*IFERROR(INDEX(Drinks!$B$4:$B$53,MATCH($B587,Drinks!$A$4:$A$53,0)),0))</f>
        <v/>
      </c>
      <c r="L587" s="10" t="str">
        <f aca="false">IF($B587="","",$J587+$K587)</f>
        <v/>
      </c>
      <c r="M587" s="9"/>
      <c r="N587" s="10" t="str">
        <f aca="false">IF($B587="","",$L587-$M587)</f>
        <v/>
      </c>
      <c r="O587" s="10" t="str">
        <f aca="false">IF($B587="","",IFERROR(INDEX(Drinks!$E$4:$E$53,MATCH($B587,Drinks!$A$4:$A$53,0)),0))</f>
        <v/>
      </c>
      <c r="P587" s="10" t="str">
        <f aca="false">IF($B587="","",$N587*$O587)</f>
        <v/>
      </c>
      <c r="Q587" s="10" t="str">
        <f aca="false">IF($B587="","",$N587*IFERROR(INDEX(Drinks!$D$4:$D$53,MATCH($B587,Drinks!$A$4:$A$53,0)),0))</f>
        <v/>
      </c>
      <c r="R587" s="10" t="str">
        <f aca="false">IF($B587="","",$P587-$Q587)</f>
        <v/>
      </c>
      <c r="S587" s="23" t="str">
        <f aca="false">IF($B587="","",IF(COUNTIFS($A$4:$A$2003,$A587-1,$B$4:$B$2003,$B587)=0,"first day",IF(SUMIFS($M$4:$M$2003,$A$4:$A$2003,$A587-1,$B$4:$B$2003,$B587)=$J587,"OK","CHECK")))</f>
        <v/>
      </c>
      <c r="T587" s="10" t="str">
        <f aca="false">IF($B587="","",IFERROR(INDEX(Drinks!$D$4:$D$53,MATCH($B587,Drinks!$A$4:$A$53,0)),0))</f>
        <v/>
      </c>
    </row>
    <row r="588" customFormat="false" ht="15" hidden="false" customHeight="false" outlineLevel="0" collapsed="false">
      <c r="A588" s="22"/>
      <c r="B588" s="9"/>
      <c r="C588" s="9"/>
      <c r="D588" s="9"/>
      <c r="E588" s="9"/>
      <c r="F588" s="10" t="str">
        <f aca="false">IF($B588="","",$C588+$D588-$E588)</f>
        <v/>
      </c>
      <c r="G588" s="10" t="str">
        <f aca="false">IF($B588="","",IFERROR(INDEX(Drinks!$C$4:$C$53,MATCH($B588,Drinks!$A$4:$A$53,0)),0))</f>
        <v/>
      </c>
      <c r="H588" s="10" t="str">
        <f aca="false">IF($B588="","",$D588*$G588)</f>
        <v/>
      </c>
      <c r="I588" s="10" t="str">
        <f aca="false">IF($B588="","",$F588*$G588)</f>
        <v/>
      </c>
      <c r="J588" s="9"/>
      <c r="K588" s="10" t="str">
        <f aca="false">IF($B588="","",$E588*IFERROR(INDEX(Drinks!$B$4:$B$53,MATCH($B588,Drinks!$A$4:$A$53,0)),0))</f>
        <v/>
      </c>
      <c r="L588" s="10" t="str">
        <f aca="false">IF($B588="","",$J588+$K588)</f>
        <v/>
      </c>
      <c r="M588" s="9"/>
      <c r="N588" s="10" t="str">
        <f aca="false">IF($B588="","",$L588-$M588)</f>
        <v/>
      </c>
      <c r="O588" s="10" t="str">
        <f aca="false">IF($B588="","",IFERROR(INDEX(Drinks!$E$4:$E$53,MATCH($B588,Drinks!$A$4:$A$53,0)),0))</f>
        <v/>
      </c>
      <c r="P588" s="10" t="str">
        <f aca="false">IF($B588="","",$N588*$O588)</f>
        <v/>
      </c>
      <c r="Q588" s="10" t="str">
        <f aca="false">IF($B588="","",$N588*IFERROR(INDEX(Drinks!$D$4:$D$53,MATCH($B588,Drinks!$A$4:$A$53,0)),0))</f>
        <v/>
      </c>
      <c r="R588" s="10" t="str">
        <f aca="false">IF($B588="","",$P588-$Q588)</f>
        <v/>
      </c>
      <c r="S588" s="23" t="str">
        <f aca="false">IF($B588="","",IF(COUNTIFS($A$4:$A$2003,$A588-1,$B$4:$B$2003,$B588)=0,"first day",IF(SUMIFS($M$4:$M$2003,$A$4:$A$2003,$A588-1,$B$4:$B$2003,$B588)=$J588,"OK","CHECK")))</f>
        <v/>
      </c>
      <c r="T588" s="10" t="str">
        <f aca="false">IF($B588="","",IFERROR(INDEX(Drinks!$D$4:$D$53,MATCH($B588,Drinks!$A$4:$A$53,0)),0))</f>
        <v/>
      </c>
    </row>
    <row r="589" customFormat="false" ht="15" hidden="false" customHeight="false" outlineLevel="0" collapsed="false">
      <c r="A589" s="22"/>
      <c r="B589" s="9"/>
      <c r="C589" s="9"/>
      <c r="D589" s="9"/>
      <c r="E589" s="9"/>
      <c r="F589" s="10" t="str">
        <f aca="false">IF($B589="","",$C589+$D589-$E589)</f>
        <v/>
      </c>
      <c r="G589" s="10" t="str">
        <f aca="false">IF($B589="","",IFERROR(INDEX(Drinks!$C$4:$C$53,MATCH($B589,Drinks!$A$4:$A$53,0)),0))</f>
        <v/>
      </c>
      <c r="H589" s="10" t="str">
        <f aca="false">IF($B589="","",$D589*$G589)</f>
        <v/>
      </c>
      <c r="I589" s="10" t="str">
        <f aca="false">IF($B589="","",$F589*$G589)</f>
        <v/>
      </c>
      <c r="J589" s="9"/>
      <c r="K589" s="10" t="str">
        <f aca="false">IF($B589="","",$E589*IFERROR(INDEX(Drinks!$B$4:$B$53,MATCH($B589,Drinks!$A$4:$A$53,0)),0))</f>
        <v/>
      </c>
      <c r="L589" s="10" t="str">
        <f aca="false">IF($B589="","",$J589+$K589)</f>
        <v/>
      </c>
      <c r="M589" s="9"/>
      <c r="N589" s="10" t="str">
        <f aca="false">IF($B589="","",$L589-$M589)</f>
        <v/>
      </c>
      <c r="O589" s="10" t="str">
        <f aca="false">IF($B589="","",IFERROR(INDEX(Drinks!$E$4:$E$53,MATCH($B589,Drinks!$A$4:$A$53,0)),0))</f>
        <v/>
      </c>
      <c r="P589" s="10" t="str">
        <f aca="false">IF($B589="","",$N589*$O589)</f>
        <v/>
      </c>
      <c r="Q589" s="10" t="str">
        <f aca="false">IF($B589="","",$N589*IFERROR(INDEX(Drinks!$D$4:$D$53,MATCH($B589,Drinks!$A$4:$A$53,0)),0))</f>
        <v/>
      </c>
      <c r="R589" s="10" t="str">
        <f aca="false">IF($B589="","",$P589-$Q589)</f>
        <v/>
      </c>
      <c r="S589" s="23" t="str">
        <f aca="false">IF($B589="","",IF(COUNTIFS($A$4:$A$2003,$A589-1,$B$4:$B$2003,$B589)=0,"first day",IF(SUMIFS($M$4:$M$2003,$A$4:$A$2003,$A589-1,$B$4:$B$2003,$B589)=$J589,"OK","CHECK")))</f>
        <v/>
      </c>
      <c r="T589" s="10" t="str">
        <f aca="false">IF($B589="","",IFERROR(INDEX(Drinks!$D$4:$D$53,MATCH($B589,Drinks!$A$4:$A$53,0)),0))</f>
        <v/>
      </c>
    </row>
    <row r="590" customFormat="false" ht="15" hidden="false" customHeight="false" outlineLevel="0" collapsed="false">
      <c r="A590" s="22"/>
      <c r="B590" s="9"/>
      <c r="C590" s="9"/>
      <c r="D590" s="9"/>
      <c r="E590" s="9"/>
      <c r="F590" s="10" t="str">
        <f aca="false">IF($B590="","",$C590+$D590-$E590)</f>
        <v/>
      </c>
      <c r="G590" s="10" t="str">
        <f aca="false">IF($B590="","",IFERROR(INDEX(Drinks!$C$4:$C$53,MATCH($B590,Drinks!$A$4:$A$53,0)),0))</f>
        <v/>
      </c>
      <c r="H590" s="10" t="str">
        <f aca="false">IF($B590="","",$D590*$G590)</f>
        <v/>
      </c>
      <c r="I590" s="10" t="str">
        <f aca="false">IF($B590="","",$F590*$G590)</f>
        <v/>
      </c>
      <c r="J590" s="9"/>
      <c r="K590" s="10" t="str">
        <f aca="false">IF($B590="","",$E590*IFERROR(INDEX(Drinks!$B$4:$B$53,MATCH($B590,Drinks!$A$4:$A$53,0)),0))</f>
        <v/>
      </c>
      <c r="L590" s="10" t="str">
        <f aca="false">IF($B590="","",$J590+$K590)</f>
        <v/>
      </c>
      <c r="M590" s="9"/>
      <c r="N590" s="10" t="str">
        <f aca="false">IF($B590="","",$L590-$M590)</f>
        <v/>
      </c>
      <c r="O590" s="10" t="str">
        <f aca="false">IF($B590="","",IFERROR(INDEX(Drinks!$E$4:$E$53,MATCH($B590,Drinks!$A$4:$A$53,0)),0))</f>
        <v/>
      </c>
      <c r="P590" s="10" t="str">
        <f aca="false">IF($B590="","",$N590*$O590)</f>
        <v/>
      </c>
      <c r="Q590" s="10" t="str">
        <f aca="false">IF($B590="","",$N590*IFERROR(INDEX(Drinks!$D$4:$D$53,MATCH($B590,Drinks!$A$4:$A$53,0)),0))</f>
        <v/>
      </c>
      <c r="R590" s="10" t="str">
        <f aca="false">IF($B590="","",$P590-$Q590)</f>
        <v/>
      </c>
      <c r="S590" s="23" t="str">
        <f aca="false">IF($B590="","",IF(COUNTIFS($A$4:$A$2003,$A590-1,$B$4:$B$2003,$B590)=0,"first day",IF(SUMIFS($M$4:$M$2003,$A$4:$A$2003,$A590-1,$B$4:$B$2003,$B590)=$J590,"OK","CHECK")))</f>
        <v/>
      </c>
      <c r="T590" s="10" t="str">
        <f aca="false">IF($B590="","",IFERROR(INDEX(Drinks!$D$4:$D$53,MATCH($B590,Drinks!$A$4:$A$53,0)),0))</f>
        <v/>
      </c>
    </row>
    <row r="591" customFormat="false" ht="15" hidden="false" customHeight="false" outlineLevel="0" collapsed="false">
      <c r="A591" s="22"/>
      <c r="B591" s="9"/>
      <c r="C591" s="9"/>
      <c r="D591" s="9"/>
      <c r="E591" s="9"/>
      <c r="F591" s="10" t="str">
        <f aca="false">IF($B591="","",$C591+$D591-$E591)</f>
        <v/>
      </c>
      <c r="G591" s="10" t="str">
        <f aca="false">IF($B591="","",IFERROR(INDEX(Drinks!$C$4:$C$53,MATCH($B591,Drinks!$A$4:$A$53,0)),0))</f>
        <v/>
      </c>
      <c r="H591" s="10" t="str">
        <f aca="false">IF($B591="","",$D591*$G591)</f>
        <v/>
      </c>
      <c r="I591" s="10" t="str">
        <f aca="false">IF($B591="","",$F591*$G591)</f>
        <v/>
      </c>
      <c r="J591" s="9"/>
      <c r="K591" s="10" t="str">
        <f aca="false">IF($B591="","",$E591*IFERROR(INDEX(Drinks!$B$4:$B$53,MATCH($B591,Drinks!$A$4:$A$53,0)),0))</f>
        <v/>
      </c>
      <c r="L591" s="10" t="str">
        <f aca="false">IF($B591="","",$J591+$K591)</f>
        <v/>
      </c>
      <c r="M591" s="9"/>
      <c r="N591" s="10" t="str">
        <f aca="false">IF($B591="","",$L591-$M591)</f>
        <v/>
      </c>
      <c r="O591" s="10" t="str">
        <f aca="false">IF($B591="","",IFERROR(INDEX(Drinks!$E$4:$E$53,MATCH($B591,Drinks!$A$4:$A$53,0)),0))</f>
        <v/>
      </c>
      <c r="P591" s="10" t="str">
        <f aca="false">IF($B591="","",$N591*$O591)</f>
        <v/>
      </c>
      <c r="Q591" s="10" t="str">
        <f aca="false">IF($B591="","",$N591*IFERROR(INDEX(Drinks!$D$4:$D$53,MATCH($B591,Drinks!$A$4:$A$53,0)),0))</f>
        <v/>
      </c>
      <c r="R591" s="10" t="str">
        <f aca="false">IF($B591="","",$P591-$Q591)</f>
        <v/>
      </c>
      <c r="S591" s="23" t="str">
        <f aca="false">IF($B591="","",IF(COUNTIFS($A$4:$A$2003,$A591-1,$B$4:$B$2003,$B591)=0,"first day",IF(SUMIFS($M$4:$M$2003,$A$4:$A$2003,$A591-1,$B$4:$B$2003,$B591)=$J591,"OK","CHECK")))</f>
        <v/>
      </c>
      <c r="T591" s="10" t="str">
        <f aca="false">IF($B591="","",IFERROR(INDEX(Drinks!$D$4:$D$53,MATCH($B591,Drinks!$A$4:$A$53,0)),0))</f>
        <v/>
      </c>
    </row>
    <row r="592" customFormat="false" ht="15" hidden="false" customHeight="false" outlineLevel="0" collapsed="false">
      <c r="A592" s="22"/>
      <c r="B592" s="9"/>
      <c r="C592" s="9"/>
      <c r="D592" s="9"/>
      <c r="E592" s="9"/>
      <c r="F592" s="10" t="str">
        <f aca="false">IF($B592="","",$C592+$D592-$E592)</f>
        <v/>
      </c>
      <c r="G592" s="10" t="str">
        <f aca="false">IF($B592="","",IFERROR(INDEX(Drinks!$C$4:$C$53,MATCH($B592,Drinks!$A$4:$A$53,0)),0))</f>
        <v/>
      </c>
      <c r="H592" s="10" t="str">
        <f aca="false">IF($B592="","",$D592*$G592)</f>
        <v/>
      </c>
      <c r="I592" s="10" t="str">
        <f aca="false">IF($B592="","",$F592*$G592)</f>
        <v/>
      </c>
      <c r="J592" s="9"/>
      <c r="K592" s="10" t="str">
        <f aca="false">IF($B592="","",$E592*IFERROR(INDEX(Drinks!$B$4:$B$53,MATCH($B592,Drinks!$A$4:$A$53,0)),0))</f>
        <v/>
      </c>
      <c r="L592" s="10" t="str">
        <f aca="false">IF($B592="","",$J592+$K592)</f>
        <v/>
      </c>
      <c r="M592" s="9"/>
      <c r="N592" s="10" t="str">
        <f aca="false">IF($B592="","",$L592-$M592)</f>
        <v/>
      </c>
      <c r="O592" s="10" t="str">
        <f aca="false">IF($B592="","",IFERROR(INDEX(Drinks!$E$4:$E$53,MATCH($B592,Drinks!$A$4:$A$53,0)),0))</f>
        <v/>
      </c>
      <c r="P592" s="10" t="str">
        <f aca="false">IF($B592="","",$N592*$O592)</f>
        <v/>
      </c>
      <c r="Q592" s="10" t="str">
        <f aca="false">IF($B592="","",$N592*IFERROR(INDEX(Drinks!$D$4:$D$53,MATCH($B592,Drinks!$A$4:$A$53,0)),0))</f>
        <v/>
      </c>
      <c r="R592" s="10" t="str">
        <f aca="false">IF($B592="","",$P592-$Q592)</f>
        <v/>
      </c>
      <c r="S592" s="23" t="str">
        <f aca="false">IF($B592="","",IF(COUNTIFS($A$4:$A$2003,$A592-1,$B$4:$B$2003,$B592)=0,"first day",IF(SUMIFS($M$4:$M$2003,$A$4:$A$2003,$A592-1,$B$4:$B$2003,$B592)=$J592,"OK","CHECK")))</f>
        <v/>
      </c>
      <c r="T592" s="10" t="str">
        <f aca="false">IF($B592="","",IFERROR(INDEX(Drinks!$D$4:$D$53,MATCH($B592,Drinks!$A$4:$A$53,0)),0))</f>
        <v/>
      </c>
    </row>
    <row r="593" customFormat="false" ht="15" hidden="false" customHeight="false" outlineLevel="0" collapsed="false">
      <c r="A593" s="22"/>
      <c r="B593" s="9"/>
      <c r="C593" s="9"/>
      <c r="D593" s="9"/>
      <c r="E593" s="9"/>
      <c r="F593" s="10" t="str">
        <f aca="false">IF($B593="","",$C593+$D593-$E593)</f>
        <v/>
      </c>
      <c r="G593" s="10" t="str">
        <f aca="false">IF($B593="","",IFERROR(INDEX(Drinks!$C$4:$C$53,MATCH($B593,Drinks!$A$4:$A$53,0)),0))</f>
        <v/>
      </c>
      <c r="H593" s="10" t="str">
        <f aca="false">IF($B593="","",$D593*$G593)</f>
        <v/>
      </c>
      <c r="I593" s="10" t="str">
        <f aca="false">IF($B593="","",$F593*$G593)</f>
        <v/>
      </c>
      <c r="J593" s="9"/>
      <c r="K593" s="10" t="str">
        <f aca="false">IF($B593="","",$E593*IFERROR(INDEX(Drinks!$B$4:$B$53,MATCH($B593,Drinks!$A$4:$A$53,0)),0))</f>
        <v/>
      </c>
      <c r="L593" s="10" t="str">
        <f aca="false">IF($B593="","",$J593+$K593)</f>
        <v/>
      </c>
      <c r="M593" s="9"/>
      <c r="N593" s="10" t="str">
        <f aca="false">IF($B593="","",$L593-$M593)</f>
        <v/>
      </c>
      <c r="O593" s="10" t="str">
        <f aca="false">IF($B593="","",IFERROR(INDEX(Drinks!$E$4:$E$53,MATCH($B593,Drinks!$A$4:$A$53,0)),0))</f>
        <v/>
      </c>
      <c r="P593" s="10" t="str">
        <f aca="false">IF($B593="","",$N593*$O593)</f>
        <v/>
      </c>
      <c r="Q593" s="10" t="str">
        <f aca="false">IF($B593="","",$N593*IFERROR(INDEX(Drinks!$D$4:$D$53,MATCH($B593,Drinks!$A$4:$A$53,0)),0))</f>
        <v/>
      </c>
      <c r="R593" s="10" t="str">
        <f aca="false">IF($B593="","",$P593-$Q593)</f>
        <v/>
      </c>
      <c r="S593" s="23" t="str">
        <f aca="false">IF($B593="","",IF(COUNTIFS($A$4:$A$2003,$A593-1,$B$4:$B$2003,$B593)=0,"first day",IF(SUMIFS($M$4:$M$2003,$A$4:$A$2003,$A593-1,$B$4:$B$2003,$B593)=$J593,"OK","CHECK")))</f>
        <v/>
      </c>
      <c r="T593" s="10" t="str">
        <f aca="false">IF($B593="","",IFERROR(INDEX(Drinks!$D$4:$D$53,MATCH($B593,Drinks!$A$4:$A$53,0)),0))</f>
        <v/>
      </c>
    </row>
    <row r="594" customFormat="false" ht="15" hidden="false" customHeight="false" outlineLevel="0" collapsed="false">
      <c r="A594" s="22"/>
      <c r="B594" s="9"/>
      <c r="C594" s="9"/>
      <c r="D594" s="9"/>
      <c r="E594" s="9"/>
      <c r="F594" s="10" t="str">
        <f aca="false">IF($B594="","",$C594+$D594-$E594)</f>
        <v/>
      </c>
      <c r="G594" s="10" t="str">
        <f aca="false">IF($B594="","",IFERROR(INDEX(Drinks!$C$4:$C$53,MATCH($B594,Drinks!$A$4:$A$53,0)),0))</f>
        <v/>
      </c>
      <c r="H594" s="10" t="str">
        <f aca="false">IF($B594="","",$D594*$G594)</f>
        <v/>
      </c>
      <c r="I594" s="10" t="str">
        <f aca="false">IF($B594="","",$F594*$G594)</f>
        <v/>
      </c>
      <c r="J594" s="9"/>
      <c r="K594" s="10" t="str">
        <f aca="false">IF($B594="","",$E594*IFERROR(INDEX(Drinks!$B$4:$B$53,MATCH($B594,Drinks!$A$4:$A$53,0)),0))</f>
        <v/>
      </c>
      <c r="L594" s="10" t="str">
        <f aca="false">IF($B594="","",$J594+$K594)</f>
        <v/>
      </c>
      <c r="M594" s="9"/>
      <c r="N594" s="10" t="str">
        <f aca="false">IF($B594="","",$L594-$M594)</f>
        <v/>
      </c>
      <c r="O594" s="10" t="str">
        <f aca="false">IF($B594="","",IFERROR(INDEX(Drinks!$E$4:$E$53,MATCH($B594,Drinks!$A$4:$A$53,0)),0))</f>
        <v/>
      </c>
      <c r="P594" s="10" t="str">
        <f aca="false">IF($B594="","",$N594*$O594)</f>
        <v/>
      </c>
      <c r="Q594" s="10" t="str">
        <f aca="false">IF($B594="","",$N594*IFERROR(INDEX(Drinks!$D$4:$D$53,MATCH($B594,Drinks!$A$4:$A$53,0)),0))</f>
        <v/>
      </c>
      <c r="R594" s="10" t="str">
        <f aca="false">IF($B594="","",$P594-$Q594)</f>
        <v/>
      </c>
      <c r="S594" s="23" t="str">
        <f aca="false">IF($B594="","",IF(COUNTIFS($A$4:$A$2003,$A594-1,$B$4:$B$2003,$B594)=0,"first day",IF(SUMIFS($M$4:$M$2003,$A$4:$A$2003,$A594-1,$B$4:$B$2003,$B594)=$J594,"OK","CHECK")))</f>
        <v/>
      </c>
      <c r="T594" s="10" t="str">
        <f aca="false">IF($B594="","",IFERROR(INDEX(Drinks!$D$4:$D$53,MATCH($B594,Drinks!$A$4:$A$53,0)),0))</f>
        <v/>
      </c>
    </row>
    <row r="595" customFormat="false" ht="15" hidden="false" customHeight="false" outlineLevel="0" collapsed="false">
      <c r="A595" s="22"/>
      <c r="B595" s="9"/>
      <c r="C595" s="9"/>
      <c r="D595" s="9"/>
      <c r="E595" s="9"/>
      <c r="F595" s="10" t="str">
        <f aca="false">IF($B595="","",$C595+$D595-$E595)</f>
        <v/>
      </c>
      <c r="G595" s="10" t="str">
        <f aca="false">IF($B595="","",IFERROR(INDEX(Drinks!$C$4:$C$53,MATCH($B595,Drinks!$A$4:$A$53,0)),0))</f>
        <v/>
      </c>
      <c r="H595" s="10" t="str">
        <f aca="false">IF($B595="","",$D595*$G595)</f>
        <v/>
      </c>
      <c r="I595" s="10" t="str">
        <f aca="false">IF($B595="","",$F595*$G595)</f>
        <v/>
      </c>
      <c r="J595" s="9"/>
      <c r="K595" s="10" t="str">
        <f aca="false">IF($B595="","",$E595*IFERROR(INDEX(Drinks!$B$4:$B$53,MATCH($B595,Drinks!$A$4:$A$53,0)),0))</f>
        <v/>
      </c>
      <c r="L595" s="10" t="str">
        <f aca="false">IF($B595="","",$J595+$K595)</f>
        <v/>
      </c>
      <c r="M595" s="9"/>
      <c r="N595" s="10" t="str">
        <f aca="false">IF($B595="","",$L595-$M595)</f>
        <v/>
      </c>
      <c r="O595" s="10" t="str">
        <f aca="false">IF($B595="","",IFERROR(INDEX(Drinks!$E$4:$E$53,MATCH($B595,Drinks!$A$4:$A$53,0)),0))</f>
        <v/>
      </c>
      <c r="P595" s="10" t="str">
        <f aca="false">IF($B595="","",$N595*$O595)</f>
        <v/>
      </c>
      <c r="Q595" s="10" t="str">
        <f aca="false">IF($B595="","",$N595*IFERROR(INDEX(Drinks!$D$4:$D$53,MATCH($B595,Drinks!$A$4:$A$53,0)),0))</f>
        <v/>
      </c>
      <c r="R595" s="10" t="str">
        <f aca="false">IF($B595="","",$P595-$Q595)</f>
        <v/>
      </c>
      <c r="S595" s="23" t="str">
        <f aca="false">IF($B595="","",IF(COUNTIFS($A$4:$A$2003,$A595-1,$B$4:$B$2003,$B595)=0,"first day",IF(SUMIFS($M$4:$M$2003,$A$4:$A$2003,$A595-1,$B$4:$B$2003,$B595)=$J595,"OK","CHECK")))</f>
        <v/>
      </c>
      <c r="T595" s="10" t="str">
        <f aca="false">IF($B595="","",IFERROR(INDEX(Drinks!$D$4:$D$53,MATCH($B595,Drinks!$A$4:$A$53,0)),0))</f>
        <v/>
      </c>
    </row>
    <row r="596" customFormat="false" ht="15" hidden="false" customHeight="false" outlineLevel="0" collapsed="false">
      <c r="A596" s="22"/>
      <c r="B596" s="9"/>
      <c r="C596" s="9"/>
      <c r="D596" s="9"/>
      <c r="E596" s="9"/>
      <c r="F596" s="10" t="str">
        <f aca="false">IF($B596="","",$C596+$D596-$E596)</f>
        <v/>
      </c>
      <c r="G596" s="10" t="str">
        <f aca="false">IF($B596="","",IFERROR(INDEX(Drinks!$C$4:$C$53,MATCH($B596,Drinks!$A$4:$A$53,0)),0))</f>
        <v/>
      </c>
      <c r="H596" s="10" t="str">
        <f aca="false">IF($B596="","",$D596*$G596)</f>
        <v/>
      </c>
      <c r="I596" s="10" t="str">
        <f aca="false">IF($B596="","",$F596*$G596)</f>
        <v/>
      </c>
      <c r="J596" s="9"/>
      <c r="K596" s="10" t="str">
        <f aca="false">IF($B596="","",$E596*IFERROR(INDEX(Drinks!$B$4:$B$53,MATCH($B596,Drinks!$A$4:$A$53,0)),0))</f>
        <v/>
      </c>
      <c r="L596" s="10" t="str">
        <f aca="false">IF($B596="","",$J596+$K596)</f>
        <v/>
      </c>
      <c r="M596" s="9"/>
      <c r="N596" s="10" t="str">
        <f aca="false">IF($B596="","",$L596-$M596)</f>
        <v/>
      </c>
      <c r="O596" s="10" t="str">
        <f aca="false">IF($B596="","",IFERROR(INDEX(Drinks!$E$4:$E$53,MATCH($B596,Drinks!$A$4:$A$53,0)),0))</f>
        <v/>
      </c>
      <c r="P596" s="10" t="str">
        <f aca="false">IF($B596="","",$N596*$O596)</f>
        <v/>
      </c>
      <c r="Q596" s="10" t="str">
        <f aca="false">IF($B596="","",$N596*IFERROR(INDEX(Drinks!$D$4:$D$53,MATCH($B596,Drinks!$A$4:$A$53,0)),0))</f>
        <v/>
      </c>
      <c r="R596" s="10" t="str">
        <f aca="false">IF($B596="","",$P596-$Q596)</f>
        <v/>
      </c>
      <c r="S596" s="23" t="str">
        <f aca="false">IF($B596="","",IF(COUNTIFS($A$4:$A$2003,$A596-1,$B$4:$B$2003,$B596)=0,"first day",IF(SUMIFS($M$4:$M$2003,$A$4:$A$2003,$A596-1,$B$4:$B$2003,$B596)=$J596,"OK","CHECK")))</f>
        <v/>
      </c>
      <c r="T596" s="10" t="str">
        <f aca="false">IF($B596="","",IFERROR(INDEX(Drinks!$D$4:$D$53,MATCH($B596,Drinks!$A$4:$A$53,0)),0))</f>
        <v/>
      </c>
    </row>
    <row r="597" customFormat="false" ht="15" hidden="false" customHeight="false" outlineLevel="0" collapsed="false">
      <c r="A597" s="22"/>
      <c r="B597" s="9"/>
      <c r="C597" s="9"/>
      <c r="D597" s="9"/>
      <c r="E597" s="9"/>
      <c r="F597" s="10" t="str">
        <f aca="false">IF($B597="","",$C597+$D597-$E597)</f>
        <v/>
      </c>
      <c r="G597" s="10" t="str">
        <f aca="false">IF($B597="","",IFERROR(INDEX(Drinks!$C$4:$C$53,MATCH($B597,Drinks!$A$4:$A$53,0)),0))</f>
        <v/>
      </c>
      <c r="H597" s="10" t="str">
        <f aca="false">IF($B597="","",$D597*$G597)</f>
        <v/>
      </c>
      <c r="I597" s="10" t="str">
        <f aca="false">IF($B597="","",$F597*$G597)</f>
        <v/>
      </c>
      <c r="J597" s="9"/>
      <c r="K597" s="10" t="str">
        <f aca="false">IF($B597="","",$E597*IFERROR(INDEX(Drinks!$B$4:$B$53,MATCH($B597,Drinks!$A$4:$A$53,0)),0))</f>
        <v/>
      </c>
      <c r="L597" s="10" t="str">
        <f aca="false">IF($B597="","",$J597+$K597)</f>
        <v/>
      </c>
      <c r="M597" s="9"/>
      <c r="N597" s="10" t="str">
        <f aca="false">IF($B597="","",$L597-$M597)</f>
        <v/>
      </c>
      <c r="O597" s="10" t="str">
        <f aca="false">IF($B597="","",IFERROR(INDEX(Drinks!$E$4:$E$53,MATCH($B597,Drinks!$A$4:$A$53,0)),0))</f>
        <v/>
      </c>
      <c r="P597" s="10" t="str">
        <f aca="false">IF($B597="","",$N597*$O597)</f>
        <v/>
      </c>
      <c r="Q597" s="10" t="str">
        <f aca="false">IF($B597="","",$N597*IFERROR(INDEX(Drinks!$D$4:$D$53,MATCH($B597,Drinks!$A$4:$A$53,0)),0))</f>
        <v/>
      </c>
      <c r="R597" s="10" t="str">
        <f aca="false">IF($B597="","",$P597-$Q597)</f>
        <v/>
      </c>
      <c r="S597" s="23" t="str">
        <f aca="false">IF($B597="","",IF(COUNTIFS($A$4:$A$2003,$A597-1,$B$4:$B$2003,$B597)=0,"first day",IF(SUMIFS($M$4:$M$2003,$A$4:$A$2003,$A597-1,$B$4:$B$2003,$B597)=$J597,"OK","CHECK")))</f>
        <v/>
      </c>
      <c r="T597" s="10" t="str">
        <f aca="false">IF($B597="","",IFERROR(INDEX(Drinks!$D$4:$D$53,MATCH($B597,Drinks!$A$4:$A$53,0)),0))</f>
        <v/>
      </c>
    </row>
    <row r="598" customFormat="false" ht="15" hidden="false" customHeight="false" outlineLevel="0" collapsed="false">
      <c r="A598" s="22"/>
      <c r="B598" s="9"/>
      <c r="C598" s="9"/>
      <c r="D598" s="9"/>
      <c r="E598" s="9"/>
      <c r="F598" s="10" t="str">
        <f aca="false">IF($B598="","",$C598+$D598-$E598)</f>
        <v/>
      </c>
      <c r="G598" s="10" t="str">
        <f aca="false">IF($B598="","",IFERROR(INDEX(Drinks!$C$4:$C$53,MATCH($B598,Drinks!$A$4:$A$53,0)),0))</f>
        <v/>
      </c>
      <c r="H598" s="10" t="str">
        <f aca="false">IF($B598="","",$D598*$G598)</f>
        <v/>
      </c>
      <c r="I598" s="10" t="str">
        <f aca="false">IF($B598="","",$F598*$G598)</f>
        <v/>
      </c>
      <c r="J598" s="9"/>
      <c r="K598" s="10" t="str">
        <f aca="false">IF($B598="","",$E598*IFERROR(INDEX(Drinks!$B$4:$B$53,MATCH($B598,Drinks!$A$4:$A$53,0)),0))</f>
        <v/>
      </c>
      <c r="L598" s="10" t="str">
        <f aca="false">IF($B598="","",$J598+$K598)</f>
        <v/>
      </c>
      <c r="M598" s="9"/>
      <c r="N598" s="10" t="str">
        <f aca="false">IF($B598="","",$L598-$M598)</f>
        <v/>
      </c>
      <c r="O598" s="10" t="str">
        <f aca="false">IF($B598="","",IFERROR(INDEX(Drinks!$E$4:$E$53,MATCH($B598,Drinks!$A$4:$A$53,0)),0))</f>
        <v/>
      </c>
      <c r="P598" s="10" t="str">
        <f aca="false">IF($B598="","",$N598*$O598)</f>
        <v/>
      </c>
      <c r="Q598" s="10" t="str">
        <f aca="false">IF($B598="","",$N598*IFERROR(INDEX(Drinks!$D$4:$D$53,MATCH($B598,Drinks!$A$4:$A$53,0)),0))</f>
        <v/>
      </c>
      <c r="R598" s="10" t="str">
        <f aca="false">IF($B598="","",$P598-$Q598)</f>
        <v/>
      </c>
      <c r="S598" s="23" t="str">
        <f aca="false">IF($B598="","",IF(COUNTIFS($A$4:$A$2003,$A598-1,$B$4:$B$2003,$B598)=0,"first day",IF(SUMIFS($M$4:$M$2003,$A$4:$A$2003,$A598-1,$B$4:$B$2003,$B598)=$J598,"OK","CHECK")))</f>
        <v/>
      </c>
      <c r="T598" s="10" t="str">
        <f aca="false">IF($B598="","",IFERROR(INDEX(Drinks!$D$4:$D$53,MATCH($B598,Drinks!$A$4:$A$53,0)),0))</f>
        <v/>
      </c>
    </row>
    <row r="599" customFormat="false" ht="15" hidden="false" customHeight="false" outlineLevel="0" collapsed="false">
      <c r="A599" s="22"/>
      <c r="B599" s="9"/>
      <c r="C599" s="9"/>
      <c r="D599" s="9"/>
      <c r="E599" s="9"/>
      <c r="F599" s="10" t="str">
        <f aca="false">IF($B599="","",$C599+$D599-$E599)</f>
        <v/>
      </c>
      <c r="G599" s="10" t="str">
        <f aca="false">IF($B599="","",IFERROR(INDEX(Drinks!$C$4:$C$53,MATCH($B599,Drinks!$A$4:$A$53,0)),0))</f>
        <v/>
      </c>
      <c r="H599" s="10" t="str">
        <f aca="false">IF($B599="","",$D599*$G599)</f>
        <v/>
      </c>
      <c r="I599" s="10" t="str">
        <f aca="false">IF($B599="","",$F599*$G599)</f>
        <v/>
      </c>
      <c r="J599" s="9"/>
      <c r="K599" s="10" t="str">
        <f aca="false">IF($B599="","",$E599*IFERROR(INDEX(Drinks!$B$4:$B$53,MATCH($B599,Drinks!$A$4:$A$53,0)),0))</f>
        <v/>
      </c>
      <c r="L599" s="10" t="str">
        <f aca="false">IF($B599="","",$J599+$K599)</f>
        <v/>
      </c>
      <c r="M599" s="9"/>
      <c r="N599" s="10" t="str">
        <f aca="false">IF($B599="","",$L599-$M599)</f>
        <v/>
      </c>
      <c r="O599" s="10" t="str">
        <f aca="false">IF($B599="","",IFERROR(INDEX(Drinks!$E$4:$E$53,MATCH($B599,Drinks!$A$4:$A$53,0)),0))</f>
        <v/>
      </c>
      <c r="P599" s="10" t="str">
        <f aca="false">IF($B599="","",$N599*$O599)</f>
        <v/>
      </c>
      <c r="Q599" s="10" t="str">
        <f aca="false">IF($B599="","",$N599*IFERROR(INDEX(Drinks!$D$4:$D$53,MATCH($B599,Drinks!$A$4:$A$53,0)),0))</f>
        <v/>
      </c>
      <c r="R599" s="10" t="str">
        <f aca="false">IF($B599="","",$P599-$Q599)</f>
        <v/>
      </c>
      <c r="S599" s="23" t="str">
        <f aca="false">IF($B599="","",IF(COUNTIFS($A$4:$A$2003,$A599-1,$B$4:$B$2003,$B599)=0,"first day",IF(SUMIFS($M$4:$M$2003,$A$4:$A$2003,$A599-1,$B$4:$B$2003,$B599)=$J599,"OK","CHECK")))</f>
        <v/>
      </c>
      <c r="T599" s="10" t="str">
        <f aca="false">IF($B599="","",IFERROR(INDEX(Drinks!$D$4:$D$53,MATCH($B599,Drinks!$A$4:$A$53,0)),0))</f>
        <v/>
      </c>
    </row>
    <row r="600" customFormat="false" ht="15" hidden="false" customHeight="false" outlineLevel="0" collapsed="false">
      <c r="A600" s="22"/>
      <c r="B600" s="9"/>
      <c r="C600" s="9"/>
      <c r="D600" s="9"/>
      <c r="E600" s="9"/>
      <c r="F600" s="10" t="str">
        <f aca="false">IF($B600="","",$C600+$D600-$E600)</f>
        <v/>
      </c>
      <c r="G600" s="10" t="str">
        <f aca="false">IF($B600="","",IFERROR(INDEX(Drinks!$C$4:$C$53,MATCH($B600,Drinks!$A$4:$A$53,0)),0))</f>
        <v/>
      </c>
      <c r="H600" s="10" t="str">
        <f aca="false">IF($B600="","",$D600*$G600)</f>
        <v/>
      </c>
      <c r="I600" s="10" t="str">
        <f aca="false">IF($B600="","",$F600*$G600)</f>
        <v/>
      </c>
      <c r="J600" s="9"/>
      <c r="K600" s="10" t="str">
        <f aca="false">IF($B600="","",$E600*IFERROR(INDEX(Drinks!$B$4:$B$53,MATCH($B600,Drinks!$A$4:$A$53,0)),0))</f>
        <v/>
      </c>
      <c r="L600" s="10" t="str">
        <f aca="false">IF($B600="","",$J600+$K600)</f>
        <v/>
      </c>
      <c r="M600" s="9"/>
      <c r="N600" s="10" t="str">
        <f aca="false">IF($B600="","",$L600-$M600)</f>
        <v/>
      </c>
      <c r="O600" s="10" t="str">
        <f aca="false">IF($B600="","",IFERROR(INDEX(Drinks!$E$4:$E$53,MATCH($B600,Drinks!$A$4:$A$53,0)),0))</f>
        <v/>
      </c>
      <c r="P600" s="10" t="str">
        <f aca="false">IF($B600="","",$N600*$O600)</f>
        <v/>
      </c>
      <c r="Q600" s="10" t="str">
        <f aca="false">IF($B600="","",$N600*IFERROR(INDEX(Drinks!$D$4:$D$53,MATCH($B600,Drinks!$A$4:$A$53,0)),0))</f>
        <v/>
      </c>
      <c r="R600" s="10" t="str">
        <f aca="false">IF($B600="","",$P600-$Q600)</f>
        <v/>
      </c>
      <c r="S600" s="23" t="str">
        <f aca="false">IF($B600="","",IF(COUNTIFS($A$4:$A$2003,$A600-1,$B$4:$B$2003,$B600)=0,"first day",IF(SUMIFS($M$4:$M$2003,$A$4:$A$2003,$A600-1,$B$4:$B$2003,$B600)=$J600,"OK","CHECK")))</f>
        <v/>
      </c>
      <c r="T600" s="10" t="str">
        <f aca="false">IF($B600="","",IFERROR(INDEX(Drinks!$D$4:$D$53,MATCH($B600,Drinks!$A$4:$A$53,0)),0))</f>
        <v/>
      </c>
    </row>
    <row r="601" customFormat="false" ht="15" hidden="false" customHeight="false" outlineLevel="0" collapsed="false">
      <c r="A601" s="22"/>
      <c r="B601" s="9"/>
      <c r="C601" s="9"/>
      <c r="D601" s="9"/>
      <c r="E601" s="9"/>
      <c r="F601" s="10" t="str">
        <f aca="false">IF($B601="","",$C601+$D601-$E601)</f>
        <v/>
      </c>
      <c r="G601" s="10" t="str">
        <f aca="false">IF($B601="","",IFERROR(INDEX(Drinks!$C$4:$C$53,MATCH($B601,Drinks!$A$4:$A$53,0)),0))</f>
        <v/>
      </c>
      <c r="H601" s="10" t="str">
        <f aca="false">IF($B601="","",$D601*$G601)</f>
        <v/>
      </c>
      <c r="I601" s="10" t="str">
        <f aca="false">IF($B601="","",$F601*$G601)</f>
        <v/>
      </c>
      <c r="J601" s="9"/>
      <c r="K601" s="10" t="str">
        <f aca="false">IF($B601="","",$E601*IFERROR(INDEX(Drinks!$B$4:$B$53,MATCH($B601,Drinks!$A$4:$A$53,0)),0))</f>
        <v/>
      </c>
      <c r="L601" s="10" t="str">
        <f aca="false">IF($B601="","",$J601+$K601)</f>
        <v/>
      </c>
      <c r="M601" s="9"/>
      <c r="N601" s="10" t="str">
        <f aca="false">IF($B601="","",$L601-$M601)</f>
        <v/>
      </c>
      <c r="O601" s="10" t="str">
        <f aca="false">IF($B601="","",IFERROR(INDEX(Drinks!$E$4:$E$53,MATCH($B601,Drinks!$A$4:$A$53,0)),0))</f>
        <v/>
      </c>
      <c r="P601" s="10" t="str">
        <f aca="false">IF($B601="","",$N601*$O601)</f>
        <v/>
      </c>
      <c r="Q601" s="10" t="str">
        <f aca="false">IF($B601="","",$N601*IFERROR(INDEX(Drinks!$D$4:$D$53,MATCH($B601,Drinks!$A$4:$A$53,0)),0))</f>
        <v/>
      </c>
      <c r="R601" s="10" t="str">
        <f aca="false">IF($B601="","",$P601-$Q601)</f>
        <v/>
      </c>
      <c r="S601" s="23" t="str">
        <f aca="false">IF($B601="","",IF(COUNTIFS($A$4:$A$2003,$A601-1,$B$4:$B$2003,$B601)=0,"first day",IF(SUMIFS($M$4:$M$2003,$A$4:$A$2003,$A601-1,$B$4:$B$2003,$B601)=$J601,"OK","CHECK")))</f>
        <v/>
      </c>
      <c r="T601" s="10" t="str">
        <f aca="false">IF($B601="","",IFERROR(INDEX(Drinks!$D$4:$D$53,MATCH($B601,Drinks!$A$4:$A$53,0)),0))</f>
        <v/>
      </c>
    </row>
    <row r="602" customFormat="false" ht="15" hidden="false" customHeight="false" outlineLevel="0" collapsed="false">
      <c r="A602" s="22"/>
      <c r="B602" s="9"/>
      <c r="C602" s="9"/>
      <c r="D602" s="9"/>
      <c r="E602" s="9"/>
      <c r="F602" s="10" t="str">
        <f aca="false">IF($B602="","",$C602+$D602-$E602)</f>
        <v/>
      </c>
      <c r="G602" s="10" t="str">
        <f aca="false">IF($B602="","",IFERROR(INDEX(Drinks!$C$4:$C$53,MATCH($B602,Drinks!$A$4:$A$53,0)),0))</f>
        <v/>
      </c>
      <c r="H602" s="10" t="str">
        <f aca="false">IF($B602="","",$D602*$G602)</f>
        <v/>
      </c>
      <c r="I602" s="10" t="str">
        <f aca="false">IF($B602="","",$F602*$G602)</f>
        <v/>
      </c>
      <c r="J602" s="9"/>
      <c r="K602" s="10" t="str">
        <f aca="false">IF($B602="","",$E602*IFERROR(INDEX(Drinks!$B$4:$B$53,MATCH($B602,Drinks!$A$4:$A$53,0)),0))</f>
        <v/>
      </c>
      <c r="L602" s="10" t="str">
        <f aca="false">IF($B602="","",$J602+$K602)</f>
        <v/>
      </c>
      <c r="M602" s="9"/>
      <c r="N602" s="10" t="str">
        <f aca="false">IF($B602="","",$L602-$M602)</f>
        <v/>
      </c>
      <c r="O602" s="10" t="str">
        <f aca="false">IF($B602="","",IFERROR(INDEX(Drinks!$E$4:$E$53,MATCH($B602,Drinks!$A$4:$A$53,0)),0))</f>
        <v/>
      </c>
      <c r="P602" s="10" t="str">
        <f aca="false">IF($B602="","",$N602*$O602)</f>
        <v/>
      </c>
      <c r="Q602" s="10" t="str">
        <f aca="false">IF($B602="","",$N602*IFERROR(INDEX(Drinks!$D$4:$D$53,MATCH($B602,Drinks!$A$4:$A$53,0)),0))</f>
        <v/>
      </c>
      <c r="R602" s="10" t="str">
        <f aca="false">IF($B602="","",$P602-$Q602)</f>
        <v/>
      </c>
      <c r="S602" s="23" t="str">
        <f aca="false">IF($B602="","",IF(COUNTIFS($A$4:$A$2003,$A602-1,$B$4:$B$2003,$B602)=0,"first day",IF(SUMIFS($M$4:$M$2003,$A$4:$A$2003,$A602-1,$B$4:$B$2003,$B602)=$J602,"OK","CHECK")))</f>
        <v/>
      </c>
      <c r="T602" s="10" t="str">
        <f aca="false">IF($B602="","",IFERROR(INDEX(Drinks!$D$4:$D$53,MATCH($B602,Drinks!$A$4:$A$53,0)),0))</f>
        <v/>
      </c>
    </row>
    <row r="603" customFormat="false" ht="15" hidden="false" customHeight="false" outlineLevel="0" collapsed="false">
      <c r="A603" s="22"/>
      <c r="B603" s="9"/>
      <c r="C603" s="9"/>
      <c r="D603" s="9"/>
      <c r="E603" s="9"/>
      <c r="F603" s="10" t="str">
        <f aca="false">IF($B603="","",$C603+$D603-$E603)</f>
        <v/>
      </c>
      <c r="G603" s="10" t="str">
        <f aca="false">IF($B603="","",IFERROR(INDEX(Drinks!$C$4:$C$53,MATCH($B603,Drinks!$A$4:$A$53,0)),0))</f>
        <v/>
      </c>
      <c r="H603" s="10" t="str">
        <f aca="false">IF($B603="","",$D603*$G603)</f>
        <v/>
      </c>
      <c r="I603" s="10" t="str">
        <f aca="false">IF($B603="","",$F603*$G603)</f>
        <v/>
      </c>
      <c r="J603" s="9"/>
      <c r="K603" s="10" t="str">
        <f aca="false">IF($B603="","",$E603*IFERROR(INDEX(Drinks!$B$4:$B$53,MATCH($B603,Drinks!$A$4:$A$53,0)),0))</f>
        <v/>
      </c>
      <c r="L603" s="10" t="str">
        <f aca="false">IF($B603="","",$J603+$K603)</f>
        <v/>
      </c>
      <c r="M603" s="9"/>
      <c r="N603" s="10" t="str">
        <f aca="false">IF($B603="","",$L603-$M603)</f>
        <v/>
      </c>
      <c r="O603" s="10" t="str">
        <f aca="false">IF($B603="","",IFERROR(INDEX(Drinks!$E$4:$E$53,MATCH($B603,Drinks!$A$4:$A$53,0)),0))</f>
        <v/>
      </c>
      <c r="P603" s="10" t="str">
        <f aca="false">IF($B603="","",$N603*$O603)</f>
        <v/>
      </c>
      <c r="Q603" s="10" t="str">
        <f aca="false">IF($B603="","",$N603*IFERROR(INDEX(Drinks!$D$4:$D$53,MATCH($B603,Drinks!$A$4:$A$53,0)),0))</f>
        <v/>
      </c>
      <c r="R603" s="10" t="str">
        <f aca="false">IF($B603="","",$P603-$Q603)</f>
        <v/>
      </c>
      <c r="S603" s="23" t="str">
        <f aca="false">IF($B603="","",IF(COUNTIFS($A$4:$A$2003,$A603-1,$B$4:$B$2003,$B603)=0,"first day",IF(SUMIFS($M$4:$M$2003,$A$4:$A$2003,$A603-1,$B$4:$B$2003,$B603)=$J603,"OK","CHECK")))</f>
        <v/>
      </c>
      <c r="T603" s="10" t="str">
        <f aca="false">IF($B603="","",IFERROR(INDEX(Drinks!$D$4:$D$53,MATCH($B603,Drinks!$A$4:$A$53,0)),0))</f>
        <v/>
      </c>
    </row>
    <row r="604" customFormat="false" ht="15" hidden="false" customHeight="false" outlineLevel="0" collapsed="false">
      <c r="A604" s="22"/>
      <c r="B604" s="9"/>
      <c r="C604" s="9"/>
      <c r="D604" s="9"/>
      <c r="E604" s="9"/>
      <c r="F604" s="10" t="str">
        <f aca="false">IF($B604="","",$C604+$D604-$E604)</f>
        <v/>
      </c>
      <c r="G604" s="10" t="str">
        <f aca="false">IF($B604="","",IFERROR(INDEX(Drinks!$C$4:$C$53,MATCH($B604,Drinks!$A$4:$A$53,0)),0))</f>
        <v/>
      </c>
      <c r="H604" s="10" t="str">
        <f aca="false">IF($B604="","",$D604*$G604)</f>
        <v/>
      </c>
      <c r="I604" s="10" t="str">
        <f aca="false">IF($B604="","",$F604*$G604)</f>
        <v/>
      </c>
      <c r="J604" s="9"/>
      <c r="K604" s="10" t="str">
        <f aca="false">IF($B604="","",$E604*IFERROR(INDEX(Drinks!$B$4:$B$53,MATCH($B604,Drinks!$A$4:$A$53,0)),0))</f>
        <v/>
      </c>
      <c r="L604" s="10" t="str">
        <f aca="false">IF($B604="","",$J604+$K604)</f>
        <v/>
      </c>
      <c r="M604" s="9"/>
      <c r="N604" s="10" t="str">
        <f aca="false">IF($B604="","",$L604-$M604)</f>
        <v/>
      </c>
      <c r="O604" s="10" t="str">
        <f aca="false">IF($B604="","",IFERROR(INDEX(Drinks!$E$4:$E$53,MATCH($B604,Drinks!$A$4:$A$53,0)),0))</f>
        <v/>
      </c>
      <c r="P604" s="10" t="str">
        <f aca="false">IF($B604="","",$N604*$O604)</f>
        <v/>
      </c>
      <c r="Q604" s="10" t="str">
        <f aca="false">IF($B604="","",$N604*IFERROR(INDEX(Drinks!$D$4:$D$53,MATCH($B604,Drinks!$A$4:$A$53,0)),0))</f>
        <v/>
      </c>
      <c r="R604" s="10" t="str">
        <f aca="false">IF($B604="","",$P604-$Q604)</f>
        <v/>
      </c>
      <c r="S604" s="23" t="str">
        <f aca="false">IF($B604="","",IF(COUNTIFS($A$4:$A$2003,$A604-1,$B$4:$B$2003,$B604)=0,"first day",IF(SUMIFS($M$4:$M$2003,$A$4:$A$2003,$A604-1,$B$4:$B$2003,$B604)=$J604,"OK","CHECK")))</f>
        <v/>
      </c>
      <c r="T604" s="10" t="str">
        <f aca="false">IF($B604="","",IFERROR(INDEX(Drinks!$D$4:$D$53,MATCH($B604,Drinks!$A$4:$A$53,0)),0))</f>
        <v/>
      </c>
    </row>
    <row r="605" customFormat="false" ht="15" hidden="false" customHeight="false" outlineLevel="0" collapsed="false">
      <c r="A605" s="22"/>
      <c r="B605" s="9"/>
      <c r="C605" s="9"/>
      <c r="D605" s="9"/>
      <c r="E605" s="9"/>
      <c r="F605" s="10" t="str">
        <f aca="false">IF($B605="","",$C605+$D605-$E605)</f>
        <v/>
      </c>
      <c r="G605" s="10" t="str">
        <f aca="false">IF($B605="","",IFERROR(INDEX(Drinks!$C$4:$C$53,MATCH($B605,Drinks!$A$4:$A$53,0)),0))</f>
        <v/>
      </c>
      <c r="H605" s="10" t="str">
        <f aca="false">IF($B605="","",$D605*$G605)</f>
        <v/>
      </c>
      <c r="I605" s="10" t="str">
        <f aca="false">IF($B605="","",$F605*$G605)</f>
        <v/>
      </c>
      <c r="J605" s="9"/>
      <c r="K605" s="10" t="str">
        <f aca="false">IF($B605="","",$E605*IFERROR(INDEX(Drinks!$B$4:$B$53,MATCH($B605,Drinks!$A$4:$A$53,0)),0))</f>
        <v/>
      </c>
      <c r="L605" s="10" t="str">
        <f aca="false">IF($B605="","",$J605+$K605)</f>
        <v/>
      </c>
      <c r="M605" s="9"/>
      <c r="N605" s="10" t="str">
        <f aca="false">IF($B605="","",$L605-$M605)</f>
        <v/>
      </c>
      <c r="O605" s="10" t="str">
        <f aca="false">IF($B605="","",IFERROR(INDEX(Drinks!$E$4:$E$53,MATCH($B605,Drinks!$A$4:$A$53,0)),0))</f>
        <v/>
      </c>
      <c r="P605" s="10" t="str">
        <f aca="false">IF($B605="","",$N605*$O605)</f>
        <v/>
      </c>
      <c r="Q605" s="10" t="str">
        <f aca="false">IF($B605="","",$N605*IFERROR(INDEX(Drinks!$D$4:$D$53,MATCH($B605,Drinks!$A$4:$A$53,0)),0))</f>
        <v/>
      </c>
      <c r="R605" s="10" t="str">
        <f aca="false">IF($B605="","",$P605-$Q605)</f>
        <v/>
      </c>
      <c r="S605" s="23" t="str">
        <f aca="false">IF($B605="","",IF(COUNTIFS($A$4:$A$2003,$A605-1,$B$4:$B$2003,$B605)=0,"first day",IF(SUMIFS($M$4:$M$2003,$A$4:$A$2003,$A605-1,$B$4:$B$2003,$B605)=$J605,"OK","CHECK")))</f>
        <v/>
      </c>
      <c r="T605" s="10" t="str">
        <f aca="false">IF($B605="","",IFERROR(INDEX(Drinks!$D$4:$D$53,MATCH($B605,Drinks!$A$4:$A$53,0)),0))</f>
        <v/>
      </c>
    </row>
    <row r="606" customFormat="false" ht="15" hidden="false" customHeight="false" outlineLevel="0" collapsed="false">
      <c r="A606" s="22"/>
      <c r="B606" s="9"/>
      <c r="C606" s="9"/>
      <c r="D606" s="9"/>
      <c r="E606" s="9"/>
      <c r="F606" s="10" t="str">
        <f aca="false">IF($B606="","",$C606+$D606-$E606)</f>
        <v/>
      </c>
      <c r="G606" s="10" t="str">
        <f aca="false">IF($B606="","",IFERROR(INDEX(Drinks!$C$4:$C$53,MATCH($B606,Drinks!$A$4:$A$53,0)),0))</f>
        <v/>
      </c>
      <c r="H606" s="10" t="str">
        <f aca="false">IF($B606="","",$D606*$G606)</f>
        <v/>
      </c>
      <c r="I606" s="10" t="str">
        <f aca="false">IF($B606="","",$F606*$G606)</f>
        <v/>
      </c>
      <c r="J606" s="9"/>
      <c r="K606" s="10" t="str">
        <f aca="false">IF($B606="","",$E606*IFERROR(INDEX(Drinks!$B$4:$B$53,MATCH($B606,Drinks!$A$4:$A$53,0)),0))</f>
        <v/>
      </c>
      <c r="L606" s="10" t="str">
        <f aca="false">IF($B606="","",$J606+$K606)</f>
        <v/>
      </c>
      <c r="M606" s="9"/>
      <c r="N606" s="10" t="str">
        <f aca="false">IF($B606="","",$L606-$M606)</f>
        <v/>
      </c>
      <c r="O606" s="10" t="str">
        <f aca="false">IF($B606="","",IFERROR(INDEX(Drinks!$E$4:$E$53,MATCH($B606,Drinks!$A$4:$A$53,0)),0))</f>
        <v/>
      </c>
      <c r="P606" s="10" t="str">
        <f aca="false">IF($B606="","",$N606*$O606)</f>
        <v/>
      </c>
      <c r="Q606" s="10" t="str">
        <f aca="false">IF($B606="","",$N606*IFERROR(INDEX(Drinks!$D$4:$D$53,MATCH($B606,Drinks!$A$4:$A$53,0)),0))</f>
        <v/>
      </c>
      <c r="R606" s="10" t="str">
        <f aca="false">IF($B606="","",$P606-$Q606)</f>
        <v/>
      </c>
      <c r="S606" s="23" t="str">
        <f aca="false">IF($B606="","",IF(COUNTIFS($A$4:$A$2003,$A606-1,$B$4:$B$2003,$B606)=0,"first day",IF(SUMIFS($M$4:$M$2003,$A$4:$A$2003,$A606-1,$B$4:$B$2003,$B606)=$J606,"OK","CHECK")))</f>
        <v/>
      </c>
      <c r="T606" s="10" t="str">
        <f aca="false">IF($B606="","",IFERROR(INDEX(Drinks!$D$4:$D$53,MATCH($B606,Drinks!$A$4:$A$53,0)),0))</f>
        <v/>
      </c>
    </row>
    <row r="607" customFormat="false" ht="15" hidden="false" customHeight="false" outlineLevel="0" collapsed="false">
      <c r="A607" s="22"/>
      <c r="B607" s="9"/>
      <c r="C607" s="9"/>
      <c r="D607" s="9"/>
      <c r="E607" s="9"/>
      <c r="F607" s="10" t="str">
        <f aca="false">IF($B607="","",$C607+$D607-$E607)</f>
        <v/>
      </c>
      <c r="G607" s="10" t="str">
        <f aca="false">IF($B607="","",IFERROR(INDEX(Drinks!$C$4:$C$53,MATCH($B607,Drinks!$A$4:$A$53,0)),0))</f>
        <v/>
      </c>
      <c r="H607" s="10" t="str">
        <f aca="false">IF($B607="","",$D607*$G607)</f>
        <v/>
      </c>
      <c r="I607" s="10" t="str">
        <f aca="false">IF($B607="","",$F607*$G607)</f>
        <v/>
      </c>
      <c r="J607" s="9"/>
      <c r="K607" s="10" t="str">
        <f aca="false">IF($B607="","",$E607*IFERROR(INDEX(Drinks!$B$4:$B$53,MATCH($B607,Drinks!$A$4:$A$53,0)),0))</f>
        <v/>
      </c>
      <c r="L607" s="10" t="str">
        <f aca="false">IF($B607="","",$J607+$K607)</f>
        <v/>
      </c>
      <c r="M607" s="9"/>
      <c r="N607" s="10" t="str">
        <f aca="false">IF($B607="","",$L607-$M607)</f>
        <v/>
      </c>
      <c r="O607" s="10" t="str">
        <f aca="false">IF($B607="","",IFERROR(INDEX(Drinks!$E$4:$E$53,MATCH($B607,Drinks!$A$4:$A$53,0)),0))</f>
        <v/>
      </c>
      <c r="P607" s="10" t="str">
        <f aca="false">IF($B607="","",$N607*$O607)</f>
        <v/>
      </c>
      <c r="Q607" s="10" t="str">
        <f aca="false">IF($B607="","",$N607*IFERROR(INDEX(Drinks!$D$4:$D$53,MATCH($B607,Drinks!$A$4:$A$53,0)),0))</f>
        <v/>
      </c>
      <c r="R607" s="10" t="str">
        <f aca="false">IF($B607="","",$P607-$Q607)</f>
        <v/>
      </c>
      <c r="S607" s="23" t="str">
        <f aca="false">IF($B607="","",IF(COUNTIFS($A$4:$A$2003,$A607-1,$B$4:$B$2003,$B607)=0,"first day",IF(SUMIFS($M$4:$M$2003,$A$4:$A$2003,$A607-1,$B$4:$B$2003,$B607)=$J607,"OK","CHECK")))</f>
        <v/>
      </c>
      <c r="T607" s="10" t="str">
        <f aca="false">IF($B607="","",IFERROR(INDEX(Drinks!$D$4:$D$53,MATCH($B607,Drinks!$A$4:$A$53,0)),0))</f>
        <v/>
      </c>
    </row>
    <row r="608" customFormat="false" ht="15" hidden="false" customHeight="false" outlineLevel="0" collapsed="false">
      <c r="A608" s="22"/>
      <c r="B608" s="9"/>
      <c r="C608" s="9"/>
      <c r="D608" s="9"/>
      <c r="E608" s="9"/>
      <c r="F608" s="10" t="str">
        <f aca="false">IF($B608="","",$C608+$D608-$E608)</f>
        <v/>
      </c>
      <c r="G608" s="10" t="str">
        <f aca="false">IF($B608="","",IFERROR(INDEX(Drinks!$C$4:$C$53,MATCH($B608,Drinks!$A$4:$A$53,0)),0))</f>
        <v/>
      </c>
      <c r="H608" s="10" t="str">
        <f aca="false">IF($B608="","",$D608*$G608)</f>
        <v/>
      </c>
      <c r="I608" s="10" t="str">
        <f aca="false">IF($B608="","",$F608*$G608)</f>
        <v/>
      </c>
      <c r="J608" s="9"/>
      <c r="K608" s="10" t="str">
        <f aca="false">IF($B608="","",$E608*IFERROR(INDEX(Drinks!$B$4:$B$53,MATCH($B608,Drinks!$A$4:$A$53,0)),0))</f>
        <v/>
      </c>
      <c r="L608" s="10" t="str">
        <f aca="false">IF($B608="","",$J608+$K608)</f>
        <v/>
      </c>
      <c r="M608" s="9"/>
      <c r="N608" s="10" t="str">
        <f aca="false">IF($B608="","",$L608-$M608)</f>
        <v/>
      </c>
      <c r="O608" s="10" t="str">
        <f aca="false">IF($B608="","",IFERROR(INDEX(Drinks!$E$4:$E$53,MATCH($B608,Drinks!$A$4:$A$53,0)),0))</f>
        <v/>
      </c>
      <c r="P608" s="10" t="str">
        <f aca="false">IF($B608="","",$N608*$O608)</f>
        <v/>
      </c>
      <c r="Q608" s="10" t="str">
        <f aca="false">IF($B608="","",$N608*IFERROR(INDEX(Drinks!$D$4:$D$53,MATCH($B608,Drinks!$A$4:$A$53,0)),0))</f>
        <v/>
      </c>
      <c r="R608" s="10" t="str">
        <f aca="false">IF($B608="","",$P608-$Q608)</f>
        <v/>
      </c>
      <c r="S608" s="23" t="str">
        <f aca="false">IF($B608="","",IF(COUNTIFS($A$4:$A$2003,$A608-1,$B$4:$B$2003,$B608)=0,"first day",IF(SUMIFS($M$4:$M$2003,$A$4:$A$2003,$A608-1,$B$4:$B$2003,$B608)=$J608,"OK","CHECK")))</f>
        <v/>
      </c>
      <c r="T608" s="10" t="str">
        <f aca="false">IF($B608="","",IFERROR(INDEX(Drinks!$D$4:$D$53,MATCH($B608,Drinks!$A$4:$A$53,0)),0))</f>
        <v/>
      </c>
    </row>
    <row r="609" customFormat="false" ht="15" hidden="false" customHeight="false" outlineLevel="0" collapsed="false">
      <c r="A609" s="22"/>
      <c r="B609" s="9"/>
      <c r="C609" s="9"/>
      <c r="D609" s="9"/>
      <c r="E609" s="9"/>
      <c r="F609" s="10" t="str">
        <f aca="false">IF($B609="","",$C609+$D609-$E609)</f>
        <v/>
      </c>
      <c r="G609" s="10" t="str">
        <f aca="false">IF($B609="","",IFERROR(INDEX(Drinks!$C$4:$C$53,MATCH($B609,Drinks!$A$4:$A$53,0)),0))</f>
        <v/>
      </c>
      <c r="H609" s="10" t="str">
        <f aca="false">IF($B609="","",$D609*$G609)</f>
        <v/>
      </c>
      <c r="I609" s="10" t="str">
        <f aca="false">IF($B609="","",$F609*$G609)</f>
        <v/>
      </c>
      <c r="J609" s="9"/>
      <c r="K609" s="10" t="str">
        <f aca="false">IF($B609="","",$E609*IFERROR(INDEX(Drinks!$B$4:$B$53,MATCH($B609,Drinks!$A$4:$A$53,0)),0))</f>
        <v/>
      </c>
      <c r="L609" s="10" t="str">
        <f aca="false">IF($B609="","",$J609+$K609)</f>
        <v/>
      </c>
      <c r="M609" s="9"/>
      <c r="N609" s="10" t="str">
        <f aca="false">IF($B609="","",$L609-$M609)</f>
        <v/>
      </c>
      <c r="O609" s="10" t="str">
        <f aca="false">IF($B609="","",IFERROR(INDEX(Drinks!$E$4:$E$53,MATCH($B609,Drinks!$A$4:$A$53,0)),0))</f>
        <v/>
      </c>
      <c r="P609" s="10" t="str">
        <f aca="false">IF($B609="","",$N609*$O609)</f>
        <v/>
      </c>
      <c r="Q609" s="10" t="str">
        <f aca="false">IF($B609="","",$N609*IFERROR(INDEX(Drinks!$D$4:$D$53,MATCH($B609,Drinks!$A$4:$A$53,0)),0))</f>
        <v/>
      </c>
      <c r="R609" s="10" t="str">
        <f aca="false">IF($B609="","",$P609-$Q609)</f>
        <v/>
      </c>
      <c r="S609" s="23" t="str">
        <f aca="false">IF($B609="","",IF(COUNTIFS($A$4:$A$2003,$A609-1,$B$4:$B$2003,$B609)=0,"first day",IF(SUMIFS($M$4:$M$2003,$A$4:$A$2003,$A609-1,$B$4:$B$2003,$B609)=$J609,"OK","CHECK")))</f>
        <v/>
      </c>
      <c r="T609" s="10" t="str">
        <f aca="false">IF($B609="","",IFERROR(INDEX(Drinks!$D$4:$D$53,MATCH($B609,Drinks!$A$4:$A$53,0)),0))</f>
        <v/>
      </c>
    </row>
    <row r="610" customFormat="false" ht="15" hidden="false" customHeight="false" outlineLevel="0" collapsed="false">
      <c r="A610" s="22"/>
      <c r="B610" s="9"/>
      <c r="C610" s="9"/>
      <c r="D610" s="9"/>
      <c r="E610" s="9"/>
      <c r="F610" s="10" t="str">
        <f aca="false">IF($B610="","",$C610+$D610-$E610)</f>
        <v/>
      </c>
      <c r="G610" s="10" t="str">
        <f aca="false">IF($B610="","",IFERROR(INDEX(Drinks!$C$4:$C$53,MATCH($B610,Drinks!$A$4:$A$53,0)),0))</f>
        <v/>
      </c>
      <c r="H610" s="10" t="str">
        <f aca="false">IF($B610="","",$D610*$G610)</f>
        <v/>
      </c>
      <c r="I610" s="10" t="str">
        <f aca="false">IF($B610="","",$F610*$G610)</f>
        <v/>
      </c>
      <c r="J610" s="9"/>
      <c r="K610" s="10" t="str">
        <f aca="false">IF($B610="","",$E610*IFERROR(INDEX(Drinks!$B$4:$B$53,MATCH($B610,Drinks!$A$4:$A$53,0)),0))</f>
        <v/>
      </c>
      <c r="L610" s="10" t="str">
        <f aca="false">IF($B610="","",$J610+$K610)</f>
        <v/>
      </c>
      <c r="M610" s="9"/>
      <c r="N610" s="10" t="str">
        <f aca="false">IF($B610="","",$L610-$M610)</f>
        <v/>
      </c>
      <c r="O610" s="10" t="str">
        <f aca="false">IF($B610="","",IFERROR(INDEX(Drinks!$E$4:$E$53,MATCH($B610,Drinks!$A$4:$A$53,0)),0))</f>
        <v/>
      </c>
      <c r="P610" s="10" t="str">
        <f aca="false">IF($B610="","",$N610*$O610)</f>
        <v/>
      </c>
      <c r="Q610" s="10" t="str">
        <f aca="false">IF($B610="","",$N610*IFERROR(INDEX(Drinks!$D$4:$D$53,MATCH($B610,Drinks!$A$4:$A$53,0)),0))</f>
        <v/>
      </c>
      <c r="R610" s="10" t="str">
        <f aca="false">IF($B610="","",$P610-$Q610)</f>
        <v/>
      </c>
      <c r="S610" s="23" t="str">
        <f aca="false">IF($B610="","",IF(COUNTIFS($A$4:$A$2003,$A610-1,$B$4:$B$2003,$B610)=0,"first day",IF(SUMIFS($M$4:$M$2003,$A$4:$A$2003,$A610-1,$B$4:$B$2003,$B610)=$J610,"OK","CHECK")))</f>
        <v/>
      </c>
      <c r="T610" s="10" t="str">
        <f aca="false">IF($B610="","",IFERROR(INDEX(Drinks!$D$4:$D$53,MATCH($B610,Drinks!$A$4:$A$53,0)),0))</f>
        <v/>
      </c>
    </row>
    <row r="611" customFormat="false" ht="15" hidden="false" customHeight="false" outlineLevel="0" collapsed="false">
      <c r="A611" s="22"/>
      <c r="B611" s="9"/>
      <c r="C611" s="9"/>
      <c r="D611" s="9"/>
      <c r="E611" s="9"/>
      <c r="F611" s="10" t="str">
        <f aca="false">IF($B611="","",$C611+$D611-$E611)</f>
        <v/>
      </c>
      <c r="G611" s="10" t="str">
        <f aca="false">IF($B611="","",IFERROR(INDEX(Drinks!$C$4:$C$53,MATCH($B611,Drinks!$A$4:$A$53,0)),0))</f>
        <v/>
      </c>
      <c r="H611" s="10" t="str">
        <f aca="false">IF($B611="","",$D611*$G611)</f>
        <v/>
      </c>
      <c r="I611" s="10" t="str">
        <f aca="false">IF($B611="","",$F611*$G611)</f>
        <v/>
      </c>
      <c r="J611" s="9"/>
      <c r="K611" s="10" t="str">
        <f aca="false">IF($B611="","",$E611*IFERROR(INDEX(Drinks!$B$4:$B$53,MATCH($B611,Drinks!$A$4:$A$53,0)),0))</f>
        <v/>
      </c>
      <c r="L611" s="10" t="str">
        <f aca="false">IF($B611="","",$J611+$K611)</f>
        <v/>
      </c>
      <c r="M611" s="9"/>
      <c r="N611" s="10" t="str">
        <f aca="false">IF($B611="","",$L611-$M611)</f>
        <v/>
      </c>
      <c r="O611" s="10" t="str">
        <f aca="false">IF($B611="","",IFERROR(INDEX(Drinks!$E$4:$E$53,MATCH($B611,Drinks!$A$4:$A$53,0)),0))</f>
        <v/>
      </c>
      <c r="P611" s="10" t="str">
        <f aca="false">IF($B611="","",$N611*$O611)</f>
        <v/>
      </c>
      <c r="Q611" s="10" t="str">
        <f aca="false">IF($B611="","",$N611*IFERROR(INDEX(Drinks!$D$4:$D$53,MATCH($B611,Drinks!$A$4:$A$53,0)),0))</f>
        <v/>
      </c>
      <c r="R611" s="10" t="str">
        <f aca="false">IF($B611="","",$P611-$Q611)</f>
        <v/>
      </c>
      <c r="S611" s="23" t="str">
        <f aca="false">IF($B611="","",IF(COUNTIFS($A$4:$A$2003,$A611-1,$B$4:$B$2003,$B611)=0,"first day",IF(SUMIFS($M$4:$M$2003,$A$4:$A$2003,$A611-1,$B$4:$B$2003,$B611)=$J611,"OK","CHECK")))</f>
        <v/>
      </c>
      <c r="T611" s="10" t="str">
        <f aca="false">IF($B611="","",IFERROR(INDEX(Drinks!$D$4:$D$53,MATCH($B611,Drinks!$A$4:$A$53,0)),0))</f>
        <v/>
      </c>
    </row>
    <row r="612" customFormat="false" ht="15" hidden="false" customHeight="false" outlineLevel="0" collapsed="false">
      <c r="A612" s="22"/>
      <c r="B612" s="9"/>
      <c r="C612" s="9"/>
      <c r="D612" s="9"/>
      <c r="E612" s="9"/>
      <c r="F612" s="10" t="str">
        <f aca="false">IF($B612="","",$C612+$D612-$E612)</f>
        <v/>
      </c>
      <c r="G612" s="10" t="str">
        <f aca="false">IF($B612="","",IFERROR(INDEX(Drinks!$C$4:$C$53,MATCH($B612,Drinks!$A$4:$A$53,0)),0))</f>
        <v/>
      </c>
      <c r="H612" s="10" t="str">
        <f aca="false">IF($B612="","",$D612*$G612)</f>
        <v/>
      </c>
      <c r="I612" s="10" t="str">
        <f aca="false">IF($B612="","",$F612*$G612)</f>
        <v/>
      </c>
      <c r="J612" s="9"/>
      <c r="K612" s="10" t="str">
        <f aca="false">IF($B612="","",$E612*IFERROR(INDEX(Drinks!$B$4:$B$53,MATCH($B612,Drinks!$A$4:$A$53,0)),0))</f>
        <v/>
      </c>
      <c r="L612" s="10" t="str">
        <f aca="false">IF($B612="","",$J612+$K612)</f>
        <v/>
      </c>
      <c r="M612" s="9"/>
      <c r="N612" s="10" t="str">
        <f aca="false">IF($B612="","",$L612-$M612)</f>
        <v/>
      </c>
      <c r="O612" s="10" t="str">
        <f aca="false">IF($B612="","",IFERROR(INDEX(Drinks!$E$4:$E$53,MATCH($B612,Drinks!$A$4:$A$53,0)),0))</f>
        <v/>
      </c>
      <c r="P612" s="10" t="str">
        <f aca="false">IF($B612="","",$N612*$O612)</f>
        <v/>
      </c>
      <c r="Q612" s="10" t="str">
        <f aca="false">IF($B612="","",$N612*IFERROR(INDEX(Drinks!$D$4:$D$53,MATCH($B612,Drinks!$A$4:$A$53,0)),0))</f>
        <v/>
      </c>
      <c r="R612" s="10" t="str">
        <f aca="false">IF($B612="","",$P612-$Q612)</f>
        <v/>
      </c>
      <c r="S612" s="23" t="str">
        <f aca="false">IF($B612="","",IF(COUNTIFS($A$4:$A$2003,$A612-1,$B$4:$B$2003,$B612)=0,"first day",IF(SUMIFS($M$4:$M$2003,$A$4:$A$2003,$A612-1,$B$4:$B$2003,$B612)=$J612,"OK","CHECK")))</f>
        <v/>
      </c>
      <c r="T612" s="10" t="str">
        <f aca="false">IF($B612="","",IFERROR(INDEX(Drinks!$D$4:$D$53,MATCH($B612,Drinks!$A$4:$A$53,0)),0))</f>
        <v/>
      </c>
    </row>
    <row r="613" customFormat="false" ht="15" hidden="false" customHeight="false" outlineLevel="0" collapsed="false">
      <c r="A613" s="22"/>
      <c r="B613" s="9"/>
      <c r="C613" s="9"/>
      <c r="D613" s="9"/>
      <c r="E613" s="9"/>
      <c r="F613" s="10" t="str">
        <f aca="false">IF($B613="","",$C613+$D613-$E613)</f>
        <v/>
      </c>
      <c r="G613" s="10" t="str">
        <f aca="false">IF($B613="","",IFERROR(INDEX(Drinks!$C$4:$C$53,MATCH($B613,Drinks!$A$4:$A$53,0)),0))</f>
        <v/>
      </c>
      <c r="H613" s="10" t="str">
        <f aca="false">IF($B613="","",$D613*$G613)</f>
        <v/>
      </c>
      <c r="I613" s="10" t="str">
        <f aca="false">IF($B613="","",$F613*$G613)</f>
        <v/>
      </c>
      <c r="J613" s="9"/>
      <c r="K613" s="10" t="str">
        <f aca="false">IF($B613="","",$E613*IFERROR(INDEX(Drinks!$B$4:$B$53,MATCH($B613,Drinks!$A$4:$A$53,0)),0))</f>
        <v/>
      </c>
      <c r="L613" s="10" t="str">
        <f aca="false">IF($B613="","",$J613+$K613)</f>
        <v/>
      </c>
      <c r="M613" s="9"/>
      <c r="N613" s="10" t="str">
        <f aca="false">IF($B613="","",$L613-$M613)</f>
        <v/>
      </c>
      <c r="O613" s="10" t="str">
        <f aca="false">IF($B613="","",IFERROR(INDEX(Drinks!$E$4:$E$53,MATCH($B613,Drinks!$A$4:$A$53,0)),0))</f>
        <v/>
      </c>
      <c r="P613" s="10" t="str">
        <f aca="false">IF($B613="","",$N613*$O613)</f>
        <v/>
      </c>
      <c r="Q613" s="10" t="str">
        <f aca="false">IF($B613="","",$N613*IFERROR(INDEX(Drinks!$D$4:$D$53,MATCH($B613,Drinks!$A$4:$A$53,0)),0))</f>
        <v/>
      </c>
      <c r="R613" s="10" t="str">
        <f aca="false">IF($B613="","",$P613-$Q613)</f>
        <v/>
      </c>
      <c r="S613" s="23" t="str">
        <f aca="false">IF($B613="","",IF(COUNTIFS($A$4:$A$2003,$A613-1,$B$4:$B$2003,$B613)=0,"first day",IF(SUMIFS($M$4:$M$2003,$A$4:$A$2003,$A613-1,$B$4:$B$2003,$B613)=$J613,"OK","CHECK")))</f>
        <v/>
      </c>
      <c r="T613" s="10" t="str">
        <f aca="false">IF($B613="","",IFERROR(INDEX(Drinks!$D$4:$D$53,MATCH($B613,Drinks!$A$4:$A$53,0)),0))</f>
        <v/>
      </c>
    </row>
    <row r="614" customFormat="false" ht="15" hidden="false" customHeight="false" outlineLevel="0" collapsed="false">
      <c r="A614" s="22"/>
      <c r="B614" s="9"/>
      <c r="C614" s="9"/>
      <c r="D614" s="9"/>
      <c r="E614" s="9"/>
      <c r="F614" s="10" t="str">
        <f aca="false">IF($B614="","",$C614+$D614-$E614)</f>
        <v/>
      </c>
      <c r="G614" s="10" t="str">
        <f aca="false">IF($B614="","",IFERROR(INDEX(Drinks!$C$4:$C$53,MATCH($B614,Drinks!$A$4:$A$53,0)),0))</f>
        <v/>
      </c>
      <c r="H614" s="10" t="str">
        <f aca="false">IF($B614="","",$D614*$G614)</f>
        <v/>
      </c>
      <c r="I614" s="10" t="str">
        <f aca="false">IF($B614="","",$F614*$G614)</f>
        <v/>
      </c>
      <c r="J614" s="9"/>
      <c r="K614" s="10" t="str">
        <f aca="false">IF($B614="","",$E614*IFERROR(INDEX(Drinks!$B$4:$B$53,MATCH($B614,Drinks!$A$4:$A$53,0)),0))</f>
        <v/>
      </c>
      <c r="L614" s="10" t="str">
        <f aca="false">IF($B614="","",$J614+$K614)</f>
        <v/>
      </c>
      <c r="M614" s="9"/>
      <c r="N614" s="10" t="str">
        <f aca="false">IF($B614="","",$L614-$M614)</f>
        <v/>
      </c>
      <c r="O614" s="10" t="str">
        <f aca="false">IF($B614="","",IFERROR(INDEX(Drinks!$E$4:$E$53,MATCH($B614,Drinks!$A$4:$A$53,0)),0))</f>
        <v/>
      </c>
      <c r="P614" s="10" t="str">
        <f aca="false">IF($B614="","",$N614*$O614)</f>
        <v/>
      </c>
      <c r="Q614" s="10" t="str">
        <f aca="false">IF($B614="","",$N614*IFERROR(INDEX(Drinks!$D$4:$D$53,MATCH($B614,Drinks!$A$4:$A$53,0)),0))</f>
        <v/>
      </c>
      <c r="R614" s="10" t="str">
        <f aca="false">IF($B614="","",$P614-$Q614)</f>
        <v/>
      </c>
      <c r="S614" s="23" t="str">
        <f aca="false">IF($B614="","",IF(COUNTIFS($A$4:$A$2003,$A614-1,$B$4:$B$2003,$B614)=0,"first day",IF(SUMIFS($M$4:$M$2003,$A$4:$A$2003,$A614-1,$B$4:$B$2003,$B614)=$J614,"OK","CHECK")))</f>
        <v/>
      </c>
      <c r="T614" s="10" t="str">
        <f aca="false">IF($B614="","",IFERROR(INDEX(Drinks!$D$4:$D$53,MATCH($B614,Drinks!$A$4:$A$53,0)),0))</f>
        <v/>
      </c>
    </row>
    <row r="615" customFormat="false" ht="15" hidden="false" customHeight="false" outlineLevel="0" collapsed="false">
      <c r="A615" s="22"/>
      <c r="B615" s="9"/>
      <c r="C615" s="9"/>
      <c r="D615" s="9"/>
      <c r="E615" s="9"/>
      <c r="F615" s="10" t="str">
        <f aca="false">IF($B615="","",$C615+$D615-$E615)</f>
        <v/>
      </c>
      <c r="G615" s="10" t="str">
        <f aca="false">IF($B615="","",IFERROR(INDEX(Drinks!$C$4:$C$53,MATCH($B615,Drinks!$A$4:$A$53,0)),0))</f>
        <v/>
      </c>
      <c r="H615" s="10" t="str">
        <f aca="false">IF($B615="","",$D615*$G615)</f>
        <v/>
      </c>
      <c r="I615" s="10" t="str">
        <f aca="false">IF($B615="","",$F615*$G615)</f>
        <v/>
      </c>
      <c r="J615" s="9"/>
      <c r="K615" s="10" t="str">
        <f aca="false">IF($B615="","",$E615*IFERROR(INDEX(Drinks!$B$4:$B$53,MATCH($B615,Drinks!$A$4:$A$53,0)),0))</f>
        <v/>
      </c>
      <c r="L615" s="10" t="str">
        <f aca="false">IF($B615="","",$J615+$K615)</f>
        <v/>
      </c>
      <c r="M615" s="9"/>
      <c r="N615" s="10" t="str">
        <f aca="false">IF($B615="","",$L615-$M615)</f>
        <v/>
      </c>
      <c r="O615" s="10" t="str">
        <f aca="false">IF($B615="","",IFERROR(INDEX(Drinks!$E$4:$E$53,MATCH($B615,Drinks!$A$4:$A$53,0)),0))</f>
        <v/>
      </c>
      <c r="P615" s="10" t="str">
        <f aca="false">IF($B615="","",$N615*$O615)</f>
        <v/>
      </c>
      <c r="Q615" s="10" t="str">
        <f aca="false">IF($B615="","",$N615*IFERROR(INDEX(Drinks!$D$4:$D$53,MATCH($B615,Drinks!$A$4:$A$53,0)),0))</f>
        <v/>
      </c>
      <c r="R615" s="10" t="str">
        <f aca="false">IF($B615="","",$P615-$Q615)</f>
        <v/>
      </c>
      <c r="S615" s="23" t="str">
        <f aca="false">IF($B615="","",IF(COUNTIFS($A$4:$A$2003,$A615-1,$B$4:$B$2003,$B615)=0,"first day",IF(SUMIFS($M$4:$M$2003,$A$4:$A$2003,$A615-1,$B$4:$B$2003,$B615)=$J615,"OK","CHECK")))</f>
        <v/>
      </c>
      <c r="T615" s="10" t="str">
        <f aca="false">IF($B615="","",IFERROR(INDEX(Drinks!$D$4:$D$53,MATCH($B615,Drinks!$A$4:$A$53,0)),0))</f>
        <v/>
      </c>
    </row>
    <row r="616" customFormat="false" ht="15" hidden="false" customHeight="false" outlineLevel="0" collapsed="false">
      <c r="A616" s="22"/>
      <c r="B616" s="9"/>
      <c r="C616" s="9"/>
      <c r="D616" s="9"/>
      <c r="E616" s="9"/>
      <c r="F616" s="10" t="str">
        <f aca="false">IF($B616="","",$C616+$D616-$E616)</f>
        <v/>
      </c>
      <c r="G616" s="10" t="str">
        <f aca="false">IF($B616="","",IFERROR(INDEX(Drinks!$C$4:$C$53,MATCH($B616,Drinks!$A$4:$A$53,0)),0))</f>
        <v/>
      </c>
      <c r="H616" s="10" t="str">
        <f aca="false">IF($B616="","",$D616*$G616)</f>
        <v/>
      </c>
      <c r="I616" s="10" t="str">
        <f aca="false">IF($B616="","",$F616*$G616)</f>
        <v/>
      </c>
      <c r="J616" s="9"/>
      <c r="K616" s="10" t="str">
        <f aca="false">IF($B616="","",$E616*IFERROR(INDEX(Drinks!$B$4:$B$53,MATCH($B616,Drinks!$A$4:$A$53,0)),0))</f>
        <v/>
      </c>
      <c r="L616" s="10" t="str">
        <f aca="false">IF($B616="","",$J616+$K616)</f>
        <v/>
      </c>
      <c r="M616" s="9"/>
      <c r="N616" s="10" t="str">
        <f aca="false">IF($B616="","",$L616-$M616)</f>
        <v/>
      </c>
      <c r="O616" s="10" t="str">
        <f aca="false">IF($B616="","",IFERROR(INDEX(Drinks!$E$4:$E$53,MATCH($B616,Drinks!$A$4:$A$53,0)),0))</f>
        <v/>
      </c>
      <c r="P616" s="10" t="str">
        <f aca="false">IF($B616="","",$N616*$O616)</f>
        <v/>
      </c>
      <c r="Q616" s="10" t="str">
        <f aca="false">IF($B616="","",$N616*IFERROR(INDEX(Drinks!$D$4:$D$53,MATCH($B616,Drinks!$A$4:$A$53,0)),0))</f>
        <v/>
      </c>
      <c r="R616" s="10" t="str">
        <f aca="false">IF($B616="","",$P616-$Q616)</f>
        <v/>
      </c>
      <c r="S616" s="23" t="str">
        <f aca="false">IF($B616="","",IF(COUNTIFS($A$4:$A$2003,$A616-1,$B$4:$B$2003,$B616)=0,"first day",IF(SUMIFS($M$4:$M$2003,$A$4:$A$2003,$A616-1,$B$4:$B$2003,$B616)=$J616,"OK","CHECK")))</f>
        <v/>
      </c>
      <c r="T616" s="10" t="str">
        <f aca="false">IF($B616="","",IFERROR(INDEX(Drinks!$D$4:$D$53,MATCH($B616,Drinks!$A$4:$A$53,0)),0))</f>
        <v/>
      </c>
    </row>
    <row r="617" customFormat="false" ht="15" hidden="false" customHeight="false" outlineLevel="0" collapsed="false">
      <c r="A617" s="22"/>
      <c r="B617" s="9"/>
      <c r="C617" s="9"/>
      <c r="D617" s="9"/>
      <c r="E617" s="9"/>
      <c r="F617" s="10" t="str">
        <f aca="false">IF($B617="","",$C617+$D617-$E617)</f>
        <v/>
      </c>
      <c r="G617" s="10" t="str">
        <f aca="false">IF($B617="","",IFERROR(INDEX(Drinks!$C$4:$C$53,MATCH($B617,Drinks!$A$4:$A$53,0)),0))</f>
        <v/>
      </c>
      <c r="H617" s="10" t="str">
        <f aca="false">IF($B617="","",$D617*$G617)</f>
        <v/>
      </c>
      <c r="I617" s="10" t="str">
        <f aca="false">IF($B617="","",$F617*$G617)</f>
        <v/>
      </c>
      <c r="J617" s="9"/>
      <c r="K617" s="10" t="str">
        <f aca="false">IF($B617="","",$E617*IFERROR(INDEX(Drinks!$B$4:$B$53,MATCH($B617,Drinks!$A$4:$A$53,0)),0))</f>
        <v/>
      </c>
      <c r="L617" s="10" t="str">
        <f aca="false">IF($B617="","",$J617+$K617)</f>
        <v/>
      </c>
      <c r="M617" s="9"/>
      <c r="N617" s="10" t="str">
        <f aca="false">IF($B617="","",$L617-$M617)</f>
        <v/>
      </c>
      <c r="O617" s="10" t="str">
        <f aca="false">IF($B617="","",IFERROR(INDEX(Drinks!$E$4:$E$53,MATCH($B617,Drinks!$A$4:$A$53,0)),0))</f>
        <v/>
      </c>
      <c r="P617" s="10" t="str">
        <f aca="false">IF($B617="","",$N617*$O617)</f>
        <v/>
      </c>
      <c r="Q617" s="10" t="str">
        <f aca="false">IF($B617="","",$N617*IFERROR(INDEX(Drinks!$D$4:$D$53,MATCH($B617,Drinks!$A$4:$A$53,0)),0))</f>
        <v/>
      </c>
      <c r="R617" s="10" t="str">
        <f aca="false">IF($B617="","",$P617-$Q617)</f>
        <v/>
      </c>
      <c r="S617" s="23" t="str">
        <f aca="false">IF($B617="","",IF(COUNTIFS($A$4:$A$2003,$A617-1,$B$4:$B$2003,$B617)=0,"first day",IF(SUMIFS($M$4:$M$2003,$A$4:$A$2003,$A617-1,$B$4:$B$2003,$B617)=$J617,"OK","CHECK")))</f>
        <v/>
      </c>
      <c r="T617" s="10" t="str">
        <f aca="false">IF($B617="","",IFERROR(INDEX(Drinks!$D$4:$D$53,MATCH($B617,Drinks!$A$4:$A$53,0)),0))</f>
        <v/>
      </c>
    </row>
    <row r="618" customFormat="false" ht="15" hidden="false" customHeight="false" outlineLevel="0" collapsed="false">
      <c r="A618" s="22"/>
      <c r="B618" s="9"/>
      <c r="C618" s="9"/>
      <c r="D618" s="9"/>
      <c r="E618" s="9"/>
      <c r="F618" s="10" t="str">
        <f aca="false">IF($B618="","",$C618+$D618-$E618)</f>
        <v/>
      </c>
      <c r="G618" s="10" t="str">
        <f aca="false">IF($B618="","",IFERROR(INDEX(Drinks!$C$4:$C$53,MATCH($B618,Drinks!$A$4:$A$53,0)),0))</f>
        <v/>
      </c>
      <c r="H618" s="10" t="str">
        <f aca="false">IF($B618="","",$D618*$G618)</f>
        <v/>
      </c>
      <c r="I618" s="10" t="str">
        <f aca="false">IF($B618="","",$F618*$G618)</f>
        <v/>
      </c>
      <c r="J618" s="9"/>
      <c r="K618" s="10" t="str">
        <f aca="false">IF($B618="","",$E618*IFERROR(INDEX(Drinks!$B$4:$B$53,MATCH($B618,Drinks!$A$4:$A$53,0)),0))</f>
        <v/>
      </c>
      <c r="L618" s="10" t="str">
        <f aca="false">IF($B618="","",$J618+$K618)</f>
        <v/>
      </c>
      <c r="M618" s="9"/>
      <c r="N618" s="10" t="str">
        <f aca="false">IF($B618="","",$L618-$M618)</f>
        <v/>
      </c>
      <c r="O618" s="10" t="str">
        <f aca="false">IF($B618="","",IFERROR(INDEX(Drinks!$E$4:$E$53,MATCH($B618,Drinks!$A$4:$A$53,0)),0))</f>
        <v/>
      </c>
      <c r="P618" s="10" t="str">
        <f aca="false">IF($B618="","",$N618*$O618)</f>
        <v/>
      </c>
      <c r="Q618" s="10" t="str">
        <f aca="false">IF($B618="","",$N618*IFERROR(INDEX(Drinks!$D$4:$D$53,MATCH($B618,Drinks!$A$4:$A$53,0)),0))</f>
        <v/>
      </c>
      <c r="R618" s="10" t="str">
        <f aca="false">IF($B618="","",$P618-$Q618)</f>
        <v/>
      </c>
      <c r="S618" s="23" t="str">
        <f aca="false">IF($B618="","",IF(COUNTIFS($A$4:$A$2003,$A618-1,$B$4:$B$2003,$B618)=0,"first day",IF(SUMIFS($M$4:$M$2003,$A$4:$A$2003,$A618-1,$B$4:$B$2003,$B618)=$J618,"OK","CHECK")))</f>
        <v/>
      </c>
      <c r="T618" s="10" t="str">
        <f aca="false">IF($B618="","",IFERROR(INDEX(Drinks!$D$4:$D$53,MATCH($B618,Drinks!$A$4:$A$53,0)),0))</f>
        <v/>
      </c>
    </row>
    <row r="619" customFormat="false" ht="15" hidden="false" customHeight="false" outlineLevel="0" collapsed="false">
      <c r="A619" s="22"/>
      <c r="B619" s="9"/>
      <c r="C619" s="9"/>
      <c r="D619" s="9"/>
      <c r="E619" s="9"/>
      <c r="F619" s="10" t="str">
        <f aca="false">IF($B619="","",$C619+$D619-$E619)</f>
        <v/>
      </c>
      <c r="G619" s="10" t="str">
        <f aca="false">IF($B619="","",IFERROR(INDEX(Drinks!$C$4:$C$53,MATCH($B619,Drinks!$A$4:$A$53,0)),0))</f>
        <v/>
      </c>
      <c r="H619" s="10" t="str">
        <f aca="false">IF($B619="","",$D619*$G619)</f>
        <v/>
      </c>
      <c r="I619" s="10" t="str">
        <f aca="false">IF($B619="","",$F619*$G619)</f>
        <v/>
      </c>
      <c r="J619" s="9"/>
      <c r="K619" s="10" t="str">
        <f aca="false">IF($B619="","",$E619*IFERROR(INDEX(Drinks!$B$4:$B$53,MATCH($B619,Drinks!$A$4:$A$53,0)),0))</f>
        <v/>
      </c>
      <c r="L619" s="10" t="str">
        <f aca="false">IF($B619="","",$J619+$K619)</f>
        <v/>
      </c>
      <c r="M619" s="9"/>
      <c r="N619" s="10" t="str">
        <f aca="false">IF($B619="","",$L619-$M619)</f>
        <v/>
      </c>
      <c r="O619" s="10" t="str">
        <f aca="false">IF($B619="","",IFERROR(INDEX(Drinks!$E$4:$E$53,MATCH($B619,Drinks!$A$4:$A$53,0)),0))</f>
        <v/>
      </c>
      <c r="P619" s="10" t="str">
        <f aca="false">IF($B619="","",$N619*$O619)</f>
        <v/>
      </c>
      <c r="Q619" s="10" t="str">
        <f aca="false">IF($B619="","",$N619*IFERROR(INDEX(Drinks!$D$4:$D$53,MATCH($B619,Drinks!$A$4:$A$53,0)),0))</f>
        <v/>
      </c>
      <c r="R619" s="10" t="str">
        <f aca="false">IF($B619="","",$P619-$Q619)</f>
        <v/>
      </c>
      <c r="S619" s="23" t="str">
        <f aca="false">IF($B619="","",IF(COUNTIFS($A$4:$A$2003,$A619-1,$B$4:$B$2003,$B619)=0,"first day",IF(SUMIFS($M$4:$M$2003,$A$4:$A$2003,$A619-1,$B$4:$B$2003,$B619)=$J619,"OK","CHECK")))</f>
        <v/>
      </c>
      <c r="T619" s="10" t="str">
        <f aca="false">IF($B619="","",IFERROR(INDEX(Drinks!$D$4:$D$53,MATCH($B619,Drinks!$A$4:$A$53,0)),0))</f>
        <v/>
      </c>
    </row>
    <row r="620" customFormat="false" ht="15" hidden="false" customHeight="false" outlineLevel="0" collapsed="false">
      <c r="A620" s="22"/>
      <c r="B620" s="9"/>
      <c r="C620" s="9"/>
      <c r="D620" s="9"/>
      <c r="E620" s="9"/>
      <c r="F620" s="10" t="str">
        <f aca="false">IF($B620="","",$C620+$D620-$E620)</f>
        <v/>
      </c>
      <c r="G620" s="10" t="str">
        <f aca="false">IF($B620="","",IFERROR(INDEX(Drinks!$C$4:$C$53,MATCH($B620,Drinks!$A$4:$A$53,0)),0))</f>
        <v/>
      </c>
      <c r="H620" s="10" t="str">
        <f aca="false">IF($B620="","",$D620*$G620)</f>
        <v/>
      </c>
      <c r="I620" s="10" t="str">
        <f aca="false">IF($B620="","",$F620*$G620)</f>
        <v/>
      </c>
      <c r="J620" s="9"/>
      <c r="K620" s="10" t="str">
        <f aca="false">IF($B620="","",$E620*IFERROR(INDEX(Drinks!$B$4:$B$53,MATCH($B620,Drinks!$A$4:$A$53,0)),0))</f>
        <v/>
      </c>
      <c r="L620" s="10" t="str">
        <f aca="false">IF($B620="","",$J620+$K620)</f>
        <v/>
      </c>
      <c r="M620" s="9"/>
      <c r="N620" s="10" t="str">
        <f aca="false">IF($B620="","",$L620-$M620)</f>
        <v/>
      </c>
      <c r="O620" s="10" t="str">
        <f aca="false">IF($B620="","",IFERROR(INDEX(Drinks!$E$4:$E$53,MATCH($B620,Drinks!$A$4:$A$53,0)),0))</f>
        <v/>
      </c>
      <c r="P620" s="10" t="str">
        <f aca="false">IF($B620="","",$N620*$O620)</f>
        <v/>
      </c>
      <c r="Q620" s="10" t="str">
        <f aca="false">IF($B620="","",$N620*IFERROR(INDEX(Drinks!$D$4:$D$53,MATCH($B620,Drinks!$A$4:$A$53,0)),0))</f>
        <v/>
      </c>
      <c r="R620" s="10" t="str">
        <f aca="false">IF($B620="","",$P620-$Q620)</f>
        <v/>
      </c>
      <c r="S620" s="23" t="str">
        <f aca="false">IF($B620="","",IF(COUNTIFS($A$4:$A$2003,$A620-1,$B$4:$B$2003,$B620)=0,"first day",IF(SUMIFS($M$4:$M$2003,$A$4:$A$2003,$A620-1,$B$4:$B$2003,$B620)=$J620,"OK","CHECK")))</f>
        <v/>
      </c>
      <c r="T620" s="10" t="str">
        <f aca="false">IF($B620="","",IFERROR(INDEX(Drinks!$D$4:$D$53,MATCH($B620,Drinks!$A$4:$A$53,0)),0))</f>
        <v/>
      </c>
    </row>
    <row r="621" customFormat="false" ht="15" hidden="false" customHeight="false" outlineLevel="0" collapsed="false">
      <c r="A621" s="22"/>
      <c r="B621" s="9"/>
      <c r="C621" s="9"/>
      <c r="D621" s="9"/>
      <c r="E621" s="9"/>
      <c r="F621" s="10" t="str">
        <f aca="false">IF($B621="","",$C621+$D621-$E621)</f>
        <v/>
      </c>
      <c r="G621" s="10" t="str">
        <f aca="false">IF($B621="","",IFERROR(INDEX(Drinks!$C$4:$C$53,MATCH($B621,Drinks!$A$4:$A$53,0)),0))</f>
        <v/>
      </c>
      <c r="H621" s="10" t="str">
        <f aca="false">IF($B621="","",$D621*$G621)</f>
        <v/>
      </c>
      <c r="I621" s="10" t="str">
        <f aca="false">IF($B621="","",$F621*$G621)</f>
        <v/>
      </c>
      <c r="J621" s="9"/>
      <c r="K621" s="10" t="str">
        <f aca="false">IF($B621="","",$E621*IFERROR(INDEX(Drinks!$B$4:$B$53,MATCH($B621,Drinks!$A$4:$A$53,0)),0))</f>
        <v/>
      </c>
      <c r="L621" s="10" t="str">
        <f aca="false">IF($B621="","",$J621+$K621)</f>
        <v/>
      </c>
      <c r="M621" s="9"/>
      <c r="N621" s="10" t="str">
        <f aca="false">IF($B621="","",$L621-$M621)</f>
        <v/>
      </c>
      <c r="O621" s="10" t="str">
        <f aca="false">IF($B621="","",IFERROR(INDEX(Drinks!$E$4:$E$53,MATCH($B621,Drinks!$A$4:$A$53,0)),0))</f>
        <v/>
      </c>
      <c r="P621" s="10" t="str">
        <f aca="false">IF($B621="","",$N621*$O621)</f>
        <v/>
      </c>
      <c r="Q621" s="10" t="str">
        <f aca="false">IF($B621="","",$N621*IFERROR(INDEX(Drinks!$D$4:$D$53,MATCH($B621,Drinks!$A$4:$A$53,0)),0))</f>
        <v/>
      </c>
      <c r="R621" s="10" t="str">
        <f aca="false">IF($B621="","",$P621-$Q621)</f>
        <v/>
      </c>
      <c r="S621" s="23" t="str">
        <f aca="false">IF($B621="","",IF(COUNTIFS($A$4:$A$2003,$A621-1,$B$4:$B$2003,$B621)=0,"first day",IF(SUMIFS($M$4:$M$2003,$A$4:$A$2003,$A621-1,$B$4:$B$2003,$B621)=$J621,"OK","CHECK")))</f>
        <v/>
      </c>
      <c r="T621" s="10" t="str">
        <f aca="false">IF($B621="","",IFERROR(INDEX(Drinks!$D$4:$D$53,MATCH($B621,Drinks!$A$4:$A$53,0)),0))</f>
        <v/>
      </c>
    </row>
    <row r="622" customFormat="false" ht="15" hidden="false" customHeight="false" outlineLevel="0" collapsed="false">
      <c r="A622" s="22"/>
      <c r="B622" s="9"/>
      <c r="C622" s="9"/>
      <c r="D622" s="9"/>
      <c r="E622" s="9"/>
      <c r="F622" s="10" t="str">
        <f aca="false">IF($B622="","",$C622+$D622-$E622)</f>
        <v/>
      </c>
      <c r="G622" s="10" t="str">
        <f aca="false">IF($B622="","",IFERROR(INDEX(Drinks!$C$4:$C$53,MATCH($B622,Drinks!$A$4:$A$53,0)),0))</f>
        <v/>
      </c>
      <c r="H622" s="10" t="str">
        <f aca="false">IF($B622="","",$D622*$G622)</f>
        <v/>
      </c>
      <c r="I622" s="10" t="str">
        <f aca="false">IF($B622="","",$F622*$G622)</f>
        <v/>
      </c>
      <c r="J622" s="9"/>
      <c r="K622" s="10" t="str">
        <f aca="false">IF($B622="","",$E622*IFERROR(INDEX(Drinks!$B$4:$B$53,MATCH($B622,Drinks!$A$4:$A$53,0)),0))</f>
        <v/>
      </c>
      <c r="L622" s="10" t="str">
        <f aca="false">IF($B622="","",$J622+$K622)</f>
        <v/>
      </c>
      <c r="M622" s="9"/>
      <c r="N622" s="10" t="str">
        <f aca="false">IF($B622="","",$L622-$M622)</f>
        <v/>
      </c>
      <c r="O622" s="10" t="str">
        <f aca="false">IF($B622="","",IFERROR(INDEX(Drinks!$E$4:$E$53,MATCH($B622,Drinks!$A$4:$A$53,0)),0))</f>
        <v/>
      </c>
      <c r="P622" s="10" t="str">
        <f aca="false">IF($B622="","",$N622*$O622)</f>
        <v/>
      </c>
      <c r="Q622" s="10" t="str">
        <f aca="false">IF($B622="","",$N622*IFERROR(INDEX(Drinks!$D$4:$D$53,MATCH($B622,Drinks!$A$4:$A$53,0)),0))</f>
        <v/>
      </c>
      <c r="R622" s="10" t="str">
        <f aca="false">IF($B622="","",$P622-$Q622)</f>
        <v/>
      </c>
      <c r="S622" s="23" t="str">
        <f aca="false">IF($B622="","",IF(COUNTIFS($A$4:$A$2003,$A622-1,$B$4:$B$2003,$B622)=0,"first day",IF(SUMIFS($M$4:$M$2003,$A$4:$A$2003,$A622-1,$B$4:$B$2003,$B622)=$J622,"OK","CHECK")))</f>
        <v/>
      </c>
      <c r="T622" s="10" t="str">
        <f aca="false">IF($B622="","",IFERROR(INDEX(Drinks!$D$4:$D$53,MATCH($B622,Drinks!$A$4:$A$53,0)),0))</f>
        <v/>
      </c>
    </row>
    <row r="623" customFormat="false" ht="15" hidden="false" customHeight="false" outlineLevel="0" collapsed="false">
      <c r="A623" s="22"/>
      <c r="B623" s="9"/>
      <c r="C623" s="9"/>
      <c r="D623" s="9"/>
      <c r="E623" s="9"/>
      <c r="F623" s="10" t="str">
        <f aca="false">IF($B623="","",$C623+$D623-$E623)</f>
        <v/>
      </c>
      <c r="G623" s="10" t="str">
        <f aca="false">IF($B623="","",IFERROR(INDEX(Drinks!$C$4:$C$53,MATCH($B623,Drinks!$A$4:$A$53,0)),0))</f>
        <v/>
      </c>
      <c r="H623" s="10" t="str">
        <f aca="false">IF($B623="","",$D623*$G623)</f>
        <v/>
      </c>
      <c r="I623" s="10" t="str">
        <f aca="false">IF($B623="","",$F623*$G623)</f>
        <v/>
      </c>
      <c r="J623" s="9"/>
      <c r="K623" s="10" t="str">
        <f aca="false">IF($B623="","",$E623*IFERROR(INDEX(Drinks!$B$4:$B$53,MATCH($B623,Drinks!$A$4:$A$53,0)),0))</f>
        <v/>
      </c>
      <c r="L623" s="10" t="str">
        <f aca="false">IF($B623="","",$J623+$K623)</f>
        <v/>
      </c>
      <c r="M623" s="9"/>
      <c r="N623" s="10" t="str">
        <f aca="false">IF($B623="","",$L623-$M623)</f>
        <v/>
      </c>
      <c r="O623" s="10" t="str">
        <f aca="false">IF($B623="","",IFERROR(INDEX(Drinks!$E$4:$E$53,MATCH($B623,Drinks!$A$4:$A$53,0)),0))</f>
        <v/>
      </c>
      <c r="P623" s="10" t="str">
        <f aca="false">IF($B623="","",$N623*$O623)</f>
        <v/>
      </c>
      <c r="Q623" s="10" t="str">
        <f aca="false">IF($B623="","",$N623*IFERROR(INDEX(Drinks!$D$4:$D$53,MATCH($B623,Drinks!$A$4:$A$53,0)),0))</f>
        <v/>
      </c>
      <c r="R623" s="10" t="str">
        <f aca="false">IF($B623="","",$P623-$Q623)</f>
        <v/>
      </c>
      <c r="S623" s="23" t="str">
        <f aca="false">IF($B623="","",IF(COUNTIFS($A$4:$A$2003,$A623-1,$B$4:$B$2003,$B623)=0,"first day",IF(SUMIFS($M$4:$M$2003,$A$4:$A$2003,$A623-1,$B$4:$B$2003,$B623)=$J623,"OK","CHECK")))</f>
        <v/>
      </c>
      <c r="T623" s="10" t="str">
        <f aca="false">IF($B623="","",IFERROR(INDEX(Drinks!$D$4:$D$53,MATCH($B623,Drinks!$A$4:$A$53,0)),0))</f>
        <v/>
      </c>
    </row>
    <row r="624" customFormat="false" ht="15" hidden="false" customHeight="false" outlineLevel="0" collapsed="false">
      <c r="A624" s="22"/>
      <c r="B624" s="9"/>
      <c r="C624" s="9"/>
      <c r="D624" s="9"/>
      <c r="E624" s="9"/>
      <c r="F624" s="10" t="str">
        <f aca="false">IF($B624="","",$C624+$D624-$E624)</f>
        <v/>
      </c>
      <c r="G624" s="10" t="str">
        <f aca="false">IF($B624="","",IFERROR(INDEX(Drinks!$C$4:$C$53,MATCH($B624,Drinks!$A$4:$A$53,0)),0))</f>
        <v/>
      </c>
      <c r="H624" s="10" t="str">
        <f aca="false">IF($B624="","",$D624*$G624)</f>
        <v/>
      </c>
      <c r="I624" s="10" t="str">
        <f aca="false">IF($B624="","",$F624*$G624)</f>
        <v/>
      </c>
      <c r="J624" s="9"/>
      <c r="K624" s="10" t="str">
        <f aca="false">IF($B624="","",$E624*IFERROR(INDEX(Drinks!$B$4:$B$53,MATCH($B624,Drinks!$A$4:$A$53,0)),0))</f>
        <v/>
      </c>
      <c r="L624" s="10" t="str">
        <f aca="false">IF($B624="","",$J624+$K624)</f>
        <v/>
      </c>
      <c r="M624" s="9"/>
      <c r="N624" s="10" t="str">
        <f aca="false">IF($B624="","",$L624-$M624)</f>
        <v/>
      </c>
      <c r="O624" s="10" t="str">
        <f aca="false">IF($B624="","",IFERROR(INDEX(Drinks!$E$4:$E$53,MATCH($B624,Drinks!$A$4:$A$53,0)),0))</f>
        <v/>
      </c>
      <c r="P624" s="10" t="str">
        <f aca="false">IF($B624="","",$N624*$O624)</f>
        <v/>
      </c>
      <c r="Q624" s="10" t="str">
        <f aca="false">IF($B624="","",$N624*IFERROR(INDEX(Drinks!$D$4:$D$53,MATCH($B624,Drinks!$A$4:$A$53,0)),0))</f>
        <v/>
      </c>
      <c r="R624" s="10" t="str">
        <f aca="false">IF($B624="","",$P624-$Q624)</f>
        <v/>
      </c>
      <c r="S624" s="23" t="str">
        <f aca="false">IF($B624="","",IF(COUNTIFS($A$4:$A$2003,$A624-1,$B$4:$B$2003,$B624)=0,"first day",IF(SUMIFS($M$4:$M$2003,$A$4:$A$2003,$A624-1,$B$4:$B$2003,$B624)=$J624,"OK","CHECK")))</f>
        <v/>
      </c>
      <c r="T624" s="10" t="str">
        <f aca="false">IF($B624="","",IFERROR(INDEX(Drinks!$D$4:$D$53,MATCH($B624,Drinks!$A$4:$A$53,0)),0))</f>
        <v/>
      </c>
    </row>
    <row r="625" customFormat="false" ht="15" hidden="false" customHeight="false" outlineLevel="0" collapsed="false">
      <c r="A625" s="22"/>
      <c r="B625" s="9"/>
      <c r="C625" s="9"/>
      <c r="D625" s="9"/>
      <c r="E625" s="9"/>
      <c r="F625" s="10" t="str">
        <f aca="false">IF($B625="","",$C625+$D625-$E625)</f>
        <v/>
      </c>
      <c r="G625" s="10" t="str">
        <f aca="false">IF($B625="","",IFERROR(INDEX(Drinks!$C$4:$C$53,MATCH($B625,Drinks!$A$4:$A$53,0)),0))</f>
        <v/>
      </c>
      <c r="H625" s="10" t="str">
        <f aca="false">IF($B625="","",$D625*$G625)</f>
        <v/>
      </c>
      <c r="I625" s="10" t="str">
        <f aca="false">IF($B625="","",$F625*$G625)</f>
        <v/>
      </c>
      <c r="J625" s="9"/>
      <c r="K625" s="10" t="str">
        <f aca="false">IF($B625="","",$E625*IFERROR(INDEX(Drinks!$B$4:$B$53,MATCH($B625,Drinks!$A$4:$A$53,0)),0))</f>
        <v/>
      </c>
      <c r="L625" s="10" t="str">
        <f aca="false">IF($B625="","",$J625+$K625)</f>
        <v/>
      </c>
      <c r="M625" s="9"/>
      <c r="N625" s="10" t="str">
        <f aca="false">IF($B625="","",$L625-$M625)</f>
        <v/>
      </c>
      <c r="O625" s="10" t="str">
        <f aca="false">IF($B625="","",IFERROR(INDEX(Drinks!$E$4:$E$53,MATCH($B625,Drinks!$A$4:$A$53,0)),0))</f>
        <v/>
      </c>
      <c r="P625" s="10" t="str">
        <f aca="false">IF($B625="","",$N625*$O625)</f>
        <v/>
      </c>
      <c r="Q625" s="10" t="str">
        <f aca="false">IF($B625="","",$N625*IFERROR(INDEX(Drinks!$D$4:$D$53,MATCH($B625,Drinks!$A$4:$A$53,0)),0))</f>
        <v/>
      </c>
      <c r="R625" s="10" t="str">
        <f aca="false">IF($B625="","",$P625-$Q625)</f>
        <v/>
      </c>
      <c r="S625" s="23" t="str">
        <f aca="false">IF($B625="","",IF(COUNTIFS($A$4:$A$2003,$A625-1,$B$4:$B$2003,$B625)=0,"first day",IF(SUMIFS($M$4:$M$2003,$A$4:$A$2003,$A625-1,$B$4:$B$2003,$B625)=$J625,"OK","CHECK")))</f>
        <v/>
      </c>
      <c r="T625" s="10" t="str">
        <f aca="false">IF($B625="","",IFERROR(INDEX(Drinks!$D$4:$D$53,MATCH($B625,Drinks!$A$4:$A$53,0)),0))</f>
        <v/>
      </c>
    </row>
    <row r="626" customFormat="false" ht="15" hidden="false" customHeight="false" outlineLevel="0" collapsed="false">
      <c r="A626" s="22"/>
      <c r="B626" s="9"/>
      <c r="C626" s="9"/>
      <c r="D626" s="9"/>
      <c r="E626" s="9"/>
      <c r="F626" s="10" t="str">
        <f aca="false">IF($B626="","",$C626+$D626-$E626)</f>
        <v/>
      </c>
      <c r="G626" s="10" t="str">
        <f aca="false">IF($B626="","",IFERROR(INDEX(Drinks!$C$4:$C$53,MATCH($B626,Drinks!$A$4:$A$53,0)),0))</f>
        <v/>
      </c>
      <c r="H626" s="10" t="str">
        <f aca="false">IF($B626="","",$D626*$G626)</f>
        <v/>
      </c>
      <c r="I626" s="10" t="str">
        <f aca="false">IF($B626="","",$F626*$G626)</f>
        <v/>
      </c>
      <c r="J626" s="9"/>
      <c r="K626" s="10" t="str">
        <f aca="false">IF($B626="","",$E626*IFERROR(INDEX(Drinks!$B$4:$B$53,MATCH($B626,Drinks!$A$4:$A$53,0)),0))</f>
        <v/>
      </c>
      <c r="L626" s="10" t="str">
        <f aca="false">IF($B626="","",$J626+$K626)</f>
        <v/>
      </c>
      <c r="M626" s="9"/>
      <c r="N626" s="10" t="str">
        <f aca="false">IF($B626="","",$L626-$M626)</f>
        <v/>
      </c>
      <c r="O626" s="10" t="str">
        <f aca="false">IF($B626="","",IFERROR(INDEX(Drinks!$E$4:$E$53,MATCH($B626,Drinks!$A$4:$A$53,0)),0))</f>
        <v/>
      </c>
      <c r="P626" s="10" t="str">
        <f aca="false">IF($B626="","",$N626*$O626)</f>
        <v/>
      </c>
      <c r="Q626" s="10" t="str">
        <f aca="false">IF($B626="","",$N626*IFERROR(INDEX(Drinks!$D$4:$D$53,MATCH($B626,Drinks!$A$4:$A$53,0)),0))</f>
        <v/>
      </c>
      <c r="R626" s="10" t="str">
        <f aca="false">IF($B626="","",$P626-$Q626)</f>
        <v/>
      </c>
      <c r="S626" s="23" t="str">
        <f aca="false">IF($B626="","",IF(COUNTIFS($A$4:$A$2003,$A626-1,$B$4:$B$2003,$B626)=0,"first day",IF(SUMIFS($M$4:$M$2003,$A$4:$A$2003,$A626-1,$B$4:$B$2003,$B626)=$J626,"OK","CHECK")))</f>
        <v/>
      </c>
      <c r="T626" s="10" t="str">
        <f aca="false">IF($B626="","",IFERROR(INDEX(Drinks!$D$4:$D$53,MATCH($B626,Drinks!$A$4:$A$53,0)),0))</f>
        <v/>
      </c>
    </row>
    <row r="627" customFormat="false" ht="15" hidden="false" customHeight="false" outlineLevel="0" collapsed="false">
      <c r="A627" s="22"/>
      <c r="B627" s="9"/>
      <c r="C627" s="9"/>
      <c r="D627" s="9"/>
      <c r="E627" s="9"/>
      <c r="F627" s="10" t="str">
        <f aca="false">IF($B627="","",$C627+$D627-$E627)</f>
        <v/>
      </c>
      <c r="G627" s="10" t="str">
        <f aca="false">IF($B627="","",IFERROR(INDEX(Drinks!$C$4:$C$53,MATCH($B627,Drinks!$A$4:$A$53,0)),0))</f>
        <v/>
      </c>
      <c r="H627" s="10" t="str">
        <f aca="false">IF($B627="","",$D627*$G627)</f>
        <v/>
      </c>
      <c r="I627" s="10" t="str">
        <f aca="false">IF($B627="","",$F627*$G627)</f>
        <v/>
      </c>
      <c r="J627" s="9"/>
      <c r="K627" s="10" t="str">
        <f aca="false">IF($B627="","",$E627*IFERROR(INDEX(Drinks!$B$4:$B$53,MATCH($B627,Drinks!$A$4:$A$53,0)),0))</f>
        <v/>
      </c>
      <c r="L627" s="10" t="str">
        <f aca="false">IF($B627="","",$J627+$K627)</f>
        <v/>
      </c>
      <c r="M627" s="9"/>
      <c r="N627" s="10" t="str">
        <f aca="false">IF($B627="","",$L627-$M627)</f>
        <v/>
      </c>
      <c r="O627" s="10" t="str">
        <f aca="false">IF($B627="","",IFERROR(INDEX(Drinks!$E$4:$E$53,MATCH($B627,Drinks!$A$4:$A$53,0)),0))</f>
        <v/>
      </c>
      <c r="P627" s="10" t="str">
        <f aca="false">IF($B627="","",$N627*$O627)</f>
        <v/>
      </c>
      <c r="Q627" s="10" t="str">
        <f aca="false">IF($B627="","",$N627*IFERROR(INDEX(Drinks!$D$4:$D$53,MATCH($B627,Drinks!$A$4:$A$53,0)),0))</f>
        <v/>
      </c>
      <c r="R627" s="10" t="str">
        <f aca="false">IF($B627="","",$P627-$Q627)</f>
        <v/>
      </c>
      <c r="S627" s="23" t="str">
        <f aca="false">IF($B627="","",IF(COUNTIFS($A$4:$A$2003,$A627-1,$B$4:$B$2003,$B627)=0,"first day",IF(SUMIFS($M$4:$M$2003,$A$4:$A$2003,$A627-1,$B$4:$B$2003,$B627)=$J627,"OK","CHECK")))</f>
        <v/>
      </c>
      <c r="T627" s="10" t="str">
        <f aca="false">IF($B627="","",IFERROR(INDEX(Drinks!$D$4:$D$53,MATCH($B627,Drinks!$A$4:$A$53,0)),0))</f>
        <v/>
      </c>
    </row>
    <row r="628" customFormat="false" ht="15" hidden="false" customHeight="false" outlineLevel="0" collapsed="false">
      <c r="A628" s="22"/>
      <c r="B628" s="9"/>
      <c r="C628" s="9"/>
      <c r="D628" s="9"/>
      <c r="E628" s="9"/>
      <c r="F628" s="10" t="str">
        <f aca="false">IF($B628="","",$C628+$D628-$E628)</f>
        <v/>
      </c>
      <c r="G628" s="10" t="str">
        <f aca="false">IF($B628="","",IFERROR(INDEX(Drinks!$C$4:$C$53,MATCH($B628,Drinks!$A$4:$A$53,0)),0))</f>
        <v/>
      </c>
      <c r="H628" s="10" t="str">
        <f aca="false">IF($B628="","",$D628*$G628)</f>
        <v/>
      </c>
      <c r="I628" s="10" t="str">
        <f aca="false">IF($B628="","",$F628*$G628)</f>
        <v/>
      </c>
      <c r="J628" s="9"/>
      <c r="K628" s="10" t="str">
        <f aca="false">IF($B628="","",$E628*IFERROR(INDEX(Drinks!$B$4:$B$53,MATCH($B628,Drinks!$A$4:$A$53,0)),0))</f>
        <v/>
      </c>
      <c r="L628" s="10" t="str">
        <f aca="false">IF($B628="","",$J628+$K628)</f>
        <v/>
      </c>
      <c r="M628" s="9"/>
      <c r="N628" s="10" t="str">
        <f aca="false">IF($B628="","",$L628-$M628)</f>
        <v/>
      </c>
      <c r="O628" s="10" t="str">
        <f aca="false">IF($B628="","",IFERROR(INDEX(Drinks!$E$4:$E$53,MATCH($B628,Drinks!$A$4:$A$53,0)),0))</f>
        <v/>
      </c>
      <c r="P628" s="10" t="str">
        <f aca="false">IF($B628="","",$N628*$O628)</f>
        <v/>
      </c>
      <c r="Q628" s="10" t="str">
        <f aca="false">IF($B628="","",$N628*IFERROR(INDEX(Drinks!$D$4:$D$53,MATCH($B628,Drinks!$A$4:$A$53,0)),0))</f>
        <v/>
      </c>
      <c r="R628" s="10" t="str">
        <f aca="false">IF($B628="","",$P628-$Q628)</f>
        <v/>
      </c>
      <c r="S628" s="23" t="str">
        <f aca="false">IF($B628="","",IF(COUNTIFS($A$4:$A$2003,$A628-1,$B$4:$B$2003,$B628)=0,"first day",IF(SUMIFS($M$4:$M$2003,$A$4:$A$2003,$A628-1,$B$4:$B$2003,$B628)=$J628,"OK","CHECK")))</f>
        <v/>
      </c>
      <c r="T628" s="10" t="str">
        <f aca="false">IF($B628="","",IFERROR(INDEX(Drinks!$D$4:$D$53,MATCH($B628,Drinks!$A$4:$A$53,0)),0))</f>
        <v/>
      </c>
    </row>
    <row r="629" customFormat="false" ht="15" hidden="false" customHeight="false" outlineLevel="0" collapsed="false">
      <c r="A629" s="22"/>
      <c r="B629" s="9"/>
      <c r="C629" s="9"/>
      <c r="D629" s="9"/>
      <c r="E629" s="9"/>
      <c r="F629" s="10" t="str">
        <f aca="false">IF($B629="","",$C629+$D629-$E629)</f>
        <v/>
      </c>
      <c r="G629" s="10" t="str">
        <f aca="false">IF($B629="","",IFERROR(INDEX(Drinks!$C$4:$C$53,MATCH($B629,Drinks!$A$4:$A$53,0)),0))</f>
        <v/>
      </c>
      <c r="H629" s="10" t="str">
        <f aca="false">IF($B629="","",$D629*$G629)</f>
        <v/>
      </c>
      <c r="I629" s="10" t="str">
        <f aca="false">IF($B629="","",$F629*$G629)</f>
        <v/>
      </c>
      <c r="J629" s="9"/>
      <c r="K629" s="10" t="str">
        <f aca="false">IF($B629="","",$E629*IFERROR(INDEX(Drinks!$B$4:$B$53,MATCH($B629,Drinks!$A$4:$A$53,0)),0))</f>
        <v/>
      </c>
      <c r="L629" s="10" t="str">
        <f aca="false">IF($B629="","",$J629+$K629)</f>
        <v/>
      </c>
      <c r="M629" s="9"/>
      <c r="N629" s="10" t="str">
        <f aca="false">IF($B629="","",$L629-$M629)</f>
        <v/>
      </c>
      <c r="O629" s="10" t="str">
        <f aca="false">IF($B629="","",IFERROR(INDEX(Drinks!$E$4:$E$53,MATCH($B629,Drinks!$A$4:$A$53,0)),0))</f>
        <v/>
      </c>
      <c r="P629" s="10" t="str">
        <f aca="false">IF($B629="","",$N629*$O629)</f>
        <v/>
      </c>
      <c r="Q629" s="10" t="str">
        <f aca="false">IF($B629="","",$N629*IFERROR(INDEX(Drinks!$D$4:$D$53,MATCH($B629,Drinks!$A$4:$A$53,0)),0))</f>
        <v/>
      </c>
      <c r="R629" s="10" t="str">
        <f aca="false">IF($B629="","",$P629-$Q629)</f>
        <v/>
      </c>
      <c r="S629" s="23" t="str">
        <f aca="false">IF($B629="","",IF(COUNTIFS($A$4:$A$2003,$A629-1,$B$4:$B$2003,$B629)=0,"first day",IF(SUMIFS($M$4:$M$2003,$A$4:$A$2003,$A629-1,$B$4:$B$2003,$B629)=$J629,"OK","CHECK")))</f>
        <v/>
      </c>
      <c r="T629" s="10" t="str">
        <f aca="false">IF($B629="","",IFERROR(INDEX(Drinks!$D$4:$D$53,MATCH($B629,Drinks!$A$4:$A$53,0)),0))</f>
        <v/>
      </c>
    </row>
    <row r="630" customFormat="false" ht="15" hidden="false" customHeight="false" outlineLevel="0" collapsed="false">
      <c r="A630" s="22"/>
      <c r="B630" s="9"/>
      <c r="C630" s="9"/>
      <c r="D630" s="9"/>
      <c r="E630" s="9"/>
      <c r="F630" s="10" t="str">
        <f aca="false">IF($B630="","",$C630+$D630-$E630)</f>
        <v/>
      </c>
      <c r="G630" s="10" t="str">
        <f aca="false">IF($B630="","",IFERROR(INDEX(Drinks!$C$4:$C$53,MATCH($B630,Drinks!$A$4:$A$53,0)),0))</f>
        <v/>
      </c>
      <c r="H630" s="10" t="str">
        <f aca="false">IF($B630="","",$D630*$G630)</f>
        <v/>
      </c>
      <c r="I630" s="10" t="str">
        <f aca="false">IF($B630="","",$F630*$G630)</f>
        <v/>
      </c>
      <c r="J630" s="9"/>
      <c r="K630" s="10" t="str">
        <f aca="false">IF($B630="","",$E630*IFERROR(INDEX(Drinks!$B$4:$B$53,MATCH($B630,Drinks!$A$4:$A$53,0)),0))</f>
        <v/>
      </c>
      <c r="L630" s="10" t="str">
        <f aca="false">IF($B630="","",$J630+$K630)</f>
        <v/>
      </c>
      <c r="M630" s="9"/>
      <c r="N630" s="10" t="str">
        <f aca="false">IF($B630="","",$L630-$M630)</f>
        <v/>
      </c>
      <c r="O630" s="10" t="str">
        <f aca="false">IF($B630="","",IFERROR(INDEX(Drinks!$E$4:$E$53,MATCH($B630,Drinks!$A$4:$A$53,0)),0))</f>
        <v/>
      </c>
      <c r="P630" s="10" t="str">
        <f aca="false">IF($B630="","",$N630*$O630)</f>
        <v/>
      </c>
      <c r="Q630" s="10" t="str">
        <f aca="false">IF($B630="","",$N630*IFERROR(INDEX(Drinks!$D$4:$D$53,MATCH($B630,Drinks!$A$4:$A$53,0)),0))</f>
        <v/>
      </c>
      <c r="R630" s="10" t="str">
        <f aca="false">IF($B630="","",$P630-$Q630)</f>
        <v/>
      </c>
      <c r="S630" s="23" t="str">
        <f aca="false">IF($B630="","",IF(COUNTIFS($A$4:$A$2003,$A630-1,$B$4:$B$2003,$B630)=0,"first day",IF(SUMIFS($M$4:$M$2003,$A$4:$A$2003,$A630-1,$B$4:$B$2003,$B630)=$J630,"OK","CHECK")))</f>
        <v/>
      </c>
      <c r="T630" s="10" t="str">
        <f aca="false">IF($B630="","",IFERROR(INDEX(Drinks!$D$4:$D$53,MATCH($B630,Drinks!$A$4:$A$53,0)),0))</f>
        <v/>
      </c>
    </row>
    <row r="631" customFormat="false" ht="15" hidden="false" customHeight="false" outlineLevel="0" collapsed="false">
      <c r="A631" s="22"/>
      <c r="B631" s="9"/>
      <c r="C631" s="9"/>
      <c r="D631" s="9"/>
      <c r="E631" s="9"/>
      <c r="F631" s="10" t="str">
        <f aca="false">IF($B631="","",$C631+$D631-$E631)</f>
        <v/>
      </c>
      <c r="G631" s="10" t="str">
        <f aca="false">IF($B631="","",IFERROR(INDEX(Drinks!$C$4:$C$53,MATCH($B631,Drinks!$A$4:$A$53,0)),0))</f>
        <v/>
      </c>
      <c r="H631" s="10" t="str">
        <f aca="false">IF($B631="","",$D631*$G631)</f>
        <v/>
      </c>
      <c r="I631" s="10" t="str">
        <f aca="false">IF($B631="","",$F631*$G631)</f>
        <v/>
      </c>
      <c r="J631" s="9"/>
      <c r="K631" s="10" t="str">
        <f aca="false">IF($B631="","",$E631*IFERROR(INDEX(Drinks!$B$4:$B$53,MATCH($B631,Drinks!$A$4:$A$53,0)),0))</f>
        <v/>
      </c>
      <c r="L631" s="10" t="str">
        <f aca="false">IF($B631="","",$J631+$K631)</f>
        <v/>
      </c>
      <c r="M631" s="9"/>
      <c r="N631" s="10" t="str">
        <f aca="false">IF($B631="","",$L631-$M631)</f>
        <v/>
      </c>
      <c r="O631" s="10" t="str">
        <f aca="false">IF($B631="","",IFERROR(INDEX(Drinks!$E$4:$E$53,MATCH($B631,Drinks!$A$4:$A$53,0)),0))</f>
        <v/>
      </c>
      <c r="P631" s="10" t="str">
        <f aca="false">IF($B631="","",$N631*$O631)</f>
        <v/>
      </c>
      <c r="Q631" s="10" t="str">
        <f aca="false">IF($B631="","",$N631*IFERROR(INDEX(Drinks!$D$4:$D$53,MATCH($B631,Drinks!$A$4:$A$53,0)),0))</f>
        <v/>
      </c>
      <c r="R631" s="10" t="str">
        <f aca="false">IF($B631="","",$P631-$Q631)</f>
        <v/>
      </c>
      <c r="S631" s="23" t="str">
        <f aca="false">IF($B631="","",IF(COUNTIFS($A$4:$A$2003,$A631-1,$B$4:$B$2003,$B631)=0,"first day",IF(SUMIFS($M$4:$M$2003,$A$4:$A$2003,$A631-1,$B$4:$B$2003,$B631)=$J631,"OK","CHECK")))</f>
        <v/>
      </c>
      <c r="T631" s="10" t="str">
        <f aca="false">IF($B631="","",IFERROR(INDEX(Drinks!$D$4:$D$53,MATCH($B631,Drinks!$A$4:$A$53,0)),0))</f>
        <v/>
      </c>
    </row>
    <row r="632" customFormat="false" ht="15" hidden="false" customHeight="false" outlineLevel="0" collapsed="false">
      <c r="A632" s="22"/>
      <c r="B632" s="9"/>
      <c r="C632" s="9"/>
      <c r="D632" s="9"/>
      <c r="E632" s="9"/>
      <c r="F632" s="10" t="str">
        <f aca="false">IF($B632="","",$C632+$D632-$E632)</f>
        <v/>
      </c>
      <c r="G632" s="10" t="str">
        <f aca="false">IF($B632="","",IFERROR(INDEX(Drinks!$C$4:$C$53,MATCH($B632,Drinks!$A$4:$A$53,0)),0))</f>
        <v/>
      </c>
      <c r="H632" s="10" t="str">
        <f aca="false">IF($B632="","",$D632*$G632)</f>
        <v/>
      </c>
      <c r="I632" s="10" t="str">
        <f aca="false">IF($B632="","",$F632*$G632)</f>
        <v/>
      </c>
      <c r="J632" s="9"/>
      <c r="K632" s="10" t="str">
        <f aca="false">IF($B632="","",$E632*IFERROR(INDEX(Drinks!$B$4:$B$53,MATCH($B632,Drinks!$A$4:$A$53,0)),0))</f>
        <v/>
      </c>
      <c r="L632" s="10" t="str">
        <f aca="false">IF($B632="","",$J632+$K632)</f>
        <v/>
      </c>
      <c r="M632" s="9"/>
      <c r="N632" s="10" t="str">
        <f aca="false">IF($B632="","",$L632-$M632)</f>
        <v/>
      </c>
      <c r="O632" s="10" t="str">
        <f aca="false">IF($B632="","",IFERROR(INDEX(Drinks!$E$4:$E$53,MATCH($B632,Drinks!$A$4:$A$53,0)),0))</f>
        <v/>
      </c>
      <c r="P632" s="10" t="str">
        <f aca="false">IF($B632="","",$N632*$O632)</f>
        <v/>
      </c>
      <c r="Q632" s="10" t="str">
        <f aca="false">IF($B632="","",$N632*IFERROR(INDEX(Drinks!$D$4:$D$53,MATCH($B632,Drinks!$A$4:$A$53,0)),0))</f>
        <v/>
      </c>
      <c r="R632" s="10" t="str">
        <f aca="false">IF($B632="","",$P632-$Q632)</f>
        <v/>
      </c>
      <c r="S632" s="23" t="str">
        <f aca="false">IF($B632="","",IF(COUNTIFS($A$4:$A$2003,$A632-1,$B$4:$B$2003,$B632)=0,"first day",IF(SUMIFS($M$4:$M$2003,$A$4:$A$2003,$A632-1,$B$4:$B$2003,$B632)=$J632,"OK","CHECK")))</f>
        <v/>
      </c>
      <c r="T632" s="10" t="str">
        <f aca="false">IF($B632="","",IFERROR(INDEX(Drinks!$D$4:$D$53,MATCH($B632,Drinks!$A$4:$A$53,0)),0))</f>
        <v/>
      </c>
    </row>
    <row r="633" customFormat="false" ht="15" hidden="false" customHeight="false" outlineLevel="0" collapsed="false">
      <c r="A633" s="22"/>
      <c r="B633" s="9"/>
      <c r="C633" s="9"/>
      <c r="D633" s="9"/>
      <c r="E633" s="9"/>
      <c r="F633" s="10" t="str">
        <f aca="false">IF($B633="","",$C633+$D633-$E633)</f>
        <v/>
      </c>
      <c r="G633" s="10" t="str">
        <f aca="false">IF($B633="","",IFERROR(INDEX(Drinks!$C$4:$C$53,MATCH($B633,Drinks!$A$4:$A$53,0)),0))</f>
        <v/>
      </c>
      <c r="H633" s="10" t="str">
        <f aca="false">IF($B633="","",$D633*$G633)</f>
        <v/>
      </c>
      <c r="I633" s="10" t="str">
        <f aca="false">IF($B633="","",$F633*$G633)</f>
        <v/>
      </c>
      <c r="J633" s="9"/>
      <c r="K633" s="10" t="str">
        <f aca="false">IF($B633="","",$E633*IFERROR(INDEX(Drinks!$B$4:$B$53,MATCH($B633,Drinks!$A$4:$A$53,0)),0))</f>
        <v/>
      </c>
      <c r="L633" s="10" t="str">
        <f aca="false">IF($B633="","",$J633+$K633)</f>
        <v/>
      </c>
      <c r="M633" s="9"/>
      <c r="N633" s="10" t="str">
        <f aca="false">IF($B633="","",$L633-$M633)</f>
        <v/>
      </c>
      <c r="O633" s="10" t="str">
        <f aca="false">IF($B633="","",IFERROR(INDEX(Drinks!$E$4:$E$53,MATCH($B633,Drinks!$A$4:$A$53,0)),0))</f>
        <v/>
      </c>
      <c r="P633" s="10" t="str">
        <f aca="false">IF($B633="","",$N633*$O633)</f>
        <v/>
      </c>
      <c r="Q633" s="10" t="str">
        <f aca="false">IF($B633="","",$N633*IFERROR(INDEX(Drinks!$D$4:$D$53,MATCH($B633,Drinks!$A$4:$A$53,0)),0))</f>
        <v/>
      </c>
      <c r="R633" s="10" t="str">
        <f aca="false">IF($B633="","",$P633-$Q633)</f>
        <v/>
      </c>
      <c r="S633" s="23" t="str">
        <f aca="false">IF($B633="","",IF(COUNTIFS($A$4:$A$2003,$A633-1,$B$4:$B$2003,$B633)=0,"first day",IF(SUMIFS($M$4:$M$2003,$A$4:$A$2003,$A633-1,$B$4:$B$2003,$B633)=$J633,"OK","CHECK")))</f>
        <v/>
      </c>
      <c r="T633" s="10" t="str">
        <f aca="false">IF($B633="","",IFERROR(INDEX(Drinks!$D$4:$D$53,MATCH($B633,Drinks!$A$4:$A$53,0)),0))</f>
        <v/>
      </c>
    </row>
    <row r="634" customFormat="false" ht="15" hidden="false" customHeight="false" outlineLevel="0" collapsed="false">
      <c r="A634" s="22"/>
      <c r="B634" s="9"/>
      <c r="C634" s="9"/>
      <c r="D634" s="9"/>
      <c r="E634" s="9"/>
      <c r="F634" s="10" t="str">
        <f aca="false">IF($B634="","",$C634+$D634-$E634)</f>
        <v/>
      </c>
      <c r="G634" s="10" t="str">
        <f aca="false">IF($B634="","",IFERROR(INDEX(Drinks!$C$4:$C$53,MATCH($B634,Drinks!$A$4:$A$53,0)),0))</f>
        <v/>
      </c>
      <c r="H634" s="10" t="str">
        <f aca="false">IF($B634="","",$D634*$G634)</f>
        <v/>
      </c>
      <c r="I634" s="10" t="str">
        <f aca="false">IF($B634="","",$F634*$G634)</f>
        <v/>
      </c>
      <c r="J634" s="9"/>
      <c r="K634" s="10" t="str">
        <f aca="false">IF($B634="","",$E634*IFERROR(INDEX(Drinks!$B$4:$B$53,MATCH($B634,Drinks!$A$4:$A$53,0)),0))</f>
        <v/>
      </c>
      <c r="L634" s="10" t="str">
        <f aca="false">IF($B634="","",$J634+$K634)</f>
        <v/>
      </c>
      <c r="M634" s="9"/>
      <c r="N634" s="10" t="str">
        <f aca="false">IF($B634="","",$L634-$M634)</f>
        <v/>
      </c>
      <c r="O634" s="10" t="str">
        <f aca="false">IF($B634="","",IFERROR(INDEX(Drinks!$E$4:$E$53,MATCH($B634,Drinks!$A$4:$A$53,0)),0))</f>
        <v/>
      </c>
      <c r="P634" s="10" t="str">
        <f aca="false">IF($B634="","",$N634*$O634)</f>
        <v/>
      </c>
      <c r="Q634" s="10" t="str">
        <f aca="false">IF($B634="","",$N634*IFERROR(INDEX(Drinks!$D$4:$D$53,MATCH($B634,Drinks!$A$4:$A$53,0)),0))</f>
        <v/>
      </c>
      <c r="R634" s="10" t="str">
        <f aca="false">IF($B634="","",$P634-$Q634)</f>
        <v/>
      </c>
      <c r="S634" s="23" t="str">
        <f aca="false">IF($B634="","",IF(COUNTIFS($A$4:$A$2003,$A634-1,$B$4:$B$2003,$B634)=0,"first day",IF(SUMIFS($M$4:$M$2003,$A$4:$A$2003,$A634-1,$B$4:$B$2003,$B634)=$J634,"OK","CHECK")))</f>
        <v/>
      </c>
      <c r="T634" s="10" t="str">
        <f aca="false">IF($B634="","",IFERROR(INDEX(Drinks!$D$4:$D$53,MATCH($B634,Drinks!$A$4:$A$53,0)),0))</f>
        <v/>
      </c>
    </row>
    <row r="635" customFormat="false" ht="15" hidden="false" customHeight="false" outlineLevel="0" collapsed="false">
      <c r="A635" s="22"/>
      <c r="B635" s="9"/>
      <c r="C635" s="9"/>
      <c r="D635" s="9"/>
      <c r="E635" s="9"/>
      <c r="F635" s="10" t="str">
        <f aca="false">IF($B635="","",$C635+$D635-$E635)</f>
        <v/>
      </c>
      <c r="G635" s="10" t="str">
        <f aca="false">IF($B635="","",IFERROR(INDEX(Drinks!$C$4:$C$53,MATCH($B635,Drinks!$A$4:$A$53,0)),0))</f>
        <v/>
      </c>
      <c r="H635" s="10" t="str">
        <f aca="false">IF($B635="","",$D635*$G635)</f>
        <v/>
      </c>
      <c r="I635" s="10" t="str">
        <f aca="false">IF($B635="","",$F635*$G635)</f>
        <v/>
      </c>
      <c r="J635" s="9"/>
      <c r="K635" s="10" t="str">
        <f aca="false">IF($B635="","",$E635*IFERROR(INDEX(Drinks!$B$4:$B$53,MATCH($B635,Drinks!$A$4:$A$53,0)),0))</f>
        <v/>
      </c>
      <c r="L635" s="10" t="str">
        <f aca="false">IF($B635="","",$J635+$K635)</f>
        <v/>
      </c>
      <c r="M635" s="9"/>
      <c r="N635" s="10" t="str">
        <f aca="false">IF($B635="","",$L635-$M635)</f>
        <v/>
      </c>
      <c r="O635" s="10" t="str">
        <f aca="false">IF($B635="","",IFERROR(INDEX(Drinks!$E$4:$E$53,MATCH($B635,Drinks!$A$4:$A$53,0)),0))</f>
        <v/>
      </c>
      <c r="P635" s="10" t="str">
        <f aca="false">IF($B635="","",$N635*$O635)</f>
        <v/>
      </c>
      <c r="Q635" s="10" t="str">
        <f aca="false">IF($B635="","",$N635*IFERROR(INDEX(Drinks!$D$4:$D$53,MATCH($B635,Drinks!$A$4:$A$53,0)),0))</f>
        <v/>
      </c>
      <c r="R635" s="10" t="str">
        <f aca="false">IF($B635="","",$P635-$Q635)</f>
        <v/>
      </c>
      <c r="S635" s="23" t="str">
        <f aca="false">IF($B635="","",IF(COUNTIFS($A$4:$A$2003,$A635-1,$B$4:$B$2003,$B635)=0,"first day",IF(SUMIFS($M$4:$M$2003,$A$4:$A$2003,$A635-1,$B$4:$B$2003,$B635)=$J635,"OK","CHECK")))</f>
        <v/>
      </c>
      <c r="T635" s="10" t="str">
        <f aca="false">IF($B635="","",IFERROR(INDEX(Drinks!$D$4:$D$53,MATCH($B635,Drinks!$A$4:$A$53,0)),0))</f>
        <v/>
      </c>
    </row>
    <row r="636" customFormat="false" ht="15" hidden="false" customHeight="false" outlineLevel="0" collapsed="false">
      <c r="A636" s="22"/>
      <c r="B636" s="9"/>
      <c r="C636" s="9"/>
      <c r="D636" s="9"/>
      <c r="E636" s="9"/>
      <c r="F636" s="10" t="str">
        <f aca="false">IF($B636="","",$C636+$D636-$E636)</f>
        <v/>
      </c>
      <c r="G636" s="10" t="str">
        <f aca="false">IF($B636="","",IFERROR(INDEX(Drinks!$C$4:$C$53,MATCH($B636,Drinks!$A$4:$A$53,0)),0))</f>
        <v/>
      </c>
      <c r="H636" s="10" t="str">
        <f aca="false">IF($B636="","",$D636*$G636)</f>
        <v/>
      </c>
      <c r="I636" s="10" t="str">
        <f aca="false">IF($B636="","",$F636*$G636)</f>
        <v/>
      </c>
      <c r="J636" s="9"/>
      <c r="K636" s="10" t="str">
        <f aca="false">IF($B636="","",$E636*IFERROR(INDEX(Drinks!$B$4:$B$53,MATCH($B636,Drinks!$A$4:$A$53,0)),0))</f>
        <v/>
      </c>
      <c r="L636" s="10" t="str">
        <f aca="false">IF($B636="","",$J636+$K636)</f>
        <v/>
      </c>
      <c r="M636" s="9"/>
      <c r="N636" s="10" t="str">
        <f aca="false">IF($B636="","",$L636-$M636)</f>
        <v/>
      </c>
      <c r="O636" s="10" t="str">
        <f aca="false">IF($B636="","",IFERROR(INDEX(Drinks!$E$4:$E$53,MATCH($B636,Drinks!$A$4:$A$53,0)),0))</f>
        <v/>
      </c>
      <c r="P636" s="10" t="str">
        <f aca="false">IF($B636="","",$N636*$O636)</f>
        <v/>
      </c>
      <c r="Q636" s="10" t="str">
        <f aca="false">IF($B636="","",$N636*IFERROR(INDEX(Drinks!$D$4:$D$53,MATCH($B636,Drinks!$A$4:$A$53,0)),0))</f>
        <v/>
      </c>
      <c r="R636" s="10" t="str">
        <f aca="false">IF($B636="","",$P636-$Q636)</f>
        <v/>
      </c>
      <c r="S636" s="23" t="str">
        <f aca="false">IF($B636="","",IF(COUNTIFS($A$4:$A$2003,$A636-1,$B$4:$B$2003,$B636)=0,"first day",IF(SUMIFS($M$4:$M$2003,$A$4:$A$2003,$A636-1,$B$4:$B$2003,$B636)=$J636,"OK","CHECK")))</f>
        <v/>
      </c>
      <c r="T636" s="10" t="str">
        <f aca="false">IF($B636="","",IFERROR(INDEX(Drinks!$D$4:$D$53,MATCH($B636,Drinks!$A$4:$A$53,0)),0))</f>
        <v/>
      </c>
    </row>
    <row r="637" customFormat="false" ht="15" hidden="false" customHeight="false" outlineLevel="0" collapsed="false">
      <c r="A637" s="22"/>
      <c r="B637" s="9"/>
      <c r="C637" s="9"/>
      <c r="D637" s="9"/>
      <c r="E637" s="9"/>
      <c r="F637" s="10" t="str">
        <f aca="false">IF($B637="","",$C637+$D637-$E637)</f>
        <v/>
      </c>
      <c r="G637" s="10" t="str">
        <f aca="false">IF($B637="","",IFERROR(INDEX(Drinks!$C$4:$C$53,MATCH($B637,Drinks!$A$4:$A$53,0)),0))</f>
        <v/>
      </c>
      <c r="H637" s="10" t="str">
        <f aca="false">IF($B637="","",$D637*$G637)</f>
        <v/>
      </c>
      <c r="I637" s="10" t="str">
        <f aca="false">IF($B637="","",$F637*$G637)</f>
        <v/>
      </c>
      <c r="J637" s="9"/>
      <c r="K637" s="10" t="str">
        <f aca="false">IF($B637="","",$E637*IFERROR(INDEX(Drinks!$B$4:$B$53,MATCH($B637,Drinks!$A$4:$A$53,0)),0))</f>
        <v/>
      </c>
      <c r="L637" s="10" t="str">
        <f aca="false">IF($B637="","",$J637+$K637)</f>
        <v/>
      </c>
      <c r="M637" s="9"/>
      <c r="N637" s="10" t="str">
        <f aca="false">IF($B637="","",$L637-$M637)</f>
        <v/>
      </c>
      <c r="O637" s="10" t="str">
        <f aca="false">IF($B637="","",IFERROR(INDEX(Drinks!$E$4:$E$53,MATCH($B637,Drinks!$A$4:$A$53,0)),0))</f>
        <v/>
      </c>
      <c r="P637" s="10" t="str">
        <f aca="false">IF($B637="","",$N637*$O637)</f>
        <v/>
      </c>
      <c r="Q637" s="10" t="str">
        <f aca="false">IF($B637="","",$N637*IFERROR(INDEX(Drinks!$D$4:$D$53,MATCH($B637,Drinks!$A$4:$A$53,0)),0))</f>
        <v/>
      </c>
      <c r="R637" s="10" t="str">
        <f aca="false">IF($B637="","",$P637-$Q637)</f>
        <v/>
      </c>
      <c r="S637" s="23" t="str">
        <f aca="false">IF($B637="","",IF(COUNTIFS($A$4:$A$2003,$A637-1,$B$4:$B$2003,$B637)=0,"first day",IF(SUMIFS($M$4:$M$2003,$A$4:$A$2003,$A637-1,$B$4:$B$2003,$B637)=$J637,"OK","CHECK")))</f>
        <v/>
      </c>
      <c r="T637" s="10" t="str">
        <f aca="false">IF($B637="","",IFERROR(INDEX(Drinks!$D$4:$D$53,MATCH($B637,Drinks!$A$4:$A$53,0)),0))</f>
        <v/>
      </c>
    </row>
    <row r="638" customFormat="false" ht="15" hidden="false" customHeight="false" outlineLevel="0" collapsed="false">
      <c r="A638" s="22"/>
      <c r="B638" s="9"/>
      <c r="C638" s="9"/>
      <c r="D638" s="9"/>
      <c r="E638" s="9"/>
      <c r="F638" s="10" t="str">
        <f aca="false">IF($B638="","",$C638+$D638-$E638)</f>
        <v/>
      </c>
      <c r="G638" s="10" t="str">
        <f aca="false">IF($B638="","",IFERROR(INDEX(Drinks!$C$4:$C$53,MATCH($B638,Drinks!$A$4:$A$53,0)),0))</f>
        <v/>
      </c>
      <c r="H638" s="10" t="str">
        <f aca="false">IF($B638="","",$D638*$G638)</f>
        <v/>
      </c>
      <c r="I638" s="10" t="str">
        <f aca="false">IF($B638="","",$F638*$G638)</f>
        <v/>
      </c>
      <c r="J638" s="9"/>
      <c r="K638" s="10" t="str">
        <f aca="false">IF($B638="","",$E638*IFERROR(INDEX(Drinks!$B$4:$B$53,MATCH($B638,Drinks!$A$4:$A$53,0)),0))</f>
        <v/>
      </c>
      <c r="L638" s="10" t="str">
        <f aca="false">IF($B638="","",$J638+$K638)</f>
        <v/>
      </c>
      <c r="M638" s="9"/>
      <c r="N638" s="10" t="str">
        <f aca="false">IF($B638="","",$L638-$M638)</f>
        <v/>
      </c>
      <c r="O638" s="10" t="str">
        <f aca="false">IF($B638="","",IFERROR(INDEX(Drinks!$E$4:$E$53,MATCH($B638,Drinks!$A$4:$A$53,0)),0))</f>
        <v/>
      </c>
      <c r="P638" s="10" t="str">
        <f aca="false">IF($B638="","",$N638*$O638)</f>
        <v/>
      </c>
      <c r="Q638" s="10" t="str">
        <f aca="false">IF($B638="","",$N638*IFERROR(INDEX(Drinks!$D$4:$D$53,MATCH($B638,Drinks!$A$4:$A$53,0)),0))</f>
        <v/>
      </c>
      <c r="R638" s="10" t="str">
        <f aca="false">IF($B638="","",$P638-$Q638)</f>
        <v/>
      </c>
      <c r="S638" s="23" t="str">
        <f aca="false">IF($B638="","",IF(COUNTIFS($A$4:$A$2003,$A638-1,$B$4:$B$2003,$B638)=0,"first day",IF(SUMIFS($M$4:$M$2003,$A$4:$A$2003,$A638-1,$B$4:$B$2003,$B638)=$J638,"OK","CHECK")))</f>
        <v/>
      </c>
      <c r="T638" s="10" t="str">
        <f aca="false">IF($B638="","",IFERROR(INDEX(Drinks!$D$4:$D$53,MATCH($B638,Drinks!$A$4:$A$53,0)),0))</f>
        <v/>
      </c>
    </row>
    <row r="639" customFormat="false" ht="15" hidden="false" customHeight="false" outlineLevel="0" collapsed="false">
      <c r="A639" s="22"/>
      <c r="B639" s="9"/>
      <c r="C639" s="9"/>
      <c r="D639" s="9"/>
      <c r="E639" s="9"/>
      <c r="F639" s="10" t="str">
        <f aca="false">IF($B639="","",$C639+$D639-$E639)</f>
        <v/>
      </c>
      <c r="G639" s="10" t="str">
        <f aca="false">IF($B639="","",IFERROR(INDEX(Drinks!$C$4:$C$53,MATCH($B639,Drinks!$A$4:$A$53,0)),0))</f>
        <v/>
      </c>
      <c r="H639" s="10" t="str">
        <f aca="false">IF($B639="","",$D639*$G639)</f>
        <v/>
      </c>
      <c r="I639" s="10" t="str">
        <f aca="false">IF($B639="","",$F639*$G639)</f>
        <v/>
      </c>
      <c r="J639" s="9"/>
      <c r="K639" s="10" t="str">
        <f aca="false">IF($B639="","",$E639*IFERROR(INDEX(Drinks!$B$4:$B$53,MATCH($B639,Drinks!$A$4:$A$53,0)),0))</f>
        <v/>
      </c>
      <c r="L639" s="10" t="str">
        <f aca="false">IF($B639="","",$J639+$K639)</f>
        <v/>
      </c>
      <c r="M639" s="9"/>
      <c r="N639" s="10" t="str">
        <f aca="false">IF($B639="","",$L639-$M639)</f>
        <v/>
      </c>
      <c r="O639" s="10" t="str">
        <f aca="false">IF($B639="","",IFERROR(INDEX(Drinks!$E$4:$E$53,MATCH($B639,Drinks!$A$4:$A$53,0)),0))</f>
        <v/>
      </c>
      <c r="P639" s="10" t="str">
        <f aca="false">IF($B639="","",$N639*$O639)</f>
        <v/>
      </c>
      <c r="Q639" s="10" t="str">
        <f aca="false">IF($B639="","",$N639*IFERROR(INDEX(Drinks!$D$4:$D$53,MATCH($B639,Drinks!$A$4:$A$53,0)),0))</f>
        <v/>
      </c>
      <c r="R639" s="10" t="str">
        <f aca="false">IF($B639="","",$P639-$Q639)</f>
        <v/>
      </c>
      <c r="S639" s="23" t="str">
        <f aca="false">IF($B639="","",IF(COUNTIFS($A$4:$A$2003,$A639-1,$B$4:$B$2003,$B639)=0,"first day",IF(SUMIFS($M$4:$M$2003,$A$4:$A$2003,$A639-1,$B$4:$B$2003,$B639)=$J639,"OK","CHECK")))</f>
        <v/>
      </c>
      <c r="T639" s="10" t="str">
        <f aca="false">IF($B639="","",IFERROR(INDEX(Drinks!$D$4:$D$53,MATCH($B639,Drinks!$A$4:$A$53,0)),0))</f>
        <v/>
      </c>
    </row>
    <row r="640" customFormat="false" ht="15" hidden="false" customHeight="false" outlineLevel="0" collapsed="false">
      <c r="A640" s="22"/>
      <c r="B640" s="9"/>
      <c r="C640" s="9"/>
      <c r="D640" s="9"/>
      <c r="E640" s="9"/>
      <c r="F640" s="10" t="str">
        <f aca="false">IF($B640="","",$C640+$D640-$E640)</f>
        <v/>
      </c>
      <c r="G640" s="10" t="str">
        <f aca="false">IF($B640="","",IFERROR(INDEX(Drinks!$C$4:$C$53,MATCH($B640,Drinks!$A$4:$A$53,0)),0))</f>
        <v/>
      </c>
      <c r="H640" s="10" t="str">
        <f aca="false">IF($B640="","",$D640*$G640)</f>
        <v/>
      </c>
      <c r="I640" s="10" t="str">
        <f aca="false">IF($B640="","",$F640*$G640)</f>
        <v/>
      </c>
      <c r="J640" s="9"/>
      <c r="K640" s="10" t="str">
        <f aca="false">IF($B640="","",$E640*IFERROR(INDEX(Drinks!$B$4:$B$53,MATCH($B640,Drinks!$A$4:$A$53,0)),0))</f>
        <v/>
      </c>
      <c r="L640" s="10" t="str">
        <f aca="false">IF($B640="","",$J640+$K640)</f>
        <v/>
      </c>
      <c r="M640" s="9"/>
      <c r="N640" s="10" t="str">
        <f aca="false">IF($B640="","",$L640-$M640)</f>
        <v/>
      </c>
      <c r="O640" s="10" t="str">
        <f aca="false">IF($B640="","",IFERROR(INDEX(Drinks!$E$4:$E$53,MATCH($B640,Drinks!$A$4:$A$53,0)),0))</f>
        <v/>
      </c>
      <c r="P640" s="10" t="str">
        <f aca="false">IF($B640="","",$N640*$O640)</f>
        <v/>
      </c>
      <c r="Q640" s="10" t="str">
        <f aca="false">IF($B640="","",$N640*IFERROR(INDEX(Drinks!$D$4:$D$53,MATCH($B640,Drinks!$A$4:$A$53,0)),0))</f>
        <v/>
      </c>
      <c r="R640" s="10" t="str">
        <f aca="false">IF($B640="","",$P640-$Q640)</f>
        <v/>
      </c>
      <c r="S640" s="23" t="str">
        <f aca="false">IF($B640="","",IF(COUNTIFS($A$4:$A$2003,$A640-1,$B$4:$B$2003,$B640)=0,"first day",IF(SUMIFS($M$4:$M$2003,$A$4:$A$2003,$A640-1,$B$4:$B$2003,$B640)=$J640,"OK","CHECK")))</f>
        <v/>
      </c>
      <c r="T640" s="10" t="str">
        <f aca="false">IF($B640="","",IFERROR(INDEX(Drinks!$D$4:$D$53,MATCH($B640,Drinks!$A$4:$A$53,0)),0))</f>
        <v/>
      </c>
    </row>
    <row r="641" customFormat="false" ht="15" hidden="false" customHeight="false" outlineLevel="0" collapsed="false">
      <c r="A641" s="22"/>
      <c r="B641" s="9"/>
      <c r="C641" s="9"/>
      <c r="D641" s="9"/>
      <c r="E641" s="9"/>
      <c r="F641" s="10" t="str">
        <f aca="false">IF($B641="","",$C641+$D641-$E641)</f>
        <v/>
      </c>
      <c r="G641" s="10" t="str">
        <f aca="false">IF($B641="","",IFERROR(INDEX(Drinks!$C$4:$C$53,MATCH($B641,Drinks!$A$4:$A$53,0)),0))</f>
        <v/>
      </c>
      <c r="H641" s="10" t="str">
        <f aca="false">IF($B641="","",$D641*$G641)</f>
        <v/>
      </c>
      <c r="I641" s="10" t="str">
        <f aca="false">IF($B641="","",$F641*$G641)</f>
        <v/>
      </c>
      <c r="J641" s="9"/>
      <c r="K641" s="10" t="str">
        <f aca="false">IF($B641="","",$E641*IFERROR(INDEX(Drinks!$B$4:$B$53,MATCH($B641,Drinks!$A$4:$A$53,0)),0))</f>
        <v/>
      </c>
      <c r="L641" s="10" t="str">
        <f aca="false">IF($B641="","",$J641+$K641)</f>
        <v/>
      </c>
      <c r="M641" s="9"/>
      <c r="N641" s="10" t="str">
        <f aca="false">IF($B641="","",$L641-$M641)</f>
        <v/>
      </c>
      <c r="O641" s="10" t="str">
        <f aca="false">IF($B641="","",IFERROR(INDEX(Drinks!$E$4:$E$53,MATCH($B641,Drinks!$A$4:$A$53,0)),0))</f>
        <v/>
      </c>
      <c r="P641" s="10" t="str">
        <f aca="false">IF($B641="","",$N641*$O641)</f>
        <v/>
      </c>
      <c r="Q641" s="10" t="str">
        <f aca="false">IF($B641="","",$N641*IFERROR(INDEX(Drinks!$D$4:$D$53,MATCH($B641,Drinks!$A$4:$A$53,0)),0))</f>
        <v/>
      </c>
      <c r="R641" s="10" t="str">
        <f aca="false">IF($B641="","",$P641-$Q641)</f>
        <v/>
      </c>
      <c r="S641" s="23" t="str">
        <f aca="false">IF($B641="","",IF(COUNTIFS($A$4:$A$2003,$A641-1,$B$4:$B$2003,$B641)=0,"first day",IF(SUMIFS($M$4:$M$2003,$A$4:$A$2003,$A641-1,$B$4:$B$2003,$B641)=$J641,"OK","CHECK")))</f>
        <v/>
      </c>
      <c r="T641" s="10" t="str">
        <f aca="false">IF($B641="","",IFERROR(INDEX(Drinks!$D$4:$D$53,MATCH($B641,Drinks!$A$4:$A$53,0)),0))</f>
        <v/>
      </c>
    </row>
    <row r="642" customFormat="false" ht="15" hidden="false" customHeight="false" outlineLevel="0" collapsed="false">
      <c r="A642" s="22"/>
      <c r="B642" s="9"/>
      <c r="C642" s="9"/>
      <c r="D642" s="9"/>
      <c r="E642" s="9"/>
      <c r="F642" s="10" t="str">
        <f aca="false">IF($B642="","",$C642+$D642-$E642)</f>
        <v/>
      </c>
      <c r="G642" s="10" t="str">
        <f aca="false">IF($B642="","",IFERROR(INDEX(Drinks!$C$4:$C$53,MATCH($B642,Drinks!$A$4:$A$53,0)),0))</f>
        <v/>
      </c>
      <c r="H642" s="10" t="str">
        <f aca="false">IF($B642="","",$D642*$G642)</f>
        <v/>
      </c>
      <c r="I642" s="10" t="str">
        <f aca="false">IF($B642="","",$F642*$G642)</f>
        <v/>
      </c>
      <c r="J642" s="9"/>
      <c r="K642" s="10" t="str">
        <f aca="false">IF($B642="","",$E642*IFERROR(INDEX(Drinks!$B$4:$B$53,MATCH($B642,Drinks!$A$4:$A$53,0)),0))</f>
        <v/>
      </c>
      <c r="L642" s="10" t="str">
        <f aca="false">IF($B642="","",$J642+$K642)</f>
        <v/>
      </c>
      <c r="M642" s="9"/>
      <c r="N642" s="10" t="str">
        <f aca="false">IF($B642="","",$L642-$M642)</f>
        <v/>
      </c>
      <c r="O642" s="10" t="str">
        <f aca="false">IF($B642="","",IFERROR(INDEX(Drinks!$E$4:$E$53,MATCH($B642,Drinks!$A$4:$A$53,0)),0))</f>
        <v/>
      </c>
      <c r="P642" s="10" t="str">
        <f aca="false">IF($B642="","",$N642*$O642)</f>
        <v/>
      </c>
      <c r="Q642" s="10" t="str">
        <f aca="false">IF($B642="","",$N642*IFERROR(INDEX(Drinks!$D$4:$D$53,MATCH($B642,Drinks!$A$4:$A$53,0)),0))</f>
        <v/>
      </c>
      <c r="R642" s="10" t="str">
        <f aca="false">IF($B642="","",$P642-$Q642)</f>
        <v/>
      </c>
      <c r="S642" s="23" t="str">
        <f aca="false">IF($B642="","",IF(COUNTIFS($A$4:$A$2003,$A642-1,$B$4:$B$2003,$B642)=0,"first day",IF(SUMIFS($M$4:$M$2003,$A$4:$A$2003,$A642-1,$B$4:$B$2003,$B642)=$J642,"OK","CHECK")))</f>
        <v/>
      </c>
      <c r="T642" s="10" t="str">
        <f aca="false">IF($B642="","",IFERROR(INDEX(Drinks!$D$4:$D$53,MATCH($B642,Drinks!$A$4:$A$53,0)),0))</f>
        <v/>
      </c>
    </row>
    <row r="643" customFormat="false" ht="15" hidden="false" customHeight="false" outlineLevel="0" collapsed="false">
      <c r="A643" s="22"/>
      <c r="B643" s="9"/>
      <c r="C643" s="9"/>
      <c r="D643" s="9"/>
      <c r="E643" s="9"/>
      <c r="F643" s="10" t="str">
        <f aca="false">IF($B643="","",$C643+$D643-$E643)</f>
        <v/>
      </c>
      <c r="G643" s="10" t="str">
        <f aca="false">IF($B643="","",IFERROR(INDEX(Drinks!$C$4:$C$53,MATCH($B643,Drinks!$A$4:$A$53,0)),0))</f>
        <v/>
      </c>
      <c r="H643" s="10" t="str">
        <f aca="false">IF($B643="","",$D643*$G643)</f>
        <v/>
      </c>
      <c r="I643" s="10" t="str">
        <f aca="false">IF($B643="","",$F643*$G643)</f>
        <v/>
      </c>
      <c r="J643" s="9"/>
      <c r="K643" s="10" t="str">
        <f aca="false">IF($B643="","",$E643*IFERROR(INDEX(Drinks!$B$4:$B$53,MATCH($B643,Drinks!$A$4:$A$53,0)),0))</f>
        <v/>
      </c>
      <c r="L643" s="10" t="str">
        <f aca="false">IF($B643="","",$J643+$K643)</f>
        <v/>
      </c>
      <c r="M643" s="9"/>
      <c r="N643" s="10" t="str">
        <f aca="false">IF($B643="","",$L643-$M643)</f>
        <v/>
      </c>
      <c r="O643" s="10" t="str">
        <f aca="false">IF($B643="","",IFERROR(INDEX(Drinks!$E$4:$E$53,MATCH($B643,Drinks!$A$4:$A$53,0)),0))</f>
        <v/>
      </c>
      <c r="P643" s="10" t="str">
        <f aca="false">IF($B643="","",$N643*$O643)</f>
        <v/>
      </c>
      <c r="Q643" s="10" t="str">
        <f aca="false">IF($B643="","",$N643*IFERROR(INDEX(Drinks!$D$4:$D$53,MATCH($B643,Drinks!$A$4:$A$53,0)),0))</f>
        <v/>
      </c>
      <c r="R643" s="10" t="str">
        <f aca="false">IF($B643="","",$P643-$Q643)</f>
        <v/>
      </c>
      <c r="S643" s="23" t="str">
        <f aca="false">IF($B643="","",IF(COUNTIFS($A$4:$A$2003,$A643-1,$B$4:$B$2003,$B643)=0,"first day",IF(SUMIFS($M$4:$M$2003,$A$4:$A$2003,$A643-1,$B$4:$B$2003,$B643)=$J643,"OK","CHECK")))</f>
        <v/>
      </c>
      <c r="T643" s="10" t="str">
        <f aca="false">IF($B643="","",IFERROR(INDEX(Drinks!$D$4:$D$53,MATCH($B643,Drinks!$A$4:$A$53,0)),0))</f>
        <v/>
      </c>
    </row>
    <row r="644" customFormat="false" ht="15" hidden="false" customHeight="false" outlineLevel="0" collapsed="false">
      <c r="A644" s="22"/>
      <c r="B644" s="9"/>
      <c r="C644" s="9"/>
      <c r="D644" s="9"/>
      <c r="E644" s="9"/>
      <c r="F644" s="10" t="str">
        <f aca="false">IF($B644="","",$C644+$D644-$E644)</f>
        <v/>
      </c>
      <c r="G644" s="10" t="str">
        <f aca="false">IF($B644="","",IFERROR(INDEX(Drinks!$C$4:$C$53,MATCH($B644,Drinks!$A$4:$A$53,0)),0))</f>
        <v/>
      </c>
      <c r="H644" s="10" t="str">
        <f aca="false">IF($B644="","",$D644*$G644)</f>
        <v/>
      </c>
      <c r="I644" s="10" t="str">
        <f aca="false">IF($B644="","",$F644*$G644)</f>
        <v/>
      </c>
      <c r="J644" s="9"/>
      <c r="K644" s="10" t="str">
        <f aca="false">IF($B644="","",$E644*IFERROR(INDEX(Drinks!$B$4:$B$53,MATCH($B644,Drinks!$A$4:$A$53,0)),0))</f>
        <v/>
      </c>
      <c r="L644" s="10" t="str">
        <f aca="false">IF($B644="","",$J644+$K644)</f>
        <v/>
      </c>
      <c r="M644" s="9"/>
      <c r="N644" s="10" t="str">
        <f aca="false">IF($B644="","",$L644-$M644)</f>
        <v/>
      </c>
      <c r="O644" s="10" t="str">
        <f aca="false">IF($B644="","",IFERROR(INDEX(Drinks!$E$4:$E$53,MATCH($B644,Drinks!$A$4:$A$53,0)),0))</f>
        <v/>
      </c>
      <c r="P644" s="10" t="str">
        <f aca="false">IF($B644="","",$N644*$O644)</f>
        <v/>
      </c>
      <c r="Q644" s="10" t="str">
        <f aca="false">IF($B644="","",$N644*IFERROR(INDEX(Drinks!$D$4:$D$53,MATCH($B644,Drinks!$A$4:$A$53,0)),0))</f>
        <v/>
      </c>
      <c r="R644" s="10" t="str">
        <f aca="false">IF($B644="","",$P644-$Q644)</f>
        <v/>
      </c>
      <c r="S644" s="23" t="str">
        <f aca="false">IF($B644="","",IF(COUNTIFS($A$4:$A$2003,$A644-1,$B$4:$B$2003,$B644)=0,"first day",IF(SUMIFS($M$4:$M$2003,$A$4:$A$2003,$A644-1,$B$4:$B$2003,$B644)=$J644,"OK","CHECK")))</f>
        <v/>
      </c>
      <c r="T644" s="10" t="str">
        <f aca="false">IF($B644="","",IFERROR(INDEX(Drinks!$D$4:$D$53,MATCH($B644,Drinks!$A$4:$A$53,0)),0))</f>
        <v/>
      </c>
    </row>
    <row r="645" customFormat="false" ht="15" hidden="false" customHeight="false" outlineLevel="0" collapsed="false">
      <c r="A645" s="22"/>
      <c r="B645" s="9"/>
      <c r="C645" s="9"/>
      <c r="D645" s="9"/>
      <c r="E645" s="9"/>
      <c r="F645" s="10" t="str">
        <f aca="false">IF($B645="","",$C645+$D645-$E645)</f>
        <v/>
      </c>
      <c r="G645" s="10" t="str">
        <f aca="false">IF($B645="","",IFERROR(INDEX(Drinks!$C$4:$C$53,MATCH($B645,Drinks!$A$4:$A$53,0)),0))</f>
        <v/>
      </c>
      <c r="H645" s="10" t="str">
        <f aca="false">IF($B645="","",$D645*$G645)</f>
        <v/>
      </c>
      <c r="I645" s="10" t="str">
        <f aca="false">IF($B645="","",$F645*$G645)</f>
        <v/>
      </c>
      <c r="J645" s="9"/>
      <c r="K645" s="10" t="str">
        <f aca="false">IF($B645="","",$E645*IFERROR(INDEX(Drinks!$B$4:$B$53,MATCH($B645,Drinks!$A$4:$A$53,0)),0))</f>
        <v/>
      </c>
      <c r="L645" s="10" t="str">
        <f aca="false">IF($B645="","",$J645+$K645)</f>
        <v/>
      </c>
      <c r="M645" s="9"/>
      <c r="N645" s="10" t="str">
        <f aca="false">IF($B645="","",$L645-$M645)</f>
        <v/>
      </c>
      <c r="O645" s="10" t="str">
        <f aca="false">IF($B645="","",IFERROR(INDEX(Drinks!$E$4:$E$53,MATCH($B645,Drinks!$A$4:$A$53,0)),0))</f>
        <v/>
      </c>
      <c r="P645" s="10" t="str">
        <f aca="false">IF($B645="","",$N645*$O645)</f>
        <v/>
      </c>
      <c r="Q645" s="10" t="str">
        <f aca="false">IF($B645="","",$N645*IFERROR(INDEX(Drinks!$D$4:$D$53,MATCH($B645,Drinks!$A$4:$A$53,0)),0))</f>
        <v/>
      </c>
      <c r="R645" s="10" t="str">
        <f aca="false">IF($B645="","",$P645-$Q645)</f>
        <v/>
      </c>
      <c r="S645" s="23" t="str">
        <f aca="false">IF($B645="","",IF(COUNTIFS($A$4:$A$2003,$A645-1,$B$4:$B$2003,$B645)=0,"first day",IF(SUMIFS($M$4:$M$2003,$A$4:$A$2003,$A645-1,$B$4:$B$2003,$B645)=$J645,"OK","CHECK")))</f>
        <v/>
      </c>
      <c r="T645" s="10" t="str">
        <f aca="false">IF($B645="","",IFERROR(INDEX(Drinks!$D$4:$D$53,MATCH($B645,Drinks!$A$4:$A$53,0)),0))</f>
        <v/>
      </c>
    </row>
    <row r="646" customFormat="false" ht="15" hidden="false" customHeight="false" outlineLevel="0" collapsed="false">
      <c r="A646" s="22"/>
      <c r="B646" s="9"/>
      <c r="C646" s="9"/>
      <c r="D646" s="9"/>
      <c r="E646" s="9"/>
      <c r="F646" s="10" t="str">
        <f aca="false">IF($B646="","",$C646+$D646-$E646)</f>
        <v/>
      </c>
      <c r="G646" s="10" t="str">
        <f aca="false">IF($B646="","",IFERROR(INDEX(Drinks!$C$4:$C$53,MATCH($B646,Drinks!$A$4:$A$53,0)),0))</f>
        <v/>
      </c>
      <c r="H646" s="10" t="str">
        <f aca="false">IF($B646="","",$D646*$G646)</f>
        <v/>
      </c>
      <c r="I646" s="10" t="str">
        <f aca="false">IF($B646="","",$F646*$G646)</f>
        <v/>
      </c>
      <c r="J646" s="9"/>
      <c r="K646" s="10" t="str">
        <f aca="false">IF($B646="","",$E646*IFERROR(INDEX(Drinks!$B$4:$B$53,MATCH($B646,Drinks!$A$4:$A$53,0)),0))</f>
        <v/>
      </c>
      <c r="L646" s="10" t="str">
        <f aca="false">IF($B646="","",$J646+$K646)</f>
        <v/>
      </c>
      <c r="M646" s="9"/>
      <c r="N646" s="10" t="str">
        <f aca="false">IF($B646="","",$L646-$M646)</f>
        <v/>
      </c>
      <c r="O646" s="10" t="str">
        <f aca="false">IF($B646="","",IFERROR(INDEX(Drinks!$E$4:$E$53,MATCH($B646,Drinks!$A$4:$A$53,0)),0))</f>
        <v/>
      </c>
      <c r="P646" s="10" t="str">
        <f aca="false">IF($B646="","",$N646*$O646)</f>
        <v/>
      </c>
      <c r="Q646" s="10" t="str">
        <f aca="false">IF($B646="","",$N646*IFERROR(INDEX(Drinks!$D$4:$D$53,MATCH($B646,Drinks!$A$4:$A$53,0)),0))</f>
        <v/>
      </c>
      <c r="R646" s="10" t="str">
        <f aca="false">IF($B646="","",$P646-$Q646)</f>
        <v/>
      </c>
      <c r="S646" s="23" t="str">
        <f aca="false">IF($B646="","",IF(COUNTIFS($A$4:$A$2003,$A646-1,$B$4:$B$2003,$B646)=0,"first day",IF(SUMIFS($M$4:$M$2003,$A$4:$A$2003,$A646-1,$B$4:$B$2003,$B646)=$J646,"OK","CHECK")))</f>
        <v/>
      </c>
      <c r="T646" s="10" t="str">
        <f aca="false">IF($B646="","",IFERROR(INDEX(Drinks!$D$4:$D$53,MATCH($B646,Drinks!$A$4:$A$53,0)),0))</f>
        <v/>
      </c>
    </row>
    <row r="647" customFormat="false" ht="15" hidden="false" customHeight="false" outlineLevel="0" collapsed="false">
      <c r="A647" s="22"/>
      <c r="B647" s="9"/>
      <c r="C647" s="9"/>
      <c r="D647" s="9"/>
      <c r="E647" s="9"/>
      <c r="F647" s="10" t="str">
        <f aca="false">IF($B647="","",$C647+$D647-$E647)</f>
        <v/>
      </c>
      <c r="G647" s="10" t="str">
        <f aca="false">IF($B647="","",IFERROR(INDEX(Drinks!$C$4:$C$53,MATCH($B647,Drinks!$A$4:$A$53,0)),0))</f>
        <v/>
      </c>
      <c r="H647" s="10" t="str">
        <f aca="false">IF($B647="","",$D647*$G647)</f>
        <v/>
      </c>
      <c r="I647" s="10" t="str">
        <f aca="false">IF($B647="","",$F647*$G647)</f>
        <v/>
      </c>
      <c r="J647" s="9"/>
      <c r="K647" s="10" t="str">
        <f aca="false">IF($B647="","",$E647*IFERROR(INDEX(Drinks!$B$4:$B$53,MATCH($B647,Drinks!$A$4:$A$53,0)),0))</f>
        <v/>
      </c>
      <c r="L647" s="10" t="str">
        <f aca="false">IF($B647="","",$J647+$K647)</f>
        <v/>
      </c>
      <c r="M647" s="9"/>
      <c r="N647" s="10" t="str">
        <f aca="false">IF($B647="","",$L647-$M647)</f>
        <v/>
      </c>
      <c r="O647" s="10" t="str">
        <f aca="false">IF($B647="","",IFERROR(INDEX(Drinks!$E$4:$E$53,MATCH($B647,Drinks!$A$4:$A$53,0)),0))</f>
        <v/>
      </c>
      <c r="P647" s="10" t="str">
        <f aca="false">IF($B647="","",$N647*$O647)</f>
        <v/>
      </c>
      <c r="Q647" s="10" t="str">
        <f aca="false">IF($B647="","",$N647*IFERROR(INDEX(Drinks!$D$4:$D$53,MATCH($B647,Drinks!$A$4:$A$53,0)),0))</f>
        <v/>
      </c>
      <c r="R647" s="10" t="str">
        <f aca="false">IF($B647="","",$P647-$Q647)</f>
        <v/>
      </c>
      <c r="S647" s="23" t="str">
        <f aca="false">IF($B647="","",IF(COUNTIFS($A$4:$A$2003,$A647-1,$B$4:$B$2003,$B647)=0,"first day",IF(SUMIFS($M$4:$M$2003,$A$4:$A$2003,$A647-1,$B$4:$B$2003,$B647)=$J647,"OK","CHECK")))</f>
        <v/>
      </c>
      <c r="T647" s="10" t="str">
        <f aca="false">IF($B647="","",IFERROR(INDEX(Drinks!$D$4:$D$53,MATCH($B647,Drinks!$A$4:$A$53,0)),0))</f>
        <v/>
      </c>
    </row>
    <row r="648" customFormat="false" ht="15" hidden="false" customHeight="false" outlineLevel="0" collapsed="false">
      <c r="A648" s="22"/>
      <c r="B648" s="9"/>
      <c r="C648" s="9"/>
      <c r="D648" s="9"/>
      <c r="E648" s="9"/>
      <c r="F648" s="10" t="str">
        <f aca="false">IF($B648="","",$C648+$D648-$E648)</f>
        <v/>
      </c>
      <c r="G648" s="10" t="str">
        <f aca="false">IF($B648="","",IFERROR(INDEX(Drinks!$C$4:$C$53,MATCH($B648,Drinks!$A$4:$A$53,0)),0))</f>
        <v/>
      </c>
      <c r="H648" s="10" t="str">
        <f aca="false">IF($B648="","",$D648*$G648)</f>
        <v/>
      </c>
      <c r="I648" s="10" t="str">
        <f aca="false">IF($B648="","",$F648*$G648)</f>
        <v/>
      </c>
      <c r="J648" s="9"/>
      <c r="K648" s="10" t="str">
        <f aca="false">IF($B648="","",$E648*IFERROR(INDEX(Drinks!$B$4:$B$53,MATCH($B648,Drinks!$A$4:$A$53,0)),0))</f>
        <v/>
      </c>
      <c r="L648" s="10" t="str">
        <f aca="false">IF($B648="","",$J648+$K648)</f>
        <v/>
      </c>
      <c r="M648" s="9"/>
      <c r="N648" s="10" t="str">
        <f aca="false">IF($B648="","",$L648-$M648)</f>
        <v/>
      </c>
      <c r="O648" s="10" t="str">
        <f aca="false">IF($B648="","",IFERROR(INDEX(Drinks!$E$4:$E$53,MATCH($B648,Drinks!$A$4:$A$53,0)),0))</f>
        <v/>
      </c>
      <c r="P648" s="10" t="str">
        <f aca="false">IF($B648="","",$N648*$O648)</f>
        <v/>
      </c>
      <c r="Q648" s="10" t="str">
        <f aca="false">IF($B648="","",$N648*IFERROR(INDEX(Drinks!$D$4:$D$53,MATCH($B648,Drinks!$A$4:$A$53,0)),0))</f>
        <v/>
      </c>
      <c r="R648" s="10" t="str">
        <f aca="false">IF($B648="","",$P648-$Q648)</f>
        <v/>
      </c>
      <c r="S648" s="23" t="str">
        <f aca="false">IF($B648="","",IF(COUNTIFS($A$4:$A$2003,$A648-1,$B$4:$B$2003,$B648)=0,"first day",IF(SUMIFS($M$4:$M$2003,$A$4:$A$2003,$A648-1,$B$4:$B$2003,$B648)=$J648,"OK","CHECK")))</f>
        <v/>
      </c>
      <c r="T648" s="10" t="str">
        <f aca="false">IF($B648="","",IFERROR(INDEX(Drinks!$D$4:$D$53,MATCH($B648,Drinks!$A$4:$A$53,0)),0))</f>
        <v/>
      </c>
    </row>
    <row r="649" customFormat="false" ht="15" hidden="false" customHeight="false" outlineLevel="0" collapsed="false">
      <c r="A649" s="22"/>
      <c r="B649" s="9"/>
      <c r="C649" s="9"/>
      <c r="D649" s="9"/>
      <c r="E649" s="9"/>
      <c r="F649" s="10" t="str">
        <f aca="false">IF($B649="","",$C649+$D649-$E649)</f>
        <v/>
      </c>
      <c r="G649" s="10" t="str">
        <f aca="false">IF($B649="","",IFERROR(INDEX(Drinks!$C$4:$C$53,MATCH($B649,Drinks!$A$4:$A$53,0)),0))</f>
        <v/>
      </c>
      <c r="H649" s="10" t="str">
        <f aca="false">IF($B649="","",$D649*$G649)</f>
        <v/>
      </c>
      <c r="I649" s="10" t="str">
        <f aca="false">IF($B649="","",$F649*$G649)</f>
        <v/>
      </c>
      <c r="J649" s="9"/>
      <c r="K649" s="10" t="str">
        <f aca="false">IF($B649="","",$E649*IFERROR(INDEX(Drinks!$B$4:$B$53,MATCH($B649,Drinks!$A$4:$A$53,0)),0))</f>
        <v/>
      </c>
      <c r="L649" s="10" t="str">
        <f aca="false">IF($B649="","",$J649+$K649)</f>
        <v/>
      </c>
      <c r="M649" s="9"/>
      <c r="N649" s="10" t="str">
        <f aca="false">IF($B649="","",$L649-$M649)</f>
        <v/>
      </c>
      <c r="O649" s="10" t="str">
        <f aca="false">IF($B649="","",IFERROR(INDEX(Drinks!$E$4:$E$53,MATCH($B649,Drinks!$A$4:$A$53,0)),0))</f>
        <v/>
      </c>
      <c r="P649" s="10" t="str">
        <f aca="false">IF($B649="","",$N649*$O649)</f>
        <v/>
      </c>
      <c r="Q649" s="10" t="str">
        <f aca="false">IF($B649="","",$N649*IFERROR(INDEX(Drinks!$D$4:$D$53,MATCH($B649,Drinks!$A$4:$A$53,0)),0))</f>
        <v/>
      </c>
      <c r="R649" s="10" t="str">
        <f aca="false">IF($B649="","",$P649-$Q649)</f>
        <v/>
      </c>
      <c r="S649" s="23" t="str">
        <f aca="false">IF($B649="","",IF(COUNTIFS($A$4:$A$2003,$A649-1,$B$4:$B$2003,$B649)=0,"first day",IF(SUMIFS($M$4:$M$2003,$A$4:$A$2003,$A649-1,$B$4:$B$2003,$B649)=$J649,"OK","CHECK")))</f>
        <v/>
      </c>
      <c r="T649" s="10" t="str">
        <f aca="false">IF($B649="","",IFERROR(INDEX(Drinks!$D$4:$D$53,MATCH($B649,Drinks!$A$4:$A$53,0)),0))</f>
        <v/>
      </c>
    </row>
    <row r="650" customFormat="false" ht="15" hidden="false" customHeight="false" outlineLevel="0" collapsed="false">
      <c r="A650" s="22"/>
      <c r="B650" s="9"/>
      <c r="C650" s="9"/>
      <c r="D650" s="9"/>
      <c r="E650" s="9"/>
      <c r="F650" s="10" t="str">
        <f aca="false">IF($B650="","",$C650+$D650-$E650)</f>
        <v/>
      </c>
      <c r="G650" s="10" t="str">
        <f aca="false">IF($B650="","",IFERROR(INDEX(Drinks!$C$4:$C$53,MATCH($B650,Drinks!$A$4:$A$53,0)),0))</f>
        <v/>
      </c>
      <c r="H650" s="10" t="str">
        <f aca="false">IF($B650="","",$D650*$G650)</f>
        <v/>
      </c>
      <c r="I650" s="10" t="str">
        <f aca="false">IF($B650="","",$F650*$G650)</f>
        <v/>
      </c>
      <c r="J650" s="9"/>
      <c r="K650" s="10" t="str">
        <f aca="false">IF($B650="","",$E650*IFERROR(INDEX(Drinks!$B$4:$B$53,MATCH($B650,Drinks!$A$4:$A$53,0)),0))</f>
        <v/>
      </c>
      <c r="L650" s="10" t="str">
        <f aca="false">IF($B650="","",$J650+$K650)</f>
        <v/>
      </c>
      <c r="M650" s="9"/>
      <c r="N650" s="10" t="str">
        <f aca="false">IF($B650="","",$L650-$M650)</f>
        <v/>
      </c>
      <c r="O650" s="10" t="str">
        <f aca="false">IF($B650="","",IFERROR(INDEX(Drinks!$E$4:$E$53,MATCH($B650,Drinks!$A$4:$A$53,0)),0))</f>
        <v/>
      </c>
      <c r="P650" s="10" t="str">
        <f aca="false">IF($B650="","",$N650*$O650)</f>
        <v/>
      </c>
      <c r="Q650" s="10" t="str">
        <f aca="false">IF($B650="","",$N650*IFERROR(INDEX(Drinks!$D$4:$D$53,MATCH($B650,Drinks!$A$4:$A$53,0)),0))</f>
        <v/>
      </c>
      <c r="R650" s="10" t="str">
        <f aca="false">IF($B650="","",$P650-$Q650)</f>
        <v/>
      </c>
      <c r="S650" s="23" t="str">
        <f aca="false">IF($B650="","",IF(COUNTIFS($A$4:$A$2003,$A650-1,$B$4:$B$2003,$B650)=0,"first day",IF(SUMIFS($M$4:$M$2003,$A$4:$A$2003,$A650-1,$B$4:$B$2003,$B650)=$J650,"OK","CHECK")))</f>
        <v/>
      </c>
      <c r="T650" s="10" t="str">
        <f aca="false">IF($B650="","",IFERROR(INDEX(Drinks!$D$4:$D$53,MATCH($B650,Drinks!$A$4:$A$53,0)),0))</f>
        <v/>
      </c>
    </row>
    <row r="651" customFormat="false" ht="15" hidden="false" customHeight="false" outlineLevel="0" collapsed="false">
      <c r="A651" s="22"/>
      <c r="B651" s="9"/>
      <c r="C651" s="9"/>
      <c r="D651" s="9"/>
      <c r="E651" s="9"/>
      <c r="F651" s="10" t="str">
        <f aca="false">IF($B651="","",$C651+$D651-$E651)</f>
        <v/>
      </c>
      <c r="G651" s="10" t="str">
        <f aca="false">IF($B651="","",IFERROR(INDEX(Drinks!$C$4:$C$53,MATCH($B651,Drinks!$A$4:$A$53,0)),0))</f>
        <v/>
      </c>
      <c r="H651" s="10" t="str">
        <f aca="false">IF($B651="","",$D651*$G651)</f>
        <v/>
      </c>
      <c r="I651" s="10" t="str">
        <f aca="false">IF($B651="","",$F651*$G651)</f>
        <v/>
      </c>
      <c r="J651" s="9"/>
      <c r="K651" s="10" t="str">
        <f aca="false">IF($B651="","",$E651*IFERROR(INDEX(Drinks!$B$4:$B$53,MATCH($B651,Drinks!$A$4:$A$53,0)),0))</f>
        <v/>
      </c>
      <c r="L651" s="10" t="str">
        <f aca="false">IF($B651="","",$J651+$K651)</f>
        <v/>
      </c>
      <c r="M651" s="9"/>
      <c r="N651" s="10" t="str">
        <f aca="false">IF($B651="","",$L651-$M651)</f>
        <v/>
      </c>
      <c r="O651" s="10" t="str">
        <f aca="false">IF($B651="","",IFERROR(INDEX(Drinks!$E$4:$E$53,MATCH($B651,Drinks!$A$4:$A$53,0)),0))</f>
        <v/>
      </c>
      <c r="P651" s="10" t="str">
        <f aca="false">IF($B651="","",$N651*$O651)</f>
        <v/>
      </c>
      <c r="Q651" s="10" t="str">
        <f aca="false">IF($B651="","",$N651*IFERROR(INDEX(Drinks!$D$4:$D$53,MATCH($B651,Drinks!$A$4:$A$53,0)),0))</f>
        <v/>
      </c>
      <c r="R651" s="10" t="str">
        <f aca="false">IF($B651="","",$P651-$Q651)</f>
        <v/>
      </c>
      <c r="S651" s="23" t="str">
        <f aca="false">IF($B651="","",IF(COUNTIFS($A$4:$A$2003,$A651-1,$B$4:$B$2003,$B651)=0,"first day",IF(SUMIFS($M$4:$M$2003,$A$4:$A$2003,$A651-1,$B$4:$B$2003,$B651)=$J651,"OK","CHECK")))</f>
        <v/>
      </c>
      <c r="T651" s="10" t="str">
        <f aca="false">IF($B651="","",IFERROR(INDEX(Drinks!$D$4:$D$53,MATCH($B651,Drinks!$A$4:$A$53,0)),0))</f>
        <v/>
      </c>
    </row>
    <row r="652" customFormat="false" ht="15" hidden="false" customHeight="false" outlineLevel="0" collapsed="false">
      <c r="A652" s="22"/>
      <c r="B652" s="9"/>
      <c r="C652" s="9"/>
      <c r="D652" s="9"/>
      <c r="E652" s="9"/>
      <c r="F652" s="10" t="str">
        <f aca="false">IF($B652="","",$C652+$D652-$E652)</f>
        <v/>
      </c>
      <c r="G652" s="10" t="str">
        <f aca="false">IF($B652="","",IFERROR(INDEX(Drinks!$C$4:$C$53,MATCH($B652,Drinks!$A$4:$A$53,0)),0))</f>
        <v/>
      </c>
      <c r="H652" s="10" t="str">
        <f aca="false">IF($B652="","",$D652*$G652)</f>
        <v/>
      </c>
      <c r="I652" s="10" t="str">
        <f aca="false">IF($B652="","",$F652*$G652)</f>
        <v/>
      </c>
      <c r="J652" s="9"/>
      <c r="K652" s="10" t="str">
        <f aca="false">IF($B652="","",$E652*IFERROR(INDEX(Drinks!$B$4:$B$53,MATCH($B652,Drinks!$A$4:$A$53,0)),0))</f>
        <v/>
      </c>
      <c r="L652" s="10" t="str">
        <f aca="false">IF($B652="","",$J652+$K652)</f>
        <v/>
      </c>
      <c r="M652" s="9"/>
      <c r="N652" s="10" t="str">
        <f aca="false">IF($B652="","",$L652-$M652)</f>
        <v/>
      </c>
      <c r="O652" s="10" t="str">
        <f aca="false">IF($B652="","",IFERROR(INDEX(Drinks!$E$4:$E$53,MATCH($B652,Drinks!$A$4:$A$53,0)),0))</f>
        <v/>
      </c>
      <c r="P652" s="10" t="str">
        <f aca="false">IF($B652="","",$N652*$O652)</f>
        <v/>
      </c>
      <c r="Q652" s="10" t="str">
        <f aca="false">IF($B652="","",$N652*IFERROR(INDEX(Drinks!$D$4:$D$53,MATCH($B652,Drinks!$A$4:$A$53,0)),0))</f>
        <v/>
      </c>
      <c r="R652" s="10" t="str">
        <f aca="false">IF($B652="","",$P652-$Q652)</f>
        <v/>
      </c>
      <c r="S652" s="23" t="str">
        <f aca="false">IF($B652="","",IF(COUNTIFS($A$4:$A$2003,$A652-1,$B$4:$B$2003,$B652)=0,"first day",IF(SUMIFS($M$4:$M$2003,$A$4:$A$2003,$A652-1,$B$4:$B$2003,$B652)=$J652,"OK","CHECK")))</f>
        <v/>
      </c>
      <c r="T652" s="10" t="str">
        <f aca="false">IF($B652="","",IFERROR(INDEX(Drinks!$D$4:$D$53,MATCH($B652,Drinks!$A$4:$A$53,0)),0))</f>
        <v/>
      </c>
    </row>
    <row r="653" customFormat="false" ht="15" hidden="false" customHeight="false" outlineLevel="0" collapsed="false">
      <c r="A653" s="22"/>
      <c r="B653" s="9"/>
      <c r="C653" s="9"/>
      <c r="D653" s="9"/>
      <c r="E653" s="9"/>
      <c r="F653" s="10" t="str">
        <f aca="false">IF($B653="","",$C653+$D653-$E653)</f>
        <v/>
      </c>
      <c r="G653" s="10" t="str">
        <f aca="false">IF($B653="","",IFERROR(INDEX(Drinks!$C$4:$C$53,MATCH($B653,Drinks!$A$4:$A$53,0)),0))</f>
        <v/>
      </c>
      <c r="H653" s="10" t="str">
        <f aca="false">IF($B653="","",$D653*$G653)</f>
        <v/>
      </c>
      <c r="I653" s="10" t="str">
        <f aca="false">IF($B653="","",$F653*$G653)</f>
        <v/>
      </c>
      <c r="J653" s="9"/>
      <c r="K653" s="10" t="str">
        <f aca="false">IF($B653="","",$E653*IFERROR(INDEX(Drinks!$B$4:$B$53,MATCH($B653,Drinks!$A$4:$A$53,0)),0))</f>
        <v/>
      </c>
      <c r="L653" s="10" t="str">
        <f aca="false">IF($B653="","",$J653+$K653)</f>
        <v/>
      </c>
      <c r="M653" s="9"/>
      <c r="N653" s="10" t="str">
        <f aca="false">IF($B653="","",$L653-$M653)</f>
        <v/>
      </c>
      <c r="O653" s="10" t="str">
        <f aca="false">IF($B653="","",IFERROR(INDEX(Drinks!$E$4:$E$53,MATCH($B653,Drinks!$A$4:$A$53,0)),0))</f>
        <v/>
      </c>
      <c r="P653" s="10" t="str">
        <f aca="false">IF($B653="","",$N653*$O653)</f>
        <v/>
      </c>
      <c r="Q653" s="10" t="str">
        <f aca="false">IF($B653="","",$N653*IFERROR(INDEX(Drinks!$D$4:$D$53,MATCH($B653,Drinks!$A$4:$A$53,0)),0))</f>
        <v/>
      </c>
      <c r="R653" s="10" t="str">
        <f aca="false">IF($B653="","",$P653-$Q653)</f>
        <v/>
      </c>
      <c r="S653" s="23" t="str">
        <f aca="false">IF($B653="","",IF(COUNTIFS($A$4:$A$2003,$A653-1,$B$4:$B$2003,$B653)=0,"first day",IF(SUMIFS($M$4:$M$2003,$A$4:$A$2003,$A653-1,$B$4:$B$2003,$B653)=$J653,"OK","CHECK")))</f>
        <v/>
      </c>
      <c r="T653" s="10" t="str">
        <f aca="false">IF($B653="","",IFERROR(INDEX(Drinks!$D$4:$D$53,MATCH($B653,Drinks!$A$4:$A$53,0)),0))</f>
        <v/>
      </c>
    </row>
    <row r="654" customFormat="false" ht="15" hidden="false" customHeight="false" outlineLevel="0" collapsed="false">
      <c r="A654" s="22"/>
      <c r="B654" s="9"/>
      <c r="C654" s="9"/>
      <c r="D654" s="9"/>
      <c r="E654" s="9"/>
      <c r="F654" s="10" t="str">
        <f aca="false">IF($B654="","",$C654+$D654-$E654)</f>
        <v/>
      </c>
      <c r="G654" s="10" t="str">
        <f aca="false">IF($B654="","",IFERROR(INDEX(Drinks!$C$4:$C$53,MATCH($B654,Drinks!$A$4:$A$53,0)),0))</f>
        <v/>
      </c>
      <c r="H654" s="10" t="str">
        <f aca="false">IF($B654="","",$D654*$G654)</f>
        <v/>
      </c>
      <c r="I654" s="10" t="str">
        <f aca="false">IF($B654="","",$F654*$G654)</f>
        <v/>
      </c>
      <c r="J654" s="9"/>
      <c r="K654" s="10" t="str">
        <f aca="false">IF($B654="","",$E654*IFERROR(INDEX(Drinks!$B$4:$B$53,MATCH($B654,Drinks!$A$4:$A$53,0)),0))</f>
        <v/>
      </c>
      <c r="L654" s="10" t="str">
        <f aca="false">IF($B654="","",$J654+$K654)</f>
        <v/>
      </c>
      <c r="M654" s="9"/>
      <c r="N654" s="10" t="str">
        <f aca="false">IF($B654="","",$L654-$M654)</f>
        <v/>
      </c>
      <c r="O654" s="10" t="str">
        <f aca="false">IF($B654="","",IFERROR(INDEX(Drinks!$E$4:$E$53,MATCH($B654,Drinks!$A$4:$A$53,0)),0))</f>
        <v/>
      </c>
      <c r="P654" s="10" t="str">
        <f aca="false">IF($B654="","",$N654*$O654)</f>
        <v/>
      </c>
      <c r="Q654" s="10" t="str">
        <f aca="false">IF($B654="","",$N654*IFERROR(INDEX(Drinks!$D$4:$D$53,MATCH($B654,Drinks!$A$4:$A$53,0)),0))</f>
        <v/>
      </c>
      <c r="R654" s="10" t="str">
        <f aca="false">IF($B654="","",$P654-$Q654)</f>
        <v/>
      </c>
      <c r="S654" s="23" t="str">
        <f aca="false">IF($B654="","",IF(COUNTIFS($A$4:$A$2003,$A654-1,$B$4:$B$2003,$B654)=0,"first day",IF(SUMIFS($M$4:$M$2003,$A$4:$A$2003,$A654-1,$B$4:$B$2003,$B654)=$J654,"OK","CHECK")))</f>
        <v/>
      </c>
      <c r="T654" s="10" t="str">
        <f aca="false">IF($B654="","",IFERROR(INDEX(Drinks!$D$4:$D$53,MATCH($B654,Drinks!$A$4:$A$53,0)),0))</f>
        <v/>
      </c>
    </row>
    <row r="655" customFormat="false" ht="15" hidden="false" customHeight="false" outlineLevel="0" collapsed="false">
      <c r="A655" s="22"/>
      <c r="B655" s="9"/>
      <c r="C655" s="9"/>
      <c r="D655" s="9"/>
      <c r="E655" s="9"/>
      <c r="F655" s="10" t="str">
        <f aca="false">IF($B655="","",$C655+$D655-$E655)</f>
        <v/>
      </c>
      <c r="G655" s="10" t="str">
        <f aca="false">IF($B655="","",IFERROR(INDEX(Drinks!$C$4:$C$53,MATCH($B655,Drinks!$A$4:$A$53,0)),0))</f>
        <v/>
      </c>
      <c r="H655" s="10" t="str">
        <f aca="false">IF($B655="","",$D655*$G655)</f>
        <v/>
      </c>
      <c r="I655" s="10" t="str">
        <f aca="false">IF($B655="","",$F655*$G655)</f>
        <v/>
      </c>
      <c r="J655" s="9"/>
      <c r="K655" s="10" t="str">
        <f aca="false">IF($B655="","",$E655*IFERROR(INDEX(Drinks!$B$4:$B$53,MATCH($B655,Drinks!$A$4:$A$53,0)),0))</f>
        <v/>
      </c>
      <c r="L655" s="10" t="str">
        <f aca="false">IF($B655="","",$J655+$K655)</f>
        <v/>
      </c>
      <c r="M655" s="9"/>
      <c r="N655" s="10" t="str">
        <f aca="false">IF($B655="","",$L655-$M655)</f>
        <v/>
      </c>
      <c r="O655" s="10" t="str">
        <f aca="false">IF($B655="","",IFERROR(INDEX(Drinks!$E$4:$E$53,MATCH($B655,Drinks!$A$4:$A$53,0)),0))</f>
        <v/>
      </c>
      <c r="P655" s="10" t="str">
        <f aca="false">IF($B655="","",$N655*$O655)</f>
        <v/>
      </c>
      <c r="Q655" s="10" t="str">
        <f aca="false">IF($B655="","",$N655*IFERROR(INDEX(Drinks!$D$4:$D$53,MATCH($B655,Drinks!$A$4:$A$53,0)),0))</f>
        <v/>
      </c>
      <c r="R655" s="10" t="str">
        <f aca="false">IF($B655="","",$P655-$Q655)</f>
        <v/>
      </c>
      <c r="S655" s="23" t="str">
        <f aca="false">IF($B655="","",IF(COUNTIFS($A$4:$A$2003,$A655-1,$B$4:$B$2003,$B655)=0,"first day",IF(SUMIFS($M$4:$M$2003,$A$4:$A$2003,$A655-1,$B$4:$B$2003,$B655)=$J655,"OK","CHECK")))</f>
        <v/>
      </c>
      <c r="T655" s="10" t="str">
        <f aca="false">IF($B655="","",IFERROR(INDEX(Drinks!$D$4:$D$53,MATCH($B655,Drinks!$A$4:$A$53,0)),0))</f>
        <v/>
      </c>
    </row>
    <row r="656" customFormat="false" ht="15" hidden="false" customHeight="false" outlineLevel="0" collapsed="false">
      <c r="A656" s="22"/>
      <c r="B656" s="9"/>
      <c r="C656" s="9"/>
      <c r="D656" s="9"/>
      <c r="E656" s="9"/>
      <c r="F656" s="10" t="str">
        <f aca="false">IF($B656="","",$C656+$D656-$E656)</f>
        <v/>
      </c>
      <c r="G656" s="10" t="str">
        <f aca="false">IF($B656="","",IFERROR(INDEX(Drinks!$C$4:$C$53,MATCH($B656,Drinks!$A$4:$A$53,0)),0))</f>
        <v/>
      </c>
      <c r="H656" s="10" t="str">
        <f aca="false">IF($B656="","",$D656*$G656)</f>
        <v/>
      </c>
      <c r="I656" s="10" t="str">
        <f aca="false">IF($B656="","",$F656*$G656)</f>
        <v/>
      </c>
      <c r="J656" s="9"/>
      <c r="K656" s="10" t="str">
        <f aca="false">IF($B656="","",$E656*IFERROR(INDEX(Drinks!$B$4:$B$53,MATCH($B656,Drinks!$A$4:$A$53,0)),0))</f>
        <v/>
      </c>
      <c r="L656" s="10" t="str">
        <f aca="false">IF($B656="","",$J656+$K656)</f>
        <v/>
      </c>
      <c r="M656" s="9"/>
      <c r="N656" s="10" t="str">
        <f aca="false">IF($B656="","",$L656-$M656)</f>
        <v/>
      </c>
      <c r="O656" s="10" t="str">
        <f aca="false">IF($B656="","",IFERROR(INDEX(Drinks!$E$4:$E$53,MATCH($B656,Drinks!$A$4:$A$53,0)),0))</f>
        <v/>
      </c>
      <c r="P656" s="10" t="str">
        <f aca="false">IF($B656="","",$N656*$O656)</f>
        <v/>
      </c>
      <c r="Q656" s="10" t="str">
        <f aca="false">IF($B656="","",$N656*IFERROR(INDEX(Drinks!$D$4:$D$53,MATCH($B656,Drinks!$A$4:$A$53,0)),0))</f>
        <v/>
      </c>
      <c r="R656" s="10" t="str">
        <f aca="false">IF($B656="","",$P656-$Q656)</f>
        <v/>
      </c>
      <c r="S656" s="23" t="str">
        <f aca="false">IF($B656="","",IF(COUNTIFS($A$4:$A$2003,$A656-1,$B$4:$B$2003,$B656)=0,"first day",IF(SUMIFS($M$4:$M$2003,$A$4:$A$2003,$A656-1,$B$4:$B$2003,$B656)=$J656,"OK","CHECK")))</f>
        <v/>
      </c>
      <c r="T656" s="10" t="str">
        <f aca="false">IF($B656="","",IFERROR(INDEX(Drinks!$D$4:$D$53,MATCH($B656,Drinks!$A$4:$A$53,0)),0))</f>
        <v/>
      </c>
    </row>
    <row r="657" customFormat="false" ht="15" hidden="false" customHeight="false" outlineLevel="0" collapsed="false">
      <c r="A657" s="22"/>
      <c r="B657" s="9"/>
      <c r="C657" s="9"/>
      <c r="D657" s="9"/>
      <c r="E657" s="9"/>
      <c r="F657" s="10" t="str">
        <f aca="false">IF($B657="","",$C657+$D657-$E657)</f>
        <v/>
      </c>
      <c r="G657" s="10" t="str">
        <f aca="false">IF($B657="","",IFERROR(INDEX(Drinks!$C$4:$C$53,MATCH($B657,Drinks!$A$4:$A$53,0)),0))</f>
        <v/>
      </c>
      <c r="H657" s="10" t="str">
        <f aca="false">IF($B657="","",$D657*$G657)</f>
        <v/>
      </c>
      <c r="I657" s="10" t="str">
        <f aca="false">IF($B657="","",$F657*$G657)</f>
        <v/>
      </c>
      <c r="J657" s="9"/>
      <c r="K657" s="10" t="str">
        <f aca="false">IF($B657="","",$E657*IFERROR(INDEX(Drinks!$B$4:$B$53,MATCH($B657,Drinks!$A$4:$A$53,0)),0))</f>
        <v/>
      </c>
      <c r="L657" s="10" t="str">
        <f aca="false">IF($B657="","",$J657+$K657)</f>
        <v/>
      </c>
      <c r="M657" s="9"/>
      <c r="N657" s="10" t="str">
        <f aca="false">IF($B657="","",$L657-$M657)</f>
        <v/>
      </c>
      <c r="O657" s="10" t="str">
        <f aca="false">IF($B657="","",IFERROR(INDEX(Drinks!$E$4:$E$53,MATCH($B657,Drinks!$A$4:$A$53,0)),0))</f>
        <v/>
      </c>
      <c r="P657" s="10" t="str">
        <f aca="false">IF($B657="","",$N657*$O657)</f>
        <v/>
      </c>
      <c r="Q657" s="10" t="str">
        <f aca="false">IF($B657="","",$N657*IFERROR(INDEX(Drinks!$D$4:$D$53,MATCH($B657,Drinks!$A$4:$A$53,0)),0))</f>
        <v/>
      </c>
      <c r="R657" s="10" t="str">
        <f aca="false">IF($B657="","",$P657-$Q657)</f>
        <v/>
      </c>
      <c r="S657" s="23" t="str">
        <f aca="false">IF($B657="","",IF(COUNTIFS($A$4:$A$2003,$A657-1,$B$4:$B$2003,$B657)=0,"first day",IF(SUMIFS($M$4:$M$2003,$A$4:$A$2003,$A657-1,$B$4:$B$2003,$B657)=$J657,"OK","CHECK")))</f>
        <v/>
      </c>
      <c r="T657" s="10" t="str">
        <f aca="false">IF($B657="","",IFERROR(INDEX(Drinks!$D$4:$D$53,MATCH($B657,Drinks!$A$4:$A$53,0)),0))</f>
        <v/>
      </c>
    </row>
    <row r="658" customFormat="false" ht="15" hidden="false" customHeight="false" outlineLevel="0" collapsed="false">
      <c r="A658" s="22"/>
      <c r="B658" s="9"/>
      <c r="C658" s="9"/>
      <c r="D658" s="9"/>
      <c r="E658" s="9"/>
      <c r="F658" s="10" t="str">
        <f aca="false">IF($B658="","",$C658+$D658-$E658)</f>
        <v/>
      </c>
      <c r="G658" s="10" t="str">
        <f aca="false">IF($B658="","",IFERROR(INDEX(Drinks!$C$4:$C$53,MATCH($B658,Drinks!$A$4:$A$53,0)),0))</f>
        <v/>
      </c>
      <c r="H658" s="10" t="str">
        <f aca="false">IF($B658="","",$D658*$G658)</f>
        <v/>
      </c>
      <c r="I658" s="10" t="str">
        <f aca="false">IF($B658="","",$F658*$G658)</f>
        <v/>
      </c>
      <c r="J658" s="9"/>
      <c r="K658" s="10" t="str">
        <f aca="false">IF($B658="","",$E658*IFERROR(INDEX(Drinks!$B$4:$B$53,MATCH($B658,Drinks!$A$4:$A$53,0)),0))</f>
        <v/>
      </c>
      <c r="L658" s="10" t="str">
        <f aca="false">IF($B658="","",$J658+$K658)</f>
        <v/>
      </c>
      <c r="M658" s="9"/>
      <c r="N658" s="10" t="str">
        <f aca="false">IF($B658="","",$L658-$M658)</f>
        <v/>
      </c>
      <c r="O658" s="10" t="str">
        <f aca="false">IF($B658="","",IFERROR(INDEX(Drinks!$E$4:$E$53,MATCH($B658,Drinks!$A$4:$A$53,0)),0))</f>
        <v/>
      </c>
      <c r="P658" s="10" t="str">
        <f aca="false">IF($B658="","",$N658*$O658)</f>
        <v/>
      </c>
      <c r="Q658" s="10" t="str">
        <f aca="false">IF($B658="","",$N658*IFERROR(INDEX(Drinks!$D$4:$D$53,MATCH($B658,Drinks!$A$4:$A$53,0)),0))</f>
        <v/>
      </c>
      <c r="R658" s="10" t="str">
        <f aca="false">IF($B658="","",$P658-$Q658)</f>
        <v/>
      </c>
      <c r="S658" s="23" t="str">
        <f aca="false">IF($B658="","",IF(COUNTIFS($A$4:$A$2003,$A658-1,$B$4:$B$2003,$B658)=0,"first day",IF(SUMIFS($M$4:$M$2003,$A$4:$A$2003,$A658-1,$B$4:$B$2003,$B658)=$J658,"OK","CHECK")))</f>
        <v/>
      </c>
      <c r="T658" s="10" t="str">
        <f aca="false">IF($B658="","",IFERROR(INDEX(Drinks!$D$4:$D$53,MATCH($B658,Drinks!$A$4:$A$53,0)),0))</f>
        <v/>
      </c>
    </row>
    <row r="659" customFormat="false" ht="15" hidden="false" customHeight="false" outlineLevel="0" collapsed="false">
      <c r="A659" s="22"/>
      <c r="B659" s="9"/>
      <c r="C659" s="9"/>
      <c r="D659" s="9"/>
      <c r="E659" s="9"/>
      <c r="F659" s="10" t="str">
        <f aca="false">IF($B659="","",$C659+$D659-$E659)</f>
        <v/>
      </c>
      <c r="G659" s="10" t="str">
        <f aca="false">IF($B659="","",IFERROR(INDEX(Drinks!$C$4:$C$53,MATCH($B659,Drinks!$A$4:$A$53,0)),0))</f>
        <v/>
      </c>
      <c r="H659" s="10" t="str">
        <f aca="false">IF($B659="","",$D659*$G659)</f>
        <v/>
      </c>
      <c r="I659" s="10" t="str">
        <f aca="false">IF($B659="","",$F659*$G659)</f>
        <v/>
      </c>
      <c r="J659" s="9"/>
      <c r="K659" s="10" t="str">
        <f aca="false">IF($B659="","",$E659*IFERROR(INDEX(Drinks!$B$4:$B$53,MATCH($B659,Drinks!$A$4:$A$53,0)),0))</f>
        <v/>
      </c>
      <c r="L659" s="10" t="str">
        <f aca="false">IF($B659="","",$J659+$K659)</f>
        <v/>
      </c>
      <c r="M659" s="9"/>
      <c r="N659" s="10" t="str">
        <f aca="false">IF($B659="","",$L659-$M659)</f>
        <v/>
      </c>
      <c r="O659" s="10" t="str">
        <f aca="false">IF($B659="","",IFERROR(INDEX(Drinks!$E$4:$E$53,MATCH($B659,Drinks!$A$4:$A$53,0)),0))</f>
        <v/>
      </c>
      <c r="P659" s="10" t="str">
        <f aca="false">IF($B659="","",$N659*$O659)</f>
        <v/>
      </c>
      <c r="Q659" s="10" t="str">
        <f aca="false">IF($B659="","",$N659*IFERROR(INDEX(Drinks!$D$4:$D$53,MATCH($B659,Drinks!$A$4:$A$53,0)),0))</f>
        <v/>
      </c>
      <c r="R659" s="10" t="str">
        <f aca="false">IF($B659="","",$P659-$Q659)</f>
        <v/>
      </c>
      <c r="S659" s="23" t="str">
        <f aca="false">IF($B659="","",IF(COUNTIFS($A$4:$A$2003,$A659-1,$B$4:$B$2003,$B659)=0,"first day",IF(SUMIFS($M$4:$M$2003,$A$4:$A$2003,$A659-1,$B$4:$B$2003,$B659)=$J659,"OK","CHECK")))</f>
        <v/>
      </c>
      <c r="T659" s="10" t="str">
        <f aca="false">IF($B659="","",IFERROR(INDEX(Drinks!$D$4:$D$53,MATCH($B659,Drinks!$A$4:$A$53,0)),0))</f>
        <v/>
      </c>
    </row>
    <row r="660" customFormat="false" ht="15" hidden="false" customHeight="false" outlineLevel="0" collapsed="false">
      <c r="A660" s="22"/>
      <c r="B660" s="9"/>
      <c r="C660" s="9"/>
      <c r="D660" s="9"/>
      <c r="E660" s="9"/>
      <c r="F660" s="10" t="str">
        <f aca="false">IF($B660="","",$C660+$D660-$E660)</f>
        <v/>
      </c>
      <c r="G660" s="10" t="str">
        <f aca="false">IF($B660="","",IFERROR(INDEX(Drinks!$C$4:$C$53,MATCH($B660,Drinks!$A$4:$A$53,0)),0))</f>
        <v/>
      </c>
      <c r="H660" s="10" t="str">
        <f aca="false">IF($B660="","",$D660*$G660)</f>
        <v/>
      </c>
      <c r="I660" s="10" t="str">
        <f aca="false">IF($B660="","",$F660*$G660)</f>
        <v/>
      </c>
      <c r="J660" s="9"/>
      <c r="K660" s="10" t="str">
        <f aca="false">IF($B660="","",$E660*IFERROR(INDEX(Drinks!$B$4:$B$53,MATCH($B660,Drinks!$A$4:$A$53,0)),0))</f>
        <v/>
      </c>
      <c r="L660" s="10" t="str">
        <f aca="false">IF($B660="","",$J660+$K660)</f>
        <v/>
      </c>
      <c r="M660" s="9"/>
      <c r="N660" s="10" t="str">
        <f aca="false">IF($B660="","",$L660-$M660)</f>
        <v/>
      </c>
      <c r="O660" s="10" t="str">
        <f aca="false">IF($B660="","",IFERROR(INDEX(Drinks!$E$4:$E$53,MATCH($B660,Drinks!$A$4:$A$53,0)),0))</f>
        <v/>
      </c>
      <c r="P660" s="10" t="str">
        <f aca="false">IF($B660="","",$N660*$O660)</f>
        <v/>
      </c>
      <c r="Q660" s="10" t="str">
        <f aca="false">IF($B660="","",$N660*IFERROR(INDEX(Drinks!$D$4:$D$53,MATCH($B660,Drinks!$A$4:$A$53,0)),0))</f>
        <v/>
      </c>
      <c r="R660" s="10" t="str">
        <f aca="false">IF($B660="","",$P660-$Q660)</f>
        <v/>
      </c>
      <c r="S660" s="23" t="str">
        <f aca="false">IF($B660="","",IF(COUNTIFS($A$4:$A$2003,$A660-1,$B$4:$B$2003,$B660)=0,"first day",IF(SUMIFS($M$4:$M$2003,$A$4:$A$2003,$A660-1,$B$4:$B$2003,$B660)=$J660,"OK","CHECK")))</f>
        <v/>
      </c>
      <c r="T660" s="10" t="str">
        <f aca="false">IF($B660="","",IFERROR(INDEX(Drinks!$D$4:$D$53,MATCH($B660,Drinks!$A$4:$A$53,0)),0))</f>
        <v/>
      </c>
    </row>
    <row r="661" customFormat="false" ht="15" hidden="false" customHeight="false" outlineLevel="0" collapsed="false">
      <c r="A661" s="22"/>
      <c r="B661" s="9"/>
      <c r="C661" s="9"/>
      <c r="D661" s="9"/>
      <c r="E661" s="9"/>
      <c r="F661" s="10" t="str">
        <f aca="false">IF($B661="","",$C661+$D661-$E661)</f>
        <v/>
      </c>
      <c r="G661" s="10" t="str">
        <f aca="false">IF($B661="","",IFERROR(INDEX(Drinks!$C$4:$C$53,MATCH($B661,Drinks!$A$4:$A$53,0)),0))</f>
        <v/>
      </c>
      <c r="H661" s="10" t="str">
        <f aca="false">IF($B661="","",$D661*$G661)</f>
        <v/>
      </c>
      <c r="I661" s="10" t="str">
        <f aca="false">IF($B661="","",$F661*$G661)</f>
        <v/>
      </c>
      <c r="J661" s="9"/>
      <c r="K661" s="10" t="str">
        <f aca="false">IF($B661="","",$E661*IFERROR(INDEX(Drinks!$B$4:$B$53,MATCH($B661,Drinks!$A$4:$A$53,0)),0))</f>
        <v/>
      </c>
      <c r="L661" s="10" t="str">
        <f aca="false">IF($B661="","",$J661+$K661)</f>
        <v/>
      </c>
      <c r="M661" s="9"/>
      <c r="N661" s="10" t="str">
        <f aca="false">IF($B661="","",$L661-$M661)</f>
        <v/>
      </c>
      <c r="O661" s="10" t="str">
        <f aca="false">IF($B661="","",IFERROR(INDEX(Drinks!$E$4:$E$53,MATCH($B661,Drinks!$A$4:$A$53,0)),0))</f>
        <v/>
      </c>
      <c r="P661" s="10" t="str">
        <f aca="false">IF($B661="","",$N661*$O661)</f>
        <v/>
      </c>
      <c r="Q661" s="10" t="str">
        <f aca="false">IF($B661="","",$N661*IFERROR(INDEX(Drinks!$D$4:$D$53,MATCH($B661,Drinks!$A$4:$A$53,0)),0))</f>
        <v/>
      </c>
      <c r="R661" s="10" t="str">
        <f aca="false">IF($B661="","",$P661-$Q661)</f>
        <v/>
      </c>
      <c r="S661" s="23" t="str">
        <f aca="false">IF($B661="","",IF(COUNTIFS($A$4:$A$2003,$A661-1,$B$4:$B$2003,$B661)=0,"first day",IF(SUMIFS($M$4:$M$2003,$A$4:$A$2003,$A661-1,$B$4:$B$2003,$B661)=$J661,"OK","CHECK")))</f>
        <v/>
      </c>
      <c r="T661" s="10" t="str">
        <f aca="false">IF($B661="","",IFERROR(INDEX(Drinks!$D$4:$D$53,MATCH($B661,Drinks!$A$4:$A$53,0)),0))</f>
        <v/>
      </c>
    </row>
    <row r="662" customFormat="false" ht="15" hidden="false" customHeight="false" outlineLevel="0" collapsed="false">
      <c r="A662" s="22"/>
      <c r="B662" s="9"/>
      <c r="C662" s="9"/>
      <c r="D662" s="9"/>
      <c r="E662" s="9"/>
      <c r="F662" s="10" t="str">
        <f aca="false">IF($B662="","",$C662+$D662-$E662)</f>
        <v/>
      </c>
      <c r="G662" s="10" t="str">
        <f aca="false">IF($B662="","",IFERROR(INDEX(Drinks!$C$4:$C$53,MATCH($B662,Drinks!$A$4:$A$53,0)),0))</f>
        <v/>
      </c>
      <c r="H662" s="10" t="str">
        <f aca="false">IF($B662="","",$D662*$G662)</f>
        <v/>
      </c>
      <c r="I662" s="10" t="str">
        <f aca="false">IF($B662="","",$F662*$G662)</f>
        <v/>
      </c>
      <c r="J662" s="9"/>
      <c r="K662" s="10" t="str">
        <f aca="false">IF($B662="","",$E662*IFERROR(INDEX(Drinks!$B$4:$B$53,MATCH($B662,Drinks!$A$4:$A$53,0)),0))</f>
        <v/>
      </c>
      <c r="L662" s="10" t="str">
        <f aca="false">IF($B662="","",$J662+$K662)</f>
        <v/>
      </c>
      <c r="M662" s="9"/>
      <c r="N662" s="10" t="str">
        <f aca="false">IF($B662="","",$L662-$M662)</f>
        <v/>
      </c>
      <c r="O662" s="10" t="str">
        <f aca="false">IF($B662="","",IFERROR(INDEX(Drinks!$E$4:$E$53,MATCH($B662,Drinks!$A$4:$A$53,0)),0))</f>
        <v/>
      </c>
      <c r="P662" s="10" t="str">
        <f aca="false">IF($B662="","",$N662*$O662)</f>
        <v/>
      </c>
      <c r="Q662" s="10" t="str">
        <f aca="false">IF($B662="","",$N662*IFERROR(INDEX(Drinks!$D$4:$D$53,MATCH($B662,Drinks!$A$4:$A$53,0)),0))</f>
        <v/>
      </c>
      <c r="R662" s="10" t="str">
        <f aca="false">IF($B662="","",$P662-$Q662)</f>
        <v/>
      </c>
      <c r="S662" s="23" t="str">
        <f aca="false">IF($B662="","",IF(COUNTIFS($A$4:$A$2003,$A662-1,$B$4:$B$2003,$B662)=0,"first day",IF(SUMIFS($M$4:$M$2003,$A$4:$A$2003,$A662-1,$B$4:$B$2003,$B662)=$J662,"OK","CHECK")))</f>
        <v/>
      </c>
      <c r="T662" s="10" t="str">
        <f aca="false">IF($B662="","",IFERROR(INDEX(Drinks!$D$4:$D$53,MATCH($B662,Drinks!$A$4:$A$53,0)),0))</f>
        <v/>
      </c>
    </row>
    <row r="663" customFormat="false" ht="15" hidden="false" customHeight="false" outlineLevel="0" collapsed="false">
      <c r="A663" s="22"/>
      <c r="B663" s="9"/>
      <c r="C663" s="9"/>
      <c r="D663" s="9"/>
      <c r="E663" s="9"/>
      <c r="F663" s="10" t="str">
        <f aca="false">IF($B663="","",$C663+$D663-$E663)</f>
        <v/>
      </c>
      <c r="G663" s="10" t="str">
        <f aca="false">IF($B663="","",IFERROR(INDEX(Drinks!$C$4:$C$53,MATCH($B663,Drinks!$A$4:$A$53,0)),0))</f>
        <v/>
      </c>
      <c r="H663" s="10" t="str">
        <f aca="false">IF($B663="","",$D663*$G663)</f>
        <v/>
      </c>
      <c r="I663" s="10" t="str">
        <f aca="false">IF($B663="","",$F663*$G663)</f>
        <v/>
      </c>
      <c r="J663" s="9"/>
      <c r="K663" s="10" t="str">
        <f aca="false">IF($B663="","",$E663*IFERROR(INDEX(Drinks!$B$4:$B$53,MATCH($B663,Drinks!$A$4:$A$53,0)),0))</f>
        <v/>
      </c>
      <c r="L663" s="10" t="str">
        <f aca="false">IF($B663="","",$J663+$K663)</f>
        <v/>
      </c>
      <c r="M663" s="9"/>
      <c r="N663" s="10" t="str">
        <f aca="false">IF($B663="","",$L663-$M663)</f>
        <v/>
      </c>
      <c r="O663" s="10" t="str">
        <f aca="false">IF($B663="","",IFERROR(INDEX(Drinks!$E$4:$E$53,MATCH($B663,Drinks!$A$4:$A$53,0)),0))</f>
        <v/>
      </c>
      <c r="P663" s="10" t="str">
        <f aca="false">IF($B663="","",$N663*$O663)</f>
        <v/>
      </c>
      <c r="Q663" s="10" t="str">
        <f aca="false">IF($B663="","",$N663*IFERROR(INDEX(Drinks!$D$4:$D$53,MATCH($B663,Drinks!$A$4:$A$53,0)),0))</f>
        <v/>
      </c>
      <c r="R663" s="10" t="str">
        <f aca="false">IF($B663="","",$P663-$Q663)</f>
        <v/>
      </c>
      <c r="S663" s="23" t="str">
        <f aca="false">IF($B663="","",IF(COUNTIFS($A$4:$A$2003,$A663-1,$B$4:$B$2003,$B663)=0,"first day",IF(SUMIFS($M$4:$M$2003,$A$4:$A$2003,$A663-1,$B$4:$B$2003,$B663)=$J663,"OK","CHECK")))</f>
        <v/>
      </c>
      <c r="T663" s="10" t="str">
        <f aca="false">IF($B663="","",IFERROR(INDEX(Drinks!$D$4:$D$53,MATCH($B663,Drinks!$A$4:$A$53,0)),0))</f>
        <v/>
      </c>
    </row>
    <row r="664" customFormat="false" ht="15" hidden="false" customHeight="false" outlineLevel="0" collapsed="false">
      <c r="A664" s="22"/>
      <c r="B664" s="9"/>
      <c r="C664" s="9"/>
      <c r="D664" s="9"/>
      <c r="E664" s="9"/>
      <c r="F664" s="10" t="str">
        <f aca="false">IF($B664="","",$C664+$D664-$E664)</f>
        <v/>
      </c>
      <c r="G664" s="10" t="str">
        <f aca="false">IF($B664="","",IFERROR(INDEX(Drinks!$C$4:$C$53,MATCH($B664,Drinks!$A$4:$A$53,0)),0))</f>
        <v/>
      </c>
      <c r="H664" s="10" t="str">
        <f aca="false">IF($B664="","",$D664*$G664)</f>
        <v/>
      </c>
      <c r="I664" s="10" t="str">
        <f aca="false">IF($B664="","",$F664*$G664)</f>
        <v/>
      </c>
      <c r="J664" s="9"/>
      <c r="K664" s="10" t="str">
        <f aca="false">IF($B664="","",$E664*IFERROR(INDEX(Drinks!$B$4:$B$53,MATCH($B664,Drinks!$A$4:$A$53,0)),0))</f>
        <v/>
      </c>
      <c r="L664" s="10" t="str">
        <f aca="false">IF($B664="","",$J664+$K664)</f>
        <v/>
      </c>
      <c r="M664" s="9"/>
      <c r="N664" s="10" t="str">
        <f aca="false">IF($B664="","",$L664-$M664)</f>
        <v/>
      </c>
      <c r="O664" s="10" t="str">
        <f aca="false">IF($B664="","",IFERROR(INDEX(Drinks!$E$4:$E$53,MATCH($B664,Drinks!$A$4:$A$53,0)),0))</f>
        <v/>
      </c>
      <c r="P664" s="10" t="str">
        <f aca="false">IF($B664="","",$N664*$O664)</f>
        <v/>
      </c>
      <c r="Q664" s="10" t="str">
        <f aca="false">IF($B664="","",$N664*IFERROR(INDEX(Drinks!$D$4:$D$53,MATCH($B664,Drinks!$A$4:$A$53,0)),0))</f>
        <v/>
      </c>
      <c r="R664" s="10" t="str">
        <f aca="false">IF($B664="","",$P664-$Q664)</f>
        <v/>
      </c>
      <c r="S664" s="23" t="str">
        <f aca="false">IF($B664="","",IF(COUNTIFS($A$4:$A$2003,$A664-1,$B$4:$B$2003,$B664)=0,"first day",IF(SUMIFS($M$4:$M$2003,$A$4:$A$2003,$A664-1,$B$4:$B$2003,$B664)=$J664,"OK","CHECK")))</f>
        <v/>
      </c>
      <c r="T664" s="10" t="str">
        <f aca="false">IF($B664="","",IFERROR(INDEX(Drinks!$D$4:$D$53,MATCH($B664,Drinks!$A$4:$A$53,0)),0))</f>
        <v/>
      </c>
    </row>
    <row r="665" customFormat="false" ht="15" hidden="false" customHeight="false" outlineLevel="0" collapsed="false">
      <c r="A665" s="22"/>
      <c r="B665" s="9"/>
      <c r="C665" s="9"/>
      <c r="D665" s="9"/>
      <c r="E665" s="9"/>
      <c r="F665" s="10" t="str">
        <f aca="false">IF($B665="","",$C665+$D665-$E665)</f>
        <v/>
      </c>
      <c r="G665" s="10" t="str">
        <f aca="false">IF($B665="","",IFERROR(INDEX(Drinks!$C$4:$C$53,MATCH($B665,Drinks!$A$4:$A$53,0)),0))</f>
        <v/>
      </c>
      <c r="H665" s="10" t="str">
        <f aca="false">IF($B665="","",$D665*$G665)</f>
        <v/>
      </c>
      <c r="I665" s="10" t="str">
        <f aca="false">IF($B665="","",$F665*$G665)</f>
        <v/>
      </c>
      <c r="J665" s="9"/>
      <c r="K665" s="10" t="str">
        <f aca="false">IF($B665="","",$E665*IFERROR(INDEX(Drinks!$B$4:$B$53,MATCH($B665,Drinks!$A$4:$A$53,0)),0))</f>
        <v/>
      </c>
      <c r="L665" s="10" t="str">
        <f aca="false">IF($B665="","",$J665+$K665)</f>
        <v/>
      </c>
      <c r="M665" s="9"/>
      <c r="N665" s="10" t="str">
        <f aca="false">IF($B665="","",$L665-$M665)</f>
        <v/>
      </c>
      <c r="O665" s="10" t="str">
        <f aca="false">IF($B665="","",IFERROR(INDEX(Drinks!$E$4:$E$53,MATCH($B665,Drinks!$A$4:$A$53,0)),0))</f>
        <v/>
      </c>
      <c r="P665" s="10" t="str">
        <f aca="false">IF($B665="","",$N665*$O665)</f>
        <v/>
      </c>
      <c r="Q665" s="10" t="str">
        <f aca="false">IF($B665="","",$N665*IFERROR(INDEX(Drinks!$D$4:$D$53,MATCH($B665,Drinks!$A$4:$A$53,0)),0))</f>
        <v/>
      </c>
      <c r="R665" s="10" t="str">
        <f aca="false">IF($B665="","",$P665-$Q665)</f>
        <v/>
      </c>
      <c r="S665" s="23" t="str">
        <f aca="false">IF($B665="","",IF(COUNTIFS($A$4:$A$2003,$A665-1,$B$4:$B$2003,$B665)=0,"first day",IF(SUMIFS($M$4:$M$2003,$A$4:$A$2003,$A665-1,$B$4:$B$2003,$B665)=$J665,"OK","CHECK")))</f>
        <v/>
      </c>
      <c r="T665" s="10" t="str">
        <f aca="false">IF($B665="","",IFERROR(INDEX(Drinks!$D$4:$D$53,MATCH($B665,Drinks!$A$4:$A$53,0)),0))</f>
        <v/>
      </c>
    </row>
    <row r="666" customFormat="false" ht="15" hidden="false" customHeight="false" outlineLevel="0" collapsed="false">
      <c r="A666" s="22"/>
      <c r="B666" s="9"/>
      <c r="C666" s="9"/>
      <c r="D666" s="9"/>
      <c r="E666" s="9"/>
      <c r="F666" s="10" t="str">
        <f aca="false">IF($B666="","",$C666+$D666-$E666)</f>
        <v/>
      </c>
      <c r="G666" s="10" t="str">
        <f aca="false">IF($B666="","",IFERROR(INDEX(Drinks!$C$4:$C$53,MATCH($B666,Drinks!$A$4:$A$53,0)),0))</f>
        <v/>
      </c>
      <c r="H666" s="10" t="str">
        <f aca="false">IF($B666="","",$D666*$G666)</f>
        <v/>
      </c>
      <c r="I666" s="10" t="str">
        <f aca="false">IF($B666="","",$F666*$G666)</f>
        <v/>
      </c>
      <c r="J666" s="9"/>
      <c r="K666" s="10" t="str">
        <f aca="false">IF($B666="","",$E666*IFERROR(INDEX(Drinks!$B$4:$B$53,MATCH($B666,Drinks!$A$4:$A$53,0)),0))</f>
        <v/>
      </c>
      <c r="L666" s="10" t="str">
        <f aca="false">IF($B666="","",$J666+$K666)</f>
        <v/>
      </c>
      <c r="M666" s="9"/>
      <c r="N666" s="10" t="str">
        <f aca="false">IF($B666="","",$L666-$M666)</f>
        <v/>
      </c>
      <c r="O666" s="10" t="str">
        <f aca="false">IF($B666="","",IFERROR(INDEX(Drinks!$E$4:$E$53,MATCH($B666,Drinks!$A$4:$A$53,0)),0))</f>
        <v/>
      </c>
      <c r="P666" s="10" t="str">
        <f aca="false">IF($B666="","",$N666*$O666)</f>
        <v/>
      </c>
      <c r="Q666" s="10" t="str">
        <f aca="false">IF($B666="","",$N666*IFERROR(INDEX(Drinks!$D$4:$D$53,MATCH($B666,Drinks!$A$4:$A$53,0)),0))</f>
        <v/>
      </c>
      <c r="R666" s="10" t="str">
        <f aca="false">IF($B666="","",$P666-$Q666)</f>
        <v/>
      </c>
      <c r="S666" s="23" t="str">
        <f aca="false">IF($B666="","",IF(COUNTIFS($A$4:$A$2003,$A666-1,$B$4:$B$2003,$B666)=0,"first day",IF(SUMIFS($M$4:$M$2003,$A$4:$A$2003,$A666-1,$B$4:$B$2003,$B666)=$J666,"OK","CHECK")))</f>
        <v/>
      </c>
      <c r="T666" s="10" t="str">
        <f aca="false">IF($B666="","",IFERROR(INDEX(Drinks!$D$4:$D$53,MATCH($B666,Drinks!$A$4:$A$53,0)),0))</f>
        <v/>
      </c>
    </row>
    <row r="667" customFormat="false" ht="15" hidden="false" customHeight="false" outlineLevel="0" collapsed="false">
      <c r="A667" s="22"/>
      <c r="B667" s="9"/>
      <c r="C667" s="9"/>
      <c r="D667" s="9"/>
      <c r="E667" s="9"/>
      <c r="F667" s="10" t="str">
        <f aca="false">IF($B667="","",$C667+$D667-$E667)</f>
        <v/>
      </c>
      <c r="G667" s="10" t="str">
        <f aca="false">IF($B667="","",IFERROR(INDEX(Drinks!$C$4:$C$53,MATCH($B667,Drinks!$A$4:$A$53,0)),0))</f>
        <v/>
      </c>
      <c r="H667" s="10" t="str">
        <f aca="false">IF($B667="","",$D667*$G667)</f>
        <v/>
      </c>
      <c r="I667" s="10" t="str">
        <f aca="false">IF($B667="","",$F667*$G667)</f>
        <v/>
      </c>
      <c r="J667" s="9"/>
      <c r="K667" s="10" t="str">
        <f aca="false">IF($B667="","",$E667*IFERROR(INDEX(Drinks!$B$4:$B$53,MATCH($B667,Drinks!$A$4:$A$53,0)),0))</f>
        <v/>
      </c>
      <c r="L667" s="10" t="str">
        <f aca="false">IF($B667="","",$J667+$K667)</f>
        <v/>
      </c>
      <c r="M667" s="9"/>
      <c r="N667" s="10" t="str">
        <f aca="false">IF($B667="","",$L667-$M667)</f>
        <v/>
      </c>
      <c r="O667" s="10" t="str">
        <f aca="false">IF($B667="","",IFERROR(INDEX(Drinks!$E$4:$E$53,MATCH($B667,Drinks!$A$4:$A$53,0)),0))</f>
        <v/>
      </c>
      <c r="P667" s="10" t="str">
        <f aca="false">IF($B667="","",$N667*$O667)</f>
        <v/>
      </c>
      <c r="Q667" s="10" t="str">
        <f aca="false">IF($B667="","",$N667*IFERROR(INDEX(Drinks!$D$4:$D$53,MATCH($B667,Drinks!$A$4:$A$53,0)),0))</f>
        <v/>
      </c>
      <c r="R667" s="10" t="str">
        <f aca="false">IF($B667="","",$P667-$Q667)</f>
        <v/>
      </c>
      <c r="S667" s="23" t="str">
        <f aca="false">IF($B667="","",IF(COUNTIFS($A$4:$A$2003,$A667-1,$B$4:$B$2003,$B667)=0,"first day",IF(SUMIFS($M$4:$M$2003,$A$4:$A$2003,$A667-1,$B$4:$B$2003,$B667)=$J667,"OK","CHECK")))</f>
        <v/>
      </c>
      <c r="T667" s="10" t="str">
        <f aca="false">IF($B667="","",IFERROR(INDEX(Drinks!$D$4:$D$53,MATCH($B667,Drinks!$A$4:$A$53,0)),0))</f>
        <v/>
      </c>
    </row>
    <row r="668" customFormat="false" ht="15" hidden="false" customHeight="false" outlineLevel="0" collapsed="false">
      <c r="A668" s="22"/>
      <c r="B668" s="9"/>
      <c r="C668" s="9"/>
      <c r="D668" s="9"/>
      <c r="E668" s="9"/>
      <c r="F668" s="10" t="str">
        <f aca="false">IF($B668="","",$C668+$D668-$E668)</f>
        <v/>
      </c>
      <c r="G668" s="10" t="str">
        <f aca="false">IF($B668="","",IFERROR(INDEX(Drinks!$C$4:$C$53,MATCH($B668,Drinks!$A$4:$A$53,0)),0))</f>
        <v/>
      </c>
      <c r="H668" s="10" t="str">
        <f aca="false">IF($B668="","",$D668*$G668)</f>
        <v/>
      </c>
      <c r="I668" s="10" t="str">
        <f aca="false">IF($B668="","",$F668*$G668)</f>
        <v/>
      </c>
      <c r="J668" s="9"/>
      <c r="K668" s="10" t="str">
        <f aca="false">IF($B668="","",$E668*IFERROR(INDEX(Drinks!$B$4:$B$53,MATCH($B668,Drinks!$A$4:$A$53,0)),0))</f>
        <v/>
      </c>
      <c r="L668" s="10" t="str">
        <f aca="false">IF($B668="","",$J668+$K668)</f>
        <v/>
      </c>
      <c r="M668" s="9"/>
      <c r="N668" s="10" t="str">
        <f aca="false">IF($B668="","",$L668-$M668)</f>
        <v/>
      </c>
      <c r="O668" s="10" t="str">
        <f aca="false">IF($B668="","",IFERROR(INDEX(Drinks!$E$4:$E$53,MATCH($B668,Drinks!$A$4:$A$53,0)),0))</f>
        <v/>
      </c>
      <c r="P668" s="10" t="str">
        <f aca="false">IF($B668="","",$N668*$O668)</f>
        <v/>
      </c>
      <c r="Q668" s="10" t="str">
        <f aca="false">IF($B668="","",$N668*IFERROR(INDEX(Drinks!$D$4:$D$53,MATCH($B668,Drinks!$A$4:$A$53,0)),0))</f>
        <v/>
      </c>
      <c r="R668" s="10" t="str">
        <f aca="false">IF($B668="","",$P668-$Q668)</f>
        <v/>
      </c>
      <c r="S668" s="23" t="str">
        <f aca="false">IF($B668="","",IF(COUNTIFS($A$4:$A$2003,$A668-1,$B$4:$B$2003,$B668)=0,"first day",IF(SUMIFS($M$4:$M$2003,$A$4:$A$2003,$A668-1,$B$4:$B$2003,$B668)=$J668,"OK","CHECK")))</f>
        <v/>
      </c>
      <c r="T668" s="10" t="str">
        <f aca="false">IF($B668="","",IFERROR(INDEX(Drinks!$D$4:$D$53,MATCH($B668,Drinks!$A$4:$A$53,0)),0))</f>
        <v/>
      </c>
    </row>
    <row r="669" customFormat="false" ht="15" hidden="false" customHeight="false" outlineLevel="0" collapsed="false">
      <c r="A669" s="22"/>
      <c r="B669" s="9"/>
      <c r="C669" s="9"/>
      <c r="D669" s="9"/>
      <c r="E669" s="9"/>
      <c r="F669" s="10" t="str">
        <f aca="false">IF($B669="","",$C669+$D669-$E669)</f>
        <v/>
      </c>
      <c r="G669" s="10" t="str">
        <f aca="false">IF($B669="","",IFERROR(INDEX(Drinks!$C$4:$C$53,MATCH($B669,Drinks!$A$4:$A$53,0)),0))</f>
        <v/>
      </c>
      <c r="H669" s="10" t="str">
        <f aca="false">IF($B669="","",$D669*$G669)</f>
        <v/>
      </c>
      <c r="I669" s="10" t="str">
        <f aca="false">IF($B669="","",$F669*$G669)</f>
        <v/>
      </c>
      <c r="J669" s="9"/>
      <c r="K669" s="10" t="str">
        <f aca="false">IF($B669="","",$E669*IFERROR(INDEX(Drinks!$B$4:$B$53,MATCH($B669,Drinks!$A$4:$A$53,0)),0))</f>
        <v/>
      </c>
      <c r="L669" s="10" t="str">
        <f aca="false">IF($B669="","",$J669+$K669)</f>
        <v/>
      </c>
      <c r="M669" s="9"/>
      <c r="N669" s="10" t="str">
        <f aca="false">IF($B669="","",$L669-$M669)</f>
        <v/>
      </c>
      <c r="O669" s="10" t="str">
        <f aca="false">IF($B669="","",IFERROR(INDEX(Drinks!$E$4:$E$53,MATCH($B669,Drinks!$A$4:$A$53,0)),0))</f>
        <v/>
      </c>
      <c r="P669" s="10" t="str">
        <f aca="false">IF($B669="","",$N669*$O669)</f>
        <v/>
      </c>
      <c r="Q669" s="10" t="str">
        <f aca="false">IF($B669="","",$N669*IFERROR(INDEX(Drinks!$D$4:$D$53,MATCH($B669,Drinks!$A$4:$A$53,0)),0))</f>
        <v/>
      </c>
      <c r="R669" s="10" t="str">
        <f aca="false">IF($B669="","",$P669-$Q669)</f>
        <v/>
      </c>
      <c r="S669" s="23" t="str">
        <f aca="false">IF($B669="","",IF(COUNTIFS($A$4:$A$2003,$A669-1,$B$4:$B$2003,$B669)=0,"first day",IF(SUMIFS($M$4:$M$2003,$A$4:$A$2003,$A669-1,$B$4:$B$2003,$B669)=$J669,"OK","CHECK")))</f>
        <v/>
      </c>
      <c r="T669" s="10" t="str">
        <f aca="false">IF($B669="","",IFERROR(INDEX(Drinks!$D$4:$D$53,MATCH($B669,Drinks!$A$4:$A$53,0)),0))</f>
        <v/>
      </c>
    </row>
    <row r="670" customFormat="false" ht="15" hidden="false" customHeight="false" outlineLevel="0" collapsed="false">
      <c r="A670" s="22"/>
      <c r="B670" s="9"/>
      <c r="C670" s="9"/>
      <c r="D670" s="9"/>
      <c r="E670" s="9"/>
      <c r="F670" s="10" t="str">
        <f aca="false">IF($B670="","",$C670+$D670-$E670)</f>
        <v/>
      </c>
      <c r="G670" s="10" t="str">
        <f aca="false">IF($B670="","",IFERROR(INDEX(Drinks!$C$4:$C$53,MATCH($B670,Drinks!$A$4:$A$53,0)),0))</f>
        <v/>
      </c>
      <c r="H670" s="10" t="str">
        <f aca="false">IF($B670="","",$D670*$G670)</f>
        <v/>
      </c>
      <c r="I670" s="10" t="str">
        <f aca="false">IF($B670="","",$F670*$G670)</f>
        <v/>
      </c>
      <c r="J670" s="9"/>
      <c r="K670" s="10" t="str">
        <f aca="false">IF($B670="","",$E670*IFERROR(INDEX(Drinks!$B$4:$B$53,MATCH($B670,Drinks!$A$4:$A$53,0)),0))</f>
        <v/>
      </c>
      <c r="L670" s="10" t="str">
        <f aca="false">IF($B670="","",$J670+$K670)</f>
        <v/>
      </c>
      <c r="M670" s="9"/>
      <c r="N670" s="10" t="str">
        <f aca="false">IF($B670="","",$L670-$M670)</f>
        <v/>
      </c>
      <c r="O670" s="10" t="str">
        <f aca="false">IF($B670="","",IFERROR(INDEX(Drinks!$E$4:$E$53,MATCH($B670,Drinks!$A$4:$A$53,0)),0))</f>
        <v/>
      </c>
      <c r="P670" s="10" t="str">
        <f aca="false">IF($B670="","",$N670*$O670)</f>
        <v/>
      </c>
      <c r="Q670" s="10" t="str">
        <f aca="false">IF($B670="","",$N670*IFERROR(INDEX(Drinks!$D$4:$D$53,MATCH($B670,Drinks!$A$4:$A$53,0)),0))</f>
        <v/>
      </c>
      <c r="R670" s="10" t="str">
        <f aca="false">IF($B670="","",$P670-$Q670)</f>
        <v/>
      </c>
      <c r="S670" s="23" t="str">
        <f aca="false">IF($B670="","",IF(COUNTIFS($A$4:$A$2003,$A670-1,$B$4:$B$2003,$B670)=0,"first day",IF(SUMIFS($M$4:$M$2003,$A$4:$A$2003,$A670-1,$B$4:$B$2003,$B670)=$J670,"OK","CHECK")))</f>
        <v/>
      </c>
      <c r="T670" s="10" t="str">
        <f aca="false">IF($B670="","",IFERROR(INDEX(Drinks!$D$4:$D$53,MATCH($B670,Drinks!$A$4:$A$53,0)),0))</f>
        <v/>
      </c>
    </row>
    <row r="671" customFormat="false" ht="15" hidden="false" customHeight="false" outlineLevel="0" collapsed="false">
      <c r="A671" s="22"/>
      <c r="B671" s="9"/>
      <c r="C671" s="9"/>
      <c r="D671" s="9"/>
      <c r="E671" s="9"/>
      <c r="F671" s="10" t="str">
        <f aca="false">IF($B671="","",$C671+$D671-$E671)</f>
        <v/>
      </c>
      <c r="G671" s="10" t="str">
        <f aca="false">IF($B671="","",IFERROR(INDEX(Drinks!$C$4:$C$53,MATCH($B671,Drinks!$A$4:$A$53,0)),0))</f>
        <v/>
      </c>
      <c r="H671" s="10" t="str">
        <f aca="false">IF($B671="","",$D671*$G671)</f>
        <v/>
      </c>
      <c r="I671" s="10" t="str">
        <f aca="false">IF($B671="","",$F671*$G671)</f>
        <v/>
      </c>
      <c r="J671" s="9"/>
      <c r="K671" s="10" t="str">
        <f aca="false">IF($B671="","",$E671*IFERROR(INDEX(Drinks!$B$4:$B$53,MATCH($B671,Drinks!$A$4:$A$53,0)),0))</f>
        <v/>
      </c>
      <c r="L671" s="10" t="str">
        <f aca="false">IF($B671="","",$J671+$K671)</f>
        <v/>
      </c>
      <c r="M671" s="9"/>
      <c r="N671" s="10" t="str">
        <f aca="false">IF($B671="","",$L671-$M671)</f>
        <v/>
      </c>
      <c r="O671" s="10" t="str">
        <f aca="false">IF($B671="","",IFERROR(INDEX(Drinks!$E$4:$E$53,MATCH($B671,Drinks!$A$4:$A$53,0)),0))</f>
        <v/>
      </c>
      <c r="P671" s="10" t="str">
        <f aca="false">IF($B671="","",$N671*$O671)</f>
        <v/>
      </c>
      <c r="Q671" s="10" t="str">
        <f aca="false">IF($B671="","",$N671*IFERROR(INDEX(Drinks!$D$4:$D$53,MATCH($B671,Drinks!$A$4:$A$53,0)),0))</f>
        <v/>
      </c>
      <c r="R671" s="10" t="str">
        <f aca="false">IF($B671="","",$P671-$Q671)</f>
        <v/>
      </c>
      <c r="S671" s="23" t="str">
        <f aca="false">IF($B671="","",IF(COUNTIFS($A$4:$A$2003,$A671-1,$B$4:$B$2003,$B671)=0,"first day",IF(SUMIFS($M$4:$M$2003,$A$4:$A$2003,$A671-1,$B$4:$B$2003,$B671)=$J671,"OK","CHECK")))</f>
        <v/>
      </c>
      <c r="T671" s="10" t="str">
        <f aca="false">IF($B671="","",IFERROR(INDEX(Drinks!$D$4:$D$53,MATCH($B671,Drinks!$A$4:$A$53,0)),0))</f>
        <v/>
      </c>
    </row>
    <row r="672" customFormat="false" ht="15" hidden="false" customHeight="false" outlineLevel="0" collapsed="false">
      <c r="A672" s="22"/>
      <c r="B672" s="9"/>
      <c r="C672" s="9"/>
      <c r="D672" s="9"/>
      <c r="E672" s="9"/>
      <c r="F672" s="10" t="str">
        <f aca="false">IF($B672="","",$C672+$D672-$E672)</f>
        <v/>
      </c>
      <c r="G672" s="10" t="str">
        <f aca="false">IF($B672="","",IFERROR(INDEX(Drinks!$C$4:$C$53,MATCH($B672,Drinks!$A$4:$A$53,0)),0))</f>
        <v/>
      </c>
      <c r="H672" s="10" t="str">
        <f aca="false">IF($B672="","",$D672*$G672)</f>
        <v/>
      </c>
      <c r="I672" s="10" t="str">
        <f aca="false">IF($B672="","",$F672*$G672)</f>
        <v/>
      </c>
      <c r="J672" s="9"/>
      <c r="K672" s="10" t="str">
        <f aca="false">IF($B672="","",$E672*IFERROR(INDEX(Drinks!$B$4:$B$53,MATCH($B672,Drinks!$A$4:$A$53,0)),0))</f>
        <v/>
      </c>
      <c r="L672" s="10" t="str">
        <f aca="false">IF($B672="","",$J672+$K672)</f>
        <v/>
      </c>
      <c r="M672" s="9"/>
      <c r="N672" s="10" t="str">
        <f aca="false">IF($B672="","",$L672-$M672)</f>
        <v/>
      </c>
      <c r="O672" s="10" t="str">
        <f aca="false">IF($B672="","",IFERROR(INDEX(Drinks!$E$4:$E$53,MATCH($B672,Drinks!$A$4:$A$53,0)),0))</f>
        <v/>
      </c>
      <c r="P672" s="10" t="str">
        <f aca="false">IF($B672="","",$N672*$O672)</f>
        <v/>
      </c>
      <c r="Q672" s="10" t="str">
        <f aca="false">IF($B672="","",$N672*IFERROR(INDEX(Drinks!$D$4:$D$53,MATCH($B672,Drinks!$A$4:$A$53,0)),0))</f>
        <v/>
      </c>
      <c r="R672" s="10" t="str">
        <f aca="false">IF($B672="","",$P672-$Q672)</f>
        <v/>
      </c>
      <c r="S672" s="23" t="str">
        <f aca="false">IF($B672="","",IF(COUNTIFS($A$4:$A$2003,$A672-1,$B$4:$B$2003,$B672)=0,"first day",IF(SUMIFS($M$4:$M$2003,$A$4:$A$2003,$A672-1,$B$4:$B$2003,$B672)=$J672,"OK","CHECK")))</f>
        <v/>
      </c>
      <c r="T672" s="10" t="str">
        <f aca="false">IF($B672="","",IFERROR(INDEX(Drinks!$D$4:$D$53,MATCH($B672,Drinks!$A$4:$A$53,0)),0))</f>
        <v/>
      </c>
    </row>
    <row r="673" customFormat="false" ht="15" hidden="false" customHeight="false" outlineLevel="0" collapsed="false">
      <c r="A673" s="22"/>
      <c r="B673" s="9"/>
      <c r="C673" s="9"/>
      <c r="D673" s="9"/>
      <c r="E673" s="9"/>
      <c r="F673" s="10" t="str">
        <f aca="false">IF($B673="","",$C673+$D673-$E673)</f>
        <v/>
      </c>
      <c r="G673" s="10" t="str">
        <f aca="false">IF($B673="","",IFERROR(INDEX(Drinks!$C$4:$C$53,MATCH($B673,Drinks!$A$4:$A$53,0)),0))</f>
        <v/>
      </c>
      <c r="H673" s="10" t="str">
        <f aca="false">IF($B673="","",$D673*$G673)</f>
        <v/>
      </c>
      <c r="I673" s="10" t="str">
        <f aca="false">IF($B673="","",$F673*$G673)</f>
        <v/>
      </c>
      <c r="J673" s="9"/>
      <c r="K673" s="10" t="str">
        <f aca="false">IF($B673="","",$E673*IFERROR(INDEX(Drinks!$B$4:$B$53,MATCH($B673,Drinks!$A$4:$A$53,0)),0))</f>
        <v/>
      </c>
      <c r="L673" s="10" t="str">
        <f aca="false">IF($B673="","",$J673+$K673)</f>
        <v/>
      </c>
      <c r="M673" s="9"/>
      <c r="N673" s="10" t="str">
        <f aca="false">IF($B673="","",$L673-$M673)</f>
        <v/>
      </c>
      <c r="O673" s="10" t="str">
        <f aca="false">IF($B673="","",IFERROR(INDEX(Drinks!$E$4:$E$53,MATCH($B673,Drinks!$A$4:$A$53,0)),0))</f>
        <v/>
      </c>
      <c r="P673" s="10" t="str">
        <f aca="false">IF($B673="","",$N673*$O673)</f>
        <v/>
      </c>
      <c r="Q673" s="10" t="str">
        <f aca="false">IF($B673="","",$N673*IFERROR(INDEX(Drinks!$D$4:$D$53,MATCH($B673,Drinks!$A$4:$A$53,0)),0))</f>
        <v/>
      </c>
      <c r="R673" s="10" t="str">
        <f aca="false">IF($B673="","",$P673-$Q673)</f>
        <v/>
      </c>
      <c r="S673" s="23" t="str">
        <f aca="false">IF($B673="","",IF(COUNTIFS($A$4:$A$2003,$A673-1,$B$4:$B$2003,$B673)=0,"first day",IF(SUMIFS($M$4:$M$2003,$A$4:$A$2003,$A673-1,$B$4:$B$2003,$B673)=$J673,"OK","CHECK")))</f>
        <v/>
      </c>
      <c r="T673" s="10" t="str">
        <f aca="false">IF($B673="","",IFERROR(INDEX(Drinks!$D$4:$D$53,MATCH($B673,Drinks!$A$4:$A$53,0)),0))</f>
        <v/>
      </c>
    </row>
    <row r="674" customFormat="false" ht="15" hidden="false" customHeight="false" outlineLevel="0" collapsed="false">
      <c r="A674" s="22"/>
      <c r="B674" s="9"/>
      <c r="C674" s="9"/>
      <c r="D674" s="9"/>
      <c r="E674" s="9"/>
      <c r="F674" s="10" t="str">
        <f aca="false">IF($B674="","",$C674+$D674-$E674)</f>
        <v/>
      </c>
      <c r="G674" s="10" t="str">
        <f aca="false">IF($B674="","",IFERROR(INDEX(Drinks!$C$4:$C$53,MATCH($B674,Drinks!$A$4:$A$53,0)),0))</f>
        <v/>
      </c>
      <c r="H674" s="10" t="str">
        <f aca="false">IF($B674="","",$D674*$G674)</f>
        <v/>
      </c>
      <c r="I674" s="10" t="str">
        <f aca="false">IF($B674="","",$F674*$G674)</f>
        <v/>
      </c>
      <c r="J674" s="9"/>
      <c r="K674" s="10" t="str">
        <f aca="false">IF($B674="","",$E674*IFERROR(INDEX(Drinks!$B$4:$B$53,MATCH($B674,Drinks!$A$4:$A$53,0)),0))</f>
        <v/>
      </c>
      <c r="L674" s="10" t="str">
        <f aca="false">IF($B674="","",$J674+$K674)</f>
        <v/>
      </c>
      <c r="M674" s="9"/>
      <c r="N674" s="10" t="str">
        <f aca="false">IF($B674="","",$L674-$M674)</f>
        <v/>
      </c>
      <c r="O674" s="10" t="str">
        <f aca="false">IF($B674="","",IFERROR(INDEX(Drinks!$E$4:$E$53,MATCH($B674,Drinks!$A$4:$A$53,0)),0))</f>
        <v/>
      </c>
      <c r="P674" s="10" t="str">
        <f aca="false">IF($B674="","",$N674*$O674)</f>
        <v/>
      </c>
      <c r="Q674" s="10" t="str">
        <f aca="false">IF($B674="","",$N674*IFERROR(INDEX(Drinks!$D$4:$D$53,MATCH($B674,Drinks!$A$4:$A$53,0)),0))</f>
        <v/>
      </c>
      <c r="R674" s="10" t="str">
        <f aca="false">IF($B674="","",$P674-$Q674)</f>
        <v/>
      </c>
      <c r="S674" s="23" t="str">
        <f aca="false">IF($B674="","",IF(COUNTIFS($A$4:$A$2003,$A674-1,$B$4:$B$2003,$B674)=0,"first day",IF(SUMIFS($M$4:$M$2003,$A$4:$A$2003,$A674-1,$B$4:$B$2003,$B674)=$J674,"OK","CHECK")))</f>
        <v/>
      </c>
      <c r="T674" s="10" t="str">
        <f aca="false">IF($B674="","",IFERROR(INDEX(Drinks!$D$4:$D$53,MATCH($B674,Drinks!$A$4:$A$53,0)),0))</f>
        <v/>
      </c>
    </row>
    <row r="675" customFormat="false" ht="15" hidden="false" customHeight="false" outlineLevel="0" collapsed="false">
      <c r="A675" s="22"/>
      <c r="B675" s="9"/>
      <c r="C675" s="9"/>
      <c r="D675" s="9"/>
      <c r="E675" s="9"/>
      <c r="F675" s="10" t="str">
        <f aca="false">IF($B675="","",$C675+$D675-$E675)</f>
        <v/>
      </c>
      <c r="G675" s="10" t="str">
        <f aca="false">IF($B675="","",IFERROR(INDEX(Drinks!$C$4:$C$53,MATCH($B675,Drinks!$A$4:$A$53,0)),0))</f>
        <v/>
      </c>
      <c r="H675" s="10" t="str">
        <f aca="false">IF($B675="","",$D675*$G675)</f>
        <v/>
      </c>
      <c r="I675" s="10" t="str">
        <f aca="false">IF($B675="","",$F675*$G675)</f>
        <v/>
      </c>
      <c r="J675" s="9"/>
      <c r="K675" s="10" t="str">
        <f aca="false">IF($B675="","",$E675*IFERROR(INDEX(Drinks!$B$4:$B$53,MATCH($B675,Drinks!$A$4:$A$53,0)),0))</f>
        <v/>
      </c>
      <c r="L675" s="10" t="str">
        <f aca="false">IF($B675="","",$J675+$K675)</f>
        <v/>
      </c>
      <c r="M675" s="9"/>
      <c r="N675" s="10" t="str">
        <f aca="false">IF($B675="","",$L675-$M675)</f>
        <v/>
      </c>
      <c r="O675" s="10" t="str">
        <f aca="false">IF($B675="","",IFERROR(INDEX(Drinks!$E$4:$E$53,MATCH($B675,Drinks!$A$4:$A$53,0)),0))</f>
        <v/>
      </c>
      <c r="P675" s="10" t="str">
        <f aca="false">IF($B675="","",$N675*$O675)</f>
        <v/>
      </c>
      <c r="Q675" s="10" t="str">
        <f aca="false">IF($B675="","",$N675*IFERROR(INDEX(Drinks!$D$4:$D$53,MATCH($B675,Drinks!$A$4:$A$53,0)),0))</f>
        <v/>
      </c>
      <c r="R675" s="10" t="str">
        <f aca="false">IF($B675="","",$P675-$Q675)</f>
        <v/>
      </c>
      <c r="S675" s="23" t="str">
        <f aca="false">IF($B675="","",IF(COUNTIFS($A$4:$A$2003,$A675-1,$B$4:$B$2003,$B675)=0,"first day",IF(SUMIFS($M$4:$M$2003,$A$4:$A$2003,$A675-1,$B$4:$B$2003,$B675)=$J675,"OK","CHECK")))</f>
        <v/>
      </c>
      <c r="T675" s="10" t="str">
        <f aca="false">IF($B675="","",IFERROR(INDEX(Drinks!$D$4:$D$53,MATCH($B675,Drinks!$A$4:$A$53,0)),0))</f>
        <v/>
      </c>
    </row>
    <row r="676" customFormat="false" ht="15" hidden="false" customHeight="false" outlineLevel="0" collapsed="false">
      <c r="A676" s="22"/>
      <c r="B676" s="9"/>
      <c r="C676" s="9"/>
      <c r="D676" s="9"/>
      <c r="E676" s="9"/>
      <c r="F676" s="10" t="str">
        <f aca="false">IF($B676="","",$C676+$D676-$E676)</f>
        <v/>
      </c>
      <c r="G676" s="10" t="str">
        <f aca="false">IF($B676="","",IFERROR(INDEX(Drinks!$C$4:$C$53,MATCH($B676,Drinks!$A$4:$A$53,0)),0))</f>
        <v/>
      </c>
      <c r="H676" s="10" t="str">
        <f aca="false">IF($B676="","",$D676*$G676)</f>
        <v/>
      </c>
      <c r="I676" s="10" t="str">
        <f aca="false">IF($B676="","",$F676*$G676)</f>
        <v/>
      </c>
      <c r="J676" s="9"/>
      <c r="K676" s="10" t="str">
        <f aca="false">IF($B676="","",$E676*IFERROR(INDEX(Drinks!$B$4:$B$53,MATCH($B676,Drinks!$A$4:$A$53,0)),0))</f>
        <v/>
      </c>
      <c r="L676" s="10" t="str">
        <f aca="false">IF($B676="","",$J676+$K676)</f>
        <v/>
      </c>
      <c r="M676" s="9"/>
      <c r="N676" s="10" t="str">
        <f aca="false">IF($B676="","",$L676-$M676)</f>
        <v/>
      </c>
      <c r="O676" s="10" t="str">
        <f aca="false">IF($B676="","",IFERROR(INDEX(Drinks!$E$4:$E$53,MATCH($B676,Drinks!$A$4:$A$53,0)),0))</f>
        <v/>
      </c>
      <c r="P676" s="10" t="str">
        <f aca="false">IF($B676="","",$N676*$O676)</f>
        <v/>
      </c>
      <c r="Q676" s="10" t="str">
        <f aca="false">IF($B676="","",$N676*IFERROR(INDEX(Drinks!$D$4:$D$53,MATCH($B676,Drinks!$A$4:$A$53,0)),0))</f>
        <v/>
      </c>
      <c r="R676" s="10" t="str">
        <f aca="false">IF($B676="","",$P676-$Q676)</f>
        <v/>
      </c>
      <c r="S676" s="23" t="str">
        <f aca="false">IF($B676="","",IF(COUNTIFS($A$4:$A$2003,$A676-1,$B$4:$B$2003,$B676)=0,"first day",IF(SUMIFS($M$4:$M$2003,$A$4:$A$2003,$A676-1,$B$4:$B$2003,$B676)=$J676,"OK","CHECK")))</f>
        <v/>
      </c>
      <c r="T676" s="10" t="str">
        <f aca="false">IF($B676="","",IFERROR(INDEX(Drinks!$D$4:$D$53,MATCH($B676,Drinks!$A$4:$A$53,0)),0))</f>
        <v/>
      </c>
    </row>
    <row r="677" customFormat="false" ht="15" hidden="false" customHeight="false" outlineLevel="0" collapsed="false">
      <c r="A677" s="22"/>
      <c r="B677" s="9"/>
      <c r="C677" s="9"/>
      <c r="D677" s="9"/>
      <c r="E677" s="9"/>
      <c r="F677" s="10" t="str">
        <f aca="false">IF($B677="","",$C677+$D677-$E677)</f>
        <v/>
      </c>
      <c r="G677" s="10" t="str">
        <f aca="false">IF($B677="","",IFERROR(INDEX(Drinks!$C$4:$C$53,MATCH($B677,Drinks!$A$4:$A$53,0)),0))</f>
        <v/>
      </c>
      <c r="H677" s="10" t="str">
        <f aca="false">IF($B677="","",$D677*$G677)</f>
        <v/>
      </c>
      <c r="I677" s="10" t="str">
        <f aca="false">IF($B677="","",$F677*$G677)</f>
        <v/>
      </c>
      <c r="J677" s="9"/>
      <c r="K677" s="10" t="str">
        <f aca="false">IF($B677="","",$E677*IFERROR(INDEX(Drinks!$B$4:$B$53,MATCH($B677,Drinks!$A$4:$A$53,0)),0))</f>
        <v/>
      </c>
      <c r="L677" s="10" t="str">
        <f aca="false">IF($B677="","",$J677+$K677)</f>
        <v/>
      </c>
      <c r="M677" s="9"/>
      <c r="N677" s="10" t="str">
        <f aca="false">IF($B677="","",$L677-$M677)</f>
        <v/>
      </c>
      <c r="O677" s="10" t="str">
        <f aca="false">IF($B677="","",IFERROR(INDEX(Drinks!$E$4:$E$53,MATCH($B677,Drinks!$A$4:$A$53,0)),0))</f>
        <v/>
      </c>
      <c r="P677" s="10" t="str">
        <f aca="false">IF($B677="","",$N677*$O677)</f>
        <v/>
      </c>
      <c r="Q677" s="10" t="str">
        <f aca="false">IF($B677="","",$N677*IFERROR(INDEX(Drinks!$D$4:$D$53,MATCH($B677,Drinks!$A$4:$A$53,0)),0))</f>
        <v/>
      </c>
      <c r="R677" s="10" t="str">
        <f aca="false">IF($B677="","",$P677-$Q677)</f>
        <v/>
      </c>
      <c r="S677" s="23" t="str">
        <f aca="false">IF($B677="","",IF(COUNTIFS($A$4:$A$2003,$A677-1,$B$4:$B$2003,$B677)=0,"first day",IF(SUMIFS($M$4:$M$2003,$A$4:$A$2003,$A677-1,$B$4:$B$2003,$B677)=$J677,"OK","CHECK")))</f>
        <v/>
      </c>
      <c r="T677" s="10" t="str">
        <f aca="false">IF($B677="","",IFERROR(INDEX(Drinks!$D$4:$D$53,MATCH($B677,Drinks!$A$4:$A$53,0)),0))</f>
        <v/>
      </c>
    </row>
    <row r="678" customFormat="false" ht="15" hidden="false" customHeight="false" outlineLevel="0" collapsed="false">
      <c r="A678" s="22"/>
      <c r="B678" s="9"/>
      <c r="C678" s="9"/>
      <c r="D678" s="9"/>
      <c r="E678" s="9"/>
      <c r="F678" s="10" t="str">
        <f aca="false">IF($B678="","",$C678+$D678-$E678)</f>
        <v/>
      </c>
      <c r="G678" s="10" t="str">
        <f aca="false">IF($B678="","",IFERROR(INDEX(Drinks!$C$4:$C$53,MATCH($B678,Drinks!$A$4:$A$53,0)),0))</f>
        <v/>
      </c>
      <c r="H678" s="10" t="str">
        <f aca="false">IF($B678="","",$D678*$G678)</f>
        <v/>
      </c>
      <c r="I678" s="10" t="str">
        <f aca="false">IF($B678="","",$F678*$G678)</f>
        <v/>
      </c>
      <c r="J678" s="9"/>
      <c r="K678" s="10" t="str">
        <f aca="false">IF($B678="","",$E678*IFERROR(INDEX(Drinks!$B$4:$B$53,MATCH($B678,Drinks!$A$4:$A$53,0)),0))</f>
        <v/>
      </c>
      <c r="L678" s="10" t="str">
        <f aca="false">IF($B678="","",$J678+$K678)</f>
        <v/>
      </c>
      <c r="M678" s="9"/>
      <c r="N678" s="10" t="str">
        <f aca="false">IF($B678="","",$L678-$M678)</f>
        <v/>
      </c>
      <c r="O678" s="10" t="str">
        <f aca="false">IF($B678="","",IFERROR(INDEX(Drinks!$E$4:$E$53,MATCH($B678,Drinks!$A$4:$A$53,0)),0))</f>
        <v/>
      </c>
      <c r="P678" s="10" t="str">
        <f aca="false">IF($B678="","",$N678*$O678)</f>
        <v/>
      </c>
      <c r="Q678" s="10" t="str">
        <f aca="false">IF($B678="","",$N678*IFERROR(INDEX(Drinks!$D$4:$D$53,MATCH($B678,Drinks!$A$4:$A$53,0)),0))</f>
        <v/>
      </c>
      <c r="R678" s="10" t="str">
        <f aca="false">IF($B678="","",$P678-$Q678)</f>
        <v/>
      </c>
      <c r="S678" s="23" t="str">
        <f aca="false">IF($B678="","",IF(COUNTIFS($A$4:$A$2003,$A678-1,$B$4:$B$2003,$B678)=0,"first day",IF(SUMIFS($M$4:$M$2003,$A$4:$A$2003,$A678-1,$B$4:$B$2003,$B678)=$J678,"OK","CHECK")))</f>
        <v/>
      </c>
      <c r="T678" s="10" t="str">
        <f aca="false">IF($B678="","",IFERROR(INDEX(Drinks!$D$4:$D$53,MATCH($B678,Drinks!$A$4:$A$53,0)),0))</f>
        <v/>
      </c>
    </row>
    <row r="679" customFormat="false" ht="15" hidden="false" customHeight="false" outlineLevel="0" collapsed="false">
      <c r="A679" s="22"/>
      <c r="B679" s="9"/>
      <c r="C679" s="9"/>
      <c r="D679" s="9"/>
      <c r="E679" s="9"/>
      <c r="F679" s="10" t="str">
        <f aca="false">IF($B679="","",$C679+$D679-$E679)</f>
        <v/>
      </c>
      <c r="G679" s="10" t="str">
        <f aca="false">IF($B679="","",IFERROR(INDEX(Drinks!$C$4:$C$53,MATCH($B679,Drinks!$A$4:$A$53,0)),0))</f>
        <v/>
      </c>
      <c r="H679" s="10" t="str">
        <f aca="false">IF($B679="","",$D679*$G679)</f>
        <v/>
      </c>
      <c r="I679" s="10" t="str">
        <f aca="false">IF($B679="","",$F679*$G679)</f>
        <v/>
      </c>
      <c r="J679" s="9"/>
      <c r="K679" s="10" t="str">
        <f aca="false">IF($B679="","",$E679*IFERROR(INDEX(Drinks!$B$4:$B$53,MATCH($B679,Drinks!$A$4:$A$53,0)),0))</f>
        <v/>
      </c>
      <c r="L679" s="10" t="str">
        <f aca="false">IF($B679="","",$J679+$K679)</f>
        <v/>
      </c>
      <c r="M679" s="9"/>
      <c r="N679" s="10" t="str">
        <f aca="false">IF($B679="","",$L679-$M679)</f>
        <v/>
      </c>
      <c r="O679" s="10" t="str">
        <f aca="false">IF($B679="","",IFERROR(INDEX(Drinks!$E$4:$E$53,MATCH($B679,Drinks!$A$4:$A$53,0)),0))</f>
        <v/>
      </c>
      <c r="P679" s="10" t="str">
        <f aca="false">IF($B679="","",$N679*$O679)</f>
        <v/>
      </c>
      <c r="Q679" s="10" t="str">
        <f aca="false">IF($B679="","",$N679*IFERROR(INDEX(Drinks!$D$4:$D$53,MATCH($B679,Drinks!$A$4:$A$53,0)),0))</f>
        <v/>
      </c>
      <c r="R679" s="10" t="str">
        <f aca="false">IF($B679="","",$P679-$Q679)</f>
        <v/>
      </c>
      <c r="S679" s="23" t="str">
        <f aca="false">IF($B679="","",IF(COUNTIFS($A$4:$A$2003,$A679-1,$B$4:$B$2003,$B679)=0,"first day",IF(SUMIFS($M$4:$M$2003,$A$4:$A$2003,$A679-1,$B$4:$B$2003,$B679)=$J679,"OK","CHECK")))</f>
        <v/>
      </c>
      <c r="T679" s="10" t="str">
        <f aca="false">IF($B679="","",IFERROR(INDEX(Drinks!$D$4:$D$53,MATCH($B679,Drinks!$A$4:$A$53,0)),0))</f>
        <v/>
      </c>
    </row>
    <row r="680" customFormat="false" ht="15" hidden="false" customHeight="false" outlineLevel="0" collapsed="false">
      <c r="A680" s="22"/>
      <c r="B680" s="9"/>
      <c r="C680" s="9"/>
      <c r="D680" s="9"/>
      <c r="E680" s="9"/>
      <c r="F680" s="10" t="str">
        <f aca="false">IF($B680="","",$C680+$D680-$E680)</f>
        <v/>
      </c>
      <c r="G680" s="10" t="str">
        <f aca="false">IF($B680="","",IFERROR(INDEX(Drinks!$C$4:$C$53,MATCH($B680,Drinks!$A$4:$A$53,0)),0))</f>
        <v/>
      </c>
      <c r="H680" s="10" t="str">
        <f aca="false">IF($B680="","",$D680*$G680)</f>
        <v/>
      </c>
      <c r="I680" s="10" t="str">
        <f aca="false">IF($B680="","",$F680*$G680)</f>
        <v/>
      </c>
      <c r="J680" s="9"/>
      <c r="K680" s="10" t="str">
        <f aca="false">IF($B680="","",$E680*IFERROR(INDEX(Drinks!$B$4:$B$53,MATCH($B680,Drinks!$A$4:$A$53,0)),0))</f>
        <v/>
      </c>
      <c r="L680" s="10" t="str">
        <f aca="false">IF($B680="","",$J680+$K680)</f>
        <v/>
      </c>
      <c r="M680" s="9"/>
      <c r="N680" s="10" t="str">
        <f aca="false">IF($B680="","",$L680-$M680)</f>
        <v/>
      </c>
      <c r="O680" s="10" t="str">
        <f aca="false">IF($B680="","",IFERROR(INDEX(Drinks!$E$4:$E$53,MATCH($B680,Drinks!$A$4:$A$53,0)),0))</f>
        <v/>
      </c>
      <c r="P680" s="10" t="str">
        <f aca="false">IF($B680="","",$N680*$O680)</f>
        <v/>
      </c>
      <c r="Q680" s="10" t="str">
        <f aca="false">IF($B680="","",$N680*IFERROR(INDEX(Drinks!$D$4:$D$53,MATCH($B680,Drinks!$A$4:$A$53,0)),0))</f>
        <v/>
      </c>
      <c r="R680" s="10" t="str">
        <f aca="false">IF($B680="","",$P680-$Q680)</f>
        <v/>
      </c>
      <c r="S680" s="23" t="str">
        <f aca="false">IF($B680="","",IF(COUNTIFS($A$4:$A$2003,$A680-1,$B$4:$B$2003,$B680)=0,"first day",IF(SUMIFS($M$4:$M$2003,$A$4:$A$2003,$A680-1,$B$4:$B$2003,$B680)=$J680,"OK","CHECK")))</f>
        <v/>
      </c>
      <c r="T680" s="10" t="str">
        <f aca="false">IF($B680="","",IFERROR(INDEX(Drinks!$D$4:$D$53,MATCH($B680,Drinks!$A$4:$A$53,0)),0))</f>
        <v/>
      </c>
    </row>
    <row r="681" customFormat="false" ht="15" hidden="false" customHeight="false" outlineLevel="0" collapsed="false">
      <c r="A681" s="22"/>
      <c r="B681" s="9"/>
      <c r="C681" s="9"/>
      <c r="D681" s="9"/>
      <c r="E681" s="9"/>
      <c r="F681" s="10" t="str">
        <f aca="false">IF($B681="","",$C681+$D681-$E681)</f>
        <v/>
      </c>
      <c r="G681" s="10" t="str">
        <f aca="false">IF($B681="","",IFERROR(INDEX(Drinks!$C$4:$C$53,MATCH($B681,Drinks!$A$4:$A$53,0)),0))</f>
        <v/>
      </c>
      <c r="H681" s="10" t="str">
        <f aca="false">IF($B681="","",$D681*$G681)</f>
        <v/>
      </c>
      <c r="I681" s="10" t="str">
        <f aca="false">IF($B681="","",$F681*$G681)</f>
        <v/>
      </c>
      <c r="J681" s="9"/>
      <c r="K681" s="10" t="str">
        <f aca="false">IF($B681="","",$E681*IFERROR(INDEX(Drinks!$B$4:$B$53,MATCH($B681,Drinks!$A$4:$A$53,0)),0))</f>
        <v/>
      </c>
      <c r="L681" s="10" t="str">
        <f aca="false">IF($B681="","",$J681+$K681)</f>
        <v/>
      </c>
      <c r="M681" s="9"/>
      <c r="N681" s="10" t="str">
        <f aca="false">IF($B681="","",$L681-$M681)</f>
        <v/>
      </c>
      <c r="O681" s="10" t="str">
        <f aca="false">IF($B681="","",IFERROR(INDEX(Drinks!$E$4:$E$53,MATCH($B681,Drinks!$A$4:$A$53,0)),0))</f>
        <v/>
      </c>
      <c r="P681" s="10" t="str">
        <f aca="false">IF($B681="","",$N681*$O681)</f>
        <v/>
      </c>
      <c r="Q681" s="10" t="str">
        <f aca="false">IF($B681="","",$N681*IFERROR(INDEX(Drinks!$D$4:$D$53,MATCH($B681,Drinks!$A$4:$A$53,0)),0))</f>
        <v/>
      </c>
      <c r="R681" s="10" t="str">
        <f aca="false">IF($B681="","",$P681-$Q681)</f>
        <v/>
      </c>
      <c r="S681" s="23" t="str">
        <f aca="false">IF($B681="","",IF(COUNTIFS($A$4:$A$2003,$A681-1,$B$4:$B$2003,$B681)=0,"first day",IF(SUMIFS($M$4:$M$2003,$A$4:$A$2003,$A681-1,$B$4:$B$2003,$B681)=$J681,"OK","CHECK")))</f>
        <v/>
      </c>
      <c r="T681" s="10" t="str">
        <f aca="false">IF($B681="","",IFERROR(INDEX(Drinks!$D$4:$D$53,MATCH($B681,Drinks!$A$4:$A$53,0)),0))</f>
        <v/>
      </c>
    </row>
    <row r="682" customFormat="false" ht="15" hidden="false" customHeight="false" outlineLevel="0" collapsed="false">
      <c r="A682" s="22"/>
      <c r="B682" s="9"/>
      <c r="C682" s="9"/>
      <c r="D682" s="9"/>
      <c r="E682" s="9"/>
      <c r="F682" s="10" t="str">
        <f aca="false">IF($B682="","",$C682+$D682-$E682)</f>
        <v/>
      </c>
      <c r="G682" s="10" t="str">
        <f aca="false">IF($B682="","",IFERROR(INDEX(Drinks!$C$4:$C$53,MATCH($B682,Drinks!$A$4:$A$53,0)),0))</f>
        <v/>
      </c>
      <c r="H682" s="10" t="str">
        <f aca="false">IF($B682="","",$D682*$G682)</f>
        <v/>
      </c>
      <c r="I682" s="10" t="str">
        <f aca="false">IF($B682="","",$F682*$G682)</f>
        <v/>
      </c>
      <c r="J682" s="9"/>
      <c r="K682" s="10" t="str">
        <f aca="false">IF($B682="","",$E682*IFERROR(INDEX(Drinks!$B$4:$B$53,MATCH($B682,Drinks!$A$4:$A$53,0)),0))</f>
        <v/>
      </c>
      <c r="L682" s="10" t="str">
        <f aca="false">IF($B682="","",$J682+$K682)</f>
        <v/>
      </c>
      <c r="M682" s="9"/>
      <c r="N682" s="10" t="str">
        <f aca="false">IF($B682="","",$L682-$M682)</f>
        <v/>
      </c>
      <c r="O682" s="10" t="str">
        <f aca="false">IF($B682="","",IFERROR(INDEX(Drinks!$E$4:$E$53,MATCH($B682,Drinks!$A$4:$A$53,0)),0))</f>
        <v/>
      </c>
      <c r="P682" s="10" t="str">
        <f aca="false">IF($B682="","",$N682*$O682)</f>
        <v/>
      </c>
      <c r="Q682" s="10" t="str">
        <f aca="false">IF($B682="","",$N682*IFERROR(INDEX(Drinks!$D$4:$D$53,MATCH($B682,Drinks!$A$4:$A$53,0)),0))</f>
        <v/>
      </c>
      <c r="R682" s="10" t="str">
        <f aca="false">IF($B682="","",$P682-$Q682)</f>
        <v/>
      </c>
      <c r="S682" s="23" t="str">
        <f aca="false">IF($B682="","",IF(COUNTIFS($A$4:$A$2003,$A682-1,$B$4:$B$2003,$B682)=0,"first day",IF(SUMIFS($M$4:$M$2003,$A$4:$A$2003,$A682-1,$B$4:$B$2003,$B682)=$J682,"OK","CHECK")))</f>
        <v/>
      </c>
      <c r="T682" s="10" t="str">
        <f aca="false">IF($B682="","",IFERROR(INDEX(Drinks!$D$4:$D$53,MATCH($B682,Drinks!$A$4:$A$53,0)),0))</f>
        <v/>
      </c>
    </row>
    <row r="683" customFormat="false" ht="15" hidden="false" customHeight="false" outlineLevel="0" collapsed="false">
      <c r="A683" s="22"/>
      <c r="B683" s="9"/>
      <c r="C683" s="9"/>
      <c r="D683" s="9"/>
      <c r="E683" s="9"/>
      <c r="F683" s="10" t="str">
        <f aca="false">IF($B683="","",$C683+$D683-$E683)</f>
        <v/>
      </c>
      <c r="G683" s="10" t="str">
        <f aca="false">IF($B683="","",IFERROR(INDEX(Drinks!$C$4:$C$53,MATCH($B683,Drinks!$A$4:$A$53,0)),0))</f>
        <v/>
      </c>
      <c r="H683" s="10" t="str">
        <f aca="false">IF($B683="","",$D683*$G683)</f>
        <v/>
      </c>
      <c r="I683" s="10" t="str">
        <f aca="false">IF($B683="","",$F683*$G683)</f>
        <v/>
      </c>
      <c r="J683" s="9"/>
      <c r="K683" s="10" t="str">
        <f aca="false">IF($B683="","",$E683*IFERROR(INDEX(Drinks!$B$4:$B$53,MATCH($B683,Drinks!$A$4:$A$53,0)),0))</f>
        <v/>
      </c>
      <c r="L683" s="10" t="str">
        <f aca="false">IF($B683="","",$J683+$K683)</f>
        <v/>
      </c>
      <c r="M683" s="9"/>
      <c r="N683" s="10" t="str">
        <f aca="false">IF($B683="","",$L683-$M683)</f>
        <v/>
      </c>
      <c r="O683" s="10" t="str">
        <f aca="false">IF($B683="","",IFERROR(INDEX(Drinks!$E$4:$E$53,MATCH($B683,Drinks!$A$4:$A$53,0)),0))</f>
        <v/>
      </c>
      <c r="P683" s="10" t="str">
        <f aca="false">IF($B683="","",$N683*$O683)</f>
        <v/>
      </c>
      <c r="Q683" s="10" t="str">
        <f aca="false">IF($B683="","",$N683*IFERROR(INDEX(Drinks!$D$4:$D$53,MATCH($B683,Drinks!$A$4:$A$53,0)),0))</f>
        <v/>
      </c>
      <c r="R683" s="10" t="str">
        <f aca="false">IF($B683="","",$P683-$Q683)</f>
        <v/>
      </c>
      <c r="S683" s="23" t="str">
        <f aca="false">IF($B683="","",IF(COUNTIFS($A$4:$A$2003,$A683-1,$B$4:$B$2003,$B683)=0,"first day",IF(SUMIFS($M$4:$M$2003,$A$4:$A$2003,$A683-1,$B$4:$B$2003,$B683)=$J683,"OK","CHECK")))</f>
        <v/>
      </c>
      <c r="T683" s="10" t="str">
        <f aca="false">IF($B683="","",IFERROR(INDEX(Drinks!$D$4:$D$53,MATCH($B683,Drinks!$A$4:$A$53,0)),0))</f>
        <v/>
      </c>
    </row>
    <row r="684" customFormat="false" ht="15" hidden="false" customHeight="false" outlineLevel="0" collapsed="false">
      <c r="A684" s="22"/>
      <c r="B684" s="9"/>
      <c r="C684" s="9"/>
      <c r="D684" s="9"/>
      <c r="E684" s="9"/>
      <c r="F684" s="10" t="str">
        <f aca="false">IF($B684="","",$C684+$D684-$E684)</f>
        <v/>
      </c>
      <c r="G684" s="10" t="str">
        <f aca="false">IF($B684="","",IFERROR(INDEX(Drinks!$C$4:$C$53,MATCH($B684,Drinks!$A$4:$A$53,0)),0))</f>
        <v/>
      </c>
      <c r="H684" s="10" t="str">
        <f aca="false">IF($B684="","",$D684*$G684)</f>
        <v/>
      </c>
      <c r="I684" s="10" t="str">
        <f aca="false">IF($B684="","",$F684*$G684)</f>
        <v/>
      </c>
      <c r="J684" s="9"/>
      <c r="K684" s="10" t="str">
        <f aca="false">IF($B684="","",$E684*IFERROR(INDEX(Drinks!$B$4:$B$53,MATCH($B684,Drinks!$A$4:$A$53,0)),0))</f>
        <v/>
      </c>
      <c r="L684" s="10" t="str">
        <f aca="false">IF($B684="","",$J684+$K684)</f>
        <v/>
      </c>
      <c r="M684" s="9"/>
      <c r="N684" s="10" t="str">
        <f aca="false">IF($B684="","",$L684-$M684)</f>
        <v/>
      </c>
      <c r="O684" s="10" t="str">
        <f aca="false">IF($B684="","",IFERROR(INDEX(Drinks!$E$4:$E$53,MATCH($B684,Drinks!$A$4:$A$53,0)),0))</f>
        <v/>
      </c>
      <c r="P684" s="10" t="str">
        <f aca="false">IF($B684="","",$N684*$O684)</f>
        <v/>
      </c>
      <c r="Q684" s="10" t="str">
        <f aca="false">IF($B684="","",$N684*IFERROR(INDEX(Drinks!$D$4:$D$53,MATCH($B684,Drinks!$A$4:$A$53,0)),0))</f>
        <v/>
      </c>
      <c r="R684" s="10" t="str">
        <f aca="false">IF($B684="","",$P684-$Q684)</f>
        <v/>
      </c>
      <c r="S684" s="23" t="str">
        <f aca="false">IF($B684="","",IF(COUNTIFS($A$4:$A$2003,$A684-1,$B$4:$B$2003,$B684)=0,"first day",IF(SUMIFS($M$4:$M$2003,$A$4:$A$2003,$A684-1,$B$4:$B$2003,$B684)=$J684,"OK","CHECK")))</f>
        <v/>
      </c>
      <c r="T684" s="10" t="str">
        <f aca="false">IF($B684="","",IFERROR(INDEX(Drinks!$D$4:$D$53,MATCH($B684,Drinks!$A$4:$A$53,0)),0))</f>
        <v/>
      </c>
    </row>
    <row r="685" customFormat="false" ht="15" hidden="false" customHeight="false" outlineLevel="0" collapsed="false">
      <c r="A685" s="22"/>
      <c r="B685" s="9"/>
      <c r="C685" s="9"/>
      <c r="D685" s="9"/>
      <c r="E685" s="9"/>
      <c r="F685" s="10" t="str">
        <f aca="false">IF($B685="","",$C685+$D685-$E685)</f>
        <v/>
      </c>
      <c r="G685" s="10" t="str">
        <f aca="false">IF($B685="","",IFERROR(INDEX(Drinks!$C$4:$C$53,MATCH($B685,Drinks!$A$4:$A$53,0)),0))</f>
        <v/>
      </c>
      <c r="H685" s="10" t="str">
        <f aca="false">IF($B685="","",$D685*$G685)</f>
        <v/>
      </c>
      <c r="I685" s="10" t="str">
        <f aca="false">IF($B685="","",$F685*$G685)</f>
        <v/>
      </c>
      <c r="J685" s="9"/>
      <c r="K685" s="10" t="str">
        <f aca="false">IF($B685="","",$E685*IFERROR(INDEX(Drinks!$B$4:$B$53,MATCH($B685,Drinks!$A$4:$A$53,0)),0))</f>
        <v/>
      </c>
      <c r="L685" s="10" t="str">
        <f aca="false">IF($B685="","",$J685+$K685)</f>
        <v/>
      </c>
      <c r="M685" s="9"/>
      <c r="N685" s="10" t="str">
        <f aca="false">IF($B685="","",$L685-$M685)</f>
        <v/>
      </c>
      <c r="O685" s="10" t="str">
        <f aca="false">IF($B685="","",IFERROR(INDEX(Drinks!$E$4:$E$53,MATCH($B685,Drinks!$A$4:$A$53,0)),0))</f>
        <v/>
      </c>
      <c r="P685" s="10" t="str">
        <f aca="false">IF($B685="","",$N685*$O685)</f>
        <v/>
      </c>
      <c r="Q685" s="10" t="str">
        <f aca="false">IF($B685="","",$N685*IFERROR(INDEX(Drinks!$D$4:$D$53,MATCH($B685,Drinks!$A$4:$A$53,0)),0))</f>
        <v/>
      </c>
      <c r="R685" s="10" t="str">
        <f aca="false">IF($B685="","",$P685-$Q685)</f>
        <v/>
      </c>
      <c r="S685" s="23" t="str">
        <f aca="false">IF($B685="","",IF(COUNTIFS($A$4:$A$2003,$A685-1,$B$4:$B$2003,$B685)=0,"first day",IF(SUMIFS($M$4:$M$2003,$A$4:$A$2003,$A685-1,$B$4:$B$2003,$B685)=$J685,"OK","CHECK")))</f>
        <v/>
      </c>
      <c r="T685" s="10" t="str">
        <f aca="false">IF($B685="","",IFERROR(INDEX(Drinks!$D$4:$D$53,MATCH($B685,Drinks!$A$4:$A$53,0)),0))</f>
        <v/>
      </c>
    </row>
    <row r="686" customFormat="false" ht="15" hidden="false" customHeight="false" outlineLevel="0" collapsed="false">
      <c r="A686" s="22"/>
      <c r="B686" s="9"/>
      <c r="C686" s="9"/>
      <c r="D686" s="9"/>
      <c r="E686" s="9"/>
      <c r="F686" s="10" t="str">
        <f aca="false">IF($B686="","",$C686+$D686-$E686)</f>
        <v/>
      </c>
      <c r="G686" s="10" t="str">
        <f aca="false">IF($B686="","",IFERROR(INDEX(Drinks!$C$4:$C$53,MATCH($B686,Drinks!$A$4:$A$53,0)),0))</f>
        <v/>
      </c>
      <c r="H686" s="10" t="str">
        <f aca="false">IF($B686="","",$D686*$G686)</f>
        <v/>
      </c>
      <c r="I686" s="10" t="str">
        <f aca="false">IF($B686="","",$F686*$G686)</f>
        <v/>
      </c>
      <c r="J686" s="9"/>
      <c r="K686" s="10" t="str">
        <f aca="false">IF($B686="","",$E686*IFERROR(INDEX(Drinks!$B$4:$B$53,MATCH($B686,Drinks!$A$4:$A$53,0)),0))</f>
        <v/>
      </c>
      <c r="L686" s="10" t="str">
        <f aca="false">IF($B686="","",$J686+$K686)</f>
        <v/>
      </c>
      <c r="M686" s="9"/>
      <c r="N686" s="10" t="str">
        <f aca="false">IF($B686="","",$L686-$M686)</f>
        <v/>
      </c>
      <c r="O686" s="10" t="str">
        <f aca="false">IF($B686="","",IFERROR(INDEX(Drinks!$E$4:$E$53,MATCH($B686,Drinks!$A$4:$A$53,0)),0))</f>
        <v/>
      </c>
      <c r="P686" s="10" t="str">
        <f aca="false">IF($B686="","",$N686*$O686)</f>
        <v/>
      </c>
      <c r="Q686" s="10" t="str">
        <f aca="false">IF($B686="","",$N686*IFERROR(INDEX(Drinks!$D$4:$D$53,MATCH($B686,Drinks!$A$4:$A$53,0)),0))</f>
        <v/>
      </c>
      <c r="R686" s="10" t="str">
        <f aca="false">IF($B686="","",$P686-$Q686)</f>
        <v/>
      </c>
      <c r="S686" s="23" t="str">
        <f aca="false">IF($B686="","",IF(COUNTIFS($A$4:$A$2003,$A686-1,$B$4:$B$2003,$B686)=0,"first day",IF(SUMIFS($M$4:$M$2003,$A$4:$A$2003,$A686-1,$B$4:$B$2003,$B686)=$J686,"OK","CHECK")))</f>
        <v/>
      </c>
      <c r="T686" s="10" t="str">
        <f aca="false">IF($B686="","",IFERROR(INDEX(Drinks!$D$4:$D$53,MATCH($B686,Drinks!$A$4:$A$53,0)),0))</f>
        <v/>
      </c>
    </row>
    <row r="687" customFormat="false" ht="15" hidden="false" customHeight="false" outlineLevel="0" collapsed="false">
      <c r="A687" s="22"/>
      <c r="B687" s="9"/>
      <c r="C687" s="9"/>
      <c r="D687" s="9"/>
      <c r="E687" s="9"/>
      <c r="F687" s="10" t="str">
        <f aca="false">IF($B687="","",$C687+$D687-$E687)</f>
        <v/>
      </c>
      <c r="G687" s="10" t="str">
        <f aca="false">IF($B687="","",IFERROR(INDEX(Drinks!$C$4:$C$53,MATCH($B687,Drinks!$A$4:$A$53,0)),0))</f>
        <v/>
      </c>
      <c r="H687" s="10" t="str">
        <f aca="false">IF($B687="","",$D687*$G687)</f>
        <v/>
      </c>
      <c r="I687" s="10" t="str">
        <f aca="false">IF($B687="","",$F687*$G687)</f>
        <v/>
      </c>
      <c r="J687" s="9"/>
      <c r="K687" s="10" t="str">
        <f aca="false">IF($B687="","",$E687*IFERROR(INDEX(Drinks!$B$4:$B$53,MATCH($B687,Drinks!$A$4:$A$53,0)),0))</f>
        <v/>
      </c>
      <c r="L687" s="10" t="str">
        <f aca="false">IF($B687="","",$J687+$K687)</f>
        <v/>
      </c>
      <c r="M687" s="9"/>
      <c r="N687" s="10" t="str">
        <f aca="false">IF($B687="","",$L687-$M687)</f>
        <v/>
      </c>
      <c r="O687" s="10" t="str">
        <f aca="false">IF($B687="","",IFERROR(INDEX(Drinks!$E$4:$E$53,MATCH($B687,Drinks!$A$4:$A$53,0)),0))</f>
        <v/>
      </c>
      <c r="P687" s="10" t="str">
        <f aca="false">IF($B687="","",$N687*$O687)</f>
        <v/>
      </c>
      <c r="Q687" s="10" t="str">
        <f aca="false">IF($B687="","",$N687*IFERROR(INDEX(Drinks!$D$4:$D$53,MATCH($B687,Drinks!$A$4:$A$53,0)),0))</f>
        <v/>
      </c>
      <c r="R687" s="10" t="str">
        <f aca="false">IF($B687="","",$P687-$Q687)</f>
        <v/>
      </c>
      <c r="S687" s="23" t="str">
        <f aca="false">IF($B687="","",IF(COUNTIFS($A$4:$A$2003,$A687-1,$B$4:$B$2003,$B687)=0,"first day",IF(SUMIFS($M$4:$M$2003,$A$4:$A$2003,$A687-1,$B$4:$B$2003,$B687)=$J687,"OK","CHECK")))</f>
        <v/>
      </c>
      <c r="T687" s="10" t="str">
        <f aca="false">IF($B687="","",IFERROR(INDEX(Drinks!$D$4:$D$53,MATCH($B687,Drinks!$A$4:$A$53,0)),0))</f>
        <v/>
      </c>
    </row>
    <row r="688" customFormat="false" ht="15" hidden="false" customHeight="false" outlineLevel="0" collapsed="false">
      <c r="A688" s="22"/>
      <c r="B688" s="9"/>
      <c r="C688" s="9"/>
      <c r="D688" s="9"/>
      <c r="E688" s="9"/>
      <c r="F688" s="10" t="str">
        <f aca="false">IF($B688="","",$C688+$D688-$E688)</f>
        <v/>
      </c>
      <c r="G688" s="10" t="str">
        <f aca="false">IF($B688="","",IFERROR(INDEX(Drinks!$C$4:$C$53,MATCH($B688,Drinks!$A$4:$A$53,0)),0))</f>
        <v/>
      </c>
      <c r="H688" s="10" t="str">
        <f aca="false">IF($B688="","",$D688*$G688)</f>
        <v/>
      </c>
      <c r="I688" s="10" t="str">
        <f aca="false">IF($B688="","",$F688*$G688)</f>
        <v/>
      </c>
      <c r="J688" s="9"/>
      <c r="K688" s="10" t="str">
        <f aca="false">IF($B688="","",$E688*IFERROR(INDEX(Drinks!$B$4:$B$53,MATCH($B688,Drinks!$A$4:$A$53,0)),0))</f>
        <v/>
      </c>
      <c r="L688" s="10" t="str">
        <f aca="false">IF($B688="","",$J688+$K688)</f>
        <v/>
      </c>
      <c r="M688" s="9"/>
      <c r="N688" s="10" t="str">
        <f aca="false">IF($B688="","",$L688-$M688)</f>
        <v/>
      </c>
      <c r="O688" s="10" t="str">
        <f aca="false">IF($B688="","",IFERROR(INDEX(Drinks!$E$4:$E$53,MATCH($B688,Drinks!$A$4:$A$53,0)),0))</f>
        <v/>
      </c>
      <c r="P688" s="10" t="str">
        <f aca="false">IF($B688="","",$N688*$O688)</f>
        <v/>
      </c>
      <c r="Q688" s="10" t="str">
        <f aca="false">IF($B688="","",$N688*IFERROR(INDEX(Drinks!$D$4:$D$53,MATCH($B688,Drinks!$A$4:$A$53,0)),0))</f>
        <v/>
      </c>
      <c r="R688" s="10" t="str">
        <f aca="false">IF($B688="","",$P688-$Q688)</f>
        <v/>
      </c>
      <c r="S688" s="23" t="str">
        <f aca="false">IF($B688="","",IF(COUNTIFS($A$4:$A$2003,$A688-1,$B$4:$B$2003,$B688)=0,"first day",IF(SUMIFS($M$4:$M$2003,$A$4:$A$2003,$A688-1,$B$4:$B$2003,$B688)=$J688,"OK","CHECK")))</f>
        <v/>
      </c>
      <c r="T688" s="10" t="str">
        <f aca="false">IF($B688="","",IFERROR(INDEX(Drinks!$D$4:$D$53,MATCH($B688,Drinks!$A$4:$A$53,0)),0))</f>
        <v/>
      </c>
    </row>
    <row r="689" customFormat="false" ht="15" hidden="false" customHeight="false" outlineLevel="0" collapsed="false">
      <c r="A689" s="22"/>
      <c r="B689" s="9"/>
      <c r="C689" s="9"/>
      <c r="D689" s="9"/>
      <c r="E689" s="9"/>
      <c r="F689" s="10" t="str">
        <f aca="false">IF($B689="","",$C689+$D689-$E689)</f>
        <v/>
      </c>
      <c r="G689" s="10" t="str">
        <f aca="false">IF($B689="","",IFERROR(INDEX(Drinks!$C$4:$C$53,MATCH($B689,Drinks!$A$4:$A$53,0)),0))</f>
        <v/>
      </c>
      <c r="H689" s="10" t="str">
        <f aca="false">IF($B689="","",$D689*$G689)</f>
        <v/>
      </c>
      <c r="I689" s="10" t="str">
        <f aca="false">IF($B689="","",$F689*$G689)</f>
        <v/>
      </c>
      <c r="J689" s="9"/>
      <c r="K689" s="10" t="str">
        <f aca="false">IF($B689="","",$E689*IFERROR(INDEX(Drinks!$B$4:$B$53,MATCH($B689,Drinks!$A$4:$A$53,0)),0))</f>
        <v/>
      </c>
      <c r="L689" s="10" t="str">
        <f aca="false">IF($B689="","",$J689+$K689)</f>
        <v/>
      </c>
      <c r="M689" s="9"/>
      <c r="N689" s="10" t="str">
        <f aca="false">IF($B689="","",$L689-$M689)</f>
        <v/>
      </c>
      <c r="O689" s="10" t="str">
        <f aca="false">IF($B689="","",IFERROR(INDEX(Drinks!$E$4:$E$53,MATCH($B689,Drinks!$A$4:$A$53,0)),0))</f>
        <v/>
      </c>
      <c r="P689" s="10" t="str">
        <f aca="false">IF($B689="","",$N689*$O689)</f>
        <v/>
      </c>
      <c r="Q689" s="10" t="str">
        <f aca="false">IF($B689="","",$N689*IFERROR(INDEX(Drinks!$D$4:$D$53,MATCH($B689,Drinks!$A$4:$A$53,0)),0))</f>
        <v/>
      </c>
      <c r="R689" s="10" t="str">
        <f aca="false">IF($B689="","",$P689-$Q689)</f>
        <v/>
      </c>
      <c r="S689" s="23" t="str">
        <f aca="false">IF($B689="","",IF(COUNTIFS($A$4:$A$2003,$A689-1,$B$4:$B$2003,$B689)=0,"first day",IF(SUMIFS($M$4:$M$2003,$A$4:$A$2003,$A689-1,$B$4:$B$2003,$B689)=$J689,"OK","CHECK")))</f>
        <v/>
      </c>
      <c r="T689" s="10" t="str">
        <f aca="false">IF($B689="","",IFERROR(INDEX(Drinks!$D$4:$D$53,MATCH($B689,Drinks!$A$4:$A$53,0)),0))</f>
        <v/>
      </c>
    </row>
    <row r="690" customFormat="false" ht="15" hidden="false" customHeight="false" outlineLevel="0" collapsed="false">
      <c r="A690" s="22"/>
      <c r="B690" s="9"/>
      <c r="C690" s="9"/>
      <c r="D690" s="9"/>
      <c r="E690" s="9"/>
      <c r="F690" s="10" t="str">
        <f aca="false">IF($B690="","",$C690+$D690-$E690)</f>
        <v/>
      </c>
      <c r="G690" s="10" t="str">
        <f aca="false">IF($B690="","",IFERROR(INDEX(Drinks!$C$4:$C$53,MATCH($B690,Drinks!$A$4:$A$53,0)),0))</f>
        <v/>
      </c>
      <c r="H690" s="10" t="str">
        <f aca="false">IF($B690="","",$D690*$G690)</f>
        <v/>
      </c>
      <c r="I690" s="10" t="str">
        <f aca="false">IF($B690="","",$F690*$G690)</f>
        <v/>
      </c>
      <c r="J690" s="9"/>
      <c r="K690" s="10" t="str">
        <f aca="false">IF($B690="","",$E690*IFERROR(INDEX(Drinks!$B$4:$B$53,MATCH($B690,Drinks!$A$4:$A$53,0)),0))</f>
        <v/>
      </c>
      <c r="L690" s="10" t="str">
        <f aca="false">IF($B690="","",$J690+$K690)</f>
        <v/>
      </c>
      <c r="M690" s="9"/>
      <c r="N690" s="10" t="str">
        <f aca="false">IF($B690="","",$L690-$M690)</f>
        <v/>
      </c>
      <c r="O690" s="10" t="str">
        <f aca="false">IF($B690="","",IFERROR(INDEX(Drinks!$E$4:$E$53,MATCH($B690,Drinks!$A$4:$A$53,0)),0))</f>
        <v/>
      </c>
      <c r="P690" s="10" t="str">
        <f aca="false">IF($B690="","",$N690*$O690)</f>
        <v/>
      </c>
      <c r="Q690" s="10" t="str">
        <f aca="false">IF($B690="","",$N690*IFERROR(INDEX(Drinks!$D$4:$D$53,MATCH($B690,Drinks!$A$4:$A$53,0)),0))</f>
        <v/>
      </c>
      <c r="R690" s="10" t="str">
        <f aca="false">IF($B690="","",$P690-$Q690)</f>
        <v/>
      </c>
      <c r="S690" s="23" t="str">
        <f aca="false">IF($B690="","",IF(COUNTIFS($A$4:$A$2003,$A690-1,$B$4:$B$2003,$B690)=0,"first day",IF(SUMIFS($M$4:$M$2003,$A$4:$A$2003,$A690-1,$B$4:$B$2003,$B690)=$J690,"OK","CHECK")))</f>
        <v/>
      </c>
      <c r="T690" s="10" t="str">
        <f aca="false">IF($B690="","",IFERROR(INDEX(Drinks!$D$4:$D$53,MATCH($B690,Drinks!$A$4:$A$53,0)),0))</f>
        <v/>
      </c>
    </row>
    <row r="691" customFormat="false" ht="15" hidden="false" customHeight="false" outlineLevel="0" collapsed="false">
      <c r="A691" s="22"/>
      <c r="B691" s="9"/>
      <c r="C691" s="9"/>
      <c r="D691" s="9"/>
      <c r="E691" s="9"/>
      <c r="F691" s="10" t="str">
        <f aca="false">IF($B691="","",$C691+$D691-$E691)</f>
        <v/>
      </c>
      <c r="G691" s="10" t="str">
        <f aca="false">IF($B691="","",IFERROR(INDEX(Drinks!$C$4:$C$53,MATCH($B691,Drinks!$A$4:$A$53,0)),0))</f>
        <v/>
      </c>
      <c r="H691" s="10" t="str">
        <f aca="false">IF($B691="","",$D691*$G691)</f>
        <v/>
      </c>
      <c r="I691" s="10" t="str">
        <f aca="false">IF($B691="","",$F691*$G691)</f>
        <v/>
      </c>
      <c r="J691" s="9"/>
      <c r="K691" s="10" t="str">
        <f aca="false">IF($B691="","",$E691*IFERROR(INDEX(Drinks!$B$4:$B$53,MATCH($B691,Drinks!$A$4:$A$53,0)),0))</f>
        <v/>
      </c>
      <c r="L691" s="10" t="str">
        <f aca="false">IF($B691="","",$J691+$K691)</f>
        <v/>
      </c>
      <c r="M691" s="9"/>
      <c r="N691" s="10" t="str">
        <f aca="false">IF($B691="","",$L691-$M691)</f>
        <v/>
      </c>
      <c r="O691" s="10" t="str">
        <f aca="false">IF($B691="","",IFERROR(INDEX(Drinks!$E$4:$E$53,MATCH($B691,Drinks!$A$4:$A$53,0)),0))</f>
        <v/>
      </c>
      <c r="P691" s="10" t="str">
        <f aca="false">IF($B691="","",$N691*$O691)</f>
        <v/>
      </c>
      <c r="Q691" s="10" t="str">
        <f aca="false">IF($B691="","",$N691*IFERROR(INDEX(Drinks!$D$4:$D$53,MATCH($B691,Drinks!$A$4:$A$53,0)),0))</f>
        <v/>
      </c>
      <c r="R691" s="10" t="str">
        <f aca="false">IF($B691="","",$P691-$Q691)</f>
        <v/>
      </c>
      <c r="S691" s="23" t="str">
        <f aca="false">IF($B691="","",IF(COUNTIFS($A$4:$A$2003,$A691-1,$B$4:$B$2003,$B691)=0,"first day",IF(SUMIFS($M$4:$M$2003,$A$4:$A$2003,$A691-1,$B$4:$B$2003,$B691)=$J691,"OK","CHECK")))</f>
        <v/>
      </c>
      <c r="T691" s="10" t="str">
        <f aca="false">IF($B691="","",IFERROR(INDEX(Drinks!$D$4:$D$53,MATCH($B691,Drinks!$A$4:$A$53,0)),0))</f>
        <v/>
      </c>
    </row>
    <row r="692" customFormat="false" ht="15" hidden="false" customHeight="false" outlineLevel="0" collapsed="false">
      <c r="A692" s="22"/>
      <c r="B692" s="9"/>
      <c r="C692" s="9"/>
      <c r="D692" s="9"/>
      <c r="E692" s="9"/>
      <c r="F692" s="10" t="str">
        <f aca="false">IF($B692="","",$C692+$D692-$E692)</f>
        <v/>
      </c>
      <c r="G692" s="10" t="str">
        <f aca="false">IF($B692="","",IFERROR(INDEX(Drinks!$C$4:$C$53,MATCH($B692,Drinks!$A$4:$A$53,0)),0))</f>
        <v/>
      </c>
      <c r="H692" s="10" t="str">
        <f aca="false">IF($B692="","",$D692*$G692)</f>
        <v/>
      </c>
      <c r="I692" s="10" t="str">
        <f aca="false">IF($B692="","",$F692*$G692)</f>
        <v/>
      </c>
      <c r="J692" s="9"/>
      <c r="K692" s="10" t="str">
        <f aca="false">IF($B692="","",$E692*IFERROR(INDEX(Drinks!$B$4:$B$53,MATCH($B692,Drinks!$A$4:$A$53,0)),0))</f>
        <v/>
      </c>
      <c r="L692" s="10" t="str">
        <f aca="false">IF($B692="","",$J692+$K692)</f>
        <v/>
      </c>
      <c r="M692" s="9"/>
      <c r="N692" s="10" t="str">
        <f aca="false">IF($B692="","",$L692-$M692)</f>
        <v/>
      </c>
      <c r="O692" s="10" t="str">
        <f aca="false">IF($B692="","",IFERROR(INDEX(Drinks!$E$4:$E$53,MATCH($B692,Drinks!$A$4:$A$53,0)),0))</f>
        <v/>
      </c>
      <c r="P692" s="10" t="str">
        <f aca="false">IF($B692="","",$N692*$O692)</f>
        <v/>
      </c>
      <c r="Q692" s="10" t="str">
        <f aca="false">IF($B692="","",$N692*IFERROR(INDEX(Drinks!$D$4:$D$53,MATCH($B692,Drinks!$A$4:$A$53,0)),0))</f>
        <v/>
      </c>
      <c r="R692" s="10" t="str">
        <f aca="false">IF($B692="","",$P692-$Q692)</f>
        <v/>
      </c>
      <c r="S692" s="23" t="str">
        <f aca="false">IF($B692="","",IF(COUNTIFS($A$4:$A$2003,$A692-1,$B$4:$B$2003,$B692)=0,"first day",IF(SUMIFS($M$4:$M$2003,$A$4:$A$2003,$A692-1,$B$4:$B$2003,$B692)=$J692,"OK","CHECK")))</f>
        <v/>
      </c>
      <c r="T692" s="10" t="str">
        <f aca="false">IF($B692="","",IFERROR(INDEX(Drinks!$D$4:$D$53,MATCH($B692,Drinks!$A$4:$A$53,0)),0))</f>
        <v/>
      </c>
    </row>
    <row r="693" customFormat="false" ht="15" hidden="false" customHeight="false" outlineLevel="0" collapsed="false">
      <c r="A693" s="22"/>
      <c r="B693" s="9"/>
      <c r="C693" s="9"/>
      <c r="D693" s="9"/>
      <c r="E693" s="9"/>
      <c r="F693" s="10" t="str">
        <f aca="false">IF($B693="","",$C693+$D693-$E693)</f>
        <v/>
      </c>
      <c r="G693" s="10" t="str">
        <f aca="false">IF($B693="","",IFERROR(INDEX(Drinks!$C$4:$C$53,MATCH($B693,Drinks!$A$4:$A$53,0)),0))</f>
        <v/>
      </c>
      <c r="H693" s="10" t="str">
        <f aca="false">IF($B693="","",$D693*$G693)</f>
        <v/>
      </c>
      <c r="I693" s="10" t="str">
        <f aca="false">IF($B693="","",$F693*$G693)</f>
        <v/>
      </c>
      <c r="J693" s="9"/>
      <c r="K693" s="10" t="str">
        <f aca="false">IF($B693="","",$E693*IFERROR(INDEX(Drinks!$B$4:$B$53,MATCH($B693,Drinks!$A$4:$A$53,0)),0))</f>
        <v/>
      </c>
      <c r="L693" s="10" t="str">
        <f aca="false">IF($B693="","",$J693+$K693)</f>
        <v/>
      </c>
      <c r="M693" s="9"/>
      <c r="N693" s="10" t="str">
        <f aca="false">IF($B693="","",$L693-$M693)</f>
        <v/>
      </c>
      <c r="O693" s="10" t="str">
        <f aca="false">IF($B693="","",IFERROR(INDEX(Drinks!$E$4:$E$53,MATCH($B693,Drinks!$A$4:$A$53,0)),0))</f>
        <v/>
      </c>
      <c r="P693" s="10" t="str">
        <f aca="false">IF($B693="","",$N693*$O693)</f>
        <v/>
      </c>
      <c r="Q693" s="10" t="str">
        <f aca="false">IF($B693="","",$N693*IFERROR(INDEX(Drinks!$D$4:$D$53,MATCH($B693,Drinks!$A$4:$A$53,0)),0))</f>
        <v/>
      </c>
      <c r="R693" s="10" t="str">
        <f aca="false">IF($B693="","",$P693-$Q693)</f>
        <v/>
      </c>
      <c r="S693" s="23" t="str">
        <f aca="false">IF($B693="","",IF(COUNTIFS($A$4:$A$2003,$A693-1,$B$4:$B$2003,$B693)=0,"first day",IF(SUMIFS($M$4:$M$2003,$A$4:$A$2003,$A693-1,$B$4:$B$2003,$B693)=$J693,"OK","CHECK")))</f>
        <v/>
      </c>
      <c r="T693" s="10" t="str">
        <f aca="false">IF($B693="","",IFERROR(INDEX(Drinks!$D$4:$D$53,MATCH($B693,Drinks!$A$4:$A$53,0)),0))</f>
        <v/>
      </c>
    </row>
    <row r="694" customFormat="false" ht="15" hidden="false" customHeight="false" outlineLevel="0" collapsed="false">
      <c r="A694" s="22"/>
      <c r="B694" s="9"/>
      <c r="C694" s="9"/>
      <c r="D694" s="9"/>
      <c r="E694" s="9"/>
      <c r="F694" s="10" t="str">
        <f aca="false">IF($B694="","",$C694+$D694-$E694)</f>
        <v/>
      </c>
      <c r="G694" s="10" t="str">
        <f aca="false">IF($B694="","",IFERROR(INDEX(Drinks!$C$4:$C$53,MATCH($B694,Drinks!$A$4:$A$53,0)),0))</f>
        <v/>
      </c>
      <c r="H694" s="10" t="str">
        <f aca="false">IF($B694="","",$D694*$G694)</f>
        <v/>
      </c>
      <c r="I694" s="10" t="str">
        <f aca="false">IF($B694="","",$F694*$G694)</f>
        <v/>
      </c>
      <c r="J694" s="9"/>
      <c r="K694" s="10" t="str">
        <f aca="false">IF($B694="","",$E694*IFERROR(INDEX(Drinks!$B$4:$B$53,MATCH($B694,Drinks!$A$4:$A$53,0)),0))</f>
        <v/>
      </c>
      <c r="L694" s="10" t="str">
        <f aca="false">IF($B694="","",$J694+$K694)</f>
        <v/>
      </c>
      <c r="M694" s="9"/>
      <c r="N694" s="10" t="str">
        <f aca="false">IF($B694="","",$L694-$M694)</f>
        <v/>
      </c>
      <c r="O694" s="10" t="str">
        <f aca="false">IF($B694="","",IFERROR(INDEX(Drinks!$E$4:$E$53,MATCH($B694,Drinks!$A$4:$A$53,0)),0))</f>
        <v/>
      </c>
      <c r="P694" s="10" t="str">
        <f aca="false">IF($B694="","",$N694*$O694)</f>
        <v/>
      </c>
      <c r="Q694" s="10" t="str">
        <f aca="false">IF($B694="","",$N694*IFERROR(INDEX(Drinks!$D$4:$D$53,MATCH($B694,Drinks!$A$4:$A$53,0)),0))</f>
        <v/>
      </c>
      <c r="R694" s="10" t="str">
        <f aca="false">IF($B694="","",$P694-$Q694)</f>
        <v/>
      </c>
      <c r="S694" s="23" t="str">
        <f aca="false">IF($B694="","",IF(COUNTIFS($A$4:$A$2003,$A694-1,$B$4:$B$2003,$B694)=0,"first day",IF(SUMIFS($M$4:$M$2003,$A$4:$A$2003,$A694-1,$B$4:$B$2003,$B694)=$J694,"OK","CHECK")))</f>
        <v/>
      </c>
      <c r="T694" s="10" t="str">
        <f aca="false">IF($B694="","",IFERROR(INDEX(Drinks!$D$4:$D$53,MATCH($B694,Drinks!$A$4:$A$53,0)),0))</f>
        <v/>
      </c>
    </row>
    <row r="695" customFormat="false" ht="15" hidden="false" customHeight="false" outlineLevel="0" collapsed="false">
      <c r="A695" s="22"/>
      <c r="B695" s="9"/>
      <c r="C695" s="9"/>
      <c r="D695" s="9"/>
      <c r="E695" s="9"/>
      <c r="F695" s="10" t="str">
        <f aca="false">IF($B695="","",$C695+$D695-$E695)</f>
        <v/>
      </c>
      <c r="G695" s="10" t="str">
        <f aca="false">IF($B695="","",IFERROR(INDEX(Drinks!$C$4:$C$53,MATCH($B695,Drinks!$A$4:$A$53,0)),0))</f>
        <v/>
      </c>
      <c r="H695" s="10" t="str">
        <f aca="false">IF($B695="","",$D695*$G695)</f>
        <v/>
      </c>
      <c r="I695" s="10" t="str">
        <f aca="false">IF($B695="","",$F695*$G695)</f>
        <v/>
      </c>
      <c r="J695" s="9"/>
      <c r="K695" s="10" t="str">
        <f aca="false">IF($B695="","",$E695*IFERROR(INDEX(Drinks!$B$4:$B$53,MATCH($B695,Drinks!$A$4:$A$53,0)),0))</f>
        <v/>
      </c>
      <c r="L695" s="10" t="str">
        <f aca="false">IF($B695="","",$J695+$K695)</f>
        <v/>
      </c>
      <c r="M695" s="9"/>
      <c r="N695" s="10" t="str">
        <f aca="false">IF($B695="","",$L695-$M695)</f>
        <v/>
      </c>
      <c r="O695" s="10" t="str">
        <f aca="false">IF($B695="","",IFERROR(INDEX(Drinks!$E$4:$E$53,MATCH($B695,Drinks!$A$4:$A$53,0)),0))</f>
        <v/>
      </c>
      <c r="P695" s="10" t="str">
        <f aca="false">IF($B695="","",$N695*$O695)</f>
        <v/>
      </c>
      <c r="Q695" s="10" t="str">
        <f aca="false">IF($B695="","",$N695*IFERROR(INDEX(Drinks!$D$4:$D$53,MATCH($B695,Drinks!$A$4:$A$53,0)),0))</f>
        <v/>
      </c>
      <c r="R695" s="10" t="str">
        <f aca="false">IF($B695="","",$P695-$Q695)</f>
        <v/>
      </c>
      <c r="S695" s="23" t="str">
        <f aca="false">IF($B695="","",IF(COUNTIFS($A$4:$A$2003,$A695-1,$B$4:$B$2003,$B695)=0,"first day",IF(SUMIFS($M$4:$M$2003,$A$4:$A$2003,$A695-1,$B$4:$B$2003,$B695)=$J695,"OK","CHECK")))</f>
        <v/>
      </c>
      <c r="T695" s="10" t="str">
        <f aca="false">IF($B695="","",IFERROR(INDEX(Drinks!$D$4:$D$53,MATCH($B695,Drinks!$A$4:$A$53,0)),0))</f>
        <v/>
      </c>
    </row>
    <row r="696" customFormat="false" ht="15" hidden="false" customHeight="false" outlineLevel="0" collapsed="false">
      <c r="A696" s="22"/>
      <c r="B696" s="9"/>
      <c r="C696" s="9"/>
      <c r="D696" s="9"/>
      <c r="E696" s="9"/>
      <c r="F696" s="10" t="str">
        <f aca="false">IF($B696="","",$C696+$D696-$E696)</f>
        <v/>
      </c>
      <c r="G696" s="10" t="str">
        <f aca="false">IF($B696="","",IFERROR(INDEX(Drinks!$C$4:$C$53,MATCH($B696,Drinks!$A$4:$A$53,0)),0))</f>
        <v/>
      </c>
      <c r="H696" s="10" t="str">
        <f aca="false">IF($B696="","",$D696*$G696)</f>
        <v/>
      </c>
      <c r="I696" s="10" t="str">
        <f aca="false">IF($B696="","",$F696*$G696)</f>
        <v/>
      </c>
      <c r="J696" s="9"/>
      <c r="K696" s="10" t="str">
        <f aca="false">IF($B696="","",$E696*IFERROR(INDEX(Drinks!$B$4:$B$53,MATCH($B696,Drinks!$A$4:$A$53,0)),0))</f>
        <v/>
      </c>
      <c r="L696" s="10" t="str">
        <f aca="false">IF($B696="","",$J696+$K696)</f>
        <v/>
      </c>
      <c r="M696" s="9"/>
      <c r="N696" s="10" t="str">
        <f aca="false">IF($B696="","",$L696-$M696)</f>
        <v/>
      </c>
      <c r="O696" s="10" t="str">
        <f aca="false">IF($B696="","",IFERROR(INDEX(Drinks!$E$4:$E$53,MATCH($B696,Drinks!$A$4:$A$53,0)),0))</f>
        <v/>
      </c>
      <c r="P696" s="10" t="str">
        <f aca="false">IF($B696="","",$N696*$O696)</f>
        <v/>
      </c>
      <c r="Q696" s="10" t="str">
        <f aca="false">IF($B696="","",$N696*IFERROR(INDEX(Drinks!$D$4:$D$53,MATCH($B696,Drinks!$A$4:$A$53,0)),0))</f>
        <v/>
      </c>
      <c r="R696" s="10" t="str">
        <f aca="false">IF($B696="","",$P696-$Q696)</f>
        <v/>
      </c>
      <c r="S696" s="23" t="str">
        <f aca="false">IF($B696="","",IF(COUNTIFS($A$4:$A$2003,$A696-1,$B$4:$B$2003,$B696)=0,"first day",IF(SUMIFS($M$4:$M$2003,$A$4:$A$2003,$A696-1,$B$4:$B$2003,$B696)=$J696,"OK","CHECK")))</f>
        <v/>
      </c>
      <c r="T696" s="10" t="str">
        <f aca="false">IF($B696="","",IFERROR(INDEX(Drinks!$D$4:$D$53,MATCH($B696,Drinks!$A$4:$A$53,0)),0))</f>
        <v/>
      </c>
    </row>
    <row r="697" customFormat="false" ht="15" hidden="false" customHeight="false" outlineLevel="0" collapsed="false">
      <c r="A697" s="22"/>
      <c r="B697" s="9"/>
      <c r="C697" s="9"/>
      <c r="D697" s="9"/>
      <c r="E697" s="9"/>
      <c r="F697" s="10" t="str">
        <f aca="false">IF($B697="","",$C697+$D697-$E697)</f>
        <v/>
      </c>
      <c r="G697" s="10" t="str">
        <f aca="false">IF($B697="","",IFERROR(INDEX(Drinks!$C$4:$C$53,MATCH($B697,Drinks!$A$4:$A$53,0)),0))</f>
        <v/>
      </c>
      <c r="H697" s="10" t="str">
        <f aca="false">IF($B697="","",$D697*$G697)</f>
        <v/>
      </c>
      <c r="I697" s="10" t="str">
        <f aca="false">IF($B697="","",$F697*$G697)</f>
        <v/>
      </c>
      <c r="J697" s="9"/>
      <c r="K697" s="10" t="str">
        <f aca="false">IF($B697="","",$E697*IFERROR(INDEX(Drinks!$B$4:$B$53,MATCH($B697,Drinks!$A$4:$A$53,0)),0))</f>
        <v/>
      </c>
      <c r="L697" s="10" t="str">
        <f aca="false">IF($B697="","",$J697+$K697)</f>
        <v/>
      </c>
      <c r="M697" s="9"/>
      <c r="N697" s="10" t="str">
        <f aca="false">IF($B697="","",$L697-$M697)</f>
        <v/>
      </c>
      <c r="O697" s="10" t="str">
        <f aca="false">IF($B697="","",IFERROR(INDEX(Drinks!$E$4:$E$53,MATCH($B697,Drinks!$A$4:$A$53,0)),0))</f>
        <v/>
      </c>
      <c r="P697" s="10" t="str">
        <f aca="false">IF($B697="","",$N697*$O697)</f>
        <v/>
      </c>
      <c r="Q697" s="10" t="str">
        <f aca="false">IF($B697="","",$N697*IFERROR(INDEX(Drinks!$D$4:$D$53,MATCH($B697,Drinks!$A$4:$A$53,0)),0))</f>
        <v/>
      </c>
      <c r="R697" s="10" t="str">
        <f aca="false">IF($B697="","",$P697-$Q697)</f>
        <v/>
      </c>
      <c r="S697" s="23" t="str">
        <f aca="false">IF($B697="","",IF(COUNTIFS($A$4:$A$2003,$A697-1,$B$4:$B$2003,$B697)=0,"first day",IF(SUMIFS($M$4:$M$2003,$A$4:$A$2003,$A697-1,$B$4:$B$2003,$B697)=$J697,"OK","CHECK")))</f>
        <v/>
      </c>
      <c r="T697" s="10" t="str">
        <f aca="false">IF($B697="","",IFERROR(INDEX(Drinks!$D$4:$D$53,MATCH($B697,Drinks!$A$4:$A$53,0)),0))</f>
        <v/>
      </c>
    </row>
    <row r="698" customFormat="false" ht="15" hidden="false" customHeight="false" outlineLevel="0" collapsed="false">
      <c r="A698" s="22"/>
      <c r="B698" s="9"/>
      <c r="C698" s="9"/>
      <c r="D698" s="9"/>
      <c r="E698" s="9"/>
      <c r="F698" s="10" t="str">
        <f aca="false">IF($B698="","",$C698+$D698-$E698)</f>
        <v/>
      </c>
      <c r="G698" s="10" t="str">
        <f aca="false">IF($B698="","",IFERROR(INDEX(Drinks!$C$4:$C$53,MATCH($B698,Drinks!$A$4:$A$53,0)),0))</f>
        <v/>
      </c>
      <c r="H698" s="10" t="str">
        <f aca="false">IF($B698="","",$D698*$G698)</f>
        <v/>
      </c>
      <c r="I698" s="10" t="str">
        <f aca="false">IF($B698="","",$F698*$G698)</f>
        <v/>
      </c>
      <c r="J698" s="9"/>
      <c r="K698" s="10" t="str">
        <f aca="false">IF($B698="","",$E698*IFERROR(INDEX(Drinks!$B$4:$B$53,MATCH($B698,Drinks!$A$4:$A$53,0)),0))</f>
        <v/>
      </c>
      <c r="L698" s="10" t="str">
        <f aca="false">IF($B698="","",$J698+$K698)</f>
        <v/>
      </c>
      <c r="M698" s="9"/>
      <c r="N698" s="10" t="str">
        <f aca="false">IF($B698="","",$L698-$M698)</f>
        <v/>
      </c>
      <c r="O698" s="10" t="str">
        <f aca="false">IF($B698="","",IFERROR(INDEX(Drinks!$E$4:$E$53,MATCH($B698,Drinks!$A$4:$A$53,0)),0))</f>
        <v/>
      </c>
      <c r="P698" s="10" t="str">
        <f aca="false">IF($B698="","",$N698*$O698)</f>
        <v/>
      </c>
      <c r="Q698" s="10" t="str">
        <f aca="false">IF($B698="","",$N698*IFERROR(INDEX(Drinks!$D$4:$D$53,MATCH($B698,Drinks!$A$4:$A$53,0)),0))</f>
        <v/>
      </c>
      <c r="R698" s="10" t="str">
        <f aca="false">IF($B698="","",$P698-$Q698)</f>
        <v/>
      </c>
      <c r="S698" s="23" t="str">
        <f aca="false">IF($B698="","",IF(COUNTIFS($A$4:$A$2003,$A698-1,$B$4:$B$2003,$B698)=0,"first day",IF(SUMIFS($M$4:$M$2003,$A$4:$A$2003,$A698-1,$B$4:$B$2003,$B698)=$J698,"OK","CHECK")))</f>
        <v/>
      </c>
      <c r="T698" s="10" t="str">
        <f aca="false">IF($B698="","",IFERROR(INDEX(Drinks!$D$4:$D$53,MATCH($B698,Drinks!$A$4:$A$53,0)),0))</f>
        <v/>
      </c>
    </row>
    <row r="699" customFormat="false" ht="15" hidden="false" customHeight="false" outlineLevel="0" collapsed="false">
      <c r="A699" s="22"/>
      <c r="B699" s="9"/>
      <c r="C699" s="9"/>
      <c r="D699" s="9"/>
      <c r="E699" s="9"/>
      <c r="F699" s="10" t="str">
        <f aca="false">IF($B699="","",$C699+$D699-$E699)</f>
        <v/>
      </c>
      <c r="G699" s="10" t="str">
        <f aca="false">IF($B699="","",IFERROR(INDEX(Drinks!$C$4:$C$53,MATCH($B699,Drinks!$A$4:$A$53,0)),0))</f>
        <v/>
      </c>
      <c r="H699" s="10" t="str">
        <f aca="false">IF($B699="","",$D699*$G699)</f>
        <v/>
      </c>
      <c r="I699" s="10" t="str">
        <f aca="false">IF($B699="","",$F699*$G699)</f>
        <v/>
      </c>
      <c r="J699" s="9"/>
      <c r="K699" s="10" t="str">
        <f aca="false">IF($B699="","",$E699*IFERROR(INDEX(Drinks!$B$4:$B$53,MATCH($B699,Drinks!$A$4:$A$53,0)),0))</f>
        <v/>
      </c>
      <c r="L699" s="10" t="str">
        <f aca="false">IF($B699="","",$J699+$K699)</f>
        <v/>
      </c>
      <c r="M699" s="9"/>
      <c r="N699" s="10" t="str">
        <f aca="false">IF($B699="","",$L699-$M699)</f>
        <v/>
      </c>
      <c r="O699" s="10" t="str">
        <f aca="false">IF($B699="","",IFERROR(INDEX(Drinks!$E$4:$E$53,MATCH($B699,Drinks!$A$4:$A$53,0)),0))</f>
        <v/>
      </c>
      <c r="P699" s="10" t="str">
        <f aca="false">IF($B699="","",$N699*$O699)</f>
        <v/>
      </c>
      <c r="Q699" s="10" t="str">
        <f aca="false">IF($B699="","",$N699*IFERROR(INDEX(Drinks!$D$4:$D$53,MATCH($B699,Drinks!$A$4:$A$53,0)),0))</f>
        <v/>
      </c>
      <c r="R699" s="10" t="str">
        <f aca="false">IF($B699="","",$P699-$Q699)</f>
        <v/>
      </c>
      <c r="S699" s="23" t="str">
        <f aca="false">IF($B699="","",IF(COUNTIFS($A$4:$A$2003,$A699-1,$B$4:$B$2003,$B699)=0,"first day",IF(SUMIFS($M$4:$M$2003,$A$4:$A$2003,$A699-1,$B$4:$B$2003,$B699)=$J699,"OK","CHECK")))</f>
        <v/>
      </c>
      <c r="T699" s="10" t="str">
        <f aca="false">IF($B699="","",IFERROR(INDEX(Drinks!$D$4:$D$53,MATCH($B699,Drinks!$A$4:$A$53,0)),0))</f>
        <v/>
      </c>
    </row>
    <row r="700" customFormat="false" ht="15" hidden="false" customHeight="false" outlineLevel="0" collapsed="false">
      <c r="A700" s="22"/>
      <c r="B700" s="9"/>
      <c r="C700" s="9"/>
      <c r="D700" s="9"/>
      <c r="E700" s="9"/>
      <c r="F700" s="10" t="str">
        <f aca="false">IF($B700="","",$C700+$D700-$E700)</f>
        <v/>
      </c>
      <c r="G700" s="10" t="str">
        <f aca="false">IF($B700="","",IFERROR(INDEX(Drinks!$C$4:$C$53,MATCH($B700,Drinks!$A$4:$A$53,0)),0))</f>
        <v/>
      </c>
      <c r="H700" s="10" t="str">
        <f aca="false">IF($B700="","",$D700*$G700)</f>
        <v/>
      </c>
      <c r="I700" s="10" t="str">
        <f aca="false">IF($B700="","",$F700*$G700)</f>
        <v/>
      </c>
      <c r="J700" s="9"/>
      <c r="K700" s="10" t="str">
        <f aca="false">IF($B700="","",$E700*IFERROR(INDEX(Drinks!$B$4:$B$53,MATCH($B700,Drinks!$A$4:$A$53,0)),0))</f>
        <v/>
      </c>
      <c r="L700" s="10" t="str">
        <f aca="false">IF($B700="","",$J700+$K700)</f>
        <v/>
      </c>
      <c r="M700" s="9"/>
      <c r="N700" s="10" t="str">
        <f aca="false">IF($B700="","",$L700-$M700)</f>
        <v/>
      </c>
      <c r="O700" s="10" t="str">
        <f aca="false">IF($B700="","",IFERROR(INDEX(Drinks!$E$4:$E$53,MATCH($B700,Drinks!$A$4:$A$53,0)),0))</f>
        <v/>
      </c>
      <c r="P700" s="10" t="str">
        <f aca="false">IF($B700="","",$N700*$O700)</f>
        <v/>
      </c>
      <c r="Q700" s="10" t="str">
        <f aca="false">IF($B700="","",$N700*IFERROR(INDEX(Drinks!$D$4:$D$53,MATCH($B700,Drinks!$A$4:$A$53,0)),0))</f>
        <v/>
      </c>
      <c r="R700" s="10" t="str">
        <f aca="false">IF($B700="","",$P700-$Q700)</f>
        <v/>
      </c>
      <c r="S700" s="23" t="str">
        <f aca="false">IF($B700="","",IF(COUNTIFS($A$4:$A$2003,$A700-1,$B$4:$B$2003,$B700)=0,"first day",IF(SUMIFS($M$4:$M$2003,$A$4:$A$2003,$A700-1,$B$4:$B$2003,$B700)=$J700,"OK","CHECK")))</f>
        <v/>
      </c>
      <c r="T700" s="10" t="str">
        <f aca="false">IF($B700="","",IFERROR(INDEX(Drinks!$D$4:$D$53,MATCH($B700,Drinks!$A$4:$A$53,0)),0))</f>
        <v/>
      </c>
    </row>
    <row r="701" customFormat="false" ht="15" hidden="false" customHeight="false" outlineLevel="0" collapsed="false">
      <c r="A701" s="22"/>
      <c r="B701" s="9"/>
      <c r="C701" s="9"/>
      <c r="D701" s="9"/>
      <c r="E701" s="9"/>
      <c r="F701" s="10" t="str">
        <f aca="false">IF($B701="","",$C701+$D701-$E701)</f>
        <v/>
      </c>
      <c r="G701" s="10" t="str">
        <f aca="false">IF($B701="","",IFERROR(INDEX(Drinks!$C$4:$C$53,MATCH($B701,Drinks!$A$4:$A$53,0)),0))</f>
        <v/>
      </c>
      <c r="H701" s="10" t="str">
        <f aca="false">IF($B701="","",$D701*$G701)</f>
        <v/>
      </c>
      <c r="I701" s="10" t="str">
        <f aca="false">IF($B701="","",$F701*$G701)</f>
        <v/>
      </c>
      <c r="J701" s="9"/>
      <c r="K701" s="10" t="str">
        <f aca="false">IF($B701="","",$E701*IFERROR(INDEX(Drinks!$B$4:$B$53,MATCH($B701,Drinks!$A$4:$A$53,0)),0))</f>
        <v/>
      </c>
      <c r="L701" s="10" t="str">
        <f aca="false">IF($B701="","",$J701+$K701)</f>
        <v/>
      </c>
      <c r="M701" s="9"/>
      <c r="N701" s="10" t="str">
        <f aca="false">IF($B701="","",$L701-$M701)</f>
        <v/>
      </c>
      <c r="O701" s="10" t="str">
        <f aca="false">IF($B701="","",IFERROR(INDEX(Drinks!$E$4:$E$53,MATCH($B701,Drinks!$A$4:$A$53,0)),0))</f>
        <v/>
      </c>
      <c r="P701" s="10" t="str">
        <f aca="false">IF($B701="","",$N701*$O701)</f>
        <v/>
      </c>
      <c r="Q701" s="10" t="str">
        <f aca="false">IF($B701="","",$N701*IFERROR(INDEX(Drinks!$D$4:$D$53,MATCH($B701,Drinks!$A$4:$A$53,0)),0))</f>
        <v/>
      </c>
      <c r="R701" s="10" t="str">
        <f aca="false">IF($B701="","",$P701-$Q701)</f>
        <v/>
      </c>
      <c r="S701" s="23" t="str">
        <f aca="false">IF($B701="","",IF(COUNTIFS($A$4:$A$2003,$A701-1,$B$4:$B$2003,$B701)=0,"first day",IF(SUMIFS($M$4:$M$2003,$A$4:$A$2003,$A701-1,$B$4:$B$2003,$B701)=$J701,"OK","CHECK")))</f>
        <v/>
      </c>
      <c r="T701" s="10" t="str">
        <f aca="false">IF($B701="","",IFERROR(INDEX(Drinks!$D$4:$D$53,MATCH($B701,Drinks!$A$4:$A$53,0)),0))</f>
        <v/>
      </c>
    </row>
    <row r="702" customFormat="false" ht="15" hidden="false" customHeight="false" outlineLevel="0" collapsed="false">
      <c r="A702" s="22"/>
      <c r="B702" s="9"/>
      <c r="C702" s="9"/>
      <c r="D702" s="9"/>
      <c r="E702" s="9"/>
      <c r="F702" s="10" t="str">
        <f aca="false">IF($B702="","",$C702+$D702-$E702)</f>
        <v/>
      </c>
      <c r="G702" s="10" t="str">
        <f aca="false">IF($B702="","",IFERROR(INDEX(Drinks!$C$4:$C$53,MATCH($B702,Drinks!$A$4:$A$53,0)),0))</f>
        <v/>
      </c>
      <c r="H702" s="10" t="str">
        <f aca="false">IF($B702="","",$D702*$G702)</f>
        <v/>
      </c>
      <c r="I702" s="10" t="str">
        <f aca="false">IF($B702="","",$F702*$G702)</f>
        <v/>
      </c>
      <c r="J702" s="9"/>
      <c r="K702" s="10" t="str">
        <f aca="false">IF($B702="","",$E702*IFERROR(INDEX(Drinks!$B$4:$B$53,MATCH($B702,Drinks!$A$4:$A$53,0)),0))</f>
        <v/>
      </c>
      <c r="L702" s="10" t="str">
        <f aca="false">IF($B702="","",$J702+$K702)</f>
        <v/>
      </c>
      <c r="M702" s="9"/>
      <c r="N702" s="10" t="str">
        <f aca="false">IF($B702="","",$L702-$M702)</f>
        <v/>
      </c>
      <c r="O702" s="10" t="str">
        <f aca="false">IF($B702="","",IFERROR(INDEX(Drinks!$E$4:$E$53,MATCH($B702,Drinks!$A$4:$A$53,0)),0))</f>
        <v/>
      </c>
      <c r="P702" s="10" t="str">
        <f aca="false">IF($B702="","",$N702*$O702)</f>
        <v/>
      </c>
      <c r="Q702" s="10" t="str">
        <f aca="false">IF($B702="","",$N702*IFERROR(INDEX(Drinks!$D$4:$D$53,MATCH($B702,Drinks!$A$4:$A$53,0)),0))</f>
        <v/>
      </c>
      <c r="R702" s="10" t="str">
        <f aca="false">IF($B702="","",$P702-$Q702)</f>
        <v/>
      </c>
      <c r="S702" s="23" t="str">
        <f aca="false">IF($B702="","",IF(COUNTIFS($A$4:$A$2003,$A702-1,$B$4:$B$2003,$B702)=0,"first day",IF(SUMIFS($M$4:$M$2003,$A$4:$A$2003,$A702-1,$B$4:$B$2003,$B702)=$J702,"OK","CHECK")))</f>
        <v/>
      </c>
      <c r="T702" s="10" t="str">
        <f aca="false">IF($B702="","",IFERROR(INDEX(Drinks!$D$4:$D$53,MATCH($B702,Drinks!$A$4:$A$53,0)),0))</f>
        <v/>
      </c>
    </row>
    <row r="703" customFormat="false" ht="15" hidden="false" customHeight="false" outlineLevel="0" collapsed="false">
      <c r="A703" s="22"/>
      <c r="B703" s="9"/>
      <c r="C703" s="9"/>
      <c r="D703" s="9"/>
      <c r="E703" s="9"/>
      <c r="F703" s="10" t="str">
        <f aca="false">IF($B703="","",$C703+$D703-$E703)</f>
        <v/>
      </c>
      <c r="G703" s="10" t="str">
        <f aca="false">IF($B703="","",IFERROR(INDEX(Drinks!$C$4:$C$53,MATCH($B703,Drinks!$A$4:$A$53,0)),0))</f>
        <v/>
      </c>
      <c r="H703" s="10" t="str">
        <f aca="false">IF($B703="","",$D703*$G703)</f>
        <v/>
      </c>
      <c r="I703" s="10" t="str">
        <f aca="false">IF($B703="","",$F703*$G703)</f>
        <v/>
      </c>
      <c r="J703" s="9"/>
      <c r="K703" s="10" t="str">
        <f aca="false">IF($B703="","",$E703*IFERROR(INDEX(Drinks!$B$4:$B$53,MATCH($B703,Drinks!$A$4:$A$53,0)),0))</f>
        <v/>
      </c>
      <c r="L703" s="10" t="str">
        <f aca="false">IF($B703="","",$J703+$K703)</f>
        <v/>
      </c>
      <c r="M703" s="9"/>
      <c r="N703" s="10" t="str">
        <f aca="false">IF($B703="","",$L703-$M703)</f>
        <v/>
      </c>
      <c r="O703" s="10" t="str">
        <f aca="false">IF($B703="","",IFERROR(INDEX(Drinks!$E$4:$E$53,MATCH($B703,Drinks!$A$4:$A$53,0)),0))</f>
        <v/>
      </c>
      <c r="P703" s="10" t="str">
        <f aca="false">IF($B703="","",$N703*$O703)</f>
        <v/>
      </c>
      <c r="Q703" s="10" t="str">
        <f aca="false">IF($B703="","",$N703*IFERROR(INDEX(Drinks!$D$4:$D$53,MATCH($B703,Drinks!$A$4:$A$53,0)),0))</f>
        <v/>
      </c>
      <c r="R703" s="10" t="str">
        <f aca="false">IF($B703="","",$P703-$Q703)</f>
        <v/>
      </c>
      <c r="S703" s="23" t="str">
        <f aca="false">IF($B703="","",IF(COUNTIFS($A$4:$A$2003,$A703-1,$B$4:$B$2003,$B703)=0,"first day",IF(SUMIFS($M$4:$M$2003,$A$4:$A$2003,$A703-1,$B$4:$B$2003,$B703)=$J703,"OK","CHECK")))</f>
        <v/>
      </c>
      <c r="T703" s="10" t="str">
        <f aca="false">IF($B703="","",IFERROR(INDEX(Drinks!$D$4:$D$53,MATCH($B703,Drinks!$A$4:$A$53,0)),0))</f>
        <v/>
      </c>
    </row>
    <row r="704" customFormat="false" ht="15" hidden="false" customHeight="false" outlineLevel="0" collapsed="false">
      <c r="A704" s="22"/>
      <c r="B704" s="9"/>
      <c r="C704" s="9"/>
      <c r="D704" s="9"/>
      <c r="E704" s="9"/>
      <c r="F704" s="10" t="str">
        <f aca="false">IF($B704="","",$C704+$D704-$E704)</f>
        <v/>
      </c>
      <c r="G704" s="10" t="str">
        <f aca="false">IF($B704="","",IFERROR(INDEX(Drinks!$C$4:$C$53,MATCH($B704,Drinks!$A$4:$A$53,0)),0))</f>
        <v/>
      </c>
      <c r="H704" s="10" t="str">
        <f aca="false">IF($B704="","",$D704*$G704)</f>
        <v/>
      </c>
      <c r="I704" s="10" t="str">
        <f aca="false">IF($B704="","",$F704*$G704)</f>
        <v/>
      </c>
      <c r="J704" s="9"/>
      <c r="K704" s="10" t="str">
        <f aca="false">IF($B704="","",$E704*IFERROR(INDEX(Drinks!$B$4:$B$53,MATCH($B704,Drinks!$A$4:$A$53,0)),0))</f>
        <v/>
      </c>
      <c r="L704" s="10" t="str">
        <f aca="false">IF($B704="","",$J704+$K704)</f>
        <v/>
      </c>
      <c r="M704" s="9"/>
      <c r="N704" s="10" t="str">
        <f aca="false">IF($B704="","",$L704-$M704)</f>
        <v/>
      </c>
      <c r="O704" s="10" t="str">
        <f aca="false">IF($B704="","",IFERROR(INDEX(Drinks!$E$4:$E$53,MATCH($B704,Drinks!$A$4:$A$53,0)),0))</f>
        <v/>
      </c>
      <c r="P704" s="10" t="str">
        <f aca="false">IF($B704="","",$N704*$O704)</f>
        <v/>
      </c>
      <c r="Q704" s="10" t="str">
        <f aca="false">IF($B704="","",$N704*IFERROR(INDEX(Drinks!$D$4:$D$53,MATCH($B704,Drinks!$A$4:$A$53,0)),0))</f>
        <v/>
      </c>
      <c r="R704" s="10" t="str">
        <f aca="false">IF($B704="","",$P704-$Q704)</f>
        <v/>
      </c>
      <c r="S704" s="23" t="str">
        <f aca="false">IF($B704="","",IF(COUNTIFS($A$4:$A$2003,$A704-1,$B$4:$B$2003,$B704)=0,"first day",IF(SUMIFS($M$4:$M$2003,$A$4:$A$2003,$A704-1,$B$4:$B$2003,$B704)=$J704,"OK","CHECK")))</f>
        <v/>
      </c>
      <c r="T704" s="10" t="str">
        <f aca="false">IF($B704="","",IFERROR(INDEX(Drinks!$D$4:$D$53,MATCH($B704,Drinks!$A$4:$A$53,0)),0))</f>
        <v/>
      </c>
    </row>
    <row r="705" customFormat="false" ht="15" hidden="false" customHeight="false" outlineLevel="0" collapsed="false">
      <c r="A705" s="22"/>
      <c r="B705" s="9"/>
      <c r="C705" s="9"/>
      <c r="D705" s="9"/>
      <c r="E705" s="9"/>
      <c r="F705" s="10" t="str">
        <f aca="false">IF($B705="","",$C705+$D705-$E705)</f>
        <v/>
      </c>
      <c r="G705" s="10" t="str">
        <f aca="false">IF($B705="","",IFERROR(INDEX(Drinks!$C$4:$C$53,MATCH($B705,Drinks!$A$4:$A$53,0)),0))</f>
        <v/>
      </c>
      <c r="H705" s="10" t="str">
        <f aca="false">IF($B705="","",$D705*$G705)</f>
        <v/>
      </c>
      <c r="I705" s="10" t="str">
        <f aca="false">IF($B705="","",$F705*$G705)</f>
        <v/>
      </c>
      <c r="J705" s="9"/>
      <c r="K705" s="10" t="str">
        <f aca="false">IF($B705="","",$E705*IFERROR(INDEX(Drinks!$B$4:$B$53,MATCH($B705,Drinks!$A$4:$A$53,0)),0))</f>
        <v/>
      </c>
      <c r="L705" s="10" t="str">
        <f aca="false">IF($B705="","",$J705+$K705)</f>
        <v/>
      </c>
      <c r="M705" s="9"/>
      <c r="N705" s="10" t="str">
        <f aca="false">IF($B705="","",$L705-$M705)</f>
        <v/>
      </c>
      <c r="O705" s="10" t="str">
        <f aca="false">IF($B705="","",IFERROR(INDEX(Drinks!$E$4:$E$53,MATCH($B705,Drinks!$A$4:$A$53,0)),0))</f>
        <v/>
      </c>
      <c r="P705" s="10" t="str">
        <f aca="false">IF($B705="","",$N705*$O705)</f>
        <v/>
      </c>
      <c r="Q705" s="10" t="str">
        <f aca="false">IF($B705="","",$N705*IFERROR(INDEX(Drinks!$D$4:$D$53,MATCH($B705,Drinks!$A$4:$A$53,0)),0))</f>
        <v/>
      </c>
      <c r="R705" s="10" t="str">
        <f aca="false">IF($B705="","",$P705-$Q705)</f>
        <v/>
      </c>
      <c r="S705" s="23" t="str">
        <f aca="false">IF($B705="","",IF(COUNTIFS($A$4:$A$2003,$A705-1,$B$4:$B$2003,$B705)=0,"first day",IF(SUMIFS($M$4:$M$2003,$A$4:$A$2003,$A705-1,$B$4:$B$2003,$B705)=$J705,"OK","CHECK")))</f>
        <v/>
      </c>
      <c r="T705" s="10" t="str">
        <f aca="false">IF($B705="","",IFERROR(INDEX(Drinks!$D$4:$D$53,MATCH($B705,Drinks!$A$4:$A$53,0)),0))</f>
        <v/>
      </c>
    </row>
    <row r="706" customFormat="false" ht="15" hidden="false" customHeight="false" outlineLevel="0" collapsed="false">
      <c r="A706" s="22"/>
      <c r="B706" s="9"/>
      <c r="C706" s="9"/>
      <c r="D706" s="9"/>
      <c r="E706" s="9"/>
      <c r="F706" s="10" t="str">
        <f aca="false">IF($B706="","",$C706+$D706-$E706)</f>
        <v/>
      </c>
      <c r="G706" s="10" t="str">
        <f aca="false">IF($B706="","",IFERROR(INDEX(Drinks!$C$4:$C$53,MATCH($B706,Drinks!$A$4:$A$53,0)),0))</f>
        <v/>
      </c>
      <c r="H706" s="10" t="str">
        <f aca="false">IF($B706="","",$D706*$G706)</f>
        <v/>
      </c>
      <c r="I706" s="10" t="str">
        <f aca="false">IF($B706="","",$F706*$G706)</f>
        <v/>
      </c>
      <c r="J706" s="9"/>
      <c r="K706" s="10" t="str">
        <f aca="false">IF($B706="","",$E706*IFERROR(INDEX(Drinks!$B$4:$B$53,MATCH($B706,Drinks!$A$4:$A$53,0)),0))</f>
        <v/>
      </c>
      <c r="L706" s="10" t="str">
        <f aca="false">IF($B706="","",$J706+$K706)</f>
        <v/>
      </c>
      <c r="M706" s="9"/>
      <c r="N706" s="10" t="str">
        <f aca="false">IF($B706="","",$L706-$M706)</f>
        <v/>
      </c>
      <c r="O706" s="10" t="str">
        <f aca="false">IF($B706="","",IFERROR(INDEX(Drinks!$E$4:$E$53,MATCH($B706,Drinks!$A$4:$A$53,0)),0))</f>
        <v/>
      </c>
      <c r="P706" s="10" t="str">
        <f aca="false">IF($B706="","",$N706*$O706)</f>
        <v/>
      </c>
      <c r="Q706" s="10" t="str">
        <f aca="false">IF($B706="","",$N706*IFERROR(INDEX(Drinks!$D$4:$D$53,MATCH($B706,Drinks!$A$4:$A$53,0)),0))</f>
        <v/>
      </c>
      <c r="R706" s="10" t="str">
        <f aca="false">IF($B706="","",$P706-$Q706)</f>
        <v/>
      </c>
      <c r="S706" s="23" t="str">
        <f aca="false">IF($B706="","",IF(COUNTIFS($A$4:$A$2003,$A706-1,$B$4:$B$2003,$B706)=0,"first day",IF(SUMIFS($M$4:$M$2003,$A$4:$A$2003,$A706-1,$B$4:$B$2003,$B706)=$J706,"OK","CHECK")))</f>
        <v/>
      </c>
      <c r="T706" s="10" t="str">
        <f aca="false">IF($B706="","",IFERROR(INDEX(Drinks!$D$4:$D$53,MATCH($B706,Drinks!$A$4:$A$53,0)),0))</f>
        <v/>
      </c>
    </row>
    <row r="707" customFormat="false" ht="15" hidden="false" customHeight="false" outlineLevel="0" collapsed="false">
      <c r="A707" s="22"/>
      <c r="B707" s="9"/>
      <c r="C707" s="9"/>
      <c r="D707" s="9"/>
      <c r="E707" s="9"/>
      <c r="F707" s="10" t="str">
        <f aca="false">IF($B707="","",$C707+$D707-$E707)</f>
        <v/>
      </c>
      <c r="G707" s="10" t="str">
        <f aca="false">IF($B707="","",IFERROR(INDEX(Drinks!$C$4:$C$53,MATCH($B707,Drinks!$A$4:$A$53,0)),0))</f>
        <v/>
      </c>
      <c r="H707" s="10" t="str">
        <f aca="false">IF($B707="","",$D707*$G707)</f>
        <v/>
      </c>
      <c r="I707" s="10" t="str">
        <f aca="false">IF($B707="","",$F707*$G707)</f>
        <v/>
      </c>
      <c r="J707" s="9"/>
      <c r="K707" s="10" t="str">
        <f aca="false">IF($B707="","",$E707*IFERROR(INDEX(Drinks!$B$4:$B$53,MATCH($B707,Drinks!$A$4:$A$53,0)),0))</f>
        <v/>
      </c>
      <c r="L707" s="10" t="str">
        <f aca="false">IF($B707="","",$J707+$K707)</f>
        <v/>
      </c>
      <c r="M707" s="9"/>
      <c r="N707" s="10" t="str">
        <f aca="false">IF($B707="","",$L707-$M707)</f>
        <v/>
      </c>
      <c r="O707" s="10" t="str">
        <f aca="false">IF($B707="","",IFERROR(INDEX(Drinks!$E$4:$E$53,MATCH($B707,Drinks!$A$4:$A$53,0)),0))</f>
        <v/>
      </c>
      <c r="P707" s="10" t="str">
        <f aca="false">IF($B707="","",$N707*$O707)</f>
        <v/>
      </c>
      <c r="Q707" s="10" t="str">
        <f aca="false">IF($B707="","",$N707*IFERROR(INDEX(Drinks!$D$4:$D$53,MATCH($B707,Drinks!$A$4:$A$53,0)),0))</f>
        <v/>
      </c>
      <c r="R707" s="10" t="str">
        <f aca="false">IF($B707="","",$P707-$Q707)</f>
        <v/>
      </c>
      <c r="S707" s="23" t="str">
        <f aca="false">IF($B707="","",IF(COUNTIFS($A$4:$A$2003,$A707-1,$B$4:$B$2003,$B707)=0,"first day",IF(SUMIFS($M$4:$M$2003,$A$4:$A$2003,$A707-1,$B$4:$B$2003,$B707)=$J707,"OK","CHECK")))</f>
        <v/>
      </c>
      <c r="T707" s="10" t="str">
        <f aca="false">IF($B707="","",IFERROR(INDEX(Drinks!$D$4:$D$53,MATCH($B707,Drinks!$A$4:$A$53,0)),0))</f>
        <v/>
      </c>
    </row>
    <row r="708" customFormat="false" ht="15" hidden="false" customHeight="false" outlineLevel="0" collapsed="false">
      <c r="A708" s="22"/>
      <c r="B708" s="9"/>
      <c r="C708" s="9"/>
      <c r="D708" s="9"/>
      <c r="E708" s="9"/>
      <c r="F708" s="10" t="str">
        <f aca="false">IF($B708="","",$C708+$D708-$E708)</f>
        <v/>
      </c>
      <c r="G708" s="10" t="str">
        <f aca="false">IF($B708="","",IFERROR(INDEX(Drinks!$C$4:$C$53,MATCH($B708,Drinks!$A$4:$A$53,0)),0))</f>
        <v/>
      </c>
      <c r="H708" s="10" t="str">
        <f aca="false">IF($B708="","",$D708*$G708)</f>
        <v/>
      </c>
      <c r="I708" s="10" t="str">
        <f aca="false">IF($B708="","",$F708*$G708)</f>
        <v/>
      </c>
      <c r="J708" s="9"/>
      <c r="K708" s="10" t="str">
        <f aca="false">IF($B708="","",$E708*IFERROR(INDEX(Drinks!$B$4:$B$53,MATCH($B708,Drinks!$A$4:$A$53,0)),0))</f>
        <v/>
      </c>
      <c r="L708" s="10" t="str">
        <f aca="false">IF($B708="","",$J708+$K708)</f>
        <v/>
      </c>
      <c r="M708" s="9"/>
      <c r="N708" s="10" t="str">
        <f aca="false">IF($B708="","",$L708-$M708)</f>
        <v/>
      </c>
      <c r="O708" s="10" t="str">
        <f aca="false">IF($B708="","",IFERROR(INDEX(Drinks!$E$4:$E$53,MATCH($B708,Drinks!$A$4:$A$53,0)),0))</f>
        <v/>
      </c>
      <c r="P708" s="10" t="str">
        <f aca="false">IF($B708="","",$N708*$O708)</f>
        <v/>
      </c>
      <c r="Q708" s="10" t="str">
        <f aca="false">IF($B708="","",$N708*IFERROR(INDEX(Drinks!$D$4:$D$53,MATCH($B708,Drinks!$A$4:$A$53,0)),0))</f>
        <v/>
      </c>
      <c r="R708" s="10" t="str">
        <f aca="false">IF($B708="","",$P708-$Q708)</f>
        <v/>
      </c>
      <c r="S708" s="23" t="str">
        <f aca="false">IF($B708="","",IF(COUNTIFS($A$4:$A$2003,$A708-1,$B$4:$B$2003,$B708)=0,"first day",IF(SUMIFS($M$4:$M$2003,$A$4:$A$2003,$A708-1,$B$4:$B$2003,$B708)=$J708,"OK","CHECK")))</f>
        <v/>
      </c>
      <c r="T708" s="10" t="str">
        <f aca="false">IF($B708="","",IFERROR(INDEX(Drinks!$D$4:$D$53,MATCH($B708,Drinks!$A$4:$A$53,0)),0))</f>
        <v/>
      </c>
    </row>
    <row r="709" customFormat="false" ht="15" hidden="false" customHeight="false" outlineLevel="0" collapsed="false">
      <c r="A709" s="22"/>
      <c r="B709" s="9"/>
      <c r="C709" s="9"/>
      <c r="D709" s="9"/>
      <c r="E709" s="9"/>
      <c r="F709" s="10" t="str">
        <f aca="false">IF($B709="","",$C709+$D709-$E709)</f>
        <v/>
      </c>
      <c r="G709" s="10" t="str">
        <f aca="false">IF($B709="","",IFERROR(INDEX(Drinks!$C$4:$C$53,MATCH($B709,Drinks!$A$4:$A$53,0)),0))</f>
        <v/>
      </c>
      <c r="H709" s="10" t="str">
        <f aca="false">IF($B709="","",$D709*$G709)</f>
        <v/>
      </c>
      <c r="I709" s="10" t="str">
        <f aca="false">IF($B709="","",$F709*$G709)</f>
        <v/>
      </c>
      <c r="J709" s="9"/>
      <c r="K709" s="10" t="str">
        <f aca="false">IF($B709="","",$E709*IFERROR(INDEX(Drinks!$B$4:$B$53,MATCH($B709,Drinks!$A$4:$A$53,0)),0))</f>
        <v/>
      </c>
      <c r="L709" s="10" t="str">
        <f aca="false">IF($B709="","",$J709+$K709)</f>
        <v/>
      </c>
      <c r="M709" s="9"/>
      <c r="N709" s="10" t="str">
        <f aca="false">IF($B709="","",$L709-$M709)</f>
        <v/>
      </c>
      <c r="O709" s="10" t="str">
        <f aca="false">IF($B709="","",IFERROR(INDEX(Drinks!$E$4:$E$53,MATCH($B709,Drinks!$A$4:$A$53,0)),0))</f>
        <v/>
      </c>
      <c r="P709" s="10" t="str">
        <f aca="false">IF($B709="","",$N709*$O709)</f>
        <v/>
      </c>
      <c r="Q709" s="10" t="str">
        <f aca="false">IF($B709="","",$N709*IFERROR(INDEX(Drinks!$D$4:$D$53,MATCH($B709,Drinks!$A$4:$A$53,0)),0))</f>
        <v/>
      </c>
      <c r="R709" s="10" t="str">
        <f aca="false">IF($B709="","",$P709-$Q709)</f>
        <v/>
      </c>
      <c r="S709" s="23" t="str">
        <f aca="false">IF($B709="","",IF(COUNTIFS($A$4:$A$2003,$A709-1,$B$4:$B$2003,$B709)=0,"first day",IF(SUMIFS($M$4:$M$2003,$A$4:$A$2003,$A709-1,$B$4:$B$2003,$B709)=$J709,"OK","CHECK")))</f>
        <v/>
      </c>
      <c r="T709" s="10" t="str">
        <f aca="false">IF($B709="","",IFERROR(INDEX(Drinks!$D$4:$D$53,MATCH($B709,Drinks!$A$4:$A$53,0)),0))</f>
        <v/>
      </c>
    </row>
    <row r="710" customFormat="false" ht="15" hidden="false" customHeight="false" outlineLevel="0" collapsed="false">
      <c r="A710" s="22"/>
      <c r="B710" s="9"/>
      <c r="C710" s="9"/>
      <c r="D710" s="9"/>
      <c r="E710" s="9"/>
      <c r="F710" s="10" t="str">
        <f aca="false">IF($B710="","",$C710+$D710-$E710)</f>
        <v/>
      </c>
      <c r="G710" s="10" t="str">
        <f aca="false">IF($B710="","",IFERROR(INDEX(Drinks!$C$4:$C$53,MATCH($B710,Drinks!$A$4:$A$53,0)),0))</f>
        <v/>
      </c>
      <c r="H710" s="10" t="str">
        <f aca="false">IF($B710="","",$D710*$G710)</f>
        <v/>
      </c>
      <c r="I710" s="10" t="str">
        <f aca="false">IF($B710="","",$F710*$G710)</f>
        <v/>
      </c>
      <c r="J710" s="9"/>
      <c r="K710" s="10" t="str">
        <f aca="false">IF($B710="","",$E710*IFERROR(INDEX(Drinks!$B$4:$B$53,MATCH($B710,Drinks!$A$4:$A$53,0)),0))</f>
        <v/>
      </c>
      <c r="L710" s="10" t="str">
        <f aca="false">IF($B710="","",$J710+$K710)</f>
        <v/>
      </c>
      <c r="M710" s="9"/>
      <c r="N710" s="10" t="str">
        <f aca="false">IF($B710="","",$L710-$M710)</f>
        <v/>
      </c>
      <c r="O710" s="10" t="str">
        <f aca="false">IF($B710="","",IFERROR(INDEX(Drinks!$E$4:$E$53,MATCH($B710,Drinks!$A$4:$A$53,0)),0))</f>
        <v/>
      </c>
      <c r="P710" s="10" t="str">
        <f aca="false">IF($B710="","",$N710*$O710)</f>
        <v/>
      </c>
      <c r="Q710" s="10" t="str">
        <f aca="false">IF($B710="","",$N710*IFERROR(INDEX(Drinks!$D$4:$D$53,MATCH($B710,Drinks!$A$4:$A$53,0)),0))</f>
        <v/>
      </c>
      <c r="R710" s="10" t="str">
        <f aca="false">IF($B710="","",$P710-$Q710)</f>
        <v/>
      </c>
      <c r="S710" s="23" t="str">
        <f aca="false">IF($B710="","",IF(COUNTIFS($A$4:$A$2003,$A710-1,$B$4:$B$2003,$B710)=0,"first day",IF(SUMIFS($M$4:$M$2003,$A$4:$A$2003,$A710-1,$B$4:$B$2003,$B710)=$J710,"OK","CHECK")))</f>
        <v/>
      </c>
      <c r="T710" s="10" t="str">
        <f aca="false">IF($B710="","",IFERROR(INDEX(Drinks!$D$4:$D$53,MATCH($B710,Drinks!$A$4:$A$53,0)),0))</f>
        <v/>
      </c>
    </row>
    <row r="711" customFormat="false" ht="15" hidden="false" customHeight="false" outlineLevel="0" collapsed="false">
      <c r="A711" s="22"/>
      <c r="B711" s="9"/>
      <c r="C711" s="9"/>
      <c r="D711" s="9"/>
      <c r="E711" s="9"/>
      <c r="F711" s="10" t="str">
        <f aca="false">IF($B711="","",$C711+$D711-$E711)</f>
        <v/>
      </c>
      <c r="G711" s="10" t="str">
        <f aca="false">IF($B711="","",IFERROR(INDEX(Drinks!$C$4:$C$53,MATCH($B711,Drinks!$A$4:$A$53,0)),0))</f>
        <v/>
      </c>
      <c r="H711" s="10" t="str">
        <f aca="false">IF($B711="","",$D711*$G711)</f>
        <v/>
      </c>
      <c r="I711" s="10" t="str">
        <f aca="false">IF($B711="","",$F711*$G711)</f>
        <v/>
      </c>
      <c r="J711" s="9"/>
      <c r="K711" s="10" t="str">
        <f aca="false">IF($B711="","",$E711*IFERROR(INDEX(Drinks!$B$4:$B$53,MATCH($B711,Drinks!$A$4:$A$53,0)),0))</f>
        <v/>
      </c>
      <c r="L711" s="10" t="str">
        <f aca="false">IF($B711="","",$J711+$K711)</f>
        <v/>
      </c>
      <c r="M711" s="9"/>
      <c r="N711" s="10" t="str">
        <f aca="false">IF($B711="","",$L711-$M711)</f>
        <v/>
      </c>
      <c r="O711" s="10" t="str">
        <f aca="false">IF($B711="","",IFERROR(INDEX(Drinks!$E$4:$E$53,MATCH($B711,Drinks!$A$4:$A$53,0)),0))</f>
        <v/>
      </c>
      <c r="P711" s="10" t="str">
        <f aca="false">IF($B711="","",$N711*$O711)</f>
        <v/>
      </c>
      <c r="Q711" s="10" t="str">
        <f aca="false">IF($B711="","",$N711*IFERROR(INDEX(Drinks!$D$4:$D$53,MATCH($B711,Drinks!$A$4:$A$53,0)),0))</f>
        <v/>
      </c>
      <c r="R711" s="10" t="str">
        <f aca="false">IF($B711="","",$P711-$Q711)</f>
        <v/>
      </c>
      <c r="S711" s="23" t="str">
        <f aca="false">IF($B711="","",IF(COUNTIFS($A$4:$A$2003,$A711-1,$B$4:$B$2003,$B711)=0,"first day",IF(SUMIFS($M$4:$M$2003,$A$4:$A$2003,$A711-1,$B$4:$B$2003,$B711)=$J711,"OK","CHECK")))</f>
        <v/>
      </c>
      <c r="T711" s="10" t="str">
        <f aca="false">IF($B711="","",IFERROR(INDEX(Drinks!$D$4:$D$53,MATCH($B711,Drinks!$A$4:$A$53,0)),0))</f>
        <v/>
      </c>
    </row>
    <row r="712" customFormat="false" ht="15" hidden="false" customHeight="false" outlineLevel="0" collapsed="false">
      <c r="A712" s="22"/>
      <c r="B712" s="9"/>
      <c r="C712" s="9"/>
      <c r="D712" s="9"/>
      <c r="E712" s="9"/>
      <c r="F712" s="10" t="str">
        <f aca="false">IF($B712="","",$C712+$D712-$E712)</f>
        <v/>
      </c>
      <c r="G712" s="10" t="str">
        <f aca="false">IF($B712="","",IFERROR(INDEX(Drinks!$C$4:$C$53,MATCH($B712,Drinks!$A$4:$A$53,0)),0))</f>
        <v/>
      </c>
      <c r="H712" s="10" t="str">
        <f aca="false">IF($B712="","",$D712*$G712)</f>
        <v/>
      </c>
      <c r="I712" s="10" t="str">
        <f aca="false">IF($B712="","",$F712*$G712)</f>
        <v/>
      </c>
      <c r="J712" s="9"/>
      <c r="K712" s="10" t="str">
        <f aca="false">IF($B712="","",$E712*IFERROR(INDEX(Drinks!$B$4:$B$53,MATCH($B712,Drinks!$A$4:$A$53,0)),0))</f>
        <v/>
      </c>
      <c r="L712" s="10" t="str">
        <f aca="false">IF($B712="","",$J712+$K712)</f>
        <v/>
      </c>
      <c r="M712" s="9"/>
      <c r="N712" s="10" t="str">
        <f aca="false">IF($B712="","",$L712-$M712)</f>
        <v/>
      </c>
      <c r="O712" s="10" t="str">
        <f aca="false">IF($B712="","",IFERROR(INDEX(Drinks!$E$4:$E$53,MATCH($B712,Drinks!$A$4:$A$53,0)),0))</f>
        <v/>
      </c>
      <c r="P712" s="10" t="str">
        <f aca="false">IF($B712="","",$N712*$O712)</f>
        <v/>
      </c>
      <c r="Q712" s="10" t="str">
        <f aca="false">IF($B712="","",$N712*IFERROR(INDEX(Drinks!$D$4:$D$53,MATCH($B712,Drinks!$A$4:$A$53,0)),0))</f>
        <v/>
      </c>
      <c r="R712" s="10" t="str">
        <f aca="false">IF($B712="","",$P712-$Q712)</f>
        <v/>
      </c>
      <c r="S712" s="23" t="str">
        <f aca="false">IF($B712="","",IF(COUNTIFS($A$4:$A$2003,$A712-1,$B$4:$B$2003,$B712)=0,"first day",IF(SUMIFS($M$4:$M$2003,$A$4:$A$2003,$A712-1,$B$4:$B$2003,$B712)=$J712,"OK","CHECK")))</f>
        <v/>
      </c>
      <c r="T712" s="10" t="str">
        <f aca="false">IF($B712="","",IFERROR(INDEX(Drinks!$D$4:$D$53,MATCH($B712,Drinks!$A$4:$A$53,0)),0))</f>
        <v/>
      </c>
    </row>
    <row r="713" customFormat="false" ht="15" hidden="false" customHeight="false" outlineLevel="0" collapsed="false">
      <c r="A713" s="22"/>
      <c r="B713" s="9"/>
      <c r="C713" s="9"/>
      <c r="D713" s="9"/>
      <c r="E713" s="9"/>
      <c r="F713" s="10" t="str">
        <f aca="false">IF($B713="","",$C713+$D713-$E713)</f>
        <v/>
      </c>
      <c r="G713" s="10" t="str">
        <f aca="false">IF($B713="","",IFERROR(INDEX(Drinks!$C$4:$C$53,MATCH($B713,Drinks!$A$4:$A$53,0)),0))</f>
        <v/>
      </c>
      <c r="H713" s="10" t="str">
        <f aca="false">IF($B713="","",$D713*$G713)</f>
        <v/>
      </c>
      <c r="I713" s="10" t="str">
        <f aca="false">IF($B713="","",$F713*$G713)</f>
        <v/>
      </c>
      <c r="J713" s="9"/>
      <c r="K713" s="10" t="str">
        <f aca="false">IF($B713="","",$E713*IFERROR(INDEX(Drinks!$B$4:$B$53,MATCH($B713,Drinks!$A$4:$A$53,0)),0))</f>
        <v/>
      </c>
      <c r="L713" s="10" t="str">
        <f aca="false">IF($B713="","",$J713+$K713)</f>
        <v/>
      </c>
      <c r="M713" s="9"/>
      <c r="N713" s="10" t="str">
        <f aca="false">IF($B713="","",$L713-$M713)</f>
        <v/>
      </c>
      <c r="O713" s="10" t="str">
        <f aca="false">IF($B713="","",IFERROR(INDEX(Drinks!$E$4:$E$53,MATCH($B713,Drinks!$A$4:$A$53,0)),0))</f>
        <v/>
      </c>
      <c r="P713" s="10" t="str">
        <f aca="false">IF($B713="","",$N713*$O713)</f>
        <v/>
      </c>
      <c r="Q713" s="10" t="str">
        <f aca="false">IF($B713="","",$N713*IFERROR(INDEX(Drinks!$D$4:$D$53,MATCH($B713,Drinks!$A$4:$A$53,0)),0))</f>
        <v/>
      </c>
      <c r="R713" s="10" t="str">
        <f aca="false">IF($B713="","",$P713-$Q713)</f>
        <v/>
      </c>
      <c r="S713" s="23" t="str">
        <f aca="false">IF($B713="","",IF(COUNTIFS($A$4:$A$2003,$A713-1,$B$4:$B$2003,$B713)=0,"first day",IF(SUMIFS($M$4:$M$2003,$A$4:$A$2003,$A713-1,$B$4:$B$2003,$B713)=$J713,"OK","CHECK")))</f>
        <v/>
      </c>
      <c r="T713" s="10" t="str">
        <f aca="false">IF($B713="","",IFERROR(INDEX(Drinks!$D$4:$D$53,MATCH($B713,Drinks!$A$4:$A$53,0)),0))</f>
        <v/>
      </c>
    </row>
    <row r="714" customFormat="false" ht="15" hidden="false" customHeight="false" outlineLevel="0" collapsed="false">
      <c r="A714" s="22"/>
      <c r="B714" s="9"/>
      <c r="C714" s="9"/>
      <c r="D714" s="9"/>
      <c r="E714" s="9"/>
      <c r="F714" s="10" t="str">
        <f aca="false">IF($B714="","",$C714+$D714-$E714)</f>
        <v/>
      </c>
      <c r="G714" s="10" t="str">
        <f aca="false">IF($B714="","",IFERROR(INDEX(Drinks!$C$4:$C$53,MATCH($B714,Drinks!$A$4:$A$53,0)),0))</f>
        <v/>
      </c>
      <c r="H714" s="10" t="str">
        <f aca="false">IF($B714="","",$D714*$G714)</f>
        <v/>
      </c>
      <c r="I714" s="10" t="str">
        <f aca="false">IF($B714="","",$F714*$G714)</f>
        <v/>
      </c>
      <c r="J714" s="9"/>
      <c r="K714" s="10" t="str">
        <f aca="false">IF($B714="","",$E714*IFERROR(INDEX(Drinks!$B$4:$B$53,MATCH($B714,Drinks!$A$4:$A$53,0)),0))</f>
        <v/>
      </c>
      <c r="L714" s="10" t="str">
        <f aca="false">IF($B714="","",$J714+$K714)</f>
        <v/>
      </c>
      <c r="M714" s="9"/>
      <c r="N714" s="10" t="str">
        <f aca="false">IF($B714="","",$L714-$M714)</f>
        <v/>
      </c>
      <c r="O714" s="10" t="str">
        <f aca="false">IF($B714="","",IFERROR(INDEX(Drinks!$E$4:$E$53,MATCH($B714,Drinks!$A$4:$A$53,0)),0))</f>
        <v/>
      </c>
      <c r="P714" s="10" t="str">
        <f aca="false">IF($B714="","",$N714*$O714)</f>
        <v/>
      </c>
      <c r="Q714" s="10" t="str">
        <f aca="false">IF($B714="","",$N714*IFERROR(INDEX(Drinks!$D$4:$D$53,MATCH($B714,Drinks!$A$4:$A$53,0)),0))</f>
        <v/>
      </c>
      <c r="R714" s="10" t="str">
        <f aca="false">IF($B714="","",$P714-$Q714)</f>
        <v/>
      </c>
      <c r="S714" s="23" t="str">
        <f aca="false">IF($B714="","",IF(COUNTIFS($A$4:$A$2003,$A714-1,$B$4:$B$2003,$B714)=0,"first day",IF(SUMIFS($M$4:$M$2003,$A$4:$A$2003,$A714-1,$B$4:$B$2003,$B714)=$J714,"OK","CHECK")))</f>
        <v/>
      </c>
      <c r="T714" s="10" t="str">
        <f aca="false">IF($B714="","",IFERROR(INDEX(Drinks!$D$4:$D$53,MATCH($B714,Drinks!$A$4:$A$53,0)),0))</f>
        <v/>
      </c>
    </row>
    <row r="715" customFormat="false" ht="15" hidden="false" customHeight="false" outlineLevel="0" collapsed="false">
      <c r="A715" s="22"/>
      <c r="B715" s="9"/>
      <c r="C715" s="9"/>
      <c r="D715" s="9"/>
      <c r="E715" s="9"/>
      <c r="F715" s="10" t="str">
        <f aca="false">IF($B715="","",$C715+$D715-$E715)</f>
        <v/>
      </c>
      <c r="G715" s="10" t="str">
        <f aca="false">IF($B715="","",IFERROR(INDEX(Drinks!$C$4:$C$53,MATCH($B715,Drinks!$A$4:$A$53,0)),0))</f>
        <v/>
      </c>
      <c r="H715" s="10" t="str">
        <f aca="false">IF($B715="","",$D715*$G715)</f>
        <v/>
      </c>
      <c r="I715" s="10" t="str">
        <f aca="false">IF($B715="","",$F715*$G715)</f>
        <v/>
      </c>
      <c r="J715" s="9"/>
      <c r="K715" s="10" t="str">
        <f aca="false">IF($B715="","",$E715*IFERROR(INDEX(Drinks!$B$4:$B$53,MATCH($B715,Drinks!$A$4:$A$53,0)),0))</f>
        <v/>
      </c>
      <c r="L715" s="10" t="str">
        <f aca="false">IF($B715="","",$J715+$K715)</f>
        <v/>
      </c>
      <c r="M715" s="9"/>
      <c r="N715" s="10" t="str">
        <f aca="false">IF($B715="","",$L715-$M715)</f>
        <v/>
      </c>
      <c r="O715" s="10" t="str">
        <f aca="false">IF($B715="","",IFERROR(INDEX(Drinks!$E$4:$E$53,MATCH($B715,Drinks!$A$4:$A$53,0)),0))</f>
        <v/>
      </c>
      <c r="P715" s="10" t="str">
        <f aca="false">IF($B715="","",$N715*$O715)</f>
        <v/>
      </c>
      <c r="Q715" s="10" t="str">
        <f aca="false">IF($B715="","",$N715*IFERROR(INDEX(Drinks!$D$4:$D$53,MATCH($B715,Drinks!$A$4:$A$53,0)),0))</f>
        <v/>
      </c>
      <c r="R715" s="10" t="str">
        <f aca="false">IF($B715="","",$P715-$Q715)</f>
        <v/>
      </c>
      <c r="S715" s="23" t="str">
        <f aca="false">IF($B715="","",IF(COUNTIFS($A$4:$A$2003,$A715-1,$B$4:$B$2003,$B715)=0,"first day",IF(SUMIFS($M$4:$M$2003,$A$4:$A$2003,$A715-1,$B$4:$B$2003,$B715)=$J715,"OK","CHECK")))</f>
        <v/>
      </c>
      <c r="T715" s="10" t="str">
        <f aca="false">IF($B715="","",IFERROR(INDEX(Drinks!$D$4:$D$53,MATCH($B715,Drinks!$A$4:$A$53,0)),0))</f>
        <v/>
      </c>
    </row>
    <row r="716" customFormat="false" ht="15" hidden="false" customHeight="false" outlineLevel="0" collapsed="false">
      <c r="A716" s="22"/>
      <c r="B716" s="9"/>
      <c r="C716" s="9"/>
      <c r="D716" s="9"/>
      <c r="E716" s="9"/>
      <c r="F716" s="10" t="str">
        <f aca="false">IF($B716="","",$C716+$D716-$E716)</f>
        <v/>
      </c>
      <c r="G716" s="10" t="str">
        <f aca="false">IF($B716="","",IFERROR(INDEX(Drinks!$C$4:$C$53,MATCH($B716,Drinks!$A$4:$A$53,0)),0))</f>
        <v/>
      </c>
      <c r="H716" s="10" t="str">
        <f aca="false">IF($B716="","",$D716*$G716)</f>
        <v/>
      </c>
      <c r="I716" s="10" t="str">
        <f aca="false">IF($B716="","",$F716*$G716)</f>
        <v/>
      </c>
      <c r="J716" s="9"/>
      <c r="K716" s="10" t="str">
        <f aca="false">IF($B716="","",$E716*IFERROR(INDEX(Drinks!$B$4:$B$53,MATCH($B716,Drinks!$A$4:$A$53,0)),0))</f>
        <v/>
      </c>
      <c r="L716" s="10" t="str">
        <f aca="false">IF($B716="","",$J716+$K716)</f>
        <v/>
      </c>
      <c r="M716" s="9"/>
      <c r="N716" s="10" t="str">
        <f aca="false">IF($B716="","",$L716-$M716)</f>
        <v/>
      </c>
      <c r="O716" s="10" t="str">
        <f aca="false">IF($B716="","",IFERROR(INDEX(Drinks!$E$4:$E$53,MATCH($B716,Drinks!$A$4:$A$53,0)),0))</f>
        <v/>
      </c>
      <c r="P716" s="10" t="str">
        <f aca="false">IF($B716="","",$N716*$O716)</f>
        <v/>
      </c>
      <c r="Q716" s="10" t="str">
        <f aca="false">IF($B716="","",$N716*IFERROR(INDEX(Drinks!$D$4:$D$53,MATCH($B716,Drinks!$A$4:$A$53,0)),0))</f>
        <v/>
      </c>
      <c r="R716" s="10" t="str">
        <f aca="false">IF($B716="","",$P716-$Q716)</f>
        <v/>
      </c>
      <c r="S716" s="23" t="str">
        <f aca="false">IF($B716="","",IF(COUNTIFS($A$4:$A$2003,$A716-1,$B$4:$B$2003,$B716)=0,"first day",IF(SUMIFS($M$4:$M$2003,$A$4:$A$2003,$A716-1,$B$4:$B$2003,$B716)=$J716,"OK","CHECK")))</f>
        <v/>
      </c>
      <c r="T716" s="10" t="str">
        <f aca="false">IF($B716="","",IFERROR(INDEX(Drinks!$D$4:$D$53,MATCH($B716,Drinks!$A$4:$A$53,0)),0))</f>
        <v/>
      </c>
    </row>
    <row r="717" customFormat="false" ht="15" hidden="false" customHeight="false" outlineLevel="0" collapsed="false">
      <c r="A717" s="22"/>
      <c r="B717" s="9"/>
      <c r="C717" s="9"/>
      <c r="D717" s="9"/>
      <c r="E717" s="9"/>
      <c r="F717" s="10" t="str">
        <f aca="false">IF($B717="","",$C717+$D717-$E717)</f>
        <v/>
      </c>
      <c r="G717" s="10" t="str">
        <f aca="false">IF($B717="","",IFERROR(INDEX(Drinks!$C$4:$C$53,MATCH($B717,Drinks!$A$4:$A$53,0)),0))</f>
        <v/>
      </c>
      <c r="H717" s="10" t="str">
        <f aca="false">IF($B717="","",$D717*$G717)</f>
        <v/>
      </c>
      <c r="I717" s="10" t="str">
        <f aca="false">IF($B717="","",$F717*$G717)</f>
        <v/>
      </c>
      <c r="J717" s="9"/>
      <c r="K717" s="10" t="str">
        <f aca="false">IF($B717="","",$E717*IFERROR(INDEX(Drinks!$B$4:$B$53,MATCH($B717,Drinks!$A$4:$A$53,0)),0))</f>
        <v/>
      </c>
      <c r="L717" s="10" t="str">
        <f aca="false">IF($B717="","",$J717+$K717)</f>
        <v/>
      </c>
      <c r="M717" s="9"/>
      <c r="N717" s="10" t="str">
        <f aca="false">IF($B717="","",$L717-$M717)</f>
        <v/>
      </c>
      <c r="O717" s="10" t="str">
        <f aca="false">IF($B717="","",IFERROR(INDEX(Drinks!$E$4:$E$53,MATCH($B717,Drinks!$A$4:$A$53,0)),0))</f>
        <v/>
      </c>
      <c r="P717" s="10" t="str">
        <f aca="false">IF($B717="","",$N717*$O717)</f>
        <v/>
      </c>
      <c r="Q717" s="10" t="str">
        <f aca="false">IF($B717="","",$N717*IFERROR(INDEX(Drinks!$D$4:$D$53,MATCH($B717,Drinks!$A$4:$A$53,0)),0))</f>
        <v/>
      </c>
      <c r="R717" s="10" t="str">
        <f aca="false">IF($B717="","",$P717-$Q717)</f>
        <v/>
      </c>
      <c r="S717" s="23" t="str">
        <f aca="false">IF($B717="","",IF(COUNTIFS($A$4:$A$2003,$A717-1,$B$4:$B$2003,$B717)=0,"first day",IF(SUMIFS($M$4:$M$2003,$A$4:$A$2003,$A717-1,$B$4:$B$2003,$B717)=$J717,"OK","CHECK")))</f>
        <v/>
      </c>
      <c r="T717" s="10" t="str">
        <f aca="false">IF($B717="","",IFERROR(INDEX(Drinks!$D$4:$D$53,MATCH($B717,Drinks!$A$4:$A$53,0)),0))</f>
        <v/>
      </c>
    </row>
    <row r="718" customFormat="false" ht="15" hidden="false" customHeight="false" outlineLevel="0" collapsed="false">
      <c r="A718" s="22"/>
      <c r="B718" s="9"/>
      <c r="C718" s="9"/>
      <c r="D718" s="9"/>
      <c r="E718" s="9"/>
      <c r="F718" s="10" t="str">
        <f aca="false">IF($B718="","",$C718+$D718-$E718)</f>
        <v/>
      </c>
      <c r="G718" s="10" t="str">
        <f aca="false">IF($B718="","",IFERROR(INDEX(Drinks!$C$4:$C$53,MATCH($B718,Drinks!$A$4:$A$53,0)),0))</f>
        <v/>
      </c>
      <c r="H718" s="10" t="str">
        <f aca="false">IF($B718="","",$D718*$G718)</f>
        <v/>
      </c>
      <c r="I718" s="10" t="str">
        <f aca="false">IF($B718="","",$F718*$G718)</f>
        <v/>
      </c>
      <c r="J718" s="9"/>
      <c r="K718" s="10" t="str">
        <f aca="false">IF($B718="","",$E718*IFERROR(INDEX(Drinks!$B$4:$B$53,MATCH($B718,Drinks!$A$4:$A$53,0)),0))</f>
        <v/>
      </c>
      <c r="L718" s="10" t="str">
        <f aca="false">IF($B718="","",$J718+$K718)</f>
        <v/>
      </c>
      <c r="M718" s="9"/>
      <c r="N718" s="10" t="str">
        <f aca="false">IF($B718="","",$L718-$M718)</f>
        <v/>
      </c>
      <c r="O718" s="10" t="str">
        <f aca="false">IF($B718="","",IFERROR(INDEX(Drinks!$E$4:$E$53,MATCH($B718,Drinks!$A$4:$A$53,0)),0))</f>
        <v/>
      </c>
      <c r="P718" s="10" t="str">
        <f aca="false">IF($B718="","",$N718*$O718)</f>
        <v/>
      </c>
      <c r="Q718" s="10" t="str">
        <f aca="false">IF($B718="","",$N718*IFERROR(INDEX(Drinks!$D$4:$D$53,MATCH($B718,Drinks!$A$4:$A$53,0)),0))</f>
        <v/>
      </c>
      <c r="R718" s="10" t="str">
        <f aca="false">IF($B718="","",$P718-$Q718)</f>
        <v/>
      </c>
      <c r="S718" s="23" t="str">
        <f aca="false">IF($B718="","",IF(COUNTIFS($A$4:$A$2003,$A718-1,$B$4:$B$2003,$B718)=0,"first day",IF(SUMIFS($M$4:$M$2003,$A$4:$A$2003,$A718-1,$B$4:$B$2003,$B718)=$J718,"OK","CHECK")))</f>
        <v/>
      </c>
      <c r="T718" s="10" t="str">
        <f aca="false">IF($B718="","",IFERROR(INDEX(Drinks!$D$4:$D$53,MATCH($B718,Drinks!$A$4:$A$53,0)),0))</f>
        <v/>
      </c>
    </row>
    <row r="719" customFormat="false" ht="15" hidden="false" customHeight="false" outlineLevel="0" collapsed="false">
      <c r="A719" s="22"/>
      <c r="B719" s="9"/>
      <c r="C719" s="9"/>
      <c r="D719" s="9"/>
      <c r="E719" s="9"/>
      <c r="F719" s="10" t="str">
        <f aca="false">IF($B719="","",$C719+$D719-$E719)</f>
        <v/>
      </c>
      <c r="G719" s="10" t="str">
        <f aca="false">IF($B719="","",IFERROR(INDEX(Drinks!$C$4:$C$53,MATCH($B719,Drinks!$A$4:$A$53,0)),0))</f>
        <v/>
      </c>
      <c r="H719" s="10" t="str">
        <f aca="false">IF($B719="","",$D719*$G719)</f>
        <v/>
      </c>
      <c r="I719" s="10" t="str">
        <f aca="false">IF($B719="","",$F719*$G719)</f>
        <v/>
      </c>
      <c r="J719" s="9"/>
      <c r="K719" s="10" t="str">
        <f aca="false">IF($B719="","",$E719*IFERROR(INDEX(Drinks!$B$4:$B$53,MATCH($B719,Drinks!$A$4:$A$53,0)),0))</f>
        <v/>
      </c>
      <c r="L719" s="10" t="str">
        <f aca="false">IF($B719="","",$J719+$K719)</f>
        <v/>
      </c>
      <c r="M719" s="9"/>
      <c r="N719" s="10" t="str">
        <f aca="false">IF($B719="","",$L719-$M719)</f>
        <v/>
      </c>
      <c r="O719" s="10" t="str">
        <f aca="false">IF($B719="","",IFERROR(INDEX(Drinks!$E$4:$E$53,MATCH($B719,Drinks!$A$4:$A$53,0)),0))</f>
        <v/>
      </c>
      <c r="P719" s="10" t="str">
        <f aca="false">IF($B719="","",$N719*$O719)</f>
        <v/>
      </c>
      <c r="Q719" s="10" t="str">
        <f aca="false">IF($B719="","",$N719*IFERROR(INDEX(Drinks!$D$4:$D$53,MATCH($B719,Drinks!$A$4:$A$53,0)),0))</f>
        <v/>
      </c>
      <c r="R719" s="10" t="str">
        <f aca="false">IF($B719="","",$P719-$Q719)</f>
        <v/>
      </c>
      <c r="S719" s="23" t="str">
        <f aca="false">IF($B719="","",IF(COUNTIFS($A$4:$A$2003,$A719-1,$B$4:$B$2003,$B719)=0,"first day",IF(SUMIFS($M$4:$M$2003,$A$4:$A$2003,$A719-1,$B$4:$B$2003,$B719)=$J719,"OK","CHECK")))</f>
        <v/>
      </c>
      <c r="T719" s="10" t="str">
        <f aca="false">IF($B719="","",IFERROR(INDEX(Drinks!$D$4:$D$53,MATCH($B719,Drinks!$A$4:$A$53,0)),0))</f>
        <v/>
      </c>
    </row>
    <row r="720" customFormat="false" ht="15" hidden="false" customHeight="false" outlineLevel="0" collapsed="false">
      <c r="A720" s="22"/>
      <c r="B720" s="9"/>
      <c r="C720" s="9"/>
      <c r="D720" s="9"/>
      <c r="E720" s="9"/>
      <c r="F720" s="10" t="str">
        <f aca="false">IF($B720="","",$C720+$D720-$E720)</f>
        <v/>
      </c>
      <c r="G720" s="10" t="str">
        <f aca="false">IF($B720="","",IFERROR(INDEX(Drinks!$C$4:$C$53,MATCH($B720,Drinks!$A$4:$A$53,0)),0))</f>
        <v/>
      </c>
      <c r="H720" s="10" t="str">
        <f aca="false">IF($B720="","",$D720*$G720)</f>
        <v/>
      </c>
      <c r="I720" s="10" t="str">
        <f aca="false">IF($B720="","",$F720*$G720)</f>
        <v/>
      </c>
      <c r="J720" s="9"/>
      <c r="K720" s="10" t="str">
        <f aca="false">IF($B720="","",$E720*IFERROR(INDEX(Drinks!$B$4:$B$53,MATCH($B720,Drinks!$A$4:$A$53,0)),0))</f>
        <v/>
      </c>
      <c r="L720" s="10" t="str">
        <f aca="false">IF($B720="","",$J720+$K720)</f>
        <v/>
      </c>
      <c r="M720" s="9"/>
      <c r="N720" s="10" t="str">
        <f aca="false">IF($B720="","",$L720-$M720)</f>
        <v/>
      </c>
      <c r="O720" s="10" t="str">
        <f aca="false">IF($B720="","",IFERROR(INDEX(Drinks!$E$4:$E$53,MATCH($B720,Drinks!$A$4:$A$53,0)),0))</f>
        <v/>
      </c>
      <c r="P720" s="10" t="str">
        <f aca="false">IF($B720="","",$N720*$O720)</f>
        <v/>
      </c>
      <c r="Q720" s="10" t="str">
        <f aca="false">IF($B720="","",$N720*IFERROR(INDEX(Drinks!$D$4:$D$53,MATCH($B720,Drinks!$A$4:$A$53,0)),0))</f>
        <v/>
      </c>
      <c r="R720" s="10" t="str">
        <f aca="false">IF($B720="","",$P720-$Q720)</f>
        <v/>
      </c>
      <c r="S720" s="23" t="str">
        <f aca="false">IF($B720="","",IF(COUNTIFS($A$4:$A$2003,$A720-1,$B$4:$B$2003,$B720)=0,"first day",IF(SUMIFS($M$4:$M$2003,$A$4:$A$2003,$A720-1,$B$4:$B$2003,$B720)=$J720,"OK","CHECK")))</f>
        <v/>
      </c>
      <c r="T720" s="10" t="str">
        <f aca="false">IF($B720="","",IFERROR(INDEX(Drinks!$D$4:$D$53,MATCH($B720,Drinks!$A$4:$A$53,0)),0))</f>
        <v/>
      </c>
    </row>
    <row r="721" customFormat="false" ht="15" hidden="false" customHeight="false" outlineLevel="0" collapsed="false">
      <c r="A721" s="22"/>
      <c r="B721" s="9"/>
      <c r="C721" s="9"/>
      <c r="D721" s="9"/>
      <c r="E721" s="9"/>
      <c r="F721" s="10" t="str">
        <f aca="false">IF($B721="","",$C721+$D721-$E721)</f>
        <v/>
      </c>
      <c r="G721" s="10" t="str">
        <f aca="false">IF($B721="","",IFERROR(INDEX(Drinks!$C$4:$C$53,MATCH($B721,Drinks!$A$4:$A$53,0)),0))</f>
        <v/>
      </c>
      <c r="H721" s="10" t="str">
        <f aca="false">IF($B721="","",$D721*$G721)</f>
        <v/>
      </c>
      <c r="I721" s="10" t="str">
        <f aca="false">IF($B721="","",$F721*$G721)</f>
        <v/>
      </c>
      <c r="J721" s="9"/>
      <c r="K721" s="10" t="str">
        <f aca="false">IF($B721="","",$E721*IFERROR(INDEX(Drinks!$B$4:$B$53,MATCH($B721,Drinks!$A$4:$A$53,0)),0))</f>
        <v/>
      </c>
      <c r="L721" s="10" t="str">
        <f aca="false">IF($B721="","",$J721+$K721)</f>
        <v/>
      </c>
      <c r="M721" s="9"/>
      <c r="N721" s="10" t="str">
        <f aca="false">IF($B721="","",$L721-$M721)</f>
        <v/>
      </c>
      <c r="O721" s="10" t="str">
        <f aca="false">IF($B721="","",IFERROR(INDEX(Drinks!$E$4:$E$53,MATCH($B721,Drinks!$A$4:$A$53,0)),0))</f>
        <v/>
      </c>
      <c r="P721" s="10" t="str">
        <f aca="false">IF($B721="","",$N721*$O721)</f>
        <v/>
      </c>
      <c r="Q721" s="10" t="str">
        <f aca="false">IF($B721="","",$N721*IFERROR(INDEX(Drinks!$D$4:$D$53,MATCH($B721,Drinks!$A$4:$A$53,0)),0))</f>
        <v/>
      </c>
      <c r="R721" s="10" t="str">
        <f aca="false">IF($B721="","",$P721-$Q721)</f>
        <v/>
      </c>
      <c r="S721" s="23" t="str">
        <f aca="false">IF($B721="","",IF(COUNTIFS($A$4:$A$2003,$A721-1,$B$4:$B$2003,$B721)=0,"first day",IF(SUMIFS($M$4:$M$2003,$A$4:$A$2003,$A721-1,$B$4:$B$2003,$B721)=$J721,"OK","CHECK")))</f>
        <v/>
      </c>
      <c r="T721" s="10" t="str">
        <f aca="false">IF($B721="","",IFERROR(INDEX(Drinks!$D$4:$D$53,MATCH($B721,Drinks!$A$4:$A$53,0)),0))</f>
        <v/>
      </c>
    </row>
    <row r="722" customFormat="false" ht="15" hidden="false" customHeight="false" outlineLevel="0" collapsed="false">
      <c r="A722" s="22"/>
      <c r="B722" s="9"/>
      <c r="C722" s="9"/>
      <c r="D722" s="9"/>
      <c r="E722" s="9"/>
      <c r="F722" s="10" t="str">
        <f aca="false">IF($B722="","",$C722+$D722-$E722)</f>
        <v/>
      </c>
      <c r="G722" s="10" t="str">
        <f aca="false">IF($B722="","",IFERROR(INDEX(Drinks!$C$4:$C$53,MATCH($B722,Drinks!$A$4:$A$53,0)),0))</f>
        <v/>
      </c>
      <c r="H722" s="10" t="str">
        <f aca="false">IF($B722="","",$D722*$G722)</f>
        <v/>
      </c>
      <c r="I722" s="10" t="str">
        <f aca="false">IF($B722="","",$F722*$G722)</f>
        <v/>
      </c>
      <c r="J722" s="9"/>
      <c r="K722" s="10" t="str">
        <f aca="false">IF($B722="","",$E722*IFERROR(INDEX(Drinks!$B$4:$B$53,MATCH($B722,Drinks!$A$4:$A$53,0)),0))</f>
        <v/>
      </c>
      <c r="L722" s="10" t="str">
        <f aca="false">IF($B722="","",$J722+$K722)</f>
        <v/>
      </c>
      <c r="M722" s="9"/>
      <c r="N722" s="10" t="str">
        <f aca="false">IF($B722="","",$L722-$M722)</f>
        <v/>
      </c>
      <c r="O722" s="10" t="str">
        <f aca="false">IF($B722="","",IFERROR(INDEX(Drinks!$E$4:$E$53,MATCH($B722,Drinks!$A$4:$A$53,0)),0))</f>
        <v/>
      </c>
      <c r="P722" s="10" t="str">
        <f aca="false">IF($B722="","",$N722*$O722)</f>
        <v/>
      </c>
      <c r="Q722" s="10" t="str">
        <f aca="false">IF($B722="","",$N722*IFERROR(INDEX(Drinks!$D$4:$D$53,MATCH($B722,Drinks!$A$4:$A$53,0)),0))</f>
        <v/>
      </c>
      <c r="R722" s="10" t="str">
        <f aca="false">IF($B722="","",$P722-$Q722)</f>
        <v/>
      </c>
      <c r="S722" s="23" t="str">
        <f aca="false">IF($B722="","",IF(COUNTIFS($A$4:$A$2003,$A722-1,$B$4:$B$2003,$B722)=0,"first day",IF(SUMIFS($M$4:$M$2003,$A$4:$A$2003,$A722-1,$B$4:$B$2003,$B722)=$J722,"OK","CHECK")))</f>
        <v/>
      </c>
      <c r="T722" s="10" t="str">
        <f aca="false">IF($B722="","",IFERROR(INDEX(Drinks!$D$4:$D$53,MATCH($B722,Drinks!$A$4:$A$53,0)),0))</f>
        <v/>
      </c>
    </row>
    <row r="723" customFormat="false" ht="15" hidden="false" customHeight="false" outlineLevel="0" collapsed="false">
      <c r="A723" s="22"/>
      <c r="B723" s="9"/>
      <c r="C723" s="9"/>
      <c r="D723" s="9"/>
      <c r="E723" s="9"/>
      <c r="F723" s="10" t="str">
        <f aca="false">IF($B723="","",$C723+$D723-$E723)</f>
        <v/>
      </c>
      <c r="G723" s="10" t="str">
        <f aca="false">IF($B723="","",IFERROR(INDEX(Drinks!$C$4:$C$53,MATCH($B723,Drinks!$A$4:$A$53,0)),0))</f>
        <v/>
      </c>
      <c r="H723" s="10" t="str">
        <f aca="false">IF($B723="","",$D723*$G723)</f>
        <v/>
      </c>
      <c r="I723" s="10" t="str">
        <f aca="false">IF($B723="","",$F723*$G723)</f>
        <v/>
      </c>
      <c r="J723" s="9"/>
      <c r="K723" s="10" t="str">
        <f aca="false">IF($B723="","",$E723*IFERROR(INDEX(Drinks!$B$4:$B$53,MATCH($B723,Drinks!$A$4:$A$53,0)),0))</f>
        <v/>
      </c>
      <c r="L723" s="10" t="str">
        <f aca="false">IF($B723="","",$J723+$K723)</f>
        <v/>
      </c>
      <c r="M723" s="9"/>
      <c r="N723" s="10" t="str">
        <f aca="false">IF($B723="","",$L723-$M723)</f>
        <v/>
      </c>
      <c r="O723" s="10" t="str">
        <f aca="false">IF($B723="","",IFERROR(INDEX(Drinks!$E$4:$E$53,MATCH($B723,Drinks!$A$4:$A$53,0)),0))</f>
        <v/>
      </c>
      <c r="P723" s="10" t="str">
        <f aca="false">IF($B723="","",$N723*$O723)</f>
        <v/>
      </c>
      <c r="Q723" s="10" t="str">
        <f aca="false">IF($B723="","",$N723*IFERROR(INDEX(Drinks!$D$4:$D$53,MATCH($B723,Drinks!$A$4:$A$53,0)),0))</f>
        <v/>
      </c>
      <c r="R723" s="10" t="str">
        <f aca="false">IF($B723="","",$P723-$Q723)</f>
        <v/>
      </c>
      <c r="S723" s="23" t="str">
        <f aca="false">IF($B723="","",IF(COUNTIFS($A$4:$A$2003,$A723-1,$B$4:$B$2003,$B723)=0,"first day",IF(SUMIFS($M$4:$M$2003,$A$4:$A$2003,$A723-1,$B$4:$B$2003,$B723)=$J723,"OK","CHECK")))</f>
        <v/>
      </c>
      <c r="T723" s="10" t="str">
        <f aca="false">IF($B723="","",IFERROR(INDEX(Drinks!$D$4:$D$53,MATCH($B723,Drinks!$A$4:$A$53,0)),0))</f>
        <v/>
      </c>
    </row>
    <row r="724" customFormat="false" ht="15" hidden="false" customHeight="false" outlineLevel="0" collapsed="false">
      <c r="A724" s="22"/>
      <c r="B724" s="9"/>
      <c r="C724" s="9"/>
      <c r="D724" s="9"/>
      <c r="E724" s="9"/>
      <c r="F724" s="10" t="str">
        <f aca="false">IF($B724="","",$C724+$D724-$E724)</f>
        <v/>
      </c>
      <c r="G724" s="10" t="str">
        <f aca="false">IF($B724="","",IFERROR(INDEX(Drinks!$C$4:$C$53,MATCH($B724,Drinks!$A$4:$A$53,0)),0))</f>
        <v/>
      </c>
      <c r="H724" s="10" t="str">
        <f aca="false">IF($B724="","",$D724*$G724)</f>
        <v/>
      </c>
      <c r="I724" s="10" t="str">
        <f aca="false">IF($B724="","",$F724*$G724)</f>
        <v/>
      </c>
      <c r="J724" s="9"/>
      <c r="K724" s="10" t="str">
        <f aca="false">IF($B724="","",$E724*IFERROR(INDEX(Drinks!$B$4:$B$53,MATCH($B724,Drinks!$A$4:$A$53,0)),0))</f>
        <v/>
      </c>
      <c r="L724" s="10" t="str">
        <f aca="false">IF($B724="","",$J724+$K724)</f>
        <v/>
      </c>
      <c r="M724" s="9"/>
      <c r="N724" s="10" t="str">
        <f aca="false">IF($B724="","",$L724-$M724)</f>
        <v/>
      </c>
      <c r="O724" s="10" t="str">
        <f aca="false">IF($B724="","",IFERROR(INDEX(Drinks!$E$4:$E$53,MATCH($B724,Drinks!$A$4:$A$53,0)),0))</f>
        <v/>
      </c>
      <c r="P724" s="10" t="str">
        <f aca="false">IF($B724="","",$N724*$O724)</f>
        <v/>
      </c>
      <c r="Q724" s="10" t="str">
        <f aca="false">IF($B724="","",$N724*IFERROR(INDEX(Drinks!$D$4:$D$53,MATCH($B724,Drinks!$A$4:$A$53,0)),0))</f>
        <v/>
      </c>
      <c r="R724" s="10" t="str">
        <f aca="false">IF($B724="","",$P724-$Q724)</f>
        <v/>
      </c>
      <c r="S724" s="23" t="str">
        <f aca="false">IF($B724="","",IF(COUNTIFS($A$4:$A$2003,$A724-1,$B$4:$B$2003,$B724)=0,"first day",IF(SUMIFS($M$4:$M$2003,$A$4:$A$2003,$A724-1,$B$4:$B$2003,$B724)=$J724,"OK","CHECK")))</f>
        <v/>
      </c>
      <c r="T724" s="10" t="str">
        <f aca="false">IF($B724="","",IFERROR(INDEX(Drinks!$D$4:$D$53,MATCH($B724,Drinks!$A$4:$A$53,0)),0))</f>
        <v/>
      </c>
    </row>
    <row r="725" customFormat="false" ht="15" hidden="false" customHeight="false" outlineLevel="0" collapsed="false">
      <c r="A725" s="22"/>
      <c r="B725" s="9"/>
      <c r="C725" s="9"/>
      <c r="D725" s="9"/>
      <c r="E725" s="9"/>
      <c r="F725" s="10" t="str">
        <f aca="false">IF($B725="","",$C725+$D725-$E725)</f>
        <v/>
      </c>
      <c r="G725" s="10" t="str">
        <f aca="false">IF($B725="","",IFERROR(INDEX(Drinks!$C$4:$C$53,MATCH($B725,Drinks!$A$4:$A$53,0)),0))</f>
        <v/>
      </c>
      <c r="H725" s="10" t="str">
        <f aca="false">IF($B725="","",$D725*$G725)</f>
        <v/>
      </c>
      <c r="I725" s="10" t="str">
        <f aca="false">IF($B725="","",$F725*$G725)</f>
        <v/>
      </c>
      <c r="J725" s="9"/>
      <c r="K725" s="10" t="str">
        <f aca="false">IF($B725="","",$E725*IFERROR(INDEX(Drinks!$B$4:$B$53,MATCH($B725,Drinks!$A$4:$A$53,0)),0))</f>
        <v/>
      </c>
      <c r="L725" s="10" t="str">
        <f aca="false">IF($B725="","",$J725+$K725)</f>
        <v/>
      </c>
      <c r="M725" s="9"/>
      <c r="N725" s="10" t="str">
        <f aca="false">IF($B725="","",$L725-$M725)</f>
        <v/>
      </c>
      <c r="O725" s="10" t="str">
        <f aca="false">IF($B725="","",IFERROR(INDEX(Drinks!$E$4:$E$53,MATCH($B725,Drinks!$A$4:$A$53,0)),0))</f>
        <v/>
      </c>
      <c r="P725" s="10" t="str">
        <f aca="false">IF($B725="","",$N725*$O725)</f>
        <v/>
      </c>
      <c r="Q725" s="10" t="str">
        <f aca="false">IF($B725="","",$N725*IFERROR(INDEX(Drinks!$D$4:$D$53,MATCH($B725,Drinks!$A$4:$A$53,0)),0))</f>
        <v/>
      </c>
      <c r="R725" s="10" t="str">
        <f aca="false">IF($B725="","",$P725-$Q725)</f>
        <v/>
      </c>
      <c r="S725" s="23" t="str">
        <f aca="false">IF($B725="","",IF(COUNTIFS($A$4:$A$2003,$A725-1,$B$4:$B$2003,$B725)=0,"first day",IF(SUMIFS($M$4:$M$2003,$A$4:$A$2003,$A725-1,$B$4:$B$2003,$B725)=$J725,"OK","CHECK")))</f>
        <v/>
      </c>
      <c r="T725" s="10" t="str">
        <f aca="false">IF($B725="","",IFERROR(INDEX(Drinks!$D$4:$D$53,MATCH($B725,Drinks!$A$4:$A$53,0)),0))</f>
        <v/>
      </c>
    </row>
    <row r="726" customFormat="false" ht="15" hidden="false" customHeight="false" outlineLevel="0" collapsed="false">
      <c r="A726" s="22"/>
      <c r="B726" s="9"/>
      <c r="C726" s="9"/>
      <c r="D726" s="9"/>
      <c r="E726" s="9"/>
      <c r="F726" s="10" t="str">
        <f aca="false">IF($B726="","",$C726+$D726-$E726)</f>
        <v/>
      </c>
      <c r="G726" s="10" t="str">
        <f aca="false">IF($B726="","",IFERROR(INDEX(Drinks!$C$4:$C$53,MATCH($B726,Drinks!$A$4:$A$53,0)),0))</f>
        <v/>
      </c>
      <c r="H726" s="10" t="str">
        <f aca="false">IF($B726="","",$D726*$G726)</f>
        <v/>
      </c>
      <c r="I726" s="10" t="str">
        <f aca="false">IF($B726="","",$F726*$G726)</f>
        <v/>
      </c>
      <c r="J726" s="9"/>
      <c r="K726" s="10" t="str">
        <f aca="false">IF($B726="","",$E726*IFERROR(INDEX(Drinks!$B$4:$B$53,MATCH($B726,Drinks!$A$4:$A$53,0)),0))</f>
        <v/>
      </c>
      <c r="L726" s="10" t="str">
        <f aca="false">IF($B726="","",$J726+$K726)</f>
        <v/>
      </c>
      <c r="M726" s="9"/>
      <c r="N726" s="10" t="str">
        <f aca="false">IF($B726="","",$L726-$M726)</f>
        <v/>
      </c>
      <c r="O726" s="10" t="str">
        <f aca="false">IF($B726="","",IFERROR(INDEX(Drinks!$E$4:$E$53,MATCH($B726,Drinks!$A$4:$A$53,0)),0))</f>
        <v/>
      </c>
      <c r="P726" s="10" t="str">
        <f aca="false">IF($B726="","",$N726*$O726)</f>
        <v/>
      </c>
      <c r="Q726" s="10" t="str">
        <f aca="false">IF($B726="","",$N726*IFERROR(INDEX(Drinks!$D$4:$D$53,MATCH($B726,Drinks!$A$4:$A$53,0)),0))</f>
        <v/>
      </c>
      <c r="R726" s="10" t="str">
        <f aca="false">IF($B726="","",$P726-$Q726)</f>
        <v/>
      </c>
      <c r="S726" s="23" t="str">
        <f aca="false">IF($B726="","",IF(COUNTIFS($A$4:$A$2003,$A726-1,$B$4:$B$2003,$B726)=0,"first day",IF(SUMIFS($M$4:$M$2003,$A$4:$A$2003,$A726-1,$B$4:$B$2003,$B726)=$J726,"OK","CHECK")))</f>
        <v/>
      </c>
      <c r="T726" s="10" t="str">
        <f aca="false">IF($B726="","",IFERROR(INDEX(Drinks!$D$4:$D$53,MATCH($B726,Drinks!$A$4:$A$53,0)),0))</f>
        <v/>
      </c>
    </row>
    <row r="727" customFormat="false" ht="15" hidden="false" customHeight="false" outlineLevel="0" collapsed="false">
      <c r="A727" s="22"/>
      <c r="B727" s="9"/>
      <c r="C727" s="9"/>
      <c r="D727" s="9"/>
      <c r="E727" s="9"/>
      <c r="F727" s="10" t="str">
        <f aca="false">IF($B727="","",$C727+$D727-$E727)</f>
        <v/>
      </c>
      <c r="G727" s="10" t="str">
        <f aca="false">IF($B727="","",IFERROR(INDEX(Drinks!$C$4:$C$53,MATCH($B727,Drinks!$A$4:$A$53,0)),0))</f>
        <v/>
      </c>
      <c r="H727" s="10" t="str">
        <f aca="false">IF($B727="","",$D727*$G727)</f>
        <v/>
      </c>
      <c r="I727" s="10" t="str">
        <f aca="false">IF($B727="","",$F727*$G727)</f>
        <v/>
      </c>
      <c r="J727" s="9"/>
      <c r="K727" s="10" t="str">
        <f aca="false">IF($B727="","",$E727*IFERROR(INDEX(Drinks!$B$4:$B$53,MATCH($B727,Drinks!$A$4:$A$53,0)),0))</f>
        <v/>
      </c>
      <c r="L727" s="10" t="str">
        <f aca="false">IF($B727="","",$J727+$K727)</f>
        <v/>
      </c>
      <c r="M727" s="9"/>
      <c r="N727" s="10" t="str">
        <f aca="false">IF($B727="","",$L727-$M727)</f>
        <v/>
      </c>
      <c r="O727" s="10" t="str">
        <f aca="false">IF($B727="","",IFERROR(INDEX(Drinks!$E$4:$E$53,MATCH($B727,Drinks!$A$4:$A$53,0)),0))</f>
        <v/>
      </c>
      <c r="P727" s="10" t="str">
        <f aca="false">IF($B727="","",$N727*$O727)</f>
        <v/>
      </c>
      <c r="Q727" s="10" t="str">
        <f aca="false">IF($B727="","",$N727*IFERROR(INDEX(Drinks!$D$4:$D$53,MATCH($B727,Drinks!$A$4:$A$53,0)),0))</f>
        <v/>
      </c>
      <c r="R727" s="10" t="str">
        <f aca="false">IF($B727="","",$P727-$Q727)</f>
        <v/>
      </c>
      <c r="S727" s="23" t="str">
        <f aca="false">IF($B727="","",IF(COUNTIFS($A$4:$A$2003,$A727-1,$B$4:$B$2003,$B727)=0,"first day",IF(SUMIFS($M$4:$M$2003,$A$4:$A$2003,$A727-1,$B$4:$B$2003,$B727)=$J727,"OK","CHECK")))</f>
        <v/>
      </c>
      <c r="T727" s="10" t="str">
        <f aca="false">IF($B727="","",IFERROR(INDEX(Drinks!$D$4:$D$53,MATCH($B727,Drinks!$A$4:$A$53,0)),0))</f>
        <v/>
      </c>
    </row>
    <row r="728" customFormat="false" ht="15" hidden="false" customHeight="false" outlineLevel="0" collapsed="false">
      <c r="A728" s="22"/>
      <c r="B728" s="9"/>
      <c r="C728" s="9"/>
      <c r="D728" s="9"/>
      <c r="E728" s="9"/>
      <c r="F728" s="10" t="str">
        <f aca="false">IF($B728="","",$C728+$D728-$E728)</f>
        <v/>
      </c>
      <c r="G728" s="10" t="str">
        <f aca="false">IF($B728="","",IFERROR(INDEX(Drinks!$C$4:$C$53,MATCH($B728,Drinks!$A$4:$A$53,0)),0))</f>
        <v/>
      </c>
      <c r="H728" s="10" t="str">
        <f aca="false">IF($B728="","",$D728*$G728)</f>
        <v/>
      </c>
      <c r="I728" s="10" t="str">
        <f aca="false">IF($B728="","",$F728*$G728)</f>
        <v/>
      </c>
      <c r="J728" s="9"/>
      <c r="K728" s="10" t="str">
        <f aca="false">IF($B728="","",$E728*IFERROR(INDEX(Drinks!$B$4:$B$53,MATCH($B728,Drinks!$A$4:$A$53,0)),0))</f>
        <v/>
      </c>
      <c r="L728" s="10" t="str">
        <f aca="false">IF($B728="","",$J728+$K728)</f>
        <v/>
      </c>
      <c r="M728" s="9"/>
      <c r="N728" s="10" t="str">
        <f aca="false">IF($B728="","",$L728-$M728)</f>
        <v/>
      </c>
      <c r="O728" s="10" t="str">
        <f aca="false">IF($B728="","",IFERROR(INDEX(Drinks!$E$4:$E$53,MATCH($B728,Drinks!$A$4:$A$53,0)),0))</f>
        <v/>
      </c>
      <c r="P728" s="10" t="str">
        <f aca="false">IF($B728="","",$N728*$O728)</f>
        <v/>
      </c>
      <c r="Q728" s="10" t="str">
        <f aca="false">IF($B728="","",$N728*IFERROR(INDEX(Drinks!$D$4:$D$53,MATCH($B728,Drinks!$A$4:$A$53,0)),0))</f>
        <v/>
      </c>
      <c r="R728" s="10" t="str">
        <f aca="false">IF($B728="","",$P728-$Q728)</f>
        <v/>
      </c>
      <c r="S728" s="23" t="str">
        <f aca="false">IF($B728="","",IF(COUNTIFS($A$4:$A$2003,$A728-1,$B$4:$B$2003,$B728)=0,"first day",IF(SUMIFS($M$4:$M$2003,$A$4:$A$2003,$A728-1,$B$4:$B$2003,$B728)=$J728,"OK","CHECK")))</f>
        <v/>
      </c>
      <c r="T728" s="10" t="str">
        <f aca="false">IF($B728="","",IFERROR(INDEX(Drinks!$D$4:$D$53,MATCH($B728,Drinks!$A$4:$A$53,0)),0))</f>
        <v/>
      </c>
    </row>
    <row r="729" customFormat="false" ht="15" hidden="false" customHeight="false" outlineLevel="0" collapsed="false">
      <c r="A729" s="22"/>
      <c r="B729" s="9"/>
      <c r="C729" s="9"/>
      <c r="D729" s="9"/>
      <c r="E729" s="9"/>
      <c r="F729" s="10" t="str">
        <f aca="false">IF($B729="","",$C729+$D729-$E729)</f>
        <v/>
      </c>
      <c r="G729" s="10" t="str">
        <f aca="false">IF($B729="","",IFERROR(INDEX(Drinks!$C$4:$C$53,MATCH($B729,Drinks!$A$4:$A$53,0)),0))</f>
        <v/>
      </c>
      <c r="H729" s="10" t="str">
        <f aca="false">IF($B729="","",$D729*$G729)</f>
        <v/>
      </c>
      <c r="I729" s="10" t="str">
        <f aca="false">IF($B729="","",$F729*$G729)</f>
        <v/>
      </c>
      <c r="J729" s="9"/>
      <c r="K729" s="10" t="str">
        <f aca="false">IF($B729="","",$E729*IFERROR(INDEX(Drinks!$B$4:$B$53,MATCH($B729,Drinks!$A$4:$A$53,0)),0))</f>
        <v/>
      </c>
      <c r="L729" s="10" t="str">
        <f aca="false">IF($B729="","",$J729+$K729)</f>
        <v/>
      </c>
      <c r="M729" s="9"/>
      <c r="N729" s="10" t="str">
        <f aca="false">IF($B729="","",$L729-$M729)</f>
        <v/>
      </c>
      <c r="O729" s="10" t="str">
        <f aca="false">IF($B729="","",IFERROR(INDEX(Drinks!$E$4:$E$53,MATCH($B729,Drinks!$A$4:$A$53,0)),0))</f>
        <v/>
      </c>
      <c r="P729" s="10" t="str">
        <f aca="false">IF($B729="","",$N729*$O729)</f>
        <v/>
      </c>
      <c r="Q729" s="10" t="str">
        <f aca="false">IF($B729="","",$N729*IFERROR(INDEX(Drinks!$D$4:$D$53,MATCH($B729,Drinks!$A$4:$A$53,0)),0))</f>
        <v/>
      </c>
      <c r="R729" s="10" t="str">
        <f aca="false">IF($B729="","",$P729-$Q729)</f>
        <v/>
      </c>
      <c r="S729" s="23" t="str">
        <f aca="false">IF($B729="","",IF(COUNTIFS($A$4:$A$2003,$A729-1,$B$4:$B$2003,$B729)=0,"first day",IF(SUMIFS($M$4:$M$2003,$A$4:$A$2003,$A729-1,$B$4:$B$2003,$B729)=$J729,"OK","CHECK")))</f>
        <v/>
      </c>
      <c r="T729" s="10" t="str">
        <f aca="false">IF($B729="","",IFERROR(INDEX(Drinks!$D$4:$D$53,MATCH($B729,Drinks!$A$4:$A$53,0)),0))</f>
        <v/>
      </c>
    </row>
    <row r="730" customFormat="false" ht="15" hidden="false" customHeight="false" outlineLevel="0" collapsed="false">
      <c r="A730" s="22"/>
      <c r="B730" s="9"/>
      <c r="C730" s="9"/>
      <c r="D730" s="9"/>
      <c r="E730" s="9"/>
      <c r="F730" s="10" t="str">
        <f aca="false">IF($B730="","",$C730+$D730-$E730)</f>
        <v/>
      </c>
      <c r="G730" s="10" t="str">
        <f aca="false">IF($B730="","",IFERROR(INDEX(Drinks!$C$4:$C$53,MATCH($B730,Drinks!$A$4:$A$53,0)),0))</f>
        <v/>
      </c>
      <c r="H730" s="10" t="str">
        <f aca="false">IF($B730="","",$D730*$G730)</f>
        <v/>
      </c>
      <c r="I730" s="10" t="str">
        <f aca="false">IF($B730="","",$F730*$G730)</f>
        <v/>
      </c>
      <c r="J730" s="9"/>
      <c r="K730" s="10" t="str">
        <f aca="false">IF($B730="","",$E730*IFERROR(INDEX(Drinks!$B$4:$B$53,MATCH($B730,Drinks!$A$4:$A$53,0)),0))</f>
        <v/>
      </c>
      <c r="L730" s="10" t="str">
        <f aca="false">IF($B730="","",$J730+$K730)</f>
        <v/>
      </c>
      <c r="M730" s="9"/>
      <c r="N730" s="10" t="str">
        <f aca="false">IF($B730="","",$L730-$M730)</f>
        <v/>
      </c>
      <c r="O730" s="10" t="str">
        <f aca="false">IF($B730="","",IFERROR(INDEX(Drinks!$E$4:$E$53,MATCH($B730,Drinks!$A$4:$A$53,0)),0))</f>
        <v/>
      </c>
      <c r="P730" s="10" t="str">
        <f aca="false">IF($B730="","",$N730*$O730)</f>
        <v/>
      </c>
      <c r="Q730" s="10" t="str">
        <f aca="false">IF($B730="","",$N730*IFERROR(INDEX(Drinks!$D$4:$D$53,MATCH($B730,Drinks!$A$4:$A$53,0)),0))</f>
        <v/>
      </c>
      <c r="R730" s="10" t="str">
        <f aca="false">IF($B730="","",$P730-$Q730)</f>
        <v/>
      </c>
      <c r="S730" s="23" t="str">
        <f aca="false">IF($B730="","",IF(COUNTIFS($A$4:$A$2003,$A730-1,$B$4:$B$2003,$B730)=0,"first day",IF(SUMIFS($M$4:$M$2003,$A$4:$A$2003,$A730-1,$B$4:$B$2003,$B730)=$J730,"OK","CHECK")))</f>
        <v/>
      </c>
      <c r="T730" s="10" t="str">
        <f aca="false">IF($B730="","",IFERROR(INDEX(Drinks!$D$4:$D$53,MATCH($B730,Drinks!$A$4:$A$53,0)),0))</f>
        <v/>
      </c>
    </row>
    <row r="731" customFormat="false" ht="15" hidden="false" customHeight="false" outlineLevel="0" collapsed="false">
      <c r="A731" s="22"/>
      <c r="B731" s="9"/>
      <c r="C731" s="9"/>
      <c r="D731" s="9"/>
      <c r="E731" s="9"/>
      <c r="F731" s="10" t="str">
        <f aca="false">IF($B731="","",$C731+$D731-$E731)</f>
        <v/>
      </c>
      <c r="G731" s="10" t="str">
        <f aca="false">IF($B731="","",IFERROR(INDEX(Drinks!$C$4:$C$53,MATCH($B731,Drinks!$A$4:$A$53,0)),0))</f>
        <v/>
      </c>
      <c r="H731" s="10" t="str">
        <f aca="false">IF($B731="","",$D731*$G731)</f>
        <v/>
      </c>
      <c r="I731" s="10" t="str">
        <f aca="false">IF($B731="","",$F731*$G731)</f>
        <v/>
      </c>
      <c r="J731" s="9"/>
      <c r="K731" s="10" t="str">
        <f aca="false">IF($B731="","",$E731*IFERROR(INDEX(Drinks!$B$4:$B$53,MATCH($B731,Drinks!$A$4:$A$53,0)),0))</f>
        <v/>
      </c>
      <c r="L731" s="10" t="str">
        <f aca="false">IF($B731="","",$J731+$K731)</f>
        <v/>
      </c>
      <c r="M731" s="9"/>
      <c r="N731" s="10" t="str">
        <f aca="false">IF($B731="","",$L731-$M731)</f>
        <v/>
      </c>
      <c r="O731" s="10" t="str">
        <f aca="false">IF($B731="","",IFERROR(INDEX(Drinks!$E$4:$E$53,MATCH($B731,Drinks!$A$4:$A$53,0)),0))</f>
        <v/>
      </c>
      <c r="P731" s="10" t="str">
        <f aca="false">IF($B731="","",$N731*$O731)</f>
        <v/>
      </c>
      <c r="Q731" s="10" t="str">
        <f aca="false">IF($B731="","",$N731*IFERROR(INDEX(Drinks!$D$4:$D$53,MATCH($B731,Drinks!$A$4:$A$53,0)),0))</f>
        <v/>
      </c>
      <c r="R731" s="10" t="str">
        <f aca="false">IF($B731="","",$P731-$Q731)</f>
        <v/>
      </c>
      <c r="S731" s="23" t="str">
        <f aca="false">IF($B731="","",IF(COUNTIFS($A$4:$A$2003,$A731-1,$B$4:$B$2003,$B731)=0,"first day",IF(SUMIFS($M$4:$M$2003,$A$4:$A$2003,$A731-1,$B$4:$B$2003,$B731)=$J731,"OK","CHECK")))</f>
        <v/>
      </c>
      <c r="T731" s="10" t="str">
        <f aca="false">IF($B731="","",IFERROR(INDEX(Drinks!$D$4:$D$53,MATCH($B731,Drinks!$A$4:$A$53,0)),0))</f>
        <v/>
      </c>
    </row>
    <row r="732" customFormat="false" ht="15" hidden="false" customHeight="false" outlineLevel="0" collapsed="false">
      <c r="A732" s="22"/>
      <c r="B732" s="9"/>
      <c r="C732" s="9"/>
      <c r="D732" s="9"/>
      <c r="E732" s="9"/>
      <c r="F732" s="10" t="str">
        <f aca="false">IF($B732="","",$C732+$D732-$E732)</f>
        <v/>
      </c>
      <c r="G732" s="10" t="str">
        <f aca="false">IF($B732="","",IFERROR(INDEX(Drinks!$C$4:$C$53,MATCH($B732,Drinks!$A$4:$A$53,0)),0))</f>
        <v/>
      </c>
      <c r="H732" s="10" t="str">
        <f aca="false">IF($B732="","",$D732*$G732)</f>
        <v/>
      </c>
      <c r="I732" s="10" t="str">
        <f aca="false">IF($B732="","",$F732*$G732)</f>
        <v/>
      </c>
      <c r="J732" s="9"/>
      <c r="K732" s="10" t="str">
        <f aca="false">IF($B732="","",$E732*IFERROR(INDEX(Drinks!$B$4:$B$53,MATCH($B732,Drinks!$A$4:$A$53,0)),0))</f>
        <v/>
      </c>
      <c r="L732" s="10" t="str">
        <f aca="false">IF($B732="","",$J732+$K732)</f>
        <v/>
      </c>
      <c r="M732" s="9"/>
      <c r="N732" s="10" t="str">
        <f aca="false">IF($B732="","",$L732-$M732)</f>
        <v/>
      </c>
      <c r="O732" s="10" t="str">
        <f aca="false">IF($B732="","",IFERROR(INDEX(Drinks!$E$4:$E$53,MATCH($B732,Drinks!$A$4:$A$53,0)),0))</f>
        <v/>
      </c>
      <c r="P732" s="10" t="str">
        <f aca="false">IF($B732="","",$N732*$O732)</f>
        <v/>
      </c>
      <c r="Q732" s="10" t="str">
        <f aca="false">IF($B732="","",$N732*IFERROR(INDEX(Drinks!$D$4:$D$53,MATCH($B732,Drinks!$A$4:$A$53,0)),0))</f>
        <v/>
      </c>
      <c r="R732" s="10" t="str">
        <f aca="false">IF($B732="","",$P732-$Q732)</f>
        <v/>
      </c>
      <c r="S732" s="23" t="str">
        <f aca="false">IF($B732="","",IF(COUNTIFS($A$4:$A$2003,$A732-1,$B$4:$B$2003,$B732)=0,"first day",IF(SUMIFS($M$4:$M$2003,$A$4:$A$2003,$A732-1,$B$4:$B$2003,$B732)=$J732,"OK","CHECK")))</f>
        <v/>
      </c>
      <c r="T732" s="10" t="str">
        <f aca="false">IF($B732="","",IFERROR(INDEX(Drinks!$D$4:$D$53,MATCH($B732,Drinks!$A$4:$A$53,0)),0))</f>
        <v/>
      </c>
    </row>
    <row r="733" customFormat="false" ht="15" hidden="false" customHeight="false" outlineLevel="0" collapsed="false">
      <c r="A733" s="22"/>
      <c r="B733" s="9"/>
      <c r="C733" s="9"/>
      <c r="D733" s="9"/>
      <c r="E733" s="9"/>
      <c r="F733" s="10" t="str">
        <f aca="false">IF($B733="","",$C733+$D733-$E733)</f>
        <v/>
      </c>
      <c r="G733" s="10" t="str">
        <f aca="false">IF($B733="","",IFERROR(INDEX(Drinks!$C$4:$C$53,MATCH($B733,Drinks!$A$4:$A$53,0)),0))</f>
        <v/>
      </c>
      <c r="H733" s="10" t="str">
        <f aca="false">IF($B733="","",$D733*$G733)</f>
        <v/>
      </c>
      <c r="I733" s="10" t="str">
        <f aca="false">IF($B733="","",$F733*$G733)</f>
        <v/>
      </c>
      <c r="J733" s="9"/>
      <c r="K733" s="10" t="str">
        <f aca="false">IF($B733="","",$E733*IFERROR(INDEX(Drinks!$B$4:$B$53,MATCH($B733,Drinks!$A$4:$A$53,0)),0))</f>
        <v/>
      </c>
      <c r="L733" s="10" t="str">
        <f aca="false">IF($B733="","",$J733+$K733)</f>
        <v/>
      </c>
      <c r="M733" s="9"/>
      <c r="N733" s="10" t="str">
        <f aca="false">IF($B733="","",$L733-$M733)</f>
        <v/>
      </c>
      <c r="O733" s="10" t="str">
        <f aca="false">IF($B733="","",IFERROR(INDEX(Drinks!$E$4:$E$53,MATCH($B733,Drinks!$A$4:$A$53,0)),0))</f>
        <v/>
      </c>
      <c r="P733" s="10" t="str">
        <f aca="false">IF($B733="","",$N733*$O733)</f>
        <v/>
      </c>
      <c r="Q733" s="10" t="str">
        <f aca="false">IF($B733="","",$N733*IFERROR(INDEX(Drinks!$D$4:$D$53,MATCH($B733,Drinks!$A$4:$A$53,0)),0))</f>
        <v/>
      </c>
      <c r="R733" s="10" t="str">
        <f aca="false">IF($B733="","",$P733-$Q733)</f>
        <v/>
      </c>
      <c r="S733" s="23" t="str">
        <f aca="false">IF($B733="","",IF(COUNTIFS($A$4:$A$2003,$A733-1,$B$4:$B$2003,$B733)=0,"first day",IF(SUMIFS($M$4:$M$2003,$A$4:$A$2003,$A733-1,$B$4:$B$2003,$B733)=$J733,"OK","CHECK")))</f>
        <v/>
      </c>
      <c r="T733" s="10" t="str">
        <f aca="false">IF($B733="","",IFERROR(INDEX(Drinks!$D$4:$D$53,MATCH($B733,Drinks!$A$4:$A$53,0)),0))</f>
        <v/>
      </c>
    </row>
    <row r="734" customFormat="false" ht="15" hidden="false" customHeight="false" outlineLevel="0" collapsed="false">
      <c r="A734" s="22"/>
      <c r="B734" s="9"/>
      <c r="C734" s="9"/>
      <c r="D734" s="9"/>
      <c r="E734" s="9"/>
      <c r="F734" s="10" t="str">
        <f aca="false">IF($B734="","",$C734+$D734-$E734)</f>
        <v/>
      </c>
      <c r="G734" s="10" t="str">
        <f aca="false">IF($B734="","",IFERROR(INDEX(Drinks!$C$4:$C$53,MATCH($B734,Drinks!$A$4:$A$53,0)),0))</f>
        <v/>
      </c>
      <c r="H734" s="10" t="str">
        <f aca="false">IF($B734="","",$D734*$G734)</f>
        <v/>
      </c>
      <c r="I734" s="10" t="str">
        <f aca="false">IF($B734="","",$F734*$G734)</f>
        <v/>
      </c>
      <c r="J734" s="9"/>
      <c r="K734" s="10" t="str">
        <f aca="false">IF($B734="","",$E734*IFERROR(INDEX(Drinks!$B$4:$B$53,MATCH($B734,Drinks!$A$4:$A$53,0)),0))</f>
        <v/>
      </c>
      <c r="L734" s="10" t="str">
        <f aca="false">IF($B734="","",$J734+$K734)</f>
        <v/>
      </c>
      <c r="M734" s="9"/>
      <c r="N734" s="10" t="str">
        <f aca="false">IF($B734="","",$L734-$M734)</f>
        <v/>
      </c>
      <c r="O734" s="10" t="str">
        <f aca="false">IF($B734="","",IFERROR(INDEX(Drinks!$E$4:$E$53,MATCH($B734,Drinks!$A$4:$A$53,0)),0))</f>
        <v/>
      </c>
      <c r="P734" s="10" t="str">
        <f aca="false">IF($B734="","",$N734*$O734)</f>
        <v/>
      </c>
      <c r="Q734" s="10" t="str">
        <f aca="false">IF($B734="","",$N734*IFERROR(INDEX(Drinks!$D$4:$D$53,MATCH($B734,Drinks!$A$4:$A$53,0)),0))</f>
        <v/>
      </c>
      <c r="R734" s="10" t="str">
        <f aca="false">IF($B734="","",$P734-$Q734)</f>
        <v/>
      </c>
      <c r="S734" s="23" t="str">
        <f aca="false">IF($B734="","",IF(COUNTIFS($A$4:$A$2003,$A734-1,$B$4:$B$2003,$B734)=0,"first day",IF(SUMIFS($M$4:$M$2003,$A$4:$A$2003,$A734-1,$B$4:$B$2003,$B734)=$J734,"OK","CHECK")))</f>
        <v/>
      </c>
      <c r="T734" s="10" t="str">
        <f aca="false">IF($B734="","",IFERROR(INDEX(Drinks!$D$4:$D$53,MATCH($B734,Drinks!$A$4:$A$53,0)),0))</f>
        <v/>
      </c>
    </row>
    <row r="735" customFormat="false" ht="15" hidden="false" customHeight="false" outlineLevel="0" collapsed="false">
      <c r="A735" s="22"/>
      <c r="B735" s="9"/>
      <c r="C735" s="9"/>
      <c r="D735" s="9"/>
      <c r="E735" s="9"/>
      <c r="F735" s="10" t="str">
        <f aca="false">IF($B735="","",$C735+$D735-$E735)</f>
        <v/>
      </c>
      <c r="G735" s="10" t="str">
        <f aca="false">IF($B735="","",IFERROR(INDEX(Drinks!$C$4:$C$53,MATCH($B735,Drinks!$A$4:$A$53,0)),0))</f>
        <v/>
      </c>
      <c r="H735" s="10" t="str">
        <f aca="false">IF($B735="","",$D735*$G735)</f>
        <v/>
      </c>
      <c r="I735" s="10" t="str">
        <f aca="false">IF($B735="","",$F735*$G735)</f>
        <v/>
      </c>
      <c r="J735" s="9"/>
      <c r="K735" s="10" t="str">
        <f aca="false">IF($B735="","",$E735*IFERROR(INDEX(Drinks!$B$4:$B$53,MATCH($B735,Drinks!$A$4:$A$53,0)),0))</f>
        <v/>
      </c>
      <c r="L735" s="10" t="str">
        <f aca="false">IF($B735="","",$J735+$K735)</f>
        <v/>
      </c>
      <c r="M735" s="9"/>
      <c r="N735" s="10" t="str">
        <f aca="false">IF($B735="","",$L735-$M735)</f>
        <v/>
      </c>
      <c r="O735" s="10" t="str">
        <f aca="false">IF($B735="","",IFERROR(INDEX(Drinks!$E$4:$E$53,MATCH($B735,Drinks!$A$4:$A$53,0)),0))</f>
        <v/>
      </c>
      <c r="P735" s="10" t="str">
        <f aca="false">IF($B735="","",$N735*$O735)</f>
        <v/>
      </c>
      <c r="Q735" s="10" t="str">
        <f aca="false">IF($B735="","",$N735*IFERROR(INDEX(Drinks!$D$4:$D$53,MATCH($B735,Drinks!$A$4:$A$53,0)),0))</f>
        <v/>
      </c>
      <c r="R735" s="10" t="str">
        <f aca="false">IF($B735="","",$P735-$Q735)</f>
        <v/>
      </c>
      <c r="S735" s="23" t="str">
        <f aca="false">IF($B735="","",IF(COUNTIFS($A$4:$A$2003,$A735-1,$B$4:$B$2003,$B735)=0,"first day",IF(SUMIFS($M$4:$M$2003,$A$4:$A$2003,$A735-1,$B$4:$B$2003,$B735)=$J735,"OK","CHECK")))</f>
        <v/>
      </c>
      <c r="T735" s="10" t="str">
        <f aca="false">IF($B735="","",IFERROR(INDEX(Drinks!$D$4:$D$53,MATCH($B735,Drinks!$A$4:$A$53,0)),0))</f>
        <v/>
      </c>
    </row>
    <row r="736" customFormat="false" ht="15" hidden="false" customHeight="false" outlineLevel="0" collapsed="false">
      <c r="A736" s="22"/>
      <c r="B736" s="9"/>
      <c r="C736" s="9"/>
      <c r="D736" s="9"/>
      <c r="E736" s="9"/>
      <c r="F736" s="10" t="str">
        <f aca="false">IF($B736="","",$C736+$D736-$E736)</f>
        <v/>
      </c>
      <c r="G736" s="10" t="str">
        <f aca="false">IF($B736="","",IFERROR(INDEX(Drinks!$C$4:$C$53,MATCH($B736,Drinks!$A$4:$A$53,0)),0))</f>
        <v/>
      </c>
      <c r="H736" s="10" t="str">
        <f aca="false">IF($B736="","",$D736*$G736)</f>
        <v/>
      </c>
      <c r="I736" s="10" t="str">
        <f aca="false">IF($B736="","",$F736*$G736)</f>
        <v/>
      </c>
      <c r="J736" s="9"/>
      <c r="K736" s="10" t="str">
        <f aca="false">IF($B736="","",$E736*IFERROR(INDEX(Drinks!$B$4:$B$53,MATCH($B736,Drinks!$A$4:$A$53,0)),0))</f>
        <v/>
      </c>
      <c r="L736" s="10" t="str">
        <f aca="false">IF($B736="","",$J736+$K736)</f>
        <v/>
      </c>
      <c r="M736" s="9"/>
      <c r="N736" s="10" t="str">
        <f aca="false">IF($B736="","",$L736-$M736)</f>
        <v/>
      </c>
      <c r="O736" s="10" t="str">
        <f aca="false">IF($B736="","",IFERROR(INDEX(Drinks!$E$4:$E$53,MATCH($B736,Drinks!$A$4:$A$53,0)),0))</f>
        <v/>
      </c>
      <c r="P736" s="10" t="str">
        <f aca="false">IF($B736="","",$N736*$O736)</f>
        <v/>
      </c>
      <c r="Q736" s="10" t="str">
        <f aca="false">IF($B736="","",$N736*IFERROR(INDEX(Drinks!$D$4:$D$53,MATCH($B736,Drinks!$A$4:$A$53,0)),0))</f>
        <v/>
      </c>
      <c r="R736" s="10" t="str">
        <f aca="false">IF($B736="","",$P736-$Q736)</f>
        <v/>
      </c>
      <c r="S736" s="23" t="str">
        <f aca="false">IF($B736="","",IF(COUNTIFS($A$4:$A$2003,$A736-1,$B$4:$B$2003,$B736)=0,"first day",IF(SUMIFS($M$4:$M$2003,$A$4:$A$2003,$A736-1,$B$4:$B$2003,$B736)=$J736,"OK","CHECK")))</f>
        <v/>
      </c>
      <c r="T736" s="10" t="str">
        <f aca="false">IF($B736="","",IFERROR(INDEX(Drinks!$D$4:$D$53,MATCH($B736,Drinks!$A$4:$A$53,0)),0))</f>
        <v/>
      </c>
    </row>
    <row r="737" customFormat="false" ht="15" hidden="false" customHeight="false" outlineLevel="0" collapsed="false">
      <c r="A737" s="22"/>
      <c r="B737" s="9"/>
      <c r="C737" s="9"/>
      <c r="D737" s="9"/>
      <c r="E737" s="9"/>
      <c r="F737" s="10" t="str">
        <f aca="false">IF($B737="","",$C737+$D737-$E737)</f>
        <v/>
      </c>
      <c r="G737" s="10" t="str">
        <f aca="false">IF($B737="","",IFERROR(INDEX(Drinks!$C$4:$C$53,MATCH($B737,Drinks!$A$4:$A$53,0)),0))</f>
        <v/>
      </c>
      <c r="H737" s="10" t="str">
        <f aca="false">IF($B737="","",$D737*$G737)</f>
        <v/>
      </c>
      <c r="I737" s="10" t="str">
        <f aca="false">IF($B737="","",$F737*$G737)</f>
        <v/>
      </c>
      <c r="J737" s="9"/>
      <c r="K737" s="10" t="str">
        <f aca="false">IF($B737="","",$E737*IFERROR(INDEX(Drinks!$B$4:$B$53,MATCH($B737,Drinks!$A$4:$A$53,0)),0))</f>
        <v/>
      </c>
      <c r="L737" s="10" t="str">
        <f aca="false">IF($B737="","",$J737+$K737)</f>
        <v/>
      </c>
      <c r="M737" s="9"/>
      <c r="N737" s="10" t="str">
        <f aca="false">IF($B737="","",$L737-$M737)</f>
        <v/>
      </c>
      <c r="O737" s="10" t="str">
        <f aca="false">IF($B737="","",IFERROR(INDEX(Drinks!$E$4:$E$53,MATCH($B737,Drinks!$A$4:$A$53,0)),0))</f>
        <v/>
      </c>
      <c r="P737" s="10" t="str">
        <f aca="false">IF($B737="","",$N737*$O737)</f>
        <v/>
      </c>
      <c r="Q737" s="10" t="str">
        <f aca="false">IF($B737="","",$N737*IFERROR(INDEX(Drinks!$D$4:$D$53,MATCH($B737,Drinks!$A$4:$A$53,0)),0))</f>
        <v/>
      </c>
      <c r="R737" s="10" t="str">
        <f aca="false">IF($B737="","",$P737-$Q737)</f>
        <v/>
      </c>
      <c r="S737" s="23" t="str">
        <f aca="false">IF($B737="","",IF(COUNTIFS($A$4:$A$2003,$A737-1,$B$4:$B$2003,$B737)=0,"first day",IF(SUMIFS($M$4:$M$2003,$A$4:$A$2003,$A737-1,$B$4:$B$2003,$B737)=$J737,"OK","CHECK")))</f>
        <v/>
      </c>
      <c r="T737" s="10" t="str">
        <f aca="false">IF($B737="","",IFERROR(INDEX(Drinks!$D$4:$D$53,MATCH($B737,Drinks!$A$4:$A$53,0)),0))</f>
        <v/>
      </c>
    </row>
    <row r="738" customFormat="false" ht="15" hidden="false" customHeight="false" outlineLevel="0" collapsed="false">
      <c r="A738" s="22"/>
      <c r="B738" s="9"/>
      <c r="C738" s="9"/>
      <c r="D738" s="9"/>
      <c r="E738" s="9"/>
      <c r="F738" s="10" t="str">
        <f aca="false">IF($B738="","",$C738+$D738-$E738)</f>
        <v/>
      </c>
      <c r="G738" s="10" t="str">
        <f aca="false">IF($B738="","",IFERROR(INDEX(Drinks!$C$4:$C$53,MATCH($B738,Drinks!$A$4:$A$53,0)),0))</f>
        <v/>
      </c>
      <c r="H738" s="10" t="str">
        <f aca="false">IF($B738="","",$D738*$G738)</f>
        <v/>
      </c>
      <c r="I738" s="10" t="str">
        <f aca="false">IF($B738="","",$F738*$G738)</f>
        <v/>
      </c>
      <c r="J738" s="9"/>
      <c r="K738" s="10" t="str">
        <f aca="false">IF($B738="","",$E738*IFERROR(INDEX(Drinks!$B$4:$B$53,MATCH($B738,Drinks!$A$4:$A$53,0)),0))</f>
        <v/>
      </c>
      <c r="L738" s="10" t="str">
        <f aca="false">IF($B738="","",$J738+$K738)</f>
        <v/>
      </c>
      <c r="M738" s="9"/>
      <c r="N738" s="10" t="str">
        <f aca="false">IF($B738="","",$L738-$M738)</f>
        <v/>
      </c>
      <c r="O738" s="10" t="str">
        <f aca="false">IF($B738="","",IFERROR(INDEX(Drinks!$E$4:$E$53,MATCH($B738,Drinks!$A$4:$A$53,0)),0))</f>
        <v/>
      </c>
      <c r="P738" s="10" t="str">
        <f aca="false">IF($B738="","",$N738*$O738)</f>
        <v/>
      </c>
      <c r="Q738" s="10" t="str">
        <f aca="false">IF($B738="","",$N738*IFERROR(INDEX(Drinks!$D$4:$D$53,MATCH($B738,Drinks!$A$4:$A$53,0)),0))</f>
        <v/>
      </c>
      <c r="R738" s="10" t="str">
        <f aca="false">IF($B738="","",$P738-$Q738)</f>
        <v/>
      </c>
      <c r="S738" s="23" t="str">
        <f aca="false">IF($B738="","",IF(COUNTIFS($A$4:$A$2003,$A738-1,$B$4:$B$2003,$B738)=0,"first day",IF(SUMIFS($M$4:$M$2003,$A$4:$A$2003,$A738-1,$B$4:$B$2003,$B738)=$J738,"OK","CHECK")))</f>
        <v/>
      </c>
      <c r="T738" s="10" t="str">
        <f aca="false">IF($B738="","",IFERROR(INDEX(Drinks!$D$4:$D$53,MATCH($B738,Drinks!$A$4:$A$53,0)),0))</f>
        <v/>
      </c>
    </row>
    <row r="739" customFormat="false" ht="15" hidden="false" customHeight="false" outlineLevel="0" collapsed="false">
      <c r="A739" s="22"/>
      <c r="B739" s="9"/>
      <c r="C739" s="9"/>
      <c r="D739" s="9"/>
      <c r="E739" s="9"/>
      <c r="F739" s="10" t="str">
        <f aca="false">IF($B739="","",$C739+$D739-$E739)</f>
        <v/>
      </c>
      <c r="G739" s="10" t="str">
        <f aca="false">IF($B739="","",IFERROR(INDEX(Drinks!$C$4:$C$53,MATCH($B739,Drinks!$A$4:$A$53,0)),0))</f>
        <v/>
      </c>
      <c r="H739" s="10" t="str">
        <f aca="false">IF($B739="","",$D739*$G739)</f>
        <v/>
      </c>
      <c r="I739" s="10" t="str">
        <f aca="false">IF($B739="","",$F739*$G739)</f>
        <v/>
      </c>
      <c r="J739" s="9"/>
      <c r="K739" s="10" t="str">
        <f aca="false">IF($B739="","",$E739*IFERROR(INDEX(Drinks!$B$4:$B$53,MATCH($B739,Drinks!$A$4:$A$53,0)),0))</f>
        <v/>
      </c>
      <c r="L739" s="10" t="str">
        <f aca="false">IF($B739="","",$J739+$K739)</f>
        <v/>
      </c>
      <c r="M739" s="9"/>
      <c r="N739" s="10" t="str">
        <f aca="false">IF($B739="","",$L739-$M739)</f>
        <v/>
      </c>
      <c r="O739" s="10" t="str">
        <f aca="false">IF($B739="","",IFERROR(INDEX(Drinks!$E$4:$E$53,MATCH($B739,Drinks!$A$4:$A$53,0)),0))</f>
        <v/>
      </c>
      <c r="P739" s="10" t="str">
        <f aca="false">IF($B739="","",$N739*$O739)</f>
        <v/>
      </c>
      <c r="Q739" s="10" t="str">
        <f aca="false">IF($B739="","",$N739*IFERROR(INDEX(Drinks!$D$4:$D$53,MATCH($B739,Drinks!$A$4:$A$53,0)),0))</f>
        <v/>
      </c>
      <c r="R739" s="10" t="str">
        <f aca="false">IF($B739="","",$P739-$Q739)</f>
        <v/>
      </c>
      <c r="S739" s="23" t="str">
        <f aca="false">IF($B739="","",IF(COUNTIFS($A$4:$A$2003,$A739-1,$B$4:$B$2003,$B739)=0,"first day",IF(SUMIFS($M$4:$M$2003,$A$4:$A$2003,$A739-1,$B$4:$B$2003,$B739)=$J739,"OK","CHECK")))</f>
        <v/>
      </c>
      <c r="T739" s="10" t="str">
        <f aca="false">IF($B739="","",IFERROR(INDEX(Drinks!$D$4:$D$53,MATCH($B739,Drinks!$A$4:$A$53,0)),0))</f>
        <v/>
      </c>
    </row>
    <row r="740" customFormat="false" ht="15" hidden="false" customHeight="false" outlineLevel="0" collapsed="false">
      <c r="A740" s="22"/>
      <c r="B740" s="9"/>
      <c r="C740" s="9"/>
      <c r="D740" s="9"/>
      <c r="E740" s="9"/>
      <c r="F740" s="10" t="str">
        <f aca="false">IF($B740="","",$C740+$D740-$E740)</f>
        <v/>
      </c>
      <c r="G740" s="10" t="str">
        <f aca="false">IF($B740="","",IFERROR(INDEX(Drinks!$C$4:$C$53,MATCH($B740,Drinks!$A$4:$A$53,0)),0))</f>
        <v/>
      </c>
      <c r="H740" s="10" t="str">
        <f aca="false">IF($B740="","",$D740*$G740)</f>
        <v/>
      </c>
      <c r="I740" s="10" t="str">
        <f aca="false">IF($B740="","",$F740*$G740)</f>
        <v/>
      </c>
      <c r="J740" s="9"/>
      <c r="K740" s="10" t="str">
        <f aca="false">IF($B740="","",$E740*IFERROR(INDEX(Drinks!$B$4:$B$53,MATCH($B740,Drinks!$A$4:$A$53,0)),0))</f>
        <v/>
      </c>
      <c r="L740" s="10" t="str">
        <f aca="false">IF($B740="","",$J740+$K740)</f>
        <v/>
      </c>
      <c r="M740" s="9"/>
      <c r="N740" s="10" t="str">
        <f aca="false">IF($B740="","",$L740-$M740)</f>
        <v/>
      </c>
      <c r="O740" s="10" t="str">
        <f aca="false">IF($B740="","",IFERROR(INDEX(Drinks!$E$4:$E$53,MATCH($B740,Drinks!$A$4:$A$53,0)),0))</f>
        <v/>
      </c>
      <c r="P740" s="10" t="str">
        <f aca="false">IF($B740="","",$N740*$O740)</f>
        <v/>
      </c>
      <c r="Q740" s="10" t="str">
        <f aca="false">IF($B740="","",$N740*IFERROR(INDEX(Drinks!$D$4:$D$53,MATCH($B740,Drinks!$A$4:$A$53,0)),0))</f>
        <v/>
      </c>
      <c r="R740" s="10" t="str">
        <f aca="false">IF($B740="","",$P740-$Q740)</f>
        <v/>
      </c>
      <c r="S740" s="23" t="str">
        <f aca="false">IF($B740="","",IF(COUNTIFS($A$4:$A$2003,$A740-1,$B$4:$B$2003,$B740)=0,"first day",IF(SUMIFS($M$4:$M$2003,$A$4:$A$2003,$A740-1,$B$4:$B$2003,$B740)=$J740,"OK","CHECK")))</f>
        <v/>
      </c>
      <c r="T740" s="10" t="str">
        <f aca="false">IF($B740="","",IFERROR(INDEX(Drinks!$D$4:$D$53,MATCH($B740,Drinks!$A$4:$A$53,0)),0))</f>
        <v/>
      </c>
    </row>
    <row r="741" customFormat="false" ht="15" hidden="false" customHeight="false" outlineLevel="0" collapsed="false">
      <c r="A741" s="22"/>
      <c r="B741" s="9"/>
      <c r="C741" s="9"/>
      <c r="D741" s="9"/>
      <c r="E741" s="9"/>
      <c r="F741" s="10" t="str">
        <f aca="false">IF($B741="","",$C741+$D741-$E741)</f>
        <v/>
      </c>
      <c r="G741" s="10" t="str">
        <f aca="false">IF($B741="","",IFERROR(INDEX(Drinks!$C$4:$C$53,MATCH($B741,Drinks!$A$4:$A$53,0)),0))</f>
        <v/>
      </c>
      <c r="H741" s="10" t="str">
        <f aca="false">IF($B741="","",$D741*$G741)</f>
        <v/>
      </c>
      <c r="I741" s="10" t="str">
        <f aca="false">IF($B741="","",$F741*$G741)</f>
        <v/>
      </c>
      <c r="J741" s="9"/>
      <c r="K741" s="10" t="str">
        <f aca="false">IF($B741="","",$E741*IFERROR(INDEX(Drinks!$B$4:$B$53,MATCH($B741,Drinks!$A$4:$A$53,0)),0))</f>
        <v/>
      </c>
      <c r="L741" s="10" t="str">
        <f aca="false">IF($B741="","",$J741+$K741)</f>
        <v/>
      </c>
      <c r="M741" s="9"/>
      <c r="N741" s="10" t="str">
        <f aca="false">IF($B741="","",$L741-$M741)</f>
        <v/>
      </c>
      <c r="O741" s="10" t="str">
        <f aca="false">IF($B741="","",IFERROR(INDEX(Drinks!$E$4:$E$53,MATCH($B741,Drinks!$A$4:$A$53,0)),0))</f>
        <v/>
      </c>
      <c r="P741" s="10" t="str">
        <f aca="false">IF($B741="","",$N741*$O741)</f>
        <v/>
      </c>
      <c r="Q741" s="10" t="str">
        <f aca="false">IF($B741="","",$N741*IFERROR(INDEX(Drinks!$D$4:$D$53,MATCH($B741,Drinks!$A$4:$A$53,0)),0))</f>
        <v/>
      </c>
      <c r="R741" s="10" t="str">
        <f aca="false">IF($B741="","",$P741-$Q741)</f>
        <v/>
      </c>
      <c r="S741" s="23" t="str">
        <f aca="false">IF($B741="","",IF(COUNTIFS($A$4:$A$2003,$A741-1,$B$4:$B$2003,$B741)=0,"first day",IF(SUMIFS($M$4:$M$2003,$A$4:$A$2003,$A741-1,$B$4:$B$2003,$B741)=$J741,"OK","CHECK")))</f>
        <v/>
      </c>
      <c r="T741" s="10" t="str">
        <f aca="false">IF($B741="","",IFERROR(INDEX(Drinks!$D$4:$D$53,MATCH($B741,Drinks!$A$4:$A$53,0)),0))</f>
        <v/>
      </c>
    </row>
    <row r="742" customFormat="false" ht="15" hidden="false" customHeight="false" outlineLevel="0" collapsed="false">
      <c r="A742" s="22"/>
      <c r="B742" s="9"/>
      <c r="C742" s="9"/>
      <c r="D742" s="9"/>
      <c r="E742" s="9"/>
      <c r="F742" s="10" t="str">
        <f aca="false">IF($B742="","",$C742+$D742-$E742)</f>
        <v/>
      </c>
      <c r="G742" s="10" t="str">
        <f aca="false">IF($B742="","",IFERROR(INDEX(Drinks!$C$4:$C$53,MATCH($B742,Drinks!$A$4:$A$53,0)),0))</f>
        <v/>
      </c>
      <c r="H742" s="10" t="str">
        <f aca="false">IF($B742="","",$D742*$G742)</f>
        <v/>
      </c>
      <c r="I742" s="10" t="str">
        <f aca="false">IF($B742="","",$F742*$G742)</f>
        <v/>
      </c>
      <c r="J742" s="9"/>
      <c r="K742" s="10" t="str">
        <f aca="false">IF($B742="","",$E742*IFERROR(INDEX(Drinks!$B$4:$B$53,MATCH($B742,Drinks!$A$4:$A$53,0)),0))</f>
        <v/>
      </c>
      <c r="L742" s="10" t="str">
        <f aca="false">IF($B742="","",$J742+$K742)</f>
        <v/>
      </c>
      <c r="M742" s="9"/>
      <c r="N742" s="10" t="str">
        <f aca="false">IF($B742="","",$L742-$M742)</f>
        <v/>
      </c>
      <c r="O742" s="10" t="str">
        <f aca="false">IF($B742="","",IFERROR(INDEX(Drinks!$E$4:$E$53,MATCH($B742,Drinks!$A$4:$A$53,0)),0))</f>
        <v/>
      </c>
      <c r="P742" s="10" t="str">
        <f aca="false">IF($B742="","",$N742*$O742)</f>
        <v/>
      </c>
      <c r="Q742" s="10" t="str">
        <f aca="false">IF($B742="","",$N742*IFERROR(INDEX(Drinks!$D$4:$D$53,MATCH($B742,Drinks!$A$4:$A$53,0)),0))</f>
        <v/>
      </c>
      <c r="R742" s="10" t="str">
        <f aca="false">IF($B742="","",$P742-$Q742)</f>
        <v/>
      </c>
      <c r="S742" s="23" t="str">
        <f aca="false">IF($B742="","",IF(COUNTIFS($A$4:$A$2003,$A742-1,$B$4:$B$2003,$B742)=0,"first day",IF(SUMIFS($M$4:$M$2003,$A$4:$A$2003,$A742-1,$B$4:$B$2003,$B742)=$J742,"OK","CHECK")))</f>
        <v/>
      </c>
      <c r="T742" s="10" t="str">
        <f aca="false">IF($B742="","",IFERROR(INDEX(Drinks!$D$4:$D$53,MATCH($B742,Drinks!$A$4:$A$53,0)),0))</f>
        <v/>
      </c>
    </row>
    <row r="743" customFormat="false" ht="15" hidden="false" customHeight="false" outlineLevel="0" collapsed="false">
      <c r="A743" s="22"/>
      <c r="B743" s="9"/>
      <c r="C743" s="9"/>
      <c r="D743" s="9"/>
      <c r="E743" s="9"/>
      <c r="F743" s="10" t="str">
        <f aca="false">IF($B743="","",$C743+$D743-$E743)</f>
        <v/>
      </c>
      <c r="G743" s="10" t="str">
        <f aca="false">IF($B743="","",IFERROR(INDEX(Drinks!$C$4:$C$53,MATCH($B743,Drinks!$A$4:$A$53,0)),0))</f>
        <v/>
      </c>
      <c r="H743" s="10" t="str">
        <f aca="false">IF($B743="","",$D743*$G743)</f>
        <v/>
      </c>
      <c r="I743" s="10" t="str">
        <f aca="false">IF($B743="","",$F743*$G743)</f>
        <v/>
      </c>
      <c r="J743" s="9"/>
      <c r="K743" s="10" t="str">
        <f aca="false">IF($B743="","",$E743*IFERROR(INDEX(Drinks!$B$4:$B$53,MATCH($B743,Drinks!$A$4:$A$53,0)),0))</f>
        <v/>
      </c>
      <c r="L743" s="10" t="str">
        <f aca="false">IF($B743="","",$J743+$K743)</f>
        <v/>
      </c>
      <c r="M743" s="9"/>
      <c r="N743" s="10" t="str">
        <f aca="false">IF($B743="","",$L743-$M743)</f>
        <v/>
      </c>
      <c r="O743" s="10" t="str">
        <f aca="false">IF($B743="","",IFERROR(INDEX(Drinks!$E$4:$E$53,MATCH($B743,Drinks!$A$4:$A$53,0)),0))</f>
        <v/>
      </c>
      <c r="P743" s="10" t="str">
        <f aca="false">IF($B743="","",$N743*$O743)</f>
        <v/>
      </c>
      <c r="Q743" s="10" t="str">
        <f aca="false">IF($B743="","",$N743*IFERROR(INDEX(Drinks!$D$4:$D$53,MATCH($B743,Drinks!$A$4:$A$53,0)),0))</f>
        <v/>
      </c>
      <c r="R743" s="10" t="str">
        <f aca="false">IF($B743="","",$P743-$Q743)</f>
        <v/>
      </c>
      <c r="S743" s="23" t="str">
        <f aca="false">IF($B743="","",IF(COUNTIFS($A$4:$A$2003,$A743-1,$B$4:$B$2003,$B743)=0,"first day",IF(SUMIFS($M$4:$M$2003,$A$4:$A$2003,$A743-1,$B$4:$B$2003,$B743)=$J743,"OK","CHECK")))</f>
        <v/>
      </c>
      <c r="T743" s="10" t="str">
        <f aca="false">IF($B743="","",IFERROR(INDEX(Drinks!$D$4:$D$53,MATCH($B743,Drinks!$A$4:$A$53,0)),0))</f>
        <v/>
      </c>
    </row>
    <row r="744" customFormat="false" ht="15" hidden="false" customHeight="false" outlineLevel="0" collapsed="false">
      <c r="A744" s="22"/>
      <c r="B744" s="9"/>
      <c r="C744" s="9"/>
      <c r="D744" s="9"/>
      <c r="E744" s="9"/>
      <c r="F744" s="10" t="str">
        <f aca="false">IF($B744="","",$C744+$D744-$E744)</f>
        <v/>
      </c>
      <c r="G744" s="10" t="str">
        <f aca="false">IF($B744="","",IFERROR(INDEX(Drinks!$C$4:$C$53,MATCH($B744,Drinks!$A$4:$A$53,0)),0))</f>
        <v/>
      </c>
      <c r="H744" s="10" t="str">
        <f aca="false">IF($B744="","",$D744*$G744)</f>
        <v/>
      </c>
      <c r="I744" s="10" t="str">
        <f aca="false">IF($B744="","",$F744*$G744)</f>
        <v/>
      </c>
      <c r="J744" s="9"/>
      <c r="K744" s="10" t="str">
        <f aca="false">IF($B744="","",$E744*IFERROR(INDEX(Drinks!$B$4:$B$53,MATCH($B744,Drinks!$A$4:$A$53,0)),0))</f>
        <v/>
      </c>
      <c r="L744" s="10" t="str">
        <f aca="false">IF($B744="","",$J744+$K744)</f>
        <v/>
      </c>
      <c r="M744" s="9"/>
      <c r="N744" s="10" t="str">
        <f aca="false">IF($B744="","",$L744-$M744)</f>
        <v/>
      </c>
      <c r="O744" s="10" t="str">
        <f aca="false">IF($B744="","",IFERROR(INDEX(Drinks!$E$4:$E$53,MATCH($B744,Drinks!$A$4:$A$53,0)),0))</f>
        <v/>
      </c>
      <c r="P744" s="10" t="str">
        <f aca="false">IF($B744="","",$N744*$O744)</f>
        <v/>
      </c>
      <c r="Q744" s="10" t="str">
        <f aca="false">IF($B744="","",$N744*IFERROR(INDEX(Drinks!$D$4:$D$53,MATCH($B744,Drinks!$A$4:$A$53,0)),0))</f>
        <v/>
      </c>
      <c r="R744" s="10" t="str">
        <f aca="false">IF($B744="","",$P744-$Q744)</f>
        <v/>
      </c>
      <c r="S744" s="23" t="str">
        <f aca="false">IF($B744="","",IF(COUNTIFS($A$4:$A$2003,$A744-1,$B$4:$B$2003,$B744)=0,"first day",IF(SUMIFS($M$4:$M$2003,$A$4:$A$2003,$A744-1,$B$4:$B$2003,$B744)=$J744,"OK","CHECK")))</f>
        <v/>
      </c>
      <c r="T744" s="10" t="str">
        <f aca="false">IF($B744="","",IFERROR(INDEX(Drinks!$D$4:$D$53,MATCH($B744,Drinks!$A$4:$A$53,0)),0))</f>
        <v/>
      </c>
    </row>
    <row r="745" customFormat="false" ht="15" hidden="false" customHeight="false" outlineLevel="0" collapsed="false">
      <c r="A745" s="22"/>
      <c r="B745" s="9"/>
      <c r="C745" s="9"/>
      <c r="D745" s="9"/>
      <c r="E745" s="9"/>
      <c r="F745" s="10" t="str">
        <f aca="false">IF($B745="","",$C745+$D745-$E745)</f>
        <v/>
      </c>
      <c r="G745" s="10" t="str">
        <f aca="false">IF($B745="","",IFERROR(INDEX(Drinks!$C$4:$C$53,MATCH($B745,Drinks!$A$4:$A$53,0)),0))</f>
        <v/>
      </c>
      <c r="H745" s="10" t="str">
        <f aca="false">IF($B745="","",$D745*$G745)</f>
        <v/>
      </c>
      <c r="I745" s="10" t="str">
        <f aca="false">IF($B745="","",$F745*$G745)</f>
        <v/>
      </c>
      <c r="J745" s="9"/>
      <c r="K745" s="10" t="str">
        <f aca="false">IF($B745="","",$E745*IFERROR(INDEX(Drinks!$B$4:$B$53,MATCH($B745,Drinks!$A$4:$A$53,0)),0))</f>
        <v/>
      </c>
      <c r="L745" s="10" t="str">
        <f aca="false">IF($B745="","",$J745+$K745)</f>
        <v/>
      </c>
      <c r="M745" s="9"/>
      <c r="N745" s="10" t="str">
        <f aca="false">IF($B745="","",$L745-$M745)</f>
        <v/>
      </c>
      <c r="O745" s="10" t="str">
        <f aca="false">IF($B745="","",IFERROR(INDEX(Drinks!$E$4:$E$53,MATCH($B745,Drinks!$A$4:$A$53,0)),0))</f>
        <v/>
      </c>
      <c r="P745" s="10" t="str">
        <f aca="false">IF($B745="","",$N745*$O745)</f>
        <v/>
      </c>
      <c r="Q745" s="10" t="str">
        <f aca="false">IF($B745="","",$N745*IFERROR(INDEX(Drinks!$D$4:$D$53,MATCH($B745,Drinks!$A$4:$A$53,0)),0))</f>
        <v/>
      </c>
      <c r="R745" s="10" t="str">
        <f aca="false">IF($B745="","",$P745-$Q745)</f>
        <v/>
      </c>
      <c r="S745" s="23" t="str">
        <f aca="false">IF($B745="","",IF(COUNTIFS($A$4:$A$2003,$A745-1,$B$4:$B$2003,$B745)=0,"first day",IF(SUMIFS($M$4:$M$2003,$A$4:$A$2003,$A745-1,$B$4:$B$2003,$B745)=$J745,"OK","CHECK")))</f>
        <v/>
      </c>
      <c r="T745" s="10" t="str">
        <f aca="false">IF($B745="","",IFERROR(INDEX(Drinks!$D$4:$D$53,MATCH($B745,Drinks!$A$4:$A$53,0)),0))</f>
        <v/>
      </c>
    </row>
    <row r="746" customFormat="false" ht="15" hidden="false" customHeight="false" outlineLevel="0" collapsed="false">
      <c r="A746" s="22"/>
      <c r="B746" s="9"/>
      <c r="C746" s="9"/>
      <c r="D746" s="9"/>
      <c r="E746" s="9"/>
      <c r="F746" s="10" t="str">
        <f aca="false">IF($B746="","",$C746+$D746-$E746)</f>
        <v/>
      </c>
      <c r="G746" s="10" t="str">
        <f aca="false">IF($B746="","",IFERROR(INDEX(Drinks!$C$4:$C$53,MATCH($B746,Drinks!$A$4:$A$53,0)),0))</f>
        <v/>
      </c>
      <c r="H746" s="10" t="str">
        <f aca="false">IF($B746="","",$D746*$G746)</f>
        <v/>
      </c>
      <c r="I746" s="10" t="str">
        <f aca="false">IF($B746="","",$F746*$G746)</f>
        <v/>
      </c>
      <c r="J746" s="9"/>
      <c r="K746" s="10" t="str">
        <f aca="false">IF($B746="","",$E746*IFERROR(INDEX(Drinks!$B$4:$B$53,MATCH($B746,Drinks!$A$4:$A$53,0)),0))</f>
        <v/>
      </c>
      <c r="L746" s="10" t="str">
        <f aca="false">IF($B746="","",$J746+$K746)</f>
        <v/>
      </c>
      <c r="M746" s="9"/>
      <c r="N746" s="10" t="str">
        <f aca="false">IF($B746="","",$L746-$M746)</f>
        <v/>
      </c>
      <c r="O746" s="10" t="str">
        <f aca="false">IF($B746="","",IFERROR(INDEX(Drinks!$E$4:$E$53,MATCH($B746,Drinks!$A$4:$A$53,0)),0))</f>
        <v/>
      </c>
      <c r="P746" s="10" t="str">
        <f aca="false">IF($B746="","",$N746*$O746)</f>
        <v/>
      </c>
      <c r="Q746" s="10" t="str">
        <f aca="false">IF($B746="","",$N746*IFERROR(INDEX(Drinks!$D$4:$D$53,MATCH($B746,Drinks!$A$4:$A$53,0)),0))</f>
        <v/>
      </c>
      <c r="R746" s="10" t="str">
        <f aca="false">IF($B746="","",$P746-$Q746)</f>
        <v/>
      </c>
      <c r="S746" s="23" t="str">
        <f aca="false">IF($B746="","",IF(COUNTIFS($A$4:$A$2003,$A746-1,$B$4:$B$2003,$B746)=0,"first day",IF(SUMIFS($M$4:$M$2003,$A$4:$A$2003,$A746-1,$B$4:$B$2003,$B746)=$J746,"OK","CHECK")))</f>
        <v/>
      </c>
      <c r="T746" s="10" t="str">
        <f aca="false">IF($B746="","",IFERROR(INDEX(Drinks!$D$4:$D$53,MATCH($B746,Drinks!$A$4:$A$53,0)),0))</f>
        <v/>
      </c>
    </row>
    <row r="747" customFormat="false" ht="15" hidden="false" customHeight="false" outlineLevel="0" collapsed="false">
      <c r="A747" s="22"/>
      <c r="B747" s="9"/>
      <c r="C747" s="9"/>
      <c r="D747" s="9"/>
      <c r="E747" s="9"/>
      <c r="F747" s="10" t="str">
        <f aca="false">IF($B747="","",$C747+$D747-$E747)</f>
        <v/>
      </c>
      <c r="G747" s="10" t="str">
        <f aca="false">IF($B747="","",IFERROR(INDEX(Drinks!$C$4:$C$53,MATCH($B747,Drinks!$A$4:$A$53,0)),0))</f>
        <v/>
      </c>
      <c r="H747" s="10" t="str">
        <f aca="false">IF($B747="","",$D747*$G747)</f>
        <v/>
      </c>
      <c r="I747" s="10" t="str">
        <f aca="false">IF($B747="","",$F747*$G747)</f>
        <v/>
      </c>
      <c r="J747" s="9"/>
      <c r="K747" s="10" t="str">
        <f aca="false">IF($B747="","",$E747*IFERROR(INDEX(Drinks!$B$4:$B$53,MATCH($B747,Drinks!$A$4:$A$53,0)),0))</f>
        <v/>
      </c>
      <c r="L747" s="10" t="str">
        <f aca="false">IF($B747="","",$J747+$K747)</f>
        <v/>
      </c>
      <c r="M747" s="9"/>
      <c r="N747" s="10" t="str">
        <f aca="false">IF($B747="","",$L747-$M747)</f>
        <v/>
      </c>
      <c r="O747" s="10" t="str">
        <f aca="false">IF($B747="","",IFERROR(INDEX(Drinks!$E$4:$E$53,MATCH($B747,Drinks!$A$4:$A$53,0)),0))</f>
        <v/>
      </c>
      <c r="P747" s="10" t="str">
        <f aca="false">IF($B747="","",$N747*$O747)</f>
        <v/>
      </c>
      <c r="Q747" s="10" t="str">
        <f aca="false">IF($B747="","",$N747*IFERROR(INDEX(Drinks!$D$4:$D$53,MATCH($B747,Drinks!$A$4:$A$53,0)),0))</f>
        <v/>
      </c>
      <c r="R747" s="10" t="str">
        <f aca="false">IF($B747="","",$P747-$Q747)</f>
        <v/>
      </c>
      <c r="S747" s="23" t="str">
        <f aca="false">IF($B747="","",IF(COUNTIFS($A$4:$A$2003,$A747-1,$B$4:$B$2003,$B747)=0,"first day",IF(SUMIFS($M$4:$M$2003,$A$4:$A$2003,$A747-1,$B$4:$B$2003,$B747)=$J747,"OK","CHECK")))</f>
        <v/>
      </c>
      <c r="T747" s="10" t="str">
        <f aca="false">IF($B747="","",IFERROR(INDEX(Drinks!$D$4:$D$53,MATCH($B747,Drinks!$A$4:$A$53,0)),0))</f>
        <v/>
      </c>
    </row>
    <row r="748" customFormat="false" ht="15" hidden="false" customHeight="false" outlineLevel="0" collapsed="false">
      <c r="A748" s="22"/>
      <c r="B748" s="9"/>
      <c r="C748" s="9"/>
      <c r="D748" s="9"/>
      <c r="E748" s="9"/>
      <c r="F748" s="10" t="str">
        <f aca="false">IF($B748="","",$C748+$D748-$E748)</f>
        <v/>
      </c>
      <c r="G748" s="10" t="str">
        <f aca="false">IF($B748="","",IFERROR(INDEX(Drinks!$C$4:$C$53,MATCH($B748,Drinks!$A$4:$A$53,0)),0))</f>
        <v/>
      </c>
      <c r="H748" s="10" t="str">
        <f aca="false">IF($B748="","",$D748*$G748)</f>
        <v/>
      </c>
      <c r="I748" s="10" t="str">
        <f aca="false">IF($B748="","",$F748*$G748)</f>
        <v/>
      </c>
      <c r="J748" s="9"/>
      <c r="K748" s="10" t="str">
        <f aca="false">IF($B748="","",$E748*IFERROR(INDEX(Drinks!$B$4:$B$53,MATCH($B748,Drinks!$A$4:$A$53,0)),0))</f>
        <v/>
      </c>
      <c r="L748" s="10" t="str">
        <f aca="false">IF($B748="","",$J748+$K748)</f>
        <v/>
      </c>
      <c r="M748" s="9"/>
      <c r="N748" s="10" t="str">
        <f aca="false">IF($B748="","",$L748-$M748)</f>
        <v/>
      </c>
      <c r="O748" s="10" t="str">
        <f aca="false">IF($B748="","",IFERROR(INDEX(Drinks!$E$4:$E$53,MATCH($B748,Drinks!$A$4:$A$53,0)),0))</f>
        <v/>
      </c>
      <c r="P748" s="10" t="str">
        <f aca="false">IF($B748="","",$N748*$O748)</f>
        <v/>
      </c>
      <c r="Q748" s="10" t="str">
        <f aca="false">IF($B748="","",$N748*IFERROR(INDEX(Drinks!$D$4:$D$53,MATCH($B748,Drinks!$A$4:$A$53,0)),0))</f>
        <v/>
      </c>
      <c r="R748" s="10" t="str">
        <f aca="false">IF($B748="","",$P748-$Q748)</f>
        <v/>
      </c>
      <c r="S748" s="23" t="str">
        <f aca="false">IF($B748="","",IF(COUNTIFS($A$4:$A$2003,$A748-1,$B$4:$B$2003,$B748)=0,"first day",IF(SUMIFS($M$4:$M$2003,$A$4:$A$2003,$A748-1,$B$4:$B$2003,$B748)=$J748,"OK","CHECK")))</f>
        <v/>
      </c>
      <c r="T748" s="10" t="str">
        <f aca="false">IF($B748="","",IFERROR(INDEX(Drinks!$D$4:$D$53,MATCH($B748,Drinks!$A$4:$A$53,0)),0))</f>
        <v/>
      </c>
    </row>
    <row r="749" customFormat="false" ht="15" hidden="false" customHeight="false" outlineLevel="0" collapsed="false">
      <c r="A749" s="22"/>
      <c r="B749" s="9"/>
      <c r="C749" s="9"/>
      <c r="D749" s="9"/>
      <c r="E749" s="9"/>
      <c r="F749" s="10" t="str">
        <f aca="false">IF($B749="","",$C749+$D749-$E749)</f>
        <v/>
      </c>
      <c r="G749" s="10" t="str">
        <f aca="false">IF($B749="","",IFERROR(INDEX(Drinks!$C$4:$C$53,MATCH($B749,Drinks!$A$4:$A$53,0)),0))</f>
        <v/>
      </c>
      <c r="H749" s="10" t="str">
        <f aca="false">IF($B749="","",$D749*$G749)</f>
        <v/>
      </c>
      <c r="I749" s="10" t="str">
        <f aca="false">IF($B749="","",$F749*$G749)</f>
        <v/>
      </c>
      <c r="J749" s="9"/>
      <c r="K749" s="10" t="str">
        <f aca="false">IF($B749="","",$E749*IFERROR(INDEX(Drinks!$B$4:$B$53,MATCH($B749,Drinks!$A$4:$A$53,0)),0))</f>
        <v/>
      </c>
      <c r="L749" s="10" t="str">
        <f aca="false">IF($B749="","",$J749+$K749)</f>
        <v/>
      </c>
      <c r="M749" s="9"/>
      <c r="N749" s="10" t="str">
        <f aca="false">IF($B749="","",$L749-$M749)</f>
        <v/>
      </c>
      <c r="O749" s="10" t="str">
        <f aca="false">IF($B749="","",IFERROR(INDEX(Drinks!$E$4:$E$53,MATCH($B749,Drinks!$A$4:$A$53,0)),0))</f>
        <v/>
      </c>
      <c r="P749" s="10" t="str">
        <f aca="false">IF($B749="","",$N749*$O749)</f>
        <v/>
      </c>
      <c r="Q749" s="10" t="str">
        <f aca="false">IF($B749="","",$N749*IFERROR(INDEX(Drinks!$D$4:$D$53,MATCH($B749,Drinks!$A$4:$A$53,0)),0))</f>
        <v/>
      </c>
      <c r="R749" s="10" t="str">
        <f aca="false">IF($B749="","",$P749-$Q749)</f>
        <v/>
      </c>
      <c r="S749" s="23" t="str">
        <f aca="false">IF($B749="","",IF(COUNTIFS($A$4:$A$2003,$A749-1,$B$4:$B$2003,$B749)=0,"first day",IF(SUMIFS($M$4:$M$2003,$A$4:$A$2003,$A749-1,$B$4:$B$2003,$B749)=$J749,"OK","CHECK")))</f>
        <v/>
      </c>
      <c r="T749" s="10" t="str">
        <f aca="false">IF($B749="","",IFERROR(INDEX(Drinks!$D$4:$D$53,MATCH($B749,Drinks!$A$4:$A$53,0)),0))</f>
        <v/>
      </c>
    </row>
    <row r="750" customFormat="false" ht="15" hidden="false" customHeight="false" outlineLevel="0" collapsed="false">
      <c r="A750" s="22"/>
      <c r="B750" s="9"/>
      <c r="C750" s="9"/>
      <c r="D750" s="9"/>
      <c r="E750" s="9"/>
      <c r="F750" s="10" t="str">
        <f aca="false">IF($B750="","",$C750+$D750-$E750)</f>
        <v/>
      </c>
      <c r="G750" s="10" t="str">
        <f aca="false">IF($B750="","",IFERROR(INDEX(Drinks!$C$4:$C$53,MATCH($B750,Drinks!$A$4:$A$53,0)),0))</f>
        <v/>
      </c>
      <c r="H750" s="10" t="str">
        <f aca="false">IF($B750="","",$D750*$G750)</f>
        <v/>
      </c>
      <c r="I750" s="10" t="str">
        <f aca="false">IF($B750="","",$F750*$G750)</f>
        <v/>
      </c>
      <c r="J750" s="9"/>
      <c r="K750" s="10" t="str">
        <f aca="false">IF($B750="","",$E750*IFERROR(INDEX(Drinks!$B$4:$B$53,MATCH($B750,Drinks!$A$4:$A$53,0)),0))</f>
        <v/>
      </c>
      <c r="L750" s="10" t="str">
        <f aca="false">IF($B750="","",$J750+$K750)</f>
        <v/>
      </c>
      <c r="M750" s="9"/>
      <c r="N750" s="10" t="str">
        <f aca="false">IF($B750="","",$L750-$M750)</f>
        <v/>
      </c>
      <c r="O750" s="10" t="str">
        <f aca="false">IF($B750="","",IFERROR(INDEX(Drinks!$E$4:$E$53,MATCH($B750,Drinks!$A$4:$A$53,0)),0))</f>
        <v/>
      </c>
      <c r="P750" s="10" t="str">
        <f aca="false">IF($B750="","",$N750*$O750)</f>
        <v/>
      </c>
      <c r="Q750" s="10" t="str">
        <f aca="false">IF($B750="","",$N750*IFERROR(INDEX(Drinks!$D$4:$D$53,MATCH($B750,Drinks!$A$4:$A$53,0)),0))</f>
        <v/>
      </c>
      <c r="R750" s="10" t="str">
        <f aca="false">IF($B750="","",$P750-$Q750)</f>
        <v/>
      </c>
      <c r="S750" s="23" t="str">
        <f aca="false">IF($B750="","",IF(COUNTIFS($A$4:$A$2003,$A750-1,$B$4:$B$2003,$B750)=0,"first day",IF(SUMIFS($M$4:$M$2003,$A$4:$A$2003,$A750-1,$B$4:$B$2003,$B750)=$J750,"OK","CHECK")))</f>
        <v/>
      </c>
      <c r="T750" s="10" t="str">
        <f aca="false">IF($B750="","",IFERROR(INDEX(Drinks!$D$4:$D$53,MATCH($B750,Drinks!$A$4:$A$53,0)),0))</f>
        <v/>
      </c>
    </row>
    <row r="751" customFormat="false" ht="15" hidden="false" customHeight="false" outlineLevel="0" collapsed="false">
      <c r="A751" s="22"/>
      <c r="B751" s="9"/>
      <c r="C751" s="9"/>
      <c r="D751" s="9"/>
      <c r="E751" s="9"/>
      <c r="F751" s="10" t="str">
        <f aca="false">IF($B751="","",$C751+$D751-$E751)</f>
        <v/>
      </c>
      <c r="G751" s="10" t="str">
        <f aca="false">IF($B751="","",IFERROR(INDEX(Drinks!$C$4:$C$53,MATCH($B751,Drinks!$A$4:$A$53,0)),0))</f>
        <v/>
      </c>
      <c r="H751" s="10" t="str">
        <f aca="false">IF($B751="","",$D751*$G751)</f>
        <v/>
      </c>
      <c r="I751" s="10" t="str">
        <f aca="false">IF($B751="","",$F751*$G751)</f>
        <v/>
      </c>
      <c r="J751" s="9"/>
      <c r="K751" s="10" t="str">
        <f aca="false">IF($B751="","",$E751*IFERROR(INDEX(Drinks!$B$4:$B$53,MATCH($B751,Drinks!$A$4:$A$53,0)),0))</f>
        <v/>
      </c>
      <c r="L751" s="10" t="str">
        <f aca="false">IF($B751="","",$J751+$K751)</f>
        <v/>
      </c>
      <c r="M751" s="9"/>
      <c r="N751" s="10" t="str">
        <f aca="false">IF($B751="","",$L751-$M751)</f>
        <v/>
      </c>
      <c r="O751" s="10" t="str">
        <f aca="false">IF($B751="","",IFERROR(INDEX(Drinks!$E$4:$E$53,MATCH($B751,Drinks!$A$4:$A$53,0)),0))</f>
        <v/>
      </c>
      <c r="P751" s="10" t="str">
        <f aca="false">IF($B751="","",$N751*$O751)</f>
        <v/>
      </c>
      <c r="Q751" s="10" t="str">
        <f aca="false">IF($B751="","",$N751*IFERROR(INDEX(Drinks!$D$4:$D$53,MATCH($B751,Drinks!$A$4:$A$53,0)),0))</f>
        <v/>
      </c>
      <c r="R751" s="10" t="str">
        <f aca="false">IF($B751="","",$P751-$Q751)</f>
        <v/>
      </c>
      <c r="S751" s="23" t="str">
        <f aca="false">IF($B751="","",IF(COUNTIFS($A$4:$A$2003,$A751-1,$B$4:$B$2003,$B751)=0,"first day",IF(SUMIFS($M$4:$M$2003,$A$4:$A$2003,$A751-1,$B$4:$B$2003,$B751)=$J751,"OK","CHECK")))</f>
        <v/>
      </c>
      <c r="T751" s="10" t="str">
        <f aca="false">IF($B751="","",IFERROR(INDEX(Drinks!$D$4:$D$53,MATCH($B751,Drinks!$A$4:$A$53,0)),0))</f>
        <v/>
      </c>
    </row>
    <row r="752" customFormat="false" ht="15" hidden="false" customHeight="false" outlineLevel="0" collapsed="false">
      <c r="A752" s="22"/>
      <c r="B752" s="9"/>
      <c r="C752" s="9"/>
      <c r="D752" s="9"/>
      <c r="E752" s="9"/>
      <c r="F752" s="10" t="str">
        <f aca="false">IF($B752="","",$C752+$D752-$E752)</f>
        <v/>
      </c>
      <c r="G752" s="10" t="str">
        <f aca="false">IF($B752="","",IFERROR(INDEX(Drinks!$C$4:$C$53,MATCH($B752,Drinks!$A$4:$A$53,0)),0))</f>
        <v/>
      </c>
      <c r="H752" s="10" t="str">
        <f aca="false">IF($B752="","",$D752*$G752)</f>
        <v/>
      </c>
      <c r="I752" s="10" t="str">
        <f aca="false">IF($B752="","",$F752*$G752)</f>
        <v/>
      </c>
      <c r="J752" s="9"/>
      <c r="K752" s="10" t="str">
        <f aca="false">IF($B752="","",$E752*IFERROR(INDEX(Drinks!$B$4:$B$53,MATCH($B752,Drinks!$A$4:$A$53,0)),0))</f>
        <v/>
      </c>
      <c r="L752" s="10" t="str">
        <f aca="false">IF($B752="","",$J752+$K752)</f>
        <v/>
      </c>
      <c r="M752" s="9"/>
      <c r="N752" s="10" t="str">
        <f aca="false">IF($B752="","",$L752-$M752)</f>
        <v/>
      </c>
      <c r="O752" s="10" t="str">
        <f aca="false">IF($B752="","",IFERROR(INDEX(Drinks!$E$4:$E$53,MATCH($B752,Drinks!$A$4:$A$53,0)),0))</f>
        <v/>
      </c>
      <c r="P752" s="10" t="str">
        <f aca="false">IF($B752="","",$N752*$O752)</f>
        <v/>
      </c>
      <c r="Q752" s="10" t="str">
        <f aca="false">IF($B752="","",$N752*IFERROR(INDEX(Drinks!$D$4:$D$53,MATCH($B752,Drinks!$A$4:$A$53,0)),0))</f>
        <v/>
      </c>
      <c r="R752" s="10" t="str">
        <f aca="false">IF($B752="","",$P752-$Q752)</f>
        <v/>
      </c>
      <c r="S752" s="23" t="str">
        <f aca="false">IF($B752="","",IF(COUNTIFS($A$4:$A$2003,$A752-1,$B$4:$B$2003,$B752)=0,"first day",IF(SUMIFS($M$4:$M$2003,$A$4:$A$2003,$A752-1,$B$4:$B$2003,$B752)=$J752,"OK","CHECK")))</f>
        <v/>
      </c>
      <c r="T752" s="10" t="str">
        <f aca="false">IF($B752="","",IFERROR(INDEX(Drinks!$D$4:$D$53,MATCH($B752,Drinks!$A$4:$A$53,0)),0))</f>
        <v/>
      </c>
    </row>
    <row r="753" customFormat="false" ht="15" hidden="false" customHeight="false" outlineLevel="0" collapsed="false">
      <c r="A753" s="22"/>
      <c r="B753" s="9"/>
      <c r="C753" s="9"/>
      <c r="D753" s="9"/>
      <c r="E753" s="9"/>
      <c r="F753" s="10" t="str">
        <f aca="false">IF($B753="","",$C753+$D753-$E753)</f>
        <v/>
      </c>
      <c r="G753" s="10" t="str">
        <f aca="false">IF($B753="","",IFERROR(INDEX(Drinks!$C$4:$C$53,MATCH($B753,Drinks!$A$4:$A$53,0)),0))</f>
        <v/>
      </c>
      <c r="H753" s="10" t="str">
        <f aca="false">IF($B753="","",$D753*$G753)</f>
        <v/>
      </c>
      <c r="I753" s="10" t="str">
        <f aca="false">IF($B753="","",$F753*$G753)</f>
        <v/>
      </c>
      <c r="J753" s="9"/>
      <c r="K753" s="10" t="str">
        <f aca="false">IF($B753="","",$E753*IFERROR(INDEX(Drinks!$B$4:$B$53,MATCH($B753,Drinks!$A$4:$A$53,0)),0))</f>
        <v/>
      </c>
      <c r="L753" s="10" t="str">
        <f aca="false">IF($B753="","",$J753+$K753)</f>
        <v/>
      </c>
      <c r="M753" s="9"/>
      <c r="N753" s="10" t="str">
        <f aca="false">IF($B753="","",$L753-$M753)</f>
        <v/>
      </c>
      <c r="O753" s="10" t="str">
        <f aca="false">IF($B753="","",IFERROR(INDEX(Drinks!$E$4:$E$53,MATCH($B753,Drinks!$A$4:$A$53,0)),0))</f>
        <v/>
      </c>
      <c r="P753" s="10" t="str">
        <f aca="false">IF($B753="","",$N753*$O753)</f>
        <v/>
      </c>
      <c r="Q753" s="10" t="str">
        <f aca="false">IF($B753="","",$N753*IFERROR(INDEX(Drinks!$D$4:$D$53,MATCH($B753,Drinks!$A$4:$A$53,0)),0))</f>
        <v/>
      </c>
      <c r="R753" s="10" t="str">
        <f aca="false">IF($B753="","",$P753-$Q753)</f>
        <v/>
      </c>
      <c r="S753" s="23" t="str">
        <f aca="false">IF($B753="","",IF(COUNTIFS($A$4:$A$2003,$A753-1,$B$4:$B$2003,$B753)=0,"first day",IF(SUMIFS($M$4:$M$2003,$A$4:$A$2003,$A753-1,$B$4:$B$2003,$B753)=$J753,"OK","CHECK")))</f>
        <v/>
      </c>
      <c r="T753" s="10" t="str">
        <f aca="false">IF($B753="","",IFERROR(INDEX(Drinks!$D$4:$D$53,MATCH($B753,Drinks!$A$4:$A$53,0)),0))</f>
        <v/>
      </c>
    </row>
    <row r="754" customFormat="false" ht="15" hidden="false" customHeight="false" outlineLevel="0" collapsed="false">
      <c r="A754" s="22"/>
      <c r="B754" s="9"/>
      <c r="C754" s="9"/>
      <c r="D754" s="9"/>
      <c r="E754" s="9"/>
      <c r="F754" s="10" t="str">
        <f aca="false">IF($B754="","",$C754+$D754-$E754)</f>
        <v/>
      </c>
      <c r="G754" s="10" t="str">
        <f aca="false">IF($B754="","",IFERROR(INDEX(Drinks!$C$4:$C$53,MATCH($B754,Drinks!$A$4:$A$53,0)),0))</f>
        <v/>
      </c>
      <c r="H754" s="10" t="str">
        <f aca="false">IF($B754="","",$D754*$G754)</f>
        <v/>
      </c>
      <c r="I754" s="10" t="str">
        <f aca="false">IF($B754="","",$F754*$G754)</f>
        <v/>
      </c>
      <c r="J754" s="9"/>
      <c r="K754" s="10" t="str">
        <f aca="false">IF($B754="","",$E754*IFERROR(INDEX(Drinks!$B$4:$B$53,MATCH($B754,Drinks!$A$4:$A$53,0)),0))</f>
        <v/>
      </c>
      <c r="L754" s="10" t="str">
        <f aca="false">IF($B754="","",$J754+$K754)</f>
        <v/>
      </c>
      <c r="M754" s="9"/>
      <c r="N754" s="10" t="str">
        <f aca="false">IF($B754="","",$L754-$M754)</f>
        <v/>
      </c>
      <c r="O754" s="10" t="str">
        <f aca="false">IF($B754="","",IFERROR(INDEX(Drinks!$E$4:$E$53,MATCH($B754,Drinks!$A$4:$A$53,0)),0))</f>
        <v/>
      </c>
      <c r="P754" s="10" t="str">
        <f aca="false">IF($B754="","",$N754*$O754)</f>
        <v/>
      </c>
      <c r="Q754" s="10" t="str">
        <f aca="false">IF($B754="","",$N754*IFERROR(INDEX(Drinks!$D$4:$D$53,MATCH($B754,Drinks!$A$4:$A$53,0)),0))</f>
        <v/>
      </c>
      <c r="R754" s="10" t="str">
        <f aca="false">IF($B754="","",$P754-$Q754)</f>
        <v/>
      </c>
      <c r="S754" s="23" t="str">
        <f aca="false">IF($B754="","",IF(COUNTIFS($A$4:$A$2003,$A754-1,$B$4:$B$2003,$B754)=0,"first day",IF(SUMIFS($M$4:$M$2003,$A$4:$A$2003,$A754-1,$B$4:$B$2003,$B754)=$J754,"OK","CHECK")))</f>
        <v/>
      </c>
      <c r="T754" s="10" t="str">
        <f aca="false">IF($B754="","",IFERROR(INDEX(Drinks!$D$4:$D$53,MATCH($B754,Drinks!$A$4:$A$53,0)),0))</f>
        <v/>
      </c>
    </row>
    <row r="755" customFormat="false" ht="15" hidden="false" customHeight="false" outlineLevel="0" collapsed="false">
      <c r="A755" s="22"/>
      <c r="B755" s="9"/>
      <c r="C755" s="9"/>
      <c r="D755" s="9"/>
      <c r="E755" s="9"/>
      <c r="F755" s="10" t="str">
        <f aca="false">IF($B755="","",$C755+$D755-$E755)</f>
        <v/>
      </c>
      <c r="G755" s="10" t="str">
        <f aca="false">IF($B755="","",IFERROR(INDEX(Drinks!$C$4:$C$53,MATCH($B755,Drinks!$A$4:$A$53,0)),0))</f>
        <v/>
      </c>
      <c r="H755" s="10" t="str">
        <f aca="false">IF($B755="","",$D755*$G755)</f>
        <v/>
      </c>
      <c r="I755" s="10" t="str">
        <f aca="false">IF($B755="","",$F755*$G755)</f>
        <v/>
      </c>
      <c r="J755" s="9"/>
      <c r="K755" s="10" t="str">
        <f aca="false">IF($B755="","",$E755*IFERROR(INDEX(Drinks!$B$4:$B$53,MATCH($B755,Drinks!$A$4:$A$53,0)),0))</f>
        <v/>
      </c>
      <c r="L755" s="10" t="str">
        <f aca="false">IF($B755="","",$J755+$K755)</f>
        <v/>
      </c>
      <c r="M755" s="9"/>
      <c r="N755" s="10" t="str">
        <f aca="false">IF($B755="","",$L755-$M755)</f>
        <v/>
      </c>
      <c r="O755" s="10" t="str">
        <f aca="false">IF($B755="","",IFERROR(INDEX(Drinks!$E$4:$E$53,MATCH($B755,Drinks!$A$4:$A$53,0)),0))</f>
        <v/>
      </c>
      <c r="P755" s="10" t="str">
        <f aca="false">IF($B755="","",$N755*$O755)</f>
        <v/>
      </c>
      <c r="Q755" s="10" t="str">
        <f aca="false">IF($B755="","",$N755*IFERROR(INDEX(Drinks!$D$4:$D$53,MATCH($B755,Drinks!$A$4:$A$53,0)),0))</f>
        <v/>
      </c>
      <c r="R755" s="10" t="str">
        <f aca="false">IF($B755="","",$P755-$Q755)</f>
        <v/>
      </c>
      <c r="S755" s="23" t="str">
        <f aca="false">IF($B755="","",IF(COUNTIFS($A$4:$A$2003,$A755-1,$B$4:$B$2003,$B755)=0,"first day",IF(SUMIFS($M$4:$M$2003,$A$4:$A$2003,$A755-1,$B$4:$B$2003,$B755)=$J755,"OK","CHECK")))</f>
        <v/>
      </c>
      <c r="T755" s="10" t="str">
        <f aca="false">IF($B755="","",IFERROR(INDEX(Drinks!$D$4:$D$53,MATCH($B755,Drinks!$A$4:$A$53,0)),0))</f>
        <v/>
      </c>
    </row>
    <row r="756" customFormat="false" ht="15" hidden="false" customHeight="false" outlineLevel="0" collapsed="false">
      <c r="A756" s="22"/>
      <c r="B756" s="9"/>
      <c r="C756" s="9"/>
      <c r="D756" s="9"/>
      <c r="E756" s="9"/>
      <c r="F756" s="10" t="str">
        <f aca="false">IF($B756="","",$C756+$D756-$E756)</f>
        <v/>
      </c>
      <c r="G756" s="10" t="str">
        <f aca="false">IF($B756="","",IFERROR(INDEX(Drinks!$C$4:$C$53,MATCH($B756,Drinks!$A$4:$A$53,0)),0))</f>
        <v/>
      </c>
      <c r="H756" s="10" t="str">
        <f aca="false">IF($B756="","",$D756*$G756)</f>
        <v/>
      </c>
      <c r="I756" s="10" t="str">
        <f aca="false">IF($B756="","",$F756*$G756)</f>
        <v/>
      </c>
      <c r="J756" s="9"/>
      <c r="K756" s="10" t="str">
        <f aca="false">IF($B756="","",$E756*IFERROR(INDEX(Drinks!$B$4:$B$53,MATCH($B756,Drinks!$A$4:$A$53,0)),0))</f>
        <v/>
      </c>
      <c r="L756" s="10" t="str">
        <f aca="false">IF($B756="","",$J756+$K756)</f>
        <v/>
      </c>
      <c r="M756" s="9"/>
      <c r="N756" s="10" t="str">
        <f aca="false">IF($B756="","",$L756-$M756)</f>
        <v/>
      </c>
      <c r="O756" s="10" t="str">
        <f aca="false">IF($B756="","",IFERROR(INDEX(Drinks!$E$4:$E$53,MATCH($B756,Drinks!$A$4:$A$53,0)),0))</f>
        <v/>
      </c>
      <c r="P756" s="10" t="str">
        <f aca="false">IF($B756="","",$N756*$O756)</f>
        <v/>
      </c>
      <c r="Q756" s="10" t="str">
        <f aca="false">IF($B756="","",$N756*IFERROR(INDEX(Drinks!$D$4:$D$53,MATCH($B756,Drinks!$A$4:$A$53,0)),0))</f>
        <v/>
      </c>
      <c r="R756" s="10" t="str">
        <f aca="false">IF($B756="","",$P756-$Q756)</f>
        <v/>
      </c>
      <c r="S756" s="23" t="str">
        <f aca="false">IF($B756="","",IF(COUNTIFS($A$4:$A$2003,$A756-1,$B$4:$B$2003,$B756)=0,"first day",IF(SUMIFS($M$4:$M$2003,$A$4:$A$2003,$A756-1,$B$4:$B$2003,$B756)=$J756,"OK","CHECK")))</f>
        <v/>
      </c>
      <c r="T756" s="10" t="str">
        <f aca="false">IF($B756="","",IFERROR(INDEX(Drinks!$D$4:$D$53,MATCH($B756,Drinks!$A$4:$A$53,0)),0))</f>
        <v/>
      </c>
    </row>
    <row r="757" customFormat="false" ht="15" hidden="false" customHeight="false" outlineLevel="0" collapsed="false">
      <c r="A757" s="22"/>
      <c r="B757" s="9"/>
      <c r="C757" s="9"/>
      <c r="D757" s="9"/>
      <c r="E757" s="9"/>
      <c r="F757" s="10" t="str">
        <f aca="false">IF($B757="","",$C757+$D757-$E757)</f>
        <v/>
      </c>
      <c r="G757" s="10" t="str">
        <f aca="false">IF($B757="","",IFERROR(INDEX(Drinks!$C$4:$C$53,MATCH($B757,Drinks!$A$4:$A$53,0)),0))</f>
        <v/>
      </c>
      <c r="H757" s="10" t="str">
        <f aca="false">IF($B757="","",$D757*$G757)</f>
        <v/>
      </c>
      <c r="I757" s="10" t="str">
        <f aca="false">IF($B757="","",$F757*$G757)</f>
        <v/>
      </c>
      <c r="J757" s="9"/>
      <c r="K757" s="10" t="str">
        <f aca="false">IF($B757="","",$E757*IFERROR(INDEX(Drinks!$B$4:$B$53,MATCH($B757,Drinks!$A$4:$A$53,0)),0))</f>
        <v/>
      </c>
      <c r="L757" s="10" t="str">
        <f aca="false">IF($B757="","",$J757+$K757)</f>
        <v/>
      </c>
      <c r="M757" s="9"/>
      <c r="N757" s="10" t="str">
        <f aca="false">IF($B757="","",$L757-$M757)</f>
        <v/>
      </c>
      <c r="O757" s="10" t="str">
        <f aca="false">IF($B757="","",IFERROR(INDEX(Drinks!$E$4:$E$53,MATCH($B757,Drinks!$A$4:$A$53,0)),0))</f>
        <v/>
      </c>
      <c r="P757" s="10" t="str">
        <f aca="false">IF($B757="","",$N757*$O757)</f>
        <v/>
      </c>
      <c r="Q757" s="10" t="str">
        <f aca="false">IF($B757="","",$N757*IFERROR(INDEX(Drinks!$D$4:$D$53,MATCH($B757,Drinks!$A$4:$A$53,0)),0))</f>
        <v/>
      </c>
      <c r="R757" s="10" t="str">
        <f aca="false">IF($B757="","",$P757-$Q757)</f>
        <v/>
      </c>
      <c r="S757" s="23" t="str">
        <f aca="false">IF($B757="","",IF(COUNTIFS($A$4:$A$2003,$A757-1,$B$4:$B$2003,$B757)=0,"first day",IF(SUMIFS($M$4:$M$2003,$A$4:$A$2003,$A757-1,$B$4:$B$2003,$B757)=$J757,"OK","CHECK")))</f>
        <v/>
      </c>
      <c r="T757" s="10" t="str">
        <f aca="false">IF($B757="","",IFERROR(INDEX(Drinks!$D$4:$D$53,MATCH($B757,Drinks!$A$4:$A$53,0)),0))</f>
        <v/>
      </c>
    </row>
    <row r="758" customFormat="false" ht="15" hidden="false" customHeight="false" outlineLevel="0" collapsed="false">
      <c r="A758" s="22"/>
      <c r="B758" s="9"/>
      <c r="C758" s="9"/>
      <c r="D758" s="9"/>
      <c r="E758" s="9"/>
      <c r="F758" s="10" t="str">
        <f aca="false">IF($B758="","",$C758+$D758-$E758)</f>
        <v/>
      </c>
      <c r="G758" s="10" t="str">
        <f aca="false">IF($B758="","",IFERROR(INDEX(Drinks!$C$4:$C$53,MATCH($B758,Drinks!$A$4:$A$53,0)),0))</f>
        <v/>
      </c>
      <c r="H758" s="10" t="str">
        <f aca="false">IF($B758="","",$D758*$G758)</f>
        <v/>
      </c>
      <c r="I758" s="10" t="str">
        <f aca="false">IF($B758="","",$F758*$G758)</f>
        <v/>
      </c>
      <c r="J758" s="9"/>
      <c r="K758" s="10" t="str">
        <f aca="false">IF($B758="","",$E758*IFERROR(INDEX(Drinks!$B$4:$B$53,MATCH($B758,Drinks!$A$4:$A$53,0)),0))</f>
        <v/>
      </c>
      <c r="L758" s="10" t="str">
        <f aca="false">IF($B758="","",$J758+$K758)</f>
        <v/>
      </c>
      <c r="M758" s="9"/>
      <c r="N758" s="10" t="str">
        <f aca="false">IF($B758="","",$L758-$M758)</f>
        <v/>
      </c>
      <c r="O758" s="10" t="str">
        <f aca="false">IF($B758="","",IFERROR(INDEX(Drinks!$E$4:$E$53,MATCH($B758,Drinks!$A$4:$A$53,0)),0))</f>
        <v/>
      </c>
      <c r="P758" s="10" t="str">
        <f aca="false">IF($B758="","",$N758*$O758)</f>
        <v/>
      </c>
      <c r="Q758" s="10" t="str">
        <f aca="false">IF($B758="","",$N758*IFERROR(INDEX(Drinks!$D$4:$D$53,MATCH($B758,Drinks!$A$4:$A$53,0)),0))</f>
        <v/>
      </c>
      <c r="R758" s="10" t="str">
        <f aca="false">IF($B758="","",$P758-$Q758)</f>
        <v/>
      </c>
      <c r="S758" s="23" t="str">
        <f aca="false">IF($B758="","",IF(COUNTIFS($A$4:$A$2003,$A758-1,$B$4:$B$2003,$B758)=0,"first day",IF(SUMIFS($M$4:$M$2003,$A$4:$A$2003,$A758-1,$B$4:$B$2003,$B758)=$J758,"OK","CHECK")))</f>
        <v/>
      </c>
      <c r="T758" s="10" t="str">
        <f aca="false">IF($B758="","",IFERROR(INDEX(Drinks!$D$4:$D$53,MATCH($B758,Drinks!$A$4:$A$53,0)),0))</f>
        <v/>
      </c>
    </row>
    <row r="759" customFormat="false" ht="15" hidden="false" customHeight="false" outlineLevel="0" collapsed="false">
      <c r="A759" s="22"/>
      <c r="B759" s="9"/>
      <c r="C759" s="9"/>
      <c r="D759" s="9"/>
      <c r="E759" s="9"/>
      <c r="F759" s="10" t="str">
        <f aca="false">IF($B759="","",$C759+$D759-$E759)</f>
        <v/>
      </c>
      <c r="G759" s="10" t="str">
        <f aca="false">IF($B759="","",IFERROR(INDEX(Drinks!$C$4:$C$53,MATCH($B759,Drinks!$A$4:$A$53,0)),0))</f>
        <v/>
      </c>
      <c r="H759" s="10" t="str">
        <f aca="false">IF($B759="","",$D759*$G759)</f>
        <v/>
      </c>
      <c r="I759" s="10" t="str">
        <f aca="false">IF($B759="","",$F759*$G759)</f>
        <v/>
      </c>
      <c r="J759" s="9"/>
      <c r="K759" s="10" t="str">
        <f aca="false">IF($B759="","",$E759*IFERROR(INDEX(Drinks!$B$4:$B$53,MATCH($B759,Drinks!$A$4:$A$53,0)),0))</f>
        <v/>
      </c>
      <c r="L759" s="10" t="str">
        <f aca="false">IF($B759="","",$J759+$K759)</f>
        <v/>
      </c>
      <c r="M759" s="9"/>
      <c r="N759" s="10" t="str">
        <f aca="false">IF($B759="","",$L759-$M759)</f>
        <v/>
      </c>
      <c r="O759" s="10" t="str">
        <f aca="false">IF($B759="","",IFERROR(INDEX(Drinks!$E$4:$E$53,MATCH($B759,Drinks!$A$4:$A$53,0)),0))</f>
        <v/>
      </c>
      <c r="P759" s="10" t="str">
        <f aca="false">IF($B759="","",$N759*$O759)</f>
        <v/>
      </c>
      <c r="Q759" s="10" t="str">
        <f aca="false">IF($B759="","",$N759*IFERROR(INDEX(Drinks!$D$4:$D$53,MATCH($B759,Drinks!$A$4:$A$53,0)),0))</f>
        <v/>
      </c>
      <c r="R759" s="10" t="str">
        <f aca="false">IF($B759="","",$P759-$Q759)</f>
        <v/>
      </c>
      <c r="S759" s="23" t="str">
        <f aca="false">IF($B759="","",IF(COUNTIFS($A$4:$A$2003,$A759-1,$B$4:$B$2003,$B759)=0,"first day",IF(SUMIFS($M$4:$M$2003,$A$4:$A$2003,$A759-1,$B$4:$B$2003,$B759)=$J759,"OK","CHECK")))</f>
        <v/>
      </c>
      <c r="T759" s="10" t="str">
        <f aca="false">IF($B759="","",IFERROR(INDEX(Drinks!$D$4:$D$53,MATCH($B759,Drinks!$A$4:$A$53,0)),0))</f>
        <v/>
      </c>
    </row>
    <row r="760" customFormat="false" ht="15" hidden="false" customHeight="false" outlineLevel="0" collapsed="false">
      <c r="A760" s="22"/>
      <c r="B760" s="9"/>
      <c r="C760" s="9"/>
      <c r="D760" s="9"/>
      <c r="E760" s="9"/>
      <c r="F760" s="10" t="str">
        <f aca="false">IF($B760="","",$C760+$D760-$E760)</f>
        <v/>
      </c>
      <c r="G760" s="10" t="str">
        <f aca="false">IF($B760="","",IFERROR(INDEX(Drinks!$C$4:$C$53,MATCH($B760,Drinks!$A$4:$A$53,0)),0))</f>
        <v/>
      </c>
      <c r="H760" s="10" t="str">
        <f aca="false">IF($B760="","",$D760*$G760)</f>
        <v/>
      </c>
      <c r="I760" s="10" t="str">
        <f aca="false">IF($B760="","",$F760*$G760)</f>
        <v/>
      </c>
      <c r="J760" s="9"/>
      <c r="K760" s="10" t="str">
        <f aca="false">IF($B760="","",$E760*IFERROR(INDEX(Drinks!$B$4:$B$53,MATCH($B760,Drinks!$A$4:$A$53,0)),0))</f>
        <v/>
      </c>
      <c r="L760" s="10" t="str">
        <f aca="false">IF($B760="","",$J760+$K760)</f>
        <v/>
      </c>
      <c r="M760" s="9"/>
      <c r="N760" s="10" t="str">
        <f aca="false">IF($B760="","",$L760-$M760)</f>
        <v/>
      </c>
      <c r="O760" s="10" t="str">
        <f aca="false">IF($B760="","",IFERROR(INDEX(Drinks!$E$4:$E$53,MATCH($B760,Drinks!$A$4:$A$53,0)),0))</f>
        <v/>
      </c>
      <c r="P760" s="10" t="str">
        <f aca="false">IF($B760="","",$N760*$O760)</f>
        <v/>
      </c>
      <c r="Q760" s="10" t="str">
        <f aca="false">IF($B760="","",$N760*IFERROR(INDEX(Drinks!$D$4:$D$53,MATCH($B760,Drinks!$A$4:$A$53,0)),0))</f>
        <v/>
      </c>
      <c r="R760" s="10" t="str">
        <f aca="false">IF($B760="","",$P760-$Q760)</f>
        <v/>
      </c>
      <c r="S760" s="23" t="str">
        <f aca="false">IF($B760="","",IF(COUNTIFS($A$4:$A$2003,$A760-1,$B$4:$B$2003,$B760)=0,"first day",IF(SUMIFS($M$4:$M$2003,$A$4:$A$2003,$A760-1,$B$4:$B$2003,$B760)=$J760,"OK","CHECK")))</f>
        <v/>
      </c>
      <c r="T760" s="10" t="str">
        <f aca="false">IF($B760="","",IFERROR(INDEX(Drinks!$D$4:$D$53,MATCH($B760,Drinks!$A$4:$A$53,0)),0))</f>
        <v/>
      </c>
    </row>
    <row r="761" customFormat="false" ht="15" hidden="false" customHeight="false" outlineLevel="0" collapsed="false">
      <c r="A761" s="22"/>
      <c r="B761" s="9"/>
      <c r="C761" s="9"/>
      <c r="D761" s="9"/>
      <c r="E761" s="9"/>
      <c r="F761" s="10" t="str">
        <f aca="false">IF($B761="","",$C761+$D761-$E761)</f>
        <v/>
      </c>
      <c r="G761" s="10" t="str">
        <f aca="false">IF($B761="","",IFERROR(INDEX(Drinks!$C$4:$C$53,MATCH($B761,Drinks!$A$4:$A$53,0)),0))</f>
        <v/>
      </c>
      <c r="H761" s="10" t="str">
        <f aca="false">IF($B761="","",$D761*$G761)</f>
        <v/>
      </c>
      <c r="I761" s="10" t="str">
        <f aca="false">IF($B761="","",$F761*$G761)</f>
        <v/>
      </c>
      <c r="J761" s="9"/>
      <c r="K761" s="10" t="str">
        <f aca="false">IF($B761="","",$E761*IFERROR(INDEX(Drinks!$B$4:$B$53,MATCH($B761,Drinks!$A$4:$A$53,0)),0))</f>
        <v/>
      </c>
      <c r="L761" s="10" t="str">
        <f aca="false">IF($B761="","",$J761+$K761)</f>
        <v/>
      </c>
      <c r="M761" s="9"/>
      <c r="N761" s="10" t="str">
        <f aca="false">IF($B761="","",$L761-$M761)</f>
        <v/>
      </c>
      <c r="O761" s="10" t="str">
        <f aca="false">IF($B761="","",IFERROR(INDEX(Drinks!$E$4:$E$53,MATCH($B761,Drinks!$A$4:$A$53,0)),0))</f>
        <v/>
      </c>
      <c r="P761" s="10" t="str">
        <f aca="false">IF($B761="","",$N761*$O761)</f>
        <v/>
      </c>
      <c r="Q761" s="10" t="str">
        <f aca="false">IF($B761="","",$N761*IFERROR(INDEX(Drinks!$D$4:$D$53,MATCH($B761,Drinks!$A$4:$A$53,0)),0))</f>
        <v/>
      </c>
      <c r="R761" s="10" t="str">
        <f aca="false">IF($B761="","",$P761-$Q761)</f>
        <v/>
      </c>
      <c r="S761" s="23" t="str">
        <f aca="false">IF($B761="","",IF(COUNTIFS($A$4:$A$2003,$A761-1,$B$4:$B$2003,$B761)=0,"first day",IF(SUMIFS($M$4:$M$2003,$A$4:$A$2003,$A761-1,$B$4:$B$2003,$B761)=$J761,"OK","CHECK")))</f>
        <v/>
      </c>
      <c r="T761" s="10" t="str">
        <f aca="false">IF($B761="","",IFERROR(INDEX(Drinks!$D$4:$D$53,MATCH($B761,Drinks!$A$4:$A$53,0)),0))</f>
        <v/>
      </c>
    </row>
    <row r="762" customFormat="false" ht="15" hidden="false" customHeight="false" outlineLevel="0" collapsed="false">
      <c r="A762" s="22"/>
      <c r="B762" s="9"/>
      <c r="C762" s="9"/>
      <c r="D762" s="9"/>
      <c r="E762" s="9"/>
      <c r="F762" s="10" t="str">
        <f aca="false">IF($B762="","",$C762+$D762-$E762)</f>
        <v/>
      </c>
      <c r="G762" s="10" t="str">
        <f aca="false">IF($B762="","",IFERROR(INDEX(Drinks!$C$4:$C$53,MATCH($B762,Drinks!$A$4:$A$53,0)),0))</f>
        <v/>
      </c>
      <c r="H762" s="10" t="str">
        <f aca="false">IF($B762="","",$D762*$G762)</f>
        <v/>
      </c>
      <c r="I762" s="10" t="str">
        <f aca="false">IF($B762="","",$F762*$G762)</f>
        <v/>
      </c>
      <c r="J762" s="9"/>
      <c r="K762" s="10" t="str">
        <f aca="false">IF($B762="","",$E762*IFERROR(INDEX(Drinks!$B$4:$B$53,MATCH($B762,Drinks!$A$4:$A$53,0)),0))</f>
        <v/>
      </c>
      <c r="L762" s="10" t="str">
        <f aca="false">IF($B762="","",$J762+$K762)</f>
        <v/>
      </c>
      <c r="M762" s="9"/>
      <c r="N762" s="10" t="str">
        <f aca="false">IF($B762="","",$L762-$M762)</f>
        <v/>
      </c>
      <c r="O762" s="10" t="str">
        <f aca="false">IF($B762="","",IFERROR(INDEX(Drinks!$E$4:$E$53,MATCH($B762,Drinks!$A$4:$A$53,0)),0))</f>
        <v/>
      </c>
      <c r="P762" s="10" t="str">
        <f aca="false">IF($B762="","",$N762*$O762)</f>
        <v/>
      </c>
      <c r="Q762" s="10" t="str">
        <f aca="false">IF($B762="","",$N762*IFERROR(INDEX(Drinks!$D$4:$D$53,MATCH($B762,Drinks!$A$4:$A$53,0)),0))</f>
        <v/>
      </c>
      <c r="R762" s="10" t="str">
        <f aca="false">IF($B762="","",$P762-$Q762)</f>
        <v/>
      </c>
      <c r="S762" s="23" t="str">
        <f aca="false">IF($B762="","",IF(COUNTIFS($A$4:$A$2003,$A762-1,$B$4:$B$2003,$B762)=0,"first day",IF(SUMIFS($M$4:$M$2003,$A$4:$A$2003,$A762-1,$B$4:$B$2003,$B762)=$J762,"OK","CHECK")))</f>
        <v/>
      </c>
      <c r="T762" s="10" t="str">
        <f aca="false">IF($B762="","",IFERROR(INDEX(Drinks!$D$4:$D$53,MATCH($B762,Drinks!$A$4:$A$53,0)),0))</f>
        <v/>
      </c>
    </row>
    <row r="763" customFormat="false" ht="15" hidden="false" customHeight="false" outlineLevel="0" collapsed="false">
      <c r="A763" s="22"/>
      <c r="B763" s="9"/>
      <c r="C763" s="9"/>
      <c r="D763" s="9"/>
      <c r="E763" s="9"/>
      <c r="F763" s="10" t="str">
        <f aca="false">IF($B763="","",$C763+$D763-$E763)</f>
        <v/>
      </c>
      <c r="G763" s="10" t="str">
        <f aca="false">IF($B763="","",IFERROR(INDEX(Drinks!$C$4:$C$53,MATCH($B763,Drinks!$A$4:$A$53,0)),0))</f>
        <v/>
      </c>
      <c r="H763" s="10" t="str">
        <f aca="false">IF($B763="","",$D763*$G763)</f>
        <v/>
      </c>
      <c r="I763" s="10" t="str">
        <f aca="false">IF($B763="","",$F763*$G763)</f>
        <v/>
      </c>
      <c r="J763" s="9"/>
      <c r="K763" s="10" t="str">
        <f aca="false">IF($B763="","",$E763*IFERROR(INDEX(Drinks!$B$4:$B$53,MATCH($B763,Drinks!$A$4:$A$53,0)),0))</f>
        <v/>
      </c>
      <c r="L763" s="10" t="str">
        <f aca="false">IF($B763="","",$J763+$K763)</f>
        <v/>
      </c>
      <c r="M763" s="9"/>
      <c r="N763" s="10" t="str">
        <f aca="false">IF($B763="","",$L763-$M763)</f>
        <v/>
      </c>
      <c r="O763" s="10" t="str">
        <f aca="false">IF($B763="","",IFERROR(INDEX(Drinks!$E$4:$E$53,MATCH($B763,Drinks!$A$4:$A$53,0)),0))</f>
        <v/>
      </c>
      <c r="P763" s="10" t="str">
        <f aca="false">IF($B763="","",$N763*$O763)</f>
        <v/>
      </c>
      <c r="Q763" s="10" t="str">
        <f aca="false">IF($B763="","",$N763*IFERROR(INDEX(Drinks!$D$4:$D$53,MATCH($B763,Drinks!$A$4:$A$53,0)),0))</f>
        <v/>
      </c>
      <c r="R763" s="10" t="str">
        <f aca="false">IF($B763="","",$P763-$Q763)</f>
        <v/>
      </c>
      <c r="S763" s="23" t="str">
        <f aca="false">IF($B763="","",IF(COUNTIFS($A$4:$A$2003,$A763-1,$B$4:$B$2003,$B763)=0,"first day",IF(SUMIFS($M$4:$M$2003,$A$4:$A$2003,$A763-1,$B$4:$B$2003,$B763)=$J763,"OK","CHECK")))</f>
        <v/>
      </c>
      <c r="T763" s="10" t="str">
        <f aca="false">IF($B763="","",IFERROR(INDEX(Drinks!$D$4:$D$53,MATCH($B763,Drinks!$A$4:$A$53,0)),0))</f>
        <v/>
      </c>
    </row>
    <row r="764" customFormat="false" ht="15" hidden="false" customHeight="false" outlineLevel="0" collapsed="false">
      <c r="A764" s="22"/>
      <c r="B764" s="9"/>
      <c r="C764" s="9"/>
      <c r="D764" s="9"/>
      <c r="E764" s="9"/>
      <c r="F764" s="10" t="str">
        <f aca="false">IF($B764="","",$C764+$D764-$E764)</f>
        <v/>
      </c>
      <c r="G764" s="10" t="str">
        <f aca="false">IF($B764="","",IFERROR(INDEX(Drinks!$C$4:$C$53,MATCH($B764,Drinks!$A$4:$A$53,0)),0))</f>
        <v/>
      </c>
      <c r="H764" s="10" t="str">
        <f aca="false">IF($B764="","",$D764*$G764)</f>
        <v/>
      </c>
      <c r="I764" s="10" t="str">
        <f aca="false">IF($B764="","",$F764*$G764)</f>
        <v/>
      </c>
      <c r="J764" s="9"/>
      <c r="K764" s="10" t="str">
        <f aca="false">IF($B764="","",$E764*IFERROR(INDEX(Drinks!$B$4:$B$53,MATCH($B764,Drinks!$A$4:$A$53,0)),0))</f>
        <v/>
      </c>
      <c r="L764" s="10" t="str">
        <f aca="false">IF($B764="","",$J764+$K764)</f>
        <v/>
      </c>
      <c r="M764" s="9"/>
      <c r="N764" s="10" t="str">
        <f aca="false">IF($B764="","",$L764-$M764)</f>
        <v/>
      </c>
      <c r="O764" s="10" t="str">
        <f aca="false">IF($B764="","",IFERROR(INDEX(Drinks!$E$4:$E$53,MATCH($B764,Drinks!$A$4:$A$53,0)),0))</f>
        <v/>
      </c>
      <c r="P764" s="10" t="str">
        <f aca="false">IF($B764="","",$N764*$O764)</f>
        <v/>
      </c>
      <c r="Q764" s="10" t="str">
        <f aca="false">IF($B764="","",$N764*IFERROR(INDEX(Drinks!$D$4:$D$53,MATCH($B764,Drinks!$A$4:$A$53,0)),0))</f>
        <v/>
      </c>
      <c r="R764" s="10" t="str">
        <f aca="false">IF($B764="","",$P764-$Q764)</f>
        <v/>
      </c>
      <c r="S764" s="23" t="str">
        <f aca="false">IF($B764="","",IF(COUNTIFS($A$4:$A$2003,$A764-1,$B$4:$B$2003,$B764)=0,"first day",IF(SUMIFS($M$4:$M$2003,$A$4:$A$2003,$A764-1,$B$4:$B$2003,$B764)=$J764,"OK","CHECK")))</f>
        <v/>
      </c>
      <c r="T764" s="10" t="str">
        <f aca="false">IF($B764="","",IFERROR(INDEX(Drinks!$D$4:$D$53,MATCH($B764,Drinks!$A$4:$A$53,0)),0))</f>
        <v/>
      </c>
    </row>
    <row r="765" customFormat="false" ht="15" hidden="false" customHeight="false" outlineLevel="0" collapsed="false">
      <c r="A765" s="22"/>
      <c r="B765" s="9"/>
      <c r="C765" s="9"/>
      <c r="D765" s="9"/>
      <c r="E765" s="9"/>
      <c r="F765" s="10" t="str">
        <f aca="false">IF($B765="","",$C765+$D765-$E765)</f>
        <v/>
      </c>
      <c r="G765" s="10" t="str">
        <f aca="false">IF($B765="","",IFERROR(INDEX(Drinks!$C$4:$C$53,MATCH($B765,Drinks!$A$4:$A$53,0)),0))</f>
        <v/>
      </c>
      <c r="H765" s="10" t="str">
        <f aca="false">IF($B765="","",$D765*$G765)</f>
        <v/>
      </c>
      <c r="I765" s="10" t="str">
        <f aca="false">IF($B765="","",$F765*$G765)</f>
        <v/>
      </c>
      <c r="J765" s="9"/>
      <c r="K765" s="10" t="str">
        <f aca="false">IF($B765="","",$E765*IFERROR(INDEX(Drinks!$B$4:$B$53,MATCH($B765,Drinks!$A$4:$A$53,0)),0))</f>
        <v/>
      </c>
      <c r="L765" s="10" t="str">
        <f aca="false">IF($B765="","",$J765+$K765)</f>
        <v/>
      </c>
      <c r="M765" s="9"/>
      <c r="N765" s="10" t="str">
        <f aca="false">IF($B765="","",$L765-$M765)</f>
        <v/>
      </c>
      <c r="O765" s="10" t="str">
        <f aca="false">IF($B765="","",IFERROR(INDEX(Drinks!$E$4:$E$53,MATCH($B765,Drinks!$A$4:$A$53,0)),0))</f>
        <v/>
      </c>
      <c r="P765" s="10" t="str">
        <f aca="false">IF($B765="","",$N765*$O765)</f>
        <v/>
      </c>
      <c r="Q765" s="10" t="str">
        <f aca="false">IF($B765="","",$N765*IFERROR(INDEX(Drinks!$D$4:$D$53,MATCH($B765,Drinks!$A$4:$A$53,0)),0))</f>
        <v/>
      </c>
      <c r="R765" s="10" t="str">
        <f aca="false">IF($B765="","",$P765-$Q765)</f>
        <v/>
      </c>
      <c r="S765" s="23" t="str">
        <f aca="false">IF($B765="","",IF(COUNTIFS($A$4:$A$2003,$A765-1,$B$4:$B$2003,$B765)=0,"first day",IF(SUMIFS($M$4:$M$2003,$A$4:$A$2003,$A765-1,$B$4:$B$2003,$B765)=$J765,"OK","CHECK")))</f>
        <v/>
      </c>
      <c r="T765" s="10" t="str">
        <f aca="false">IF($B765="","",IFERROR(INDEX(Drinks!$D$4:$D$53,MATCH($B765,Drinks!$A$4:$A$53,0)),0))</f>
        <v/>
      </c>
    </row>
    <row r="766" customFormat="false" ht="15" hidden="false" customHeight="false" outlineLevel="0" collapsed="false">
      <c r="A766" s="22"/>
      <c r="B766" s="9"/>
      <c r="C766" s="9"/>
      <c r="D766" s="9"/>
      <c r="E766" s="9"/>
      <c r="F766" s="10" t="str">
        <f aca="false">IF($B766="","",$C766+$D766-$E766)</f>
        <v/>
      </c>
      <c r="G766" s="10" t="str">
        <f aca="false">IF($B766="","",IFERROR(INDEX(Drinks!$C$4:$C$53,MATCH($B766,Drinks!$A$4:$A$53,0)),0))</f>
        <v/>
      </c>
      <c r="H766" s="10" t="str">
        <f aca="false">IF($B766="","",$D766*$G766)</f>
        <v/>
      </c>
      <c r="I766" s="10" t="str">
        <f aca="false">IF($B766="","",$F766*$G766)</f>
        <v/>
      </c>
      <c r="J766" s="9"/>
      <c r="K766" s="10" t="str">
        <f aca="false">IF($B766="","",$E766*IFERROR(INDEX(Drinks!$B$4:$B$53,MATCH($B766,Drinks!$A$4:$A$53,0)),0))</f>
        <v/>
      </c>
      <c r="L766" s="10" t="str">
        <f aca="false">IF($B766="","",$J766+$K766)</f>
        <v/>
      </c>
      <c r="M766" s="9"/>
      <c r="N766" s="10" t="str">
        <f aca="false">IF($B766="","",$L766-$M766)</f>
        <v/>
      </c>
      <c r="O766" s="10" t="str">
        <f aca="false">IF($B766="","",IFERROR(INDEX(Drinks!$E$4:$E$53,MATCH($B766,Drinks!$A$4:$A$53,0)),0))</f>
        <v/>
      </c>
      <c r="P766" s="10" t="str">
        <f aca="false">IF($B766="","",$N766*$O766)</f>
        <v/>
      </c>
      <c r="Q766" s="10" t="str">
        <f aca="false">IF($B766="","",$N766*IFERROR(INDEX(Drinks!$D$4:$D$53,MATCH($B766,Drinks!$A$4:$A$53,0)),0))</f>
        <v/>
      </c>
      <c r="R766" s="10" t="str">
        <f aca="false">IF($B766="","",$P766-$Q766)</f>
        <v/>
      </c>
      <c r="S766" s="23" t="str">
        <f aca="false">IF($B766="","",IF(COUNTIFS($A$4:$A$2003,$A766-1,$B$4:$B$2003,$B766)=0,"first day",IF(SUMIFS($M$4:$M$2003,$A$4:$A$2003,$A766-1,$B$4:$B$2003,$B766)=$J766,"OK","CHECK")))</f>
        <v/>
      </c>
      <c r="T766" s="10" t="str">
        <f aca="false">IF($B766="","",IFERROR(INDEX(Drinks!$D$4:$D$53,MATCH($B766,Drinks!$A$4:$A$53,0)),0))</f>
        <v/>
      </c>
    </row>
    <row r="767" customFormat="false" ht="15" hidden="false" customHeight="false" outlineLevel="0" collapsed="false">
      <c r="A767" s="22"/>
      <c r="B767" s="9"/>
      <c r="C767" s="9"/>
      <c r="D767" s="9"/>
      <c r="E767" s="9"/>
      <c r="F767" s="10" t="str">
        <f aca="false">IF($B767="","",$C767+$D767-$E767)</f>
        <v/>
      </c>
      <c r="G767" s="10" t="str">
        <f aca="false">IF($B767="","",IFERROR(INDEX(Drinks!$C$4:$C$53,MATCH($B767,Drinks!$A$4:$A$53,0)),0))</f>
        <v/>
      </c>
      <c r="H767" s="10" t="str">
        <f aca="false">IF($B767="","",$D767*$G767)</f>
        <v/>
      </c>
      <c r="I767" s="10" t="str">
        <f aca="false">IF($B767="","",$F767*$G767)</f>
        <v/>
      </c>
      <c r="J767" s="9"/>
      <c r="K767" s="10" t="str">
        <f aca="false">IF($B767="","",$E767*IFERROR(INDEX(Drinks!$B$4:$B$53,MATCH($B767,Drinks!$A$4:$A$53,0)),0))</f>
        <v/>
      </c>
      <c r="L767" s="10" t="str">
        <f aca="false">IF($B767="","",$J767+$K767)</f>
        <v/>
      </c>
      <c r="M767" s="9"/>
      <c r="N767" s="10" t="str">
        <f aca="false">IF($B767="","",$L767-$M767)</f>
        <v/>
      </c>
      <c r="O767" s="10" t="str">
        <f aca="false">IF($B767="","",IFERROR(INDEX(Drinks!$E$4:$E$53,MATCH($B767,Drinks!$A$4:$A$53,0)),0))</f>
        <v/>
      </c>
      <c r="P767" s="10" t="str">
        <f aca="false">IF($B767="","",$N767*$O767)</f>
        <v/>
      </c>
      <c r="Q767" s="10" t="str">
        <f aca="false">IF($B767="","",$N767*IFERROR(INDEX(Drinks!$D$4:$D$53,MATCH($B767,Drinks!$A$4:$A$53,0)),0))</f>
        <v/>
      </c>
      <c r="R767" s="10" t="str">
        <f aca="false">IF($B767="","",$P767-$Q767)</f>
        <v/>
      </c>
      <c r="S767" s="23" t="str">
        <f aca="false">IF($B767="","",IF(COUNTIFS($A$4:$A$2003,$A767-1,$B$4:$B$2003,$B767)=0,"first day",IF(SUMIFS($M$4:$M$2003,$A$4:$A$2003,$A767-1,$B$4:$B$2003,$B767)=$J767,"OK","CHECK")))</f>
        <v/>
      </c>
      <c r="T767" s="10" t="str">
        <f aca="false">IF($B767="","",IFERROR(INDEX(Drinks!$D$4:$D$53,MATCH($B767,Drinks!$A$4:$A$53,0)),0))</f>
        <v/>
      </c>
    </row>
    <row r="768" customFormat="false" ht="15" hidden="false" customHeight="false" outlineLevel="0" collapsed="false">
      <c r="A768" s="22"/>
      <c r="B768" s="9"/>
      <c r="C768" s="9"/>
      <c r="D768" s="9"/>
      <c r="E768" s="9"/>
      <c r="F768" s="10" t="str">
        <f aca="false">IF($B768="","",$C768+$D768-$E768)</f>
        <v/>
      </c>
      <c r="G768" s="10" t="str">
        <f aca="false">IF($B768="","",IFERROR(INDEX(Drinks!$C$4:$C$53,MATCH($B768,Drinks!$A$4:$A$53,0)),0))</f>
        <v/>
      </c>
      <c r="H768" s="10" t="str">
        <f aca="false">IF($B768="","",$D768*$G768)</f>
        <v/>
      </c>
      <c r="I768" s="10" t="str">
        <f aca="false">IF($B768="","",$F768*$G768)</f>
        <v/>
      </c>
      <c r="J768" s="9"/>
      <c r="K768" s="10" t="str">
        <f aca="false">IF($B768="","",$E768*IFERROR(INDEX(Drinks!$B$4:$B$53,MATCH($B768,Drinks!$A$4:$A$53,0)),0))</f>
        <v/>
      </c>
      <c r="L768" s="10" t="str">
        <f aca="false">IF($B768="","",$J768+$K768)</f>
        <v/>
      </c>
      <c r="M768" s="9"/>
      <c r="N768" s="10" t="str">
        <f aca="false">IF($B768="","",$L768-$M768)</f>
        <v/>
      </c>
      <c r="O768" s="10" t="str">
        <f aca="false">IF($B768="","",IFERROR(INDEX(Drinks!$E$4:$E$53,MATCH($B768,Drinks!$A$4:$A$53,0)),0))</f>
        <v/>
      </c>
      <c r="P768" s="10" t="str">
        <f aca="false">IF($B768="","",$N768*$O768)</f>
        <v/>
      </c>
      <c r="Q768" s="10" t="str">
        <f aca="false">IF($B768="","",$N768*IFERROR(INDEX(Drinks!$D$4:$D$53,MATCH($B768,Drinks!$A$4:$A$53,0)),0))</f>
        <v/>
      </c>
      <c r="R768" s="10" t="str">
        <f aca="false">IF($B768="","",$P768-$Q768)</f>
        <v/>
      </c>
      <c r="S768" s="23" t="str">
        <f aca="false">IF($B768="","",IF(COUNTIFS($A$4:$A$2003,$A768-1,$B$4:$B$2003,$B768)=0,"first day",IF(SUMIFS($M$4:$M$2003,$A$4:$A$2003,$A768-1,$B$4:$B$2003,$B768)=$J768,"OK","CHECK")))</f>
        <v/>
      </c>
      <c r="T768" s="10" t="str">
        <f aca="false">IF($B768="","",IFERROR(INDEX(Drinks!$D$4:$D$53,MATCH($B768,Drinks!$A$4:$A$53,0)),0))</f>
        <v/>
      </c>
    </row>
    <row r="769" customFormat="false" ht="15" hidden="false" customHeight="false" outlineLevel="0" collapsed="false">
      <c r="A769" s="22"/>
      <c r="B769" s="9"/>
      <c r="C769" s="9"/>
      <c r="D769" s="9"/>
      <c r="E769" s="9"/>
      <c r="F769" s="10" t="str">
        <f aca="false">IF($B769="","",$C769+$D769-$E769)</f>
        <v/>
      </c>
      <c r="G769" s="10" t="str">
        <f aca="false">IF($B769="","",IFERROR(INDEX(Drinks!$C$4:$C$53,MATCH($B769,Drinks!$A$4:$A$53,0)),0))</f>
        <v/>
      </c>
      <c r="H769" s="10" t="str">
        <f aca="false">IF($B769="","",$D769*$G769)</f>
        <v/>
      </c>
      <c r="I769" s="10" t="str">
        <f aca="false">IF($B769="","",$F769*$G769)</f>
        <v/>
      </c>
      <c r="J769" s="9"/>
      <c r="K769" s="10" t="str">
        <f aca="false">IF($B769="","",$E769*IFERROR(INDEX(Drinks!$B$4:$B$53,MATCH($B769,Drinks!$A$4:$A$53,0)),0))</f>
        <v/>
      </c>
      <c r="L769" s="10" t="str">
        <f aca="false">IF($B769="","",$J769+$K769)</f>
        <v/>
      </c>
      <c r="M769" s="9"/>
      <c r="N769" s="10" t="str">
        <f aca="false">IF($B769="","",$L769-$M769)</f>
        <v/>
      </c>
      <c r="O769" s="10" t="str">
        <f aca="false">IF($B769="","",IFERROR(INDEX(Drinks!$E$4:$E$53,MATCH($B769,Drinks!$A$4:$A$53,0)),0))</f>
        <v/>
      </c>
      <c r="P769" s="10" t="str">
        <f aca="false">IF($B769="","",$N769*$O769)</f>
        <v/>
      </c>
      <c r="Q769" s="10" t="str">
        <f aca="false">IF($B769="","",$N769*IFERROR(INDEX(Drinks!$D$4:$D$53,MATCH($B769,Drinks!$A$4:$A$53,0)),0))</f>
        <v/>
      </c>
      <c r="R769" s="10" t="str">
        <f aca="false">IF($B769="","",$P769-$Q769)</f>
        <v/>
      </c>
      <c r="S769" s="23" t="str">
        <f aca="false">IF($B769="","",IF(COUNTIFS($A$4:$A$2003,$A769-1,$B$4:$B$2003,$B769)=0,"first day",IF(SUMIFS($M$4:$M$2003,$A$4:$A$2003,$A769-1,$B$4:$B$2003,$B769)=$J769,"OK","CHECK")))</f>
        <v/>
      </c>
      <c r="T769" s="10" t="str">
        <f aca="false">IF($B769="","",IFERROR(INDEX(Drinks!$D$4:$D$53,MATCH($B769,Drinks!$A$4:$A$53,0)),0))</f>
        <v/>
      </c>
    </row>
    <row r="770" customFormat="false" ht="15" hidden="false" customHeight="false" outlineLevel="0" collapsed="false">
      <c r="A770" s="22"/>
      <c r="B770" s="9"/>
      <c r="C770" s="9"/>
      <c r="D770" s="9"/>
      <c r="E770" s="9"/>
      <c r="F770" s="10" t="str">
        <f aca="false">IF($B770="","",$C770+$D770-$E770)</f>
        <v/>
      </c>
      <c r="G770" s="10" t="str">
        <f aca="false">IF($B770="","",IFERROR(INDEX(Drinks!$C$4:$C$53,MATCH($B770,Drinks!$A$4:$A$53,0)),0))</f>
        <v/>
      </c>
      <c r="H770" s="10" t="str">
        <f aca="false">IF($B770="","",$D770*$G770)</f>
        <v/>
      </c>
      <c r="I770" s="10" t="str">
        <f aca="false">IF($B770="","",$F770*$G770)</f>
        <v/>
      </c>
      <c r="J770" s="9"/>
      <c r="K770" s="10" t="str">
        <f aca="false">IF($B770="","",$E770*IFERROR(INDEX(Drinks!$B$4:$B$53,MATCH($B770,Drinks!$A$4:$A$53,0)),0))</f>
        <v/>
      </c>
      <c r="L770" s="10" t="str">
        <f aca="false">IF($B770="","",$J770+$K770)</f>
        <v/>
      </c>
      <c r="M770" s="9"/>
      <c r="N770" s="10" t="str">
        <f aca="false">IF($B770="","",$L770-$M770)</f>
        <v/>
      </c>
      <c r="O770" s="10" t="str">
        <f aca="false">IF($B770="","",IFERROR(INDEX(Drinks!$E$4:$E$53,MATCH($B770,Drinks!$A$4:$A$53,0)),0))</f>
        <v/>
      </c>
      <c r="P770" s="10" t="str">
        <f aca="false">IF($B770="","",$N770*$O770)</f>
        <v/>
      </c>
      <c r="Q770" s="10" t="str">
        <f aca="false">IF($B770="","",$N770*IFERROR(INDEX(Drinks!$D$4:$D$53,MATCH($B770,Drinks!$A$4:$A$53,0)),0))</f>
        <v/>
      </c>
      <c r="R770" s="10" t="str">
        <f aca="false">IF($B770="","",$P770-$Q770)</f>
        <v/>
      </c>
      <c r="S770" s="23" t="str">
        <f aca="false">IF($B770="","",IF(COUNTIFS($A$4:$A$2003,$A770-1,$B$4:$B$2003,$B770)=0,"first day",IF(SUMIFS($M$4:$M$2003,$A$4:$A$2003,$A770-1,$B$4:$B$2003,$B770)=$J770,"OK","CHECK")))</f>
        <v/>
      </c>
      <c r="T770" s="10" t="str">
        <f aca="false">IF($B770="","",IFERROR(INDEX(Drinks!$D$4:$D$53,MATCH($B770,Drinks!$A$4:$A$53,0)),0))</f>
        <v/>
      </c>
    </row>
    <row r="771" customFormat="false" ht="15" hidden="false" customHeight="false" outlineLevel="0" collapsed="false">
      <c r="A771" s="22"/>
      <c r="B771" s="9"/>
      <c r="C771" s="9"/>
      <c r="D771" s="9"/>
      <c r="E771" s="9"/>
      <c r="F771" s="10" t="str">
        <f aca="false">IF($B771="","",$C771+$D771-$E771)</f>
        <v/>
      </c>
      <c r="G771" s="10" t="str">
        <f aca="false">IF($B771="","",IFERROR(INDEX(Drinks!$C$4:$C$53,MATCH($B771,Drinks!$A$4:$A$53,0)),0))</f>
        <v/>
      </c>
      <c r="H771" s="10" t="str">
        <f aca="false">IF($B771="","",$D771*$G771)</f>
        <v/>
      </c>
      <c r="I771" s="10" t="str">
        <f aca="false">IF($B771="","",$F771*$G771)</f>
        <v/>
      </c>
      <c r="J771" s="9"/>
      <c r="K771" s="10" t="str">
        <f aca="false">IF($B771="","",$E771*IFERROR(INDEX(Drinks!$B$4:$B$53,MATCH($B771,Drinks!$A$4:$A$53,0)),0))</f>
        <v/>
      </c>
      <c r="L771" s="10" t="str">
        <f aca="false">IF($B771="","",$J771+$K771)</f>
        <v/>
      </c>
      <c r="M771" s="9"/>
      <c r="N771" s="10" t="str">
        <f aca="false">IF($B771="","",$L771-$M771)</f>
        <v/>
      </c>
      <c r="O771" s="10" t="str">
        <f aca="false">IF($B771="","",IFERROR(INDEX(Drinks!$E$4:$E$53,MATCH($B771,Drinks!$A$4:$A$53,0)),0))</f>
        <v/>
      </c>
      <c r="P771" s="10" t="str">
        <f aca="false">IF($B771="","",$N771*$O771)</f>
        <v/>
      </c>
      <c r="Q771" s="10" t="str">
        <f aca="false">IF($B771="","",$N771*IFERROR(INDEX(Drinks!$D$4:$D$53,MATCH($B771,Drinks!$A$4:$A$53,0)),0))</f>
        <v/>
      </c>
      <c r="R771" s="10" t="str">
        <f aca="false">IF($B771="","",$P771-$Q771)</f>
        <v/>
      </c>
      <c r="S771" s="23" t="str">
        <f aca="false">IF($B771="","",IF(COUNTIFS($A$4:$A$2003,$A771-1,$B$4:$B$2003,$B771)=0,"first day",IF(SUMIFS($M$4:$M$2003,$A$4:$A$2003,$A771-1,$B$4:$B$2003,$B771)=$J771,"OK","CHECK")))</f>
        <v/>
      </c>
      <c r="T771" s="10" t="str">
        <f aca="false">IF($B771="","",IFERROR(INDEX(Drinks!$D$4:$D$53,MATCH($B771,Drinks!$A$4:$A$53,0)),0))</f>
        <v/>
      </c>
    </row>
    <row r="772" customFormat="false" ht="15" hidden="false" customHeight="false" outlineLevel="0" collapsed="false">
      <c r="A772" s="22"/>
      <c r="B772" s="9"/>
      <c r="C772" s="9"/>
      <c r="D772" s="9"/>
      <c r="E772" s="9"/>
      <c r="F772" s="10" t="str">
        <f aca="false">IF($B772="","",$C772+$D772-$E772)</f>
        <v/>
      </c>
      <c r="G772" s="10" t="str">
        <f aca="false">IF($B772="","",IFERROR(INDEX(Drinks!$C$4:$C$53,MATCH($B772,Drinks!$A$4:$A$53,0)),0))</f>
        <v/>
      </c>
      <c r="H772" s="10" t="str">
        <f aca="false">IF($B772="","",$D772*$G772)</f>
        <v/>
      </c>
      <c r="I772" s="10" t="str">
        <f aca="false">IF($B772="","",$F772*$G772)</f>
        <v/>
      </c>
      <c r="J772" s="9"/>
      <c r="K772" s="10" t="str">
        <f aca="false">IF($B772="","",$E772*IFERROR(INDEX(Drinks!$B$4:$B$53,MATCH($B772,Drinks!$A$4:$A$53,0)),0))</f>
        <v/>
      </c>
      <c r="L772" s="10" t="str">
        <f aca="false">IF($B772="","",$J772+$K772)</f>
        <v/>
      </c>
      <c r="M772" s="9"/>
      <c r="N772" s="10" t="str">
        <f aca="false">IF($B772="","",$L772-$M772)</f>
        <v/>
      </c>
      <c r="O772" s="10" t="str">
        <f aca="false">IF($B772="","",IFERROR(INDEX(Drinks!$E$4:$E$53,MATCH($B772,Drinks!$A$4:$A$53,0)),0))</f>
        <v/>
      </c>
      <c r="P772" s="10" t="str">
        <f aca="false">IF($B772="","",$N772*$O772)</f>
        <v/>
      </c>
      <c r="Q772" s="10" t="str">
        <f aca="false">IF($B772="","",$N772*IFERROR(INDEX(Drinks!$D$4:$D$53,MATCH($B772,Drinks!$A$4:$A$53,0)),0))</f>
        <v/>
      </c>
      <c r="R772" s="10" t="str">
        <f aca="false">IF($B772="","",$P772-$Q772)</f>
        <v/>
      </c>
      <c r="S772" s="23" t="str">
        <f aca="false">IF($B772="","",IF(COUNTIFS($A$4:$A$2003,$A772-1,$B$4:$B$2003,$B772)=0,"first day",IF(SUMIFS($M$4:$M$2003,$A$4:$A$2003,$A772-1,$B$4:$B$2003,$B772)=$J772,"OK","CHECK")))</f>
        <v/>
      </c>
      <c r="T772" s="10" t="str">
        <f aca="false">IF($B772="","",IFERROR(INDEX(Drinks!$D$4:$D$53,MATCH($B772,Drinks!$A$4:$A$53,0)),0))</f>
        <v/>
      </c>
    </row>
    <row r="773" customFormat="false" ht="15" hidden="false" customHeight="false" outlineLevel="0" collapsed="false">
      <c r="A773" s="22"/>
      <c r="B773" s="9"/>
      <c r="C773" s="9"/>
      <c r="D773" s="9"/>
      <c r="E773" s="9"/>
      <c r="F773" s="10" t="str">
        <f aca="false">IF($B773="","",$C773+$D773-$E773)</f>
        <v/>
      </c>
      <c r="G773" s="10" t="str">
        <f aca="false">IF($B773="","",IFERROR(INDEX(Drinks!$C$4:$C$53,MATCH($B773,Drinks!$A$4:$A$53,0)),0))</f>
        <v/>
      </c>
      <c r="H773" s="10" t="str">
        <f aca="false">IF($B773="","",$D773*$G773)</f>
        <v/>
      </c>
      <c r="I773" s="10" t="str">
        <f aca="false">IF($B773="","",$F773*$G773)</f>
        <v/>
      </c>
      <c r="J773" s="9"/>
      <c r="K773" s="10" t="str">
        <f aca="false">IF($B773="","",$E773*IFERROR(INDEX(Drinks!$B$4:$B$53,MATCH($B773,Drinks!$A$4:$A$53,0)),0))</f>
        <v/>
      </c>
      <c r="L773" s="10" t="str">
        <f aca="false">IF($B773="","",$J773+$K773)</f>
        <v/>
      </c>
      <c r="M773" s="9"/>
      <c r="N773" s="10" t="str">
        <f aca="false">IF($B773="","",$L773-$M773)</f>
        <v/>
      </c>
      <c r="O773" s="10" t="str">
        <f aca="false">IF($B773="","",IFERROR(INDEX(Drinks!$E$4:$E$53,MATCH($B773,Drinks!$A$4:$A$53,0)),0))</f>
        <v/>
      </c>
      <c r="P773" s="10" t="str">
        <f aca="false">IF($B773="","",$N773*$O773)</f>
        <v/>
      </c>
      <c r="Q773" s="10" t="str">
        <f aca="false">IF($B773="","",$N773*IFERROR(INDEX(Drinks!$D$4:$D$53,MATCH($B773,Drinks!$A$4:$A$53,0)),0))</f>
        <v/>
      </c>
      <c r="R773" s="10" t="str">
        <f aca="false">IF($B773="","",$P773-$Q773)</f>
        <v/>
      </c>
      <c r="S773" s="23" t="str">
        <f aca="false">IF($B773="","",IF(COUNTIFS($A$4:$A$2003,$A773-1,$B$4:$B$2003,$B773)=0,"first day",IF(SUMIFS($M$4:$M$2003,$A$4:$A$2003,$A773-1,$B$4:$B$2003,$B773)=$J773,"OK","CHECK")))</f>
        <v/>
      </c>
      <c r="T773" s="10" t="str">
        <f aca="false">IF($B773="","",IFERROR(INDEX(Drinks!$D$4:$D$53,MATCH($B773,Drinks!$A$4:$A$53,0)),0))</f>
        <v/>
      </c>
    </row>
    <row r="774" customFormat="false" ht="15" hidden="false" customHeight="false" outlineLevel="0" collapsed="false">
      <c r="A774" s="22"/>
      <c r="B774" s="9"/>
      <c r="C774" s="9"/>
      <c r="D774" s="9"/>
      <c r="E774" s="9"/>
      <c r="F774" s="10" t="str">
        <f aca="false">IF($B774="","",$C774+$D774-$E774)</f>
        <v/>
      </c>
      <c r="G774" s="10" t="str">
        <f aca="false">IF($B774="","",IFERROR(INDEX(Drinks!$C$4:$C$53,MATCH($B774,Drinks!$A$4:$A$53,0)),0))</f>
        <v/>
      </c>
      <c r="H774" s="10" t="str">
        <f aca="false">IF($B774="","",$D774*$G774)</f>
        <v/>
      </c>
      <c r="I774" s="10" t="str">
        <f aca="false">IF($B774="","",$F774*$G774)</f>
        <v/>
      </c>
      <c r="J774" s="9"/>
      <c r="K774" s="10" t="str">
        <f aca="false">IF($B774="","",$E774*IFERROR(INDEX(Drinks!$B$4:$B$53,MATCH($B774,Drinks!$A$4:$A$53,0)),0))</f>
        <v/>
      </c>
      <c r="L774" s="10" t="str">
        <f aca="false">IF($B774="","",$J774+$K774)</f>
        <v/>
      </c>
      <c r="M774" s="9"/>
      <c r="N774" s="10" t="str">
        <f aca="false">IF($B774="","",$L774-$M774)</f>
        <v/>
      </c>
      <c r="O774" s="10" t="str">
        <f aca="false">IF($B774="","",IFERROR(INDEX(Drinks!$E$4:$E$53,MATCH($B774,Drinks!$A$4:$A$53,0)),0))</f>
        <v/>
      </c>
      <c r="P774" s="10" t="str">
        <f aca="false">IF($B774="","",$N774*$O774)</f>
        <v/>
      </c>
      <c r="Q774" s="10" t="str">
        <f aca="false">IF($B774="","",$N774*IFERROR(INDEX(Drinks!$D$4:$D$53,MATCH($B774,Drinks!$A$4:$A$53,0)),0))</f>
        <v/>
      </c>
      <c r="R774" s="10" t="str">
        <f aca="false">IF($B774="","",$P774-$Q774)</f>
        <v/>
      </c>
      <c r="S774" s="23" t="str">
        <f aca="false">IF($B774="","",IF(COUNTIFS($A$4:$A$2003,$A774-1,$B$4:$B$2003,$B774)=0,"first day",IF(SUMIFS($M$4:$M$2003,$A$4:$A$2003,$A774-1,$B$4:$B$2003,$B774)=$J774,"OK","CHECK")))</f>
        <v/>
      </c>
      <c r="T774" s="10" t="str">
        <f aca="false">IF($B774="","",IFERROR(INDEX(Drinks!$D$4:$D$53,MATCH($B774,Drinks!$A$4:$A$53,0)),0))</f>
        <v/>
      </c>
    </row>
    <row r="775" customFormat="false" ht="15" hidden="false" customHeight="false" outlineLevel="0" collapsed="false">
      <c r="A775" s="22"/>
      <c r="B775" s="9"/>
      <c r="C775" s="9"/>
      <c r="D775" s="9"/>
      <c r="E775" s="9"/>
      <c r="F775" s="10" t="str">
        <f aca="false">IF($B775="","",$C775+$D775-$E775)</f>
        <v/>
      </c>
      <c r="G775" s="10" t="str">
        <f aca="false">IF($B775="","",IFERROR(INDEX(Drinks!$C$4:$C$53,MATCH($B775,Drinks!$A$4:$A$53,0)),0))</f>
        <v/>
      </c>
      <c r="H775" s="10" t="str">
        <f aca="false">IF($B775="","",$D775*$G775)</f>
        <v/>
      </c>
      <c r="I775" s="10" t="str">
        <f aca="false">IF($B775="","",$F775*$G775)</f>
        <v/>
      </c>
      <c r="J775" s="9"/>
      <c r="K775" s="10" t="str">
        <f aca="false">IF($B775="","",$E775*IFERROR(INDEX(Drinks!$B$4:$B$53,MATCH($B775,Drinks!$A$4:$A$53,0)),0))</f>
        <v/>
      </c>
      <c r="L775" s="10" t="str">
        <f aca="false">IF($B775="","",$J775+$K775)</f>
        <v/>
      </c>
      <c r="M775" s="9"/>
      <c r="N775" s="10" t="str">
        <f aca="false">IF($B775="","",$L775-$M775)</f>
        <v/>
      </c>
      <c r="O775" s="10" t="str">
        <f aca="false">IF($B775="","",IFERROR(INDEX(Drinks!$E$4:$E$53,MATCH($B775,Drinks!$A$4:$A$53,0)),0))</f>
        <v/>
      </c>
      <c r="P775" s="10" t="str">
        <f aca="false">IF($B775="","",$N775*$O775)</f>
        <v/>
      </c>
      <c r="Q775" s="10" t="str">
        <f aca="false">IF($B775="","",$N775*IFERROR(INDEX(Drinks!$D$4:$D$53,MATCH($B775,Drinks!$A$4:$A$53,0)),0))</f>
        <v/>
      </c>
      <c r="R775" s="10" t="str">
        <f aca="false">IF($B775="","",$P775-$Q775)</f>
        <v/>
      </c>
      <c r="S775" s="23" t="str">
        <f aca="false">IF($B775="","",IF(COUNTIFS($A$4:$A$2003,$A775-1,$B$4:$B$2003,$B775)=0,"first day",IF(SUMIFS($M$4:$M$2003,$A$4:$A$2003,$A775-1,$B$4:$B$2003,$B775)=$J775,"OK","CHECK")))</f>
        <v/>
      </c>
      <c r="T775" s="10" t="str">
        <f aca="false">IF($B775="","",IFERROR(INDEX(Drinks!$D$4:$D$53,MATCH($B775,Drinks!$A$4:$A$53,0)),0))</f>
        <v/>
      </c>
    </row>
    <row r="776" customFormat="false" ht="15" hidden="false" customHeight="false" outlineLevel="0" collapsed="false">
      <c r="A776" s="22"/>
      <c r="B776" s="9"/>
      <c r="C776" s="9"/>
      <c r="D776" s="9"/>
      <c r="E776" s="9"/>
      <c r="F776" s="10" t="str">
        <f aca="false">IF($B776="","",$C776+$D776-$E776)</f>
        <v/>
      </c>
      <c r="G776" s="10" t="str">
        <f aca="false">IF($B776="","",IFERROR(INDEX(Drinks!$C$4:$C$53,MATCH($B776,Drinks!$A$4:$A$53,0)),0))</f>
        <v/>
      </c>
      <c r="H776" s="10" t="str">
        <f aca="false">IF($B776="","",$D776*$G776)</f>
        <v/>
      </c>
      <c r="I776" s="10" t="str">
        <f aca="false">IF($B776="","",$F776*$G776)</f>
        <v/>
      </c>
      <c r="J776" s="9"/>
      <c r="K776" s="10" t="str">
        <f aca="false">IF($B776="","",$E776*IFERROR(INDEX(Drinks!$B$4:$B$53,MATCH($B776,Drinks!$A$4:$A$53,0)),0))</f>
        <v/>
      </c>
      <c r="L776" s="10" t="str">
        <f aca="false">IF($B776="","",$J776+$K776)</f>
        <v/>
      </c>
      <c r="M776" s="9"/>
      <c r="N776" s="10" t="str">
        <f aca="false">IF($B776="","",$L776-$M776)</f>
        <v/>
      </c>
      <c r="O776" s="10" t="str">
        <f aca="false">IF($B776="","",IFERROR(INDEX(Drinks!$E$4:$E$53,MATCH($B776,Drinks!$A$4:$A$53,0)),0))</f>
        <v/>
      </c>
      <c r="P776" s="10" t="str">
        <f aca="false">IF($B776="","",$N776*$O776)</f>
        <v/>
      </c>
      <c r="Q776" s="10" t="str">
        <f aca="false">IF($B776="","",$N776*IFERROR(INDEX(Drinks!$D$4:$D$53,MATCH($B776,Drinks!$A$4:$A$53,0)),0))</f>
        <v/>
      </c>
      <c r="R776" s="10" t="str">
        <f aca="false">IF($B776="","",$P776-$Q776)</f>
        <v/>
      </c>
      <c r="S776" s="23" t="str">
        <f aca="false">IF($B776="","",IF(COUNTIFS($A$4:$A$2003,$A776-1,$B$4:$B$2003,$B776)=0,"first day",IF(SUMIFS($M$4:$M$2003,$A$4:$A$2003,$A776-1,$B$4:$B$2003,$B776)=$J776,"OK","CHECK")))</f>
        <v/>
      </c>
      <c r="T776" s="10" t="str">
        <f aca="false">IF($B776="","",IFERROR(INDEX(Drinks!$D$4:$D$53,MATCH($B776,Drinks!$A$4:$A$53,0)),0))</f>
        <v/>
      </c>
    </row>
    <row r="777" customFormat="false" ht="15" hidden="false" customHeight="false" outlineLevel="0" collapsed="false">
      <c r="A777" s="22"/>
      <c r="B777" s="9"/>
      <c r="C777" s="9"/>
      <c r="D777" s="9"/>
      <c r="E777" s="9"/>
      <c r="F777" s="10" t="str">
        <f aca="false">IF($B777="","",$C777+$D777-$E777)</f>
        <v/>
      </c>
      <c r="G777" s="10" t="str">
        <f aca="false">IF($B777="","",IFERROR(INDEX(Drinks!$C$4:$C$53,MATCH($B777,Drinks!$A$4:$A$53,0)),0))</f>
        <v/>
      </c>
      <c r="H777" s="10" t="str">
        <f aca="false">IF($B777="","",$D777*$G777)</f>
        <v/>
      </c>
      <c r="I777" s="10" t="str">
        <f aca="false">IF($B777="","",$F777*$G777)</f>
        <v/>
      </c>
      <c r="J777" s="9"/>
      <c r="K777" s="10" t="str">
        <f aca="false">IF($B777="","",$E777*IFERROR(INDEX(Drinks!$B$4:$B$53,MATCH($B777,Drinks!$A$4:$A$53,0)),0))</f>
        <v/>
      </c>
      <c r="L777" s="10" t="str">
        <f aca="false">IF($B777="","",$J777+$K777)</f>
        <v/>
      </c>
      <c r="M777" s="9"/>
      <c r="N777" s="10" t="str">
        <f aca="false">IF($B777="","",$L777-$M777)</f>
        <v/>
      </c>
      <c r="O777" s="10" t="str">
        <f aca="false">IF($B777="","",IFERROR(INDEX(Drinks!$E$4:$E$53,MATCH($B777,Drinks!$A$4:$A$53,0)),0))</f>
        <v/>
      </c>
      <c r="P777" s="10" t="str">
        <f aca="false">IF($B777="","",$N777*$O777)</f>
        <v/>
      </c>
      <c r="Q777" s="10" t="str">
        <f aca="false">IF($B777="","",$N777*IFERROR(INDEX(Drinks!$D$4:$D$53,MATCH($B777,Drinks!$A$4:$A$53,0)),0))</f>
        <v/>
      </c>
      <c r="R777" s="10" t="str">
        <f aca="false">IF($B777="","",$P777-$Q777)</f>
        <v/>
      </c>
      <c r="S777" s="23" t="str">
        <f aca="false">IF($B777="","",IF(COUNTIFS($A$4:$A$2003,$A777-1,$B$4:$B$2003,$B777)=0,"first day",IF(SUMIFS($M$4:$M$2003,$A$4:$A$2003,$A777-1,$B$4:$B$2003,$B777)=$J777,"OK","CHECK")))</f>
        <v/>
      </c>
      <c r="T777" s="10" t="str">
        <f aca="false">IF($B777="","",IFERROR(INDEX(Drinks!$D$4:$D$53,MATCH($B777,Drinks!$A$4:$A$53,0)),0))</f>
        <v/>
      </c>
    </row>
    <row r="778" customFormat="false" ht="15" hidden="false" customHeight="false" outlineLevel="0" collapsed="false">
      <c r="A778" s="22"/>
      <c r="B778" s="9"/>
      <c r="C778" s="9"/>
      <c r="D778" s="9"/>
      <c r="E778" s="9"/>
      <c r="F778" s="10" t="str">
        <f aca="false">IF($B778="","",$C778+$D778-$E778)</f>
        <v/>
      </c>
      <c r="G778" s="10" t="str">
        <f aca="false">IF($B778="","",IFERROR(INDEX(Drinks!$C$4:$C$53,MATCH($B778,Drinks!$A$4:$A$53,0)),0))</f>
        <v/>
      </c>
      <c r="H778" s="10" t="str">
        <f aca="false">IF($B778="","",$D778*$G778)</f>
        <v/>
      </c>
      <c r="I778" s="10" t="str">
        <f aca="false">IF($B778="","",$F778*$G778)</f>
        <v/>
      </c>
      <c r="J778" s="9"/>
      <c r="K778" s="10" t="str">
        <f aca="false">IF($B778="","",$E778*IFERROR(INDEX(Drinks!$B$4:$B$53,MATCH($B778,Drinks!$A$4:$A$53,0)),0))</f>
        <v/>
      </c>
      <c r="L778" s="10" t="str">
        <f aca="false">IF($B778="","",$J778+$K778)</f>
        <v/>
      </c>
      <c r="M778" s="9"/>
      <c r="N778" s="10" t="str">
        <f aca="false">IF($B778="","",$L778-$M778)</f>
        <v/>
      </c>
      <c r="O778" s="10" t="str">
        <f aca="false">IF($B778="","",IFERROR(INDEX(Drinks!$E$4:$E$53,MATCH($B778,Drinks!$A$4:$A$53,0)),0))</f>
        <v/>
      </c>
      <c r="P778" s="10" t="str">
        <f aca="false">IF($B778="","",$N778*$O778)</f>
        <v/>
      </c>
      <c r="Q778" s="10" t="str">
        <f aca="false">IF($B778="","",$N778*IFERROR(INDEX(Drinks!$D$4:$D$53,MATCH($B778,Drinks!$A$4:$A$53,0)),0))</f>
        <v/>
      </c>
      <c r="R778" s="10" t="str">
        <f aca="false">IF($B778="","",$P778-$Q778)</f>
        <v/>
      </c>
      <c r="S778" s="23" t="str">
        <f aca="false">IF($B778="","",IF(COUNTIFS($A$4:$A$2003,$A778-1,$B$4:$B$2003,$B778)=0,"first day",IF(SUMIFS($M$4:$M$2003,$A$4:$A$2003,$A778-1,$B$4:$B$2003,$B778)=$J778,"OK","CHECK")))</f>
        <v/>
      </c>
      <c r="T778" s="10" t="str">
        <f aca="false">IF($B778="","",IFERROR(INDEX(Drinks!$D$4:$D$53,MATCH($B778,Drinks!$A$4:$A$53,0)),0))</f>
        <v/>
      </c>
    </row>
    <row r="779" customFormat="false" ht="15" hidden="false" customHeight="false" outlineLevel="0" collapsed="false">
      <c r="A779" s="22"/>
      <c r="B779" s="9"/>
      <c r="C779" s="9"/>
      <c r="D779" s="9"/>
      <c r="E779" s="9"/>
      <c r="F779" s="10" t="str">
        <f aca="false">IF($B779="","",$C779+$D779-$E779)</f>
        <v/>
      </c>
      <c r="G779" s="10" t="str">
        <f aca="false">IF($B779="","",IFERROR(INDEX(Drinks!$C$4:$C$53,MATCH($B779,Drinks!$A$4:$A$53,0)),0))</f>
        <v/>
      </c>
      <c r="H779" s="10" t="str">
        <f aca="false">IF($B779="","",$D779*$G779)</f>
        <v/>
      </c>
      <c r="I779" s="10" t="str">
        <f aca="false">IF($B779="","",$F779*$G779)</f>
        <v/>
      </c>
      <c r="J779" s="9"/>
      <c r="K779" s="10" t="str">
        <f aca="false">IF($B779="","",$E779*IFERROR(INDEX(Drinks!$B$4:$B$53,MATCH($B779,Drinks!$A$4:$A$53,0)),0))</f>
        <v/>
      </c>
      <c r="L779" s="10" t="str">
        <f aca="false">IF($B779="","",$J779+$K779)</f>
        <v/>
      </c>
      <c r="M779" s="9"/>
      <c r="N779" s="10" t="str">
        <f aca="false">IF($B779="","",$L779-$M779)</f>
        <v/>
      </c>
      <c r="O779" s="10" t="str">
        <f aca="false">IF($B779="","",IFERROR(INDEX(Drinks!$E$4:$E$53,MATCH($B779,Drinks!$A$4:$A$53,0)),0))</f>
        <v/>
      </c>
      <c r="P779" s="10" t="str">
        <f aca="false">IF($B779="","",$N779*$O779)</f>
        <v/>
      </c>
      <c r="Q779" s="10" t="str">
        <f aca="false">IF($B779="","",$N779*IFERROR(INDEX(Drinks!$D$4:$D$53,MATCH($B779,Drinks!$A$4:$A$53,0)),0))</f>
        <v/>
      </c>
      <c r="R779" s="10" t="str">
        <f aca="false">IF($B779="","",$P779-$Q779)</f>
        <v/>
      </c>
      <c r="S779" s="23" t="str">
        <f aca="false">IF($B779="","",IF(COUNTIFS($A$4:$A$2003,$A779-1,$B$4:$B$2003,$B779)=0,"first day",IF(SUMIFS($M$4:$M$2003,$A$4:$A$2003,$A779-1,$B$4:$B$2003,$B779)=$J779,"OK","CHECK")))</f>
        <v/>
      </c>
      <c r="T779" s="10" t="str">
        <f aca="false">IF($B779="","",IFERROR(INDEX(Drinks!$D$4:$D$53,MATCH($B779,Drinks!$A$4:$A$53,0)),0))</f>
        <v/>
      </c>
    </row>
    <row r="780" customFormat="false" ht="15" hidden="false" customHeight="false" outlineLevel="0" collapsed="false">
      <c r="A780" s="22"/>
      <c r="B780" s="9"/>
      <c r="C780" s="9"/>
      <c r="D780" s="9"/>
      <c r="E780" s="9"/>
      <c r="F780" s="10" t="str">
        <f aca="false">IF($B780="","",$C780+$D780-$E780)</f>
        <v/>
      </c>
      <c r="G780" s="10" t="str">
        <f aca="false">IF($B780="","",IFERROR(INDEX(Drinks!$C$4:$C$53,MATCH($B780,Drinks!$A$4:$A$53,0)),0))</f>
        <v/>
      </c>
      <c r="H780" s="10" t="str">
        <f aca="false">IF($B780="","",$D780*$G780)</f>
        <v/>
      </c>
      <c r="I780" s="10" t="str">
        <f aca="false">IF($B780="","",$F780*$G780)</f>
        <v/>
      </c>
      <c r="J780" s="9"/>
      <c r="K780" s="10" t="str">
        <f aca="false">IF($B780="","",$E780*IFERROR(INDEX(Drinks!$B$4:$B$53,MATCH($B780,Drinks!$A$4:$A$53,0)),0))</f>
        <v/>
      </c>
      <c r="L780" s="10" t="str">
        <f aca="false">IF($B780="","",$J780+$K780)</f>
        <v/>
      </c>
      <c r="M780" s="9"/>
      <c r="N780" s="10" t="str">
        <f aca="false">IF($B780="","",$L780-$M780)</f>
        <v/>
      </c>
      <c r="O780" s="10" t="str">
        <f aca="false">IF($B780="","",IFERROR(INDEX(Drinks!$E$4:$E$53,MATCH($B780,Drinks!$A$4:$A$53,0)),0))</f>
        <v/>
      </c>
      <c r="P780" s="10" t="str">
        <f aca="false">IF($B780="","",$N780*$O780)</f>
        <v/>
      </c>
      <c r="Q780" s="10" t="str">
        <f aca="false">IF($B780="","",$N780*IFERROR(INDEX(Drinks!$D$4:$D$53,MATCH($B780,Drinks!$A$4:$A$53,0)),0))</f>
        <v/>
      </c>
      <c r="R780" s="10" t="str">
        <f aca="false">IF($B780="","",$P780-$Q780)</f>
        <v/>
      </c>
      <c r="S780" s="23" t="str">
        <f aca="false">IF($B780="","",IF(COUNTIFS($A$4:$A$2003,$A780-1,$B$4:$B$2003,$B780)=0,"first day",IF(SUMIFS($M$4:$M$2003,$A$4:$A$2003,$A780-1,$B$4:$B$2003,$B780)=$J780,"OK","CHECK")))</f>
        <v/>
      </c>
      <c r="T780" s="10" t="str">
        <f aca="false">IF($B780="","",IFERROR(INDEX(Drinks!$D$4:$D$53,MATCH($B780,Drinks!$A$4:$A$53,0)),0))</f>
        <v/>
      </c>
    </row>
    <row r="781" customFormat="false" ht="15" hidden="false" customHeight="false" outlineLevel="0" collapsed="false">
      <c r="A781" s="22"/>
      <c r="B781" s="9"/>
      <c r="C781" s="9"/>
      <c r="D781" s="9"/>
      <c r="E781" s="9"/>
      <c r="F781" s="10" t="str">
        <f aca="false">IF($B781="","",$C781+$D781-$E781)</f>
        <v/>
      </c>
      <c r="G781" s="10" t="str">
        <f aca="false">IF($B781="","",IFERROR(INDEX(Drinks!$C$4:$C$53,MATCH($B781,Drinks!$A$4:$A$53,0)),0))</f>
        <v/>
      </c>
      <c r="H781" s="10" t="str">
        <f aca="false">IF($B781="","",$D781*$G781)</f>
        <v/>
      </c>
      <c r="I781" s="10" t="str">
        <f aca="false">IF($B781="","",$F781*$G781)</f>
        <v/>
      </c>
      <c r="J781" s="9"/>
      <c r="K781" s="10" t="str">
        <f aca="false">IF($B781="","",$E781*IFERROR(INDEX(Drinks!$B$4:$B$53,MATCH($B781,Drinks!$A$4:$A$53,0)),0))</f>
        <v/>
      </c>
      <c r="L781" s="10" t="str">
        <f aca="false">IF($B781="","",$J781+$K781)</f>
        <v/>
      </c>
      <c r="M781" s="9"/>
      <c r="N781" s="10" t="str">
        <f aca="false">IF($B781="","",$L781-$M781)</f>
        <v/>
      </c>
      <c r="O781" s="10" t="str">
        <f aca="false">IF($B781="","",IFERROR(INDEX(Drinks!$E$4:$E$53,MATCH($B781,Drinks!$A$4:$A$53,0)),0))</f>
        <v/>
      </c>
      <c r="P781" s="10" t="str">
        <f aca="false">IF($B781="","",$N781*$O781)</f>
        <v/>
      </c>
      <c r="Q781" s="10" t="str">
        <f aca="false">IF($B781="","",$N781*IFERROR(INDEX(Drinks!$D$4:$D$53,MATCH($B781,Drinks!$A$4:$A$53,0)),0))</f>
        <v/>
      </c>
      <c r="R781" s="10" t="str">
        <f aca="false">IF($B781="","",$P781-$Q781)</f>
        <v/>
      </c>
      <c r="S781" s="23" t="str">
        <f aca="false">IF($B781="","",IF(COUNTIFS($A$4:$A$2003,$A781-1,$B$4:$B$2003,$B781)=0,"first day",IF(SUMIFS($M$4:$M$2003,$A$4:$A$2003,$A781-1,$B$4:$B$2003,$B781)=$J781,"OK","CHECK")))</f>
        <v/>
      </c>
      <c r="T781" s="10" t="str">
        <f aca="false">IF($B781="","",IFERROR(INDEX(Drinks!$D$4:$D$53,MATCH($B781,Drinks!$A$4:$A$53,0)),0))</f>
        <v/>
      </c>
    </row>
    <row r="782" customFormat="false" ht="15" hidden="false" customHeight="false" outlineLevel="0" collapsed="false">
      <c r="A782" s="22"/>
      <c r="B782" s="9"/>
      <c r="C782" s="9"/>
      <c r="D782" s="9"/>
      <c r="E782" s="9"/>
      <c r="F782" s="10" t="str">
        <f aca="false">IF($B782="","",$C782+$D782-$E782)</f>
        <v/>
      </c>
      <c r="G782" s="10" t="str">
        <f aca="false">IF($B782="","",IFERROR(INDEX(Drinks!$C$4:$C$53,MATCH($B782,Drinks!$A$4:$A$53,0)),0))</f>
        <v/>
      </c>
      <c r="H782" s="10" t="str">
        <f aca="false">IF($B782="","",$D782*$G782)</f>
        <v/>
      </c>
      <c r="I782" s="10" t="str">
        <f aca="false">IF($B782="","",$F782*$G782)</f>
        <v/>
      </c>
      <c r="J782" s="9"/>
      <c r="K782" s="10" t="str">
        <f aca="false">IF($B782="","",$E782*IFERROR(INDEX(Drinks!$B$4:$B$53,MATCH($B782,Drinks!$A$4:$A$53,0)),0))</f>
        <v/>
      </c>
      <c r="L782" s="10" t="str">
        <f aca="false">IF($B782="","",$J782+$K782)</f>
        <v/>
      </c>
      <c r="M782" s="9"/>
      <c r="N782" s="10" t="str">
        <f aca="false">IF($B782="","",$L782-$M782)</f>
        <v/>
      </c>
      <c r="O782" s="10" t="str">
        <f aca="false">IF($B782="","",IFERROR(INDEX(Drinks!$E$4:$E$53,MATCH($B782,Drinks!$A$4:$A$53,0)),0))</f>
        <v/>
      </c>
      <c r="P782" s="10" t="str">
        <f aca="false">IF($B782="","",$N782*$O782)</f>
        <v/>
      </c>
      <c r="Q782" s="10" t="str">
        <f aca="false">IF($B782="","",$N782*IFERROR(INDEX(Drinks!$D$4:$D$53,MATCH($B782,Drinks!$A$4:$A$53,0)),0))</f>
        <v/>
      </c>
      <c r="R782" s="10" t="str">
        <f aca="false">IF($B782="","",$P782-$Q782)</f>
        <v/>
      </c>
      <c r="S782" s="23" t="str">
        <f aca="false">IF($B782="","",IF(COUNTIFS($A$4:$A$2003,$A782-1,$B$4:$B$2003,$B782)=0,"first day",IF(SUMIFS($M$4:$M$2003,$A$4:$A$2003,$A782-1,$B$4:$B$2003,$B782)=$J782,"OK","CHECK")))</f>
        <v/>
      </c>
      <c r="T782" s="10" t="str">
        <f aca="false">IF($B782="","",IFERROR(INDEX(Drinks!$D$4:$D$53,MATCH($B782,Drinks!$A$4:$A$53,0)),0))</f>
        <v/>
      </c>
    </row>
    <row r="783" customFormat="false" ht="15" hidden="false" customHeight="false" outlineLevel="0" collapsed="false">
      <c r="A783" s="22"/>
      <c r="B783" s="9"/>
      <c r="C783" s="9"/>
      <c r="D783" s="9"/>
      <c r="E783" s="9"/>
      <c r="F783" s="10" t="str">
        <f aca="false">IF($B783="","",$C783+$D783-$E783)</f>
        <v/>
      </c>
      <c r="G783" s="10" t="str">
        <f aca="false">IF($B783="","",IFERROR(INDEX(Drinks!$C$4:$C$53,MATCH($B783,Drinks!$A$4:$A$53,0)),0))</f>
        <v/>
      </c>
      <c r="H783" s="10" t="str">
        <f aca="false">IF($B783="","",$D783*$G783)</f>
        <v/>
      </c>
      <c r="I783" s="10" t="str">
        <f aca="false">IF($B783="","",$F783*$G783)</f>
        <v/>
      </c>
      <c r="J783" s="9"/>
      <c r="K783" s="10" t="str">
        <f aca="false">IF($B783="","",$E783*IFERROR(INDEX(Drinks!$B$4:$B$53,MATCH($B783,Drinks!$A$4:$A$53,0)),0))</f>
        <v/>
      </c>
      <c r="L783" s="10" t="str">
        <f aca="false">IF($B783="","",$J783+$K783)</f>
        <v/>
      </c>
      <c r="M783" s="9"/>
      <c r="N783" s="10" t="str">
        <f aca="false">IF($B783="","",$L783-$M783)</f>
        <v/>
      </c>
      <c r="O783" s="10" t="str">
        <f aca="false">IF($B783="","",IFERROR(INDEX(Drinks!$E$4:$E$53,MATCH($B783,Drinks!$A$4:$A$53,0)),0))</f>
        <v/>
      </c>
      <c r="P783" s="10" t="str">
        <f aca="false">IF($B783="","",$N783*$O783)</f>
        <v/>
      </c>
      <c r="Q783" s="10" t="str">
        <f aca="false">IF($B783="","",$N783*IFERROR(INDEX(Drinks!$D$4:$D$53,MATCH($B783,Drinks!$A$4:$A$53,0)),0))</f>
        <v/>
      </c>
      <c r="R783" s="10" t="str">
        <f aca="false">IF($B783="","",$P783-$Q783)</f>
        <v/>
      </c>
      <c r="S783" s="23" t="str">
        <f aca="false">IF($B783="","",IF(COUNTIFS($A$4:$A$2003,$A783-1,$B$4:$B$2003,$B783)=0,"first day",IF(SUMIFS($M$4:$M$2003,$A$4:$A$2003,$A783-1,$B$4:$B$2003,$B783)=$J783,"OK","CHECK")))</f>
        <v/>
      </c>
      <c r="T783" s="10" t="str">
        <f aca="false">IF($B783="","",IFERROR(INDEX(Drinks!$D$4:$D$53,MATCH($B783,Drinks!$A$4:$A$53,0)),0))</f>
        <v/>
      </c>
    </row>
    <row r="784" customFormat="false" ht="15" hidden="false" customHeight="false" outlineLevel="0" collapsed="false">
      <c r="A784" s="22"/>
      <c r="B784" s="9"/>
      <c r="C784" s="9"/>
      <c r="D784" s="9"/>
      <c r="E784" s="9"/>
      <c r="F784" s="10" t="str">
        <f aca="false">IF($B784="","",$C784+$D784-$E784)</f>
        <v/>
      </c>
      <c r="G784" s="10" t="str">
        <f aca="false">IF($B784="","",IFERROR(INDEX(Drinks!$C$4:$C$53,MATCH($B784,Drinks!$A$4:$A$53,0)),0))</f>
        <v/>
      </c>
      <c r="H784" s="10" t="str">
        <f aca="false">IF($B784="","",$D784*$G784)</f>
        <v/>
      </c>
      <c r="I784" s="10" t="str">
        <f aca="false">IF($B784="","",$F784*$G784)</f>
        <v/>
      </c>
      <c r="J784" s="9"/>
      <c r="K784" s="10" t="str">
        <f aca="false">IF($B784="","",$E784*IFERROR(INDEX(Drinks!$B$4:$B$53,MATCH($B784,Drinks!$A$4:$A$53,0)),0))</f>
        <v/>
      </c>
      <c r="L784" s="10" t="str">
        <f aca="false">IF($B784="","",$J784+$K784)</f>
        <v/>
      </c>
      <c r="M784" s="9"/>
      <c r="N784" s="10" t="str">
        <f aca="false">IF($B784="","",$L784-$M784)</f>
        <v/>
      </c>
      <c r="O784" s="10" t="str">
        <f aca="false">IF($B784="","",IFERROR(INDEX(Drinks!$E$4:$E$53,MATCH($B784,Drinks!$A$4:$A$53,0)),0))</f>
        <v/>
      </c>
      <c r="P784" s="10" t="str">
        <f aca="false">IF($B784="","",$N784*$O784)</f>
        <v/>
      </c>
      <c r="Q784" s="10" t="str">
        <f aca="false">IF($B784="","",$N784*IFERROR(INDEX(Drinks!$D$4:$D$53,MATCH($B784,Drinks!$A$4:$A$53,0)),0))</f>
        <v/>
      </c>
      <c r="R784" s="10" t="str">
        <f aca="false">IF($B784="","",$P784-$Q784)</f>
        <v/>
      </c>
      <c r="S784" s="23" t="str">
        <f aca="false">IF($B784="","",IF(COUNTIFS($A$4:$A$2003,$A784-1,$B$4:$B$2003,$B784)=0,"first day",IF(SUMIFS($M$4:$M$2003,$A$4:$A$2003,$A784-1,$B$4:$B$2003,$B784)=$J784,"OK","CHECK")))</f>
        <v/>
      </c>
      <c r="T784" s="10" t="str">
        <f aca="false">IF($B784="","",IFERROR(INDEX(Drinks!$D$4:$D$53,MATCH($B784,Drinks!$A$4:$A$53,0)),0))</f>
        <v/>
      </c>
    </row>
    <row r="785" customFormat="false" ht="15" hidden="false" customHeight="false" outlineLevel="0" collapsed="false">
      <c r="A785" s="22"/>
      <c r="B785" s="9"/>
      <c r="C785" s="9"/>
      <c r="D785" s="9"/>
      <c r="E785" s="9"/>
      <c r="F785" s="10" t="str">
        <f aca="false">IF($B785="","",$C785+$D785-$E785)</f>
        <v/>
      </c>
      <c r="G785" s="10" t="str">
        <f aca="false">IF($B785="","",IFERROR(INDEX(Drinks!$C$4:$C$53,MATCH($B785,Drinks!$A$4:$A$53,0)),0))</f>
        <v/>
      </c>
      <c r="H785" s="10" t="str">
        <f aca="false">IF($B785="","",$D785*$G785)</f>
        <v/>
      </c>
      <c r="I785" s="10" t="str">
        <f aca="false">IF($B785="","",$F785*$G785)</f>
        <v/>
      </c>
      <c r="J785" s="9"/>
      <c r="K785" s="10" t="str">
        <f aca="false">IF($B785="","",$E785*IFERROR(INDEX(Drinks!$B$4:$B$53,MATCH($B785,Drinks!$A$4:$A$53,0)),0))</f>
        <v/>
      </c>
      <c r="L785" s="10" t="str">
        <f aca="false">IF($B785="","",$J785+$K785)</f>
        <v/>
      </c>
      <c r="M785" s="9"/>
      <c r="N785" s="10" t="str">
        <f aca="false">IF($B785="","",$L785-$M785)</f>
        <v/>
      </c>
      <c r="O785" s="10" t="str">
        <f aca="false">IF($B785="","",IFERROR(INDEX(Drinks!$E$4:$E$53,MATCH($B785,Drinks!$A$4:$A$53,0)),0))</f>
        <v/>
      </c>
      <c r="P785" s="10" t="str">
        <f aca="false">IF($B785="","",$N785*$O785)</f>
        <v/>
      </c>
      <c r="Q785" s="10" t="str">
        <f aca="false">IF($B785="","",$N785*IFERROR(INDEX(Drinks!$D$4:$D$53,MATCH($B785,Drinks!$A$4:$A$53,0)),0))</f>
        <v/>
      </c>
      <c r="R785" s="10" t="str">
        <f aca="false">IF($B785="","",$P785-$Q785)</f>
        <v/>
      </c>
      <c r="S785" s="23" t="str">
        <f aca="false">IF($B785="","",IF(COUNTIFS($A$4:$A$2003,$A785-1,$B$4:$B$2003,$B785)=0,"first day",IF(SUMIFS($M$4:$M$2003,$A$4:$A$2003,$A785-1,$B$4:$B$2003,$B785)=$J785,"OK","CHECK")))</f>
        <v/>
      </c>
      <c r="T785" s="10" t="str">
        <f aca="false">IF($B785="","",IFERROR(INDEX(Drinks!$D$4:$D$53,MATCH($B785,Drinks!$A$4:$A$53,0)),0))</f>
        <v/>
      </c>
    </row>
    <row r="786" customFormat="false" ht="15" hidden="false" customHeight="false" outlineLevel="0" collapsed="false">
      <c r="A786" s="22"/>
      <c r="B786" s="9"/>
      <c r="C786" s="9"/>
      <c r="D786" s="9"/>
      <c r="E786" s="9"/>
      <c r="F786" s="10" t="str">
        <f aca="false">IF($B786="","",$C786+$D786-$E786)</f>
        <v/>
      </c>
      <c r="G786" s="10" t="str">
        <f aca="false">IF($B786="","",IFERROR(INDEX(Drinks!$C$4:$C$53,MATCH($B786,Drinks!$A$4:$A$53,0)),0))</f>
        <v/>
      </c>
      <c r="H786" s="10" t="str">
        <f aca="false">IF($B786="","",$D786*$G786)</f>
        <v/>
      </c>
      <c r="I786" s="10" t="str">
        <f aca="false">IF($B786="","",$F786*$G786)</f>
        <v/>
      </c>
      <c r="J786" s="9"/>
      <c r="K786" s="10" t="str">
        <f aca="false">IF($B786="","",$E786*IFERROR(INDEX(Drinks!$B$4:$B$53,MATCH($B786,Drinks!$A$4:$A$53,0)),0))</f>
        <v/>
      </c>
      <c r="L786" s="10" t="str">
        <f aca="false">IF($B786="","",$J786+$K786)</f>
        <v/>
      </c>
      <c r="M786" s="9"/>
      <c r="N786" s="10" t="str">
        <f aca="false">IF($B786="","",$L786-$M786)</f>
        <v/>
      </c>
      <c r="O786" s="10" t="str">
        <f aca="false">IF($B786="","",IFERROR(INDEX(Drinks!$E$4:$E$53,MATCH($B786,Drinks!$A$4:$A$53,0)),0))</f>
        <v/>
      </c>
      <c r="P786" s="10" t="str">
        <f aca="false">IF($B786="","",$N786*$O786)</f>
        <v/>
      </c>
      <c r="Q786" s="10" t="str">
        <f aca="false">IF($B786="","",$N786*IFERROR(INDEX(Drinks!$D$4:$D$53,MATCH($B786,Drinks!$A$4:$A$53,0)),0))</f>
        <v/>
      </c>
      <c r="R786" s="10" t="str">
        <f aca="false">IF($B786="","",$P786-$Q786)</f>
        <v/>
      </c>
      <c r="S786" s="23" t="str">
        <f aca="false">IF($B786="","",IF(COUNTIFS($A$4:$A$2003,$A786-1,$B$4:$B$2003,$B786)=0,"first day",IF(SUMIFS($M$4:$M$2003,$A$4:$A$2003,$A786-1,$B$4:$B$2003,$B786)=$J786,"OK","CHECK")))</f>
        <v/>
      </c>
      <c r="T786" s="10" t="str">
        <f aca="false">IF($B786="","",IFERROR(INDEX(Drinks!$D$4:$D$53,MATCH($B786,Drinks!$A$4:$A$53,0)),0))</f>
        <v/>
      </c>
    </row>
    <row r="787" customFormat="false" ht="15" hidden="false" customHeight="false" outlineLevel="0" collapsed="false">
      <c r="A787" s="22"/>
      <c r="B787" s="9"/>
      <c r="C787" s="9"/>
      <c r="D787" s="9"/>
      <c r="E787" s="9"/>
      <c r="F787" s="10" t="str">
        <f aca="false">IF($B787="","",$C787+$D787-$E787)</f>
        <v/>
      </c>
      <c r="G787" s="10" t="str">
        <f aca="false">IF($B787="","",IFERROR(INDEX(Drinks!$C$4:$C$53,MATCH($B787,Drinks!$A$4:$A$53,0)),0))</f>
        <v/>
      </c>
      <c r="H787" s="10" t="str">
        <f aca="false">IF($B787="","",$D787*$G787)</f>
        <v/>
      </c>
      <c r="I787" s="10" t="str">
        <f aca="false">IF($B787="","",$F787*$G787)</f>
        <v/>
      </c>
      <c r="J787" s="9"/>
      <c r="K787" s="10" t="str">
        <f aca="false">IF($B787="","",$E787*IFERROR(INDEX(Drinks!$B$4:$B$53,MATCH($B787,Drinks!$A$4:$A$53,0)),0))</f>
        <v/>
      </c>
      <c r="L787" s="10" t="str">
        <f aca="false">IF($B787="","",$J787+$K787)</f>
        <v/>
      </c>
      <c r="M787" s="9"/>
      <c r="N787" s="10" t="str">
        <f aca="false">IF($B787="","",$L787-$M787)</f>
        <v/>
      </c>
      <c r="O787" s="10" t="str">
        <f aca="false">IF($B787="","",IFERROR(INDEX(Drinks!$E$4:$E$53,MATCH($B787,Drinks!$A$4:$A$53,0)),0))</f>
        <v/>
      </c>
      <c r="P787" s="10" t="str">
        <f aca="false">IF($B787="","",$N787*$O787)</f>
        <v/>
      </c>
      <c r="Q787" s="10" t="str">
        <f aca="false">IF($B787="","",$N787*IFERROR(INDEX(Drinks!$D$4:$D$53,MATCH($B787,Drinks!$A$4:$A$53,0)),0))</f>
        <v/>
      </c>
      <c r="R787" s="10" t="str">
        <f aca="false">IF($B787="","",$P787-$Q787)</f>
        <v/>
      </c>
      <c r="S787" s="23" t="str">
        <f aca="false">IF($B787="","",IF(COUNTIFS($A$4:$A$2003,$A787-1,$B$4:$B$2003,$B787)=0,"first day",IF(SUMIFS($M$4:$M$2003,$A$4:$A$2003,$A787-1,$B$4:$B$2003,$B787)=$J787,"OK","CHECK")))</f>
        <v/>
      </c>
      <c r="T787" s="10" t="str">
        <f aca="false">IF($B787="","",IFERROR(INDEX(Drinks!$D$4:$D$53,MATCH($B787,Drinks!$A$4:$A$53,0)),0))</f>
        <v/>
      </c>
    </row>
    <row r="788" customFormat="false" ht="15" hidden="false" customHeight="false" outlineLevel="0" collapsed="false">
      <c r="A788" s="22"/>
      <c r="B788" s="9"/>
      <c r="C788" s="9"/>
      <c r="D788" s="9"/>
      <c r="E788" s="9"/>
      <c r="F788" s="10" t="str">
        <f aca="false">IF($B788="","",$C788+$D788-$E788)</f>
        <v/>
      </c>
      <c r="G788" s="10" t="str">
        <f aca="false">IF($B788="","",IFERROR(INDEX(Drinks!$C$4:$C$53,MATCH($B788,Drinks!$A$4:$A$53,0)),0))</f>
        <v/>
      </c>
      <c r="H788" s="10" t="str">
        <f aca="false">IF($B788="","",$D788*$G788)</f>
        <v/>
      </c>
      <c r="I788" s="10" t="str">
        <f aca="false">IF($B788="","",$F788*$G788)</f>
        <v/>
      </c>
      <c r="J788" s="9"/>
      <c r="K788" s="10" t="str">
        <f aca="false">IF($B788="","",$E788*IFERROR(INDEX(Drinks!$B$4:$B$53,MATCH($B788,Drinks!$A$4:$A$53,0)),0))</f>
        <v/>
      </c>
      <c r="L788" s="10" t="str">
        <f aca="false">IF($B788="","",$J788+$K788)</f>
        <v/>
      </c>
      <c r="M788" s="9"/>
      <c r="N788" s="10" t="str">
        <f aca="false">IF($B788="","",$L788-$M788)</f>
        <v/>
      </c>
      <c r="O788" s="10" t="str">
        <f aca="false">IF($B788="","",IFERROR(INDEX(Drinks!$E$4:$E$53,MATCH($B788,Drinks!$A$4:$A$53,0)),0))</f>
        <v/>
      </c>
      <c r="P788" s="10" t="str">
        <f aca="false">IF($B788="","",$N788*$O788)</f>
        <v/>
      </c>
      <c r="Q788" s="10" t="str">
        <f aca="false">IF($B788="","",$N788*IFERROR(INDEX(Drinks!$D$4:$D$53,MATCH($B788,Drinks!$A$4:$A$53,0)),0))</f>
        <v/>
      </c>
      <c r="R788" s="10" t="str">
        <f aca="false">IF($B788="","",$P788-$Q788)</f>
        <v/>
      </c>
      <c r="S788" s="23" t="str">
        <f aca="false">IF($B788="","",IF(COUNTIFS($A$4:$A$2003,$A788-1,$B$4:$B$2003,$B788)=0,"first day",IF(SUMIFS($M$4:$M$2003,$A$4:$A$2003,$A788-1,$B$4:$B$2003,$B788)=$J788,"OK","CHECK")))</f>
        <v/>
      </c>
      <c r="T788" s="10" t="str">
        <f aca="false">IF($B788="","",IFERROR(INDEX(Drinks!$D$4:$D$53,MATCH($B788,Drinks!$A$4:$A$53,0)),0))</f>
        <v/>
      </c>
    </row>
    <row r="789" customFormat="false" ht="15" hidden="false" customHeight="false" outlineLevel="0" collapsed="false">
      <c r="A789" s="22"/>
      <c r="B789" s="9"/>
      <c r="C789" s="9"/>
      <c r="D789" s="9"/>
      <c r="E789" s="9"/>
      <c r="F789" s="10" t="str">
        <f aca="false">IF($B789="","",$C789+$D789-$E789)</f>
        <v/>
      </c>
      <c r="G789" s="10" t="str">
        <f aca="false">IF($B789="","",IFERROR(INDEX(Drinks!$C$4:$C$53,MATCH($B789,Drinks!$A$4:$A$53,0)),0))</f>
        <v/>
      </c>
      <c r="H789" s="10" t="str">
        <f aca="false">IF($B789="","",$D789*$G789)</f>
        <v/>
      </c>
      <c r="I789" s="10" t="str">
        <f aca="false">IF($B789="","",$F789*$G789)</f>
        <v/>
      </c>
      <c r="J789" s="9"/>
      <c r="K789" s="10" t="str">
        <f aca="false">IF($B789="","",$E789*IFERROR(INDEX(Drinks!$B$4:$B$53,MATCH($B789,Drinks!$A$4:$A$53,0)),0))</f>
        <v/>
      </c>
      <c r="L789" s="10" t="str">
        <f aca="false">IF($B789="","",$J789+$K789)</f>
        <v/>
      </c>
      <c r="M789" s="9"/>
      <c r="N789" s="10" t="str">
        <f aca="false">IF($B789="","",$L789-$M789)</f>
        <v/>
      </c>
      <c r="O789" s="10" t="str">
        <f aca="false">IF($B789="","",IFERROR(INDEX(Drinks!$E$4:$E$53,MATCH($B789,Drinks!$A$4:$A$53,0)),0))</f>
        <v/>
      </c>
      <c r="P789" s="10" t="str">
        <f aca="false">IF($B789="","",$N789*$O789)</f>
        <v/>
      </c>
      <c r="Q789" s="10" t="str">
        <f aca="false">IF($B789="","",$N789*IFERROR(INDEX(Drinks!$D$4:$D$53,MATCH($B789,Drinks!$A$4:$A$53,0)),0))</f>
        <v/>
      </c>
      <c r="R789" s="10" t="str">
        <f aca="false">IF($B789="","",$P789-$Q789)</f>
        <v/>
      </c>
      <c r="S789" s="23" t="str">
        <f aca="false">IF($B789="","",IF(COUNTIFS($A$4:$A$2003,$A789-1,$B$4:$B$2003,$B789)=0,"first day",IF(SUMIFS($M$4:$M$2003,$A$4:$A$2003,$A789-1,$B$4:$B$2003,$B789)=$J789,"OK","CHECK")))</f>
        <v/>
      </c>
      <c r="T789" s="10" t="str">
        <f aca="false">IF($B789="","",IFERROR(INDEX(Drinks!$D$4:$D$53,MATCH($B789,Drinks!$A$4:$A$53,0)),0))</f>
        <v/>
      </c>
    </row>
    <row r="790" customFormat="false" ht="15" hidden="false" customHeight="false" outlineLevel="0" collapsed="false">
      <c r="A790" s="22"/>
      <c r="B790" s="9"/>
      <c r="C790" s="9"/>
      <c r="D790" s="9"/>
      <c r="E790" s="9"/>
      <c r="F790" s="10" t="str">
        <f aca="false">IF($B790="","",$C790+$D790-$E790)</f>
        <v/>
      </c>
      <c r="G790" s="10" t="str">
        <f aca="false">IF($B790="","",IFERROR(INDEX(Drinks!$C$4:$C$53,MATCH($B790,Drinks!$A$4:$A$53,0)),0))</f>
        <v/>
      </c>
      <c r="H790" s="10" t="str">
        <f aca="false">IF($B790="","",$D790*$G790)</f>
        <v/>
      </c>
      <c r="I790" s="10" t="str">
        <f aca="false">IF($B790="","",$F790*$G790)</f>
        <v/>
      </c>
      <c r="J790" s="9"/>
      <c r="K790" s="10" t="str">
        <f aca="false">IF($B790="","",$E790*IFERROR(INDEX(Drinks!$B$4:$B$53,MATCH($B790,Drinks!$A$4:$A$53,0)),0))</f>
        <v/>
      </c>
      <c r="L790" s="10" t="str">
        <f aca="false">IF($B790="","",$J790+$K790)</f>
        <v/>
      </c>
      <c r="M790" s="9"/>
      <c r="N790" s="10" t="str">
        <f aca="false">IF($B790="","",$L790-$M790)</f>
        <v/>
      </c>
      <c r="O790" s="10" t="str">
        <f aca="false">IF($B790="","",IFERROR(INDEX(Drinks!$E$4:$E$53,MATCH($B790,Drinks!$A$4:$A$53,0)),0))</f>
        <v/>
      </c>
      <c r="P790" s="10" t="str">
        <f aca="false">IF($B790="","",$N790*$O790)</f>
        <v/>
      </c>
      <c r="Q790" s="10" t="str">
        <f aca="false">IF($B790="","",$N790*IFERROR(INDEX(Drinks!$D$4:$D$53,MATCH($B790,Drinks!$A$4:$A$53,0)),0))</f>
        <v/>
      </c>
      <c r="R790" s="10" t="str">
        <f aca="false">IF($B790="","",$P790-$Q790)</f>
        <v/>
      </c>
      <c r="S790" s="23" t="str">
        <f aca="false">IF($B790="","",IF(COUNTIFS($A$4:$A$2003,$A790-1,$B$4:$B$2003,$B790)=0,"first day",IF(SUMIFS($M$4:$M$2003,$A$4:$A$2003,$A790-1,$B$4:$B$2003,$B790)=$J790,"OK","CHECK")))</f>
        <v/>
      </c>
      <c r="T790" s="10" t="str">
        <f aca="false">IF($B790="","",IFERROR(INDEX(Drinks!$D$4:$D$53,MATCH($B790,Drinks!$A$4:$A$53,0)),0))</f>
        <v/>
      </c>
    </row>
    <row r="791" customFormat="false" ht="15" hidden="false" customHeight="false" outlineLevel="0" collapsed="false">
      <c r="A791" s="22"/>
      <c r="B791" s="9"/>
      <c r="C791" s="9"/>
      <c r="D791" s="9"/>
      <c r="E791" s="9"/>
      <c r="F791" s="10" t="str">
        <f aca="false">IF($B791="","",$C791+$D791-$E791)</f>
        <v/>
      </c>
      <c r="G791" s="10" t="str">
        <f aca="false">IF($B791="","",IFERROR(INDEX(Drinks!$C$4:$C$53,MATCH($B791,Drinks!$A$4:$A$53,0)),0))</f>
        <v/>
      </c>
      <c r="H791" s="10" t="str">
        <f aca="false">IF($B791="","",$D791*$G791)</f>
        <v/>
      </c>
      <c r="I791" s="10" t="str">
        <f aca="false">IF($B791="","",$F791*$G791)</f>
        <v/>
      </c>
      <c r="J791" s="9"/>
      <c r="K791" s="10" t="str">
        <f aca="false">IF($B791="","",$E791*IFERROR(INDEX(Drinks!$B$4:$B$53,MATCH($B791,Drinks!$A$4:$A$53,0)),0))</f>
        <v/>
      </c>
      <c r="L791" s="10" t="str">
        <f aca="false">IF($B791="","",$J791+$K791)</f>
        <v/>
      </c>
      <c r="M791" s="9"/>
      <c r="N791" s="10" t="str">
        <f aca="false">IF($B791="","",$L791-$M791)</f>
        <v/>
      </c>
      <c r="O791" s="10" t="str">
        <f aca="false">IF($B791="","",IFERROR(INDEX(Drinks!$E$4:$E$53,MATCH($B791,Drinks!$A$4:$A$53,0)),0))</f>
        <v/>
      </c>
      <c r="P791" s="10" t="str">
        <f aca="false">IF($B791="","",$N791*$O791)</f>
        <v/>
      </c>
      <c r="Q791" s="10" t="str">
        <f aca="false">IF($B791="","",$N791*IFERROR(INDEX(Drinks!$D$4:$D$53,MATCH($B791,Drinks!$A$4:$A$53,0)),0))</f>
        <v/>
      </c>
      <c r="R791" s="10" t="str">
        <f aca="false">IF($B791="","",$P791-$Q791)</f>
        <v/>
      </c>
      <c r="S791" s="23" t="str">
        <f aca="false">IF($B791="","",IF(COUNTIFS($A$4:$A$2003,$A791-1,$B$4:$B$2003,$B791)=0,"first day",IF(SUMIFS($M$4:$M$2003,$A$4:$A$2003,$A791-1,$B$4:$B$2003,$B791)=$J791,"OK","CHECK")))</f>
        <v/>
      </c>
      <c r="T791" s="10" t="str">
        <f aca="false">IF($B791="","",IFERROR(INDEX(Drinks!$D$4:$D$53,MATCH($B791,Drinks!$A$4:$A$53,0)),0))</f>
        <v/>
      </c>
    </row>
    <row r="792" customFormat="false" ht="15" hidden="false" customHeight="false" outlineLevel="0" collapsed="false">
      <c r="A792" s="22"/>
      <c r="B792" s="9"/>
      <c r="C792" s="9"/>
      <c r="D792" s="9"/>
      <c r="E792" s="9"/>
      <c r="F792" s="10" t="str">
        <f aca="false">IF($B792="","",$C792+$D792-$E792)</f>
        <v/>
      </c>
      <c r="G792" s="10" t="str">
        <f aca="false">IF($B792="","",IFERROR(INDEX(Drinks!$C$4:$C$53,MATCH($B792,Drinks!$A$4:$A$53,0)),0))</f>
        <v/>
      </c>
      <c r="H792" s="10" t="str">
        <f aca="false">IF($B792="","",$D792*$G792)</f>
        <v/>
      </c>
      <c r="I792" s="10" t="str">
        <f aca="false">IF($B792="","",$F792*$G792)</f>
        <v/>
      </c>
      <c r="J792" s="9"/>
      <c r="K792" s="10" t="str">
        <f aca="false">IF($B792="","",$E792*IFERROR(INDEX(Drinks!$B$4:$B$53,MATCH($B792,Drinks!$A$4:$A$53,0)),0))</f>
        <v/>
      </c>
      <c r="L792" s="10" t="str">
        <f aca="false">IF($B792="","",$J792+$K792)</f>
        <v/>
      </c>
      <c r="M792" s="9"/>
      <c r="N792" s="10" t="str">
        <f aca="false">IF($B792="","",$L792-$M792)</f>
        <v/>
      </c>
      <c r="O792" s="10" t="str">
        <f aca="false">IF($B792="","",IFERROR(INDEX(Drinks!$E$4:$E$53,MATCH($B792,Drinks!$A$4:$A$53,0)),0))</f>
        <v/>
      </c>
      <c r="P792" s="10" t="str">
        <f aca="false">IF($B792="","",$N792*$O792)</f>
        <v/>
      </c>
      <c r="Q792" s="10" t="str">
        <f aca="false">IF($B792="","",$N792*IFERROR(INDEX(Drinks!$D$4:$D$53,MATCH($B792,Drinks!$A$4:$A$53,0)),0))</f>
        <v/>
      </c>
      <c r="R792" s="10" t="str">
        <f aca="false">IF($B792="","",$P792-$Q792)</f>
        <v/>
      </c>
      <c r="S792" s="23" t="str">
        <f aca="false">IF($B792="","",IF(COUNTIFS($A$4:$A$2003,$A792-1,$B$4:$B$2003,$B792)=0,"first day",IF(SUMIFS($M$4:$M$2003,$A$4:$A$2003,$A792-1,$B$4:$B$2003,$B792)=$J792,"OK","CHECK")))</f>
        <v/>
      </c>
      <c r="T792" s="10" t="str">
        <f aca="false">IF($B792="","",IFERROR(INDEX(Drinks!$D$4:$D$53,MATCH($B792,Drinks!$A$4:$A$53,0)),0))</f>
        <v/>
      </c>
    </row>
    <row r="793" customFormat="false" ht="15" hidden="false" customHeight="false" outlineLevel="0" collapsed="false">
      <c r="A793" s="22"/>
      <c r="B793" s="9"/>
      <c r="C793" s="9"/>
      <c r="D793" s="9"/>
      <c r="E793" s="9"/>
      <c r="F793" s="10" t="str">
        <f aca="false">IF($B793="","",$C793+$D793-$E793)</f>
        <v/>
      </c>
      <c r="G793" s="10" t="str">
        <f aca="false">IF($B793="","",IFERROR(INDEX(Drinks!$C$4:$C$53,MATCH($B793,Drinks!$A$4:$A$53,0)),0))</f>
        <v/>
      </c>
      <c r="H793" s="10" t="str">
        <f aca="false">IF($B793="","",$D793*$G793)</f>
        <v/>
      </c>
      <c r="I793" s="10" t="str">
        <f aca="false">IF($B793="","",$F793*$G793)</f>
        <v/>
      </c>
      <c r="J793" s="9"/>
      <c r="K793" s="10" t="str">
        <f aca="false">IF($B793="","",$E793*IFERROR(INDEX(Drinks!$B$4:$B$53,MATCH($B793,Drinks!$A$4:$A$53,0)),0))</f>
        <v/>
      </c>
      <c r="L793" s="10" t="str">
        <f aca="false">IF($B793="","",$J793+$K793)</f>
        <v/>
      </c>
      <c r="M793" s="9"/>
      <c r="N793" s="10" t="str">
        <f aca="false">IF($B793="","",$L793-$M793)</f>
        <v/>
      </c>
      <c r="O793" s="10" t="str">
        <f aca="false">IF($B793="","",IFERROR(INDEX(Drinks!$E$4:$E$53,MATCH($B793,Drinks!$A$4:$A$53,0)),0))</f>
        <v/>
      </c>
      <c r="P793" s="10" t="str">
        <f aca="false">IF($B793="","",$N793*$O793)</f>
        <v/>
      </c>
      <c r="Q793" s="10" t="str">
        <f aca="false">IF($B793="","",$N793*IFERROR(INDEX(Drinks!$D$4:$D$53,MATCH($B793,Drinks!$A$4:$A$53,0)),0))</f>
        <v/>
      </c>
      <c r="R793" s="10" t="str">
        <f aca="false">IF($B793="","",$P793-$Q793)</f>
        <v/>
      </c>
      <c r="S793" s="23" t="str">
        <f aca="false">IF($B793="","",IF(COUNTIFS($A$4:$A$2003,$A793-1,$B$4:$B$2003,$B793)=0,"first day",IF(SUMIFS($M$4:$M$2003,$A$4:$A$2003,$A793-1,$B$4:$B$2003,$B793)=$J793,"OK","CHECK")))</f>
        <v/>
      </c>
      <c r="T793" s="10" t="str">
        <f aca="false">IF($B793="","",IFERROR(INDEX(Drinks!$D$4:$D$53,MATCH($B793,Drinks!$A$4:$A$53,0)),0))</f>
        <v/>
      </c>
    </row>
    <row r="794" customFormat="false" ht="15" hidden="false" customHeight="false" outlineLevel="0" collapsed="false">
      <c r="A794" s="22"/>
      <c r="B794" s="9"/>
      <c r="C794" s="9"/>
      <c r="D794" s="9"/>
      <c r="E794" s="9"/>
      <c r="F794" s="10" t="str">
        <f aca="false">IF($B794="","",$C794+$D794-$E794)</f>
        <v/>
      </c>
      <c r="G794" s="10" t="str">
        <f aca="false">IF($B794="","",IFERROR(INDEX(Drinks!$C$4:$C$53,MATCH($B794,Drinks!$A$4:$A$53,0)),0))</f>
        <v/>
      </c>
      <c r="H794" s="10" t="str">
        <f aca="false">IF($B794="","",$D794*$G794)</f>
        <v/>
      </c>
      <c r="I794" s="10" t="str">
        <f aca="false">IF($B794="","",$F794*$G794)</f>
        <v/>
      </c>
      <c r="J794" s="9"/>
      <c r="K794" s="10" t="str">
        <f aca="false">IF($B794="","",$E794*IFERROR(INDEX(Drinks!$B$4:$B$53,MATCH($B794,Drinks!$A$4:$A$53,0)),0))</f>
        <v/>
      </c>
      <c r="L794" s="10" t="str">
        <f aca="false">IF($B794="","",$J794+$K794)</f>
        <v/>
      </c>
      <c r="M794" s="9"/>
      <c r="N794" s="10" t="str">
        <f aca="false">IF($B794="","",$L794-$M794)</f>
        <v/>
      </c>
      <c r="O794" s="10" t="str">
        <f aca="false">IF($B794="","",IFERROR(INDEX(Drinks!$E$4:$E$53,MATCH($B794,Drinks!$A$4:$A$53,0)),0))</f>
        <v/>
      </c>
      <c r="P794" s="10" t="str">
        <f aca="false">IF($B794="","",$N794*$O794)</f>
        <v/>
      </c>
      <c r="Q794" s="10" t="str">
        <f aca="false">IF($B794="","",$N794*IFERROR(INDEX(Drinks!$D$4:$D$53,MATCH($B794,Drinks!$A$4:$A$53,0)),0))</f>
        <v/>
      </c>
      <c r="R794" s="10" t="str">
        <f aca="false">IF($B794="","",$P794-$Q794)</f>
        <v/>
      </c>
      <c r="S794" s="23" t="str">
        <f aca="false">IF($B794="","",IF(COUNTIFS($A$4:$A$2003,$A794-1,$B$4:$B$2003,$B794)=0,"first day",IF(SUMIFS($M$4:$M$2003,$A$4:$A$2003,$A794-1,$B$4:$B$2003,$B794)=$J794,"OK","CHECK")))</f>
        <v/>
      </c>
      <c r="T794" s="10" t="str">
        <f aca="false">IF($B794="","",IFERROR(INDEX(Drinks!$D$4:$D$53,MATCH($B794,Drinks!$A$4:$A$53,0)),0))</f>
        <v/>
      </c>
    </row>
    <row r="795" customFormat="false" ht="15" hidden="false" customHeight="false" outlineLevel="0" collapsed="false">
      <c r="A795" s="22"/>
      <c r="B795" s="9"/>
      <c r="C795" s="9"/>
      <c r="D795" s="9"/>
      <c r="E795" s="9"/>
      <c r="F795" s="10" t="str">
        <f aca="false">IF($B795="","",$C795+$D795-$E795)</f>
        <v/>
      </c>
      <c r="G795" s="10" t="str">
        <f aca="false">IF($B795="","",IFERROR(INDEX(Drinks!$C$4:$C$53,MATCH($B795,Drinks!$A$4:$A$53,0)),0))</f>
        <v/>
      </c>
      <c r="H795" s="10" t="str">
        <f aca="false">IF($B795="","",$D795*$G795)</f>
        <v/>
      </c>
      <c r="I795" s="10" t="str">
        <f aca="false">IF($B795="","",$F795*$G795)</f>
        <v/>
      </c>
      <c r="J795" s="9"/>
      <c r="K795" s="10" t="str">
        <f aca="false">IF($B795="","",$E795*IFERROR(INDEX(Drinks!$B$4:$B$53,MATCH($B795,Drinks!$A$4:$A$53,0)),0))</f>
        <v/>
      </c>
      <c r="L795" s="10" t="str">
        <f aca="false">IF($B795="","",$J795+$K795)</f>
        <v/>
      </c>
      <c r="M795" s="9"/>
      <c r="N795" s="10" t="str">
        <f aca="false">IF($B795="","",$L795-$M795)</f>
        <v/>
      </c>
      <c r="O795" s="10" t="str">
        <f aca="false">IF($B795="","",IFERROR(INDEX(Drinks!$E$4:$E$53,MATCH($B795,Drinks!$A$4:$A$53,0)),0))</f>
        <v/>
      </c>
      <c r="P795" s="10" t="str">
        <f aca="false">IF($B795="","",$N795*$O795)</f>
        <v/>
      </c>
      <c r="Q795" s="10" t="str">
        <f aca="false">IF($B795="","",$N795*IFERROR(INDEX(Drinks!$D$4:$D$53,MATCH($B795,Drinks!$A$4:$A$53,0)),0))</f>
        <v/>
      </c>
      <c r="R795" s="10" t="str">
        <f aca="false">IF($B795="","",$P795-$Q795)</f>
        <v/>
      </c>
      <c r="S795" s="23" t="str">
        <f aca="false">IF($B795="","",IF(COUNTIFS($A$4:$A$2003,$A795-1,$B$4:$B$2003,$B795)=0,"first day",IF(SUMIFS($M$4:$M$2003,$A$4:$A$2003,$A795-1,$B$4:$B$2003,$B795)=$J795,"OK","CHECK")))</f>
        <v/>
      </c>
      <c r="T795" s="10" t="str">
        <f aca="false">IF($B795="","",IFERROR(INDEX(Drinks!$D$4:$D$53,MATCH($B795,Drinks!$A$4:$A$53,0)),0))</f>
        <v/>
      </c>
    </row>
    <row r="796" customFormat="false" ht="15" hidden="false" customHeight="false" outlineLevel="0" collapsed="false">
      <c r="A796" s="22"/>
      <c r="B796" s="9"/>
      <c r="C796" s="9"/>
      <c r="D796" s="9"/>
      <c r="E796" s="9"/>
      <c r="F796" s="10" t="str">
        <f aca="false">IF($B796="","",$C796+$D796-$E796)</f>
        <v/>
      </c>
      <c r="G796" s="10" t="str">
        <f aca="false">IF($B796="","",IFERROR(INDEX(Drinks!$C$4:$C$53,MATCH($B796,Drinks!$A$4:$A$53,0)),0))</f>
        <v/>
      </c>
      <c r="H796" s="10" t="str">
        <f aca="false">IF($B796="","",$D796*$G796)</f>
        <v/>
      </c>
      <c r="I796" s="10" t="str">
        <f aca="false">IF($B796="","",$F796*$G796)</f>
        <v/>
      </c>
      <c r="J796" s="9"/>
      <c r="K796" s="10" t="str">
        <f aca="false">IF($B796="","",$E796*IFERROR(INDEX(Drinks!$B$4:$B$53,MATCH($B796,Drinks!$A$4:$A$53,0)),0))</f>
        <v/>
      </c>
      <c r="L796" s="10" t="str">
        <f aca="false">IF($B796="","",$J796+$K796)</f>
        <v/>
      </c>
      <c r="M796" s="9"/>
      <c r="N796" s="10" t="str">
        <f aca="false">IF($B796="","",$L796-$M796)</f>
        <v/>
      </c>
      <c r="O796" s="10" t="str">
        <f aca="false">IF($B796="","",IFERROR(INDEX(Drinks!$E$4:$E$53,MATCH($B796,Drinks!$A$4:$A$53,0)),0))</f>
        <v/>
      </c>
      <c r="P796" s="10" t="str">
        <f aca="false">IF($B796="","",$N796*$O796)</f>
        <v/>
      </c>
      <c r="Q796" s="10" t="str">
        <f aca="false">IF($B796="","",$N796*IFERROR(INDEX(Drinks!$D$4:$D$53,MATCH($B796,Drinks!$A$4:$A$53,0)),0))</f>
        <v/>
      </c>
      <c r="R796" s="10" t="str">
        <f aca="false">IF($B796="","",$P796-$Q796)</f>
        <v/>
      </c>
      <c r="S796" s="23" t="str">
        <f aca="false">IF($B796="","",IF(COUNTIFS($A$4:$A$2003,$A796-1,$B$4:$B$2003,$B796)=0,"first day",IF(SUMIFS($M$4:$M$2003,$A$4:$A$2003,$A796-1,$B$4:$B$2003,$B796)=$J796,"OK","CHECK")))</f>
        <v/>
      </c>
      <c r="T796" s="10" t="str">
        <f aca="false">IF($B796="","",IFERROR(INDEX(Drinks!$D$4:$D$53,MATCH($B796,Drinks!$A$4:$A$53,0)),0))</f>
        <v/>
      </c>
    </row>
    <row r="797" customFormat="false" ht="15" hidden="false" customHeight="false" outlineLevel="0" collapsed="false">
      <c r="A797" s="22"/>
      <c r="B797" s="9"/>
      <c r="C797" s="9"/>
      <c r="D797" s="9"/>
      <c r="E797" s="9"/>
      <c r="F797" s="10" t="str">
        <f aca="false">IF($B797="","",$C797+$D797-$E797)</f>
        <v/>
      </c>
      <c r="G797" s="10" t="str">
        <f aca="false">IF($B797="","",IFERROR(INDEX(Drinks!$C$4:$C$53,MATCH($B797,Drinks!$A$4:$A$53,0)),0))</f>
        <v/>
      </c>
      <c r="H797" s="10" t="str">
        <f aca="false">IF($B797="","",$D797*$G797)</f>
        <v/>
      </c>
      <c r="I797" s="10" t="str">
        <f aca="false">IF($B797="","",$F797*$G797)</f>
        <v/>
      </c>
      <c r="J797" s="9"/>
      <c r="K797" s="10" t="str">
        <f aca="false">IF($B797="","",$E797*IFERROR(INDEX(Drinks!$B$4:$B$53,MATCH($B797,Drinks!$A$4:$A$53,0)),0))</f>
        <v/>
      </c>
      <c r="L797" s="10" t="str">
        <f aca="false">IF($B797="","",$J797+$K797)</f>
        <v/>
      </c>
      <c r="M797" s="9"/>
      <c r="N797" s="10" t="str">
        <f aca="false">IF($B797="","",$L797-$M797)</f>
        <v/>
      </c>
      <c r="O797" s="10" t="str">
        <f aca="false">IF($B797="","",IFERROR(INDEX(Drinks!$E$4:$E$53,MATCH($B797,Drinks!$A$4:$A$53,0)),0))</f>
        <v/>
      </c>
      <c r="P797" s="10" t="str">
        <f aca="false">IF($B797="","",$N797*$O797)</f>
        <v/>
      </c>
      <c r="Q797" s="10" t="str">
        <f aca="false">IF($B797="","",$N797*IFERROR(INDEX(Drinks!$D$4:$D$53,MATCH($B797,Drinks!$A$4:$A$53,0)),0))</f>
        <v/>
      </c>
      <c r="R797" s="10" t="str">
        <f aca="false">IF($B797="","",$P797-$Q797)</f>
        <v/>
      </c>
      <c r="S797" s="23" t="str">
        <f aca="false">IF($B797="","",IF(COUNTIFS($A$4:$A$2003,$A797-1,$B$4:$B$2003,$B797)=0,"first day",IF(SUMIFS($M$4:$M$2003,$A$4:$A$2003,$A797-1,$B$4:$B$2003,$B797)=$J797,"OK","CHECK")))</f>
        <v/>
      </c>
      <c r="T797" s="10" t="str">
        <f aca="false">IF($B797="","",IFERROR(INDEX(Drinks!$D$4:$D$53,MATCH($B797,Drinks!$A$4:$A$53,0)),0))</f>
        <v/>
      </c>
    </row>
    <row r="798" customFormat="false" ht="15" hidden="false" customHeight="false" outlineLevel="0" collapsed="false">
      <c r="A798" s="22"/>
      <c r="B798" s="9"/>
      <c r="C798" s="9"/>
      <c r="D798" s="9"/>
      <c r="E798" s="9"/>
      <c r="F798" s="10" t="str">
        <f aca="false">IF($B798="","",$C798+$D798-$E798)</f>
        <v/>
      </c>
      <c r="G798" s="10" t="str">
        <f aca="false">IF($B798="","",IFERROR(INDEX(Drinks!$C$4:$C$53,MATCH($B798,Drinks!$A$4:$A$53,0)),0))</f>
        <v/>
      </c>
      <c r="H798" s="10" t="str">
        <f aca="false">IF($B798="","",$D798*$G798)</f>
        <v/>
      </c>
      <c r="I798" s="10" t="str">
        <f aca="false">IF($B798="","",$F798*$G798)</f>
        <v/>
      </c>
      <c r="J798" s="9"/>
      <c r="K798" s="10" t="str">
        <f aca="false">IF($B798="","",$E798*IFERROR(INDEX(Drinks!$B$4:$B$53,MATCH($B798,Drinks!$A$4:$A$53,0)),0))</f>
        <v/>
      </c>
      <c r="L798" s="10" t="str">
        <f aca="false">IF($B798="","",$J798+$K798)</f>
        <v/>
      </c>
      <c r="M798" s="9"/>
      <c r="N798" s="10" t="str">
        <f aca="false">IF($B798="","",$L798-$M798)</f>
        <v/>
      </c>
      <c r="O798" s="10" t="str">
        <f aca="false">IF($B798="","",IFERROR(INDEX(Drinks!$E$4:$E$53,MATCH($B798,Drinks!$A$4:$A$53,0)),0))</f>
        <v/>
      </c>
      <c r="P798" s="10" t="str">
        <f aca="false">IF($B798="","",$N798*$O798)</f>
        <v/>
      </c>
      <c r="Q798" s="10" t="str">
        <f aca="false">IF($B798="","",$N798*IFERROR(INDEX(Drinks!$D$4:$D$53,MATCH($B798,Drinks!$A$4:$A$53,0)),0))</f>
        <v/>
      </c>
      <c r="R798" s="10" t="str">
        <f aca="false">IF($B798="","",$P798-$Q798)</f>
        <v/>
      </c>
      <c r="S798" s="23" t="str">
        <f aca="false">IF($B798="","",IF(COUNTIFS($A$4:$A$2003,$A798-1,$B$4:$B$2003,$B798)=0,"first day",IF(SUMIFS($M$4:$M$2003,$A$4:$A$2003,$A798-1,$B$4:$B$2003,$B798)=$J798,"OK","CHECK")))</f>
        <v/>
      </c>
      <c r="T798" s="10" t="str">
        <f aca="false">IF($B798="","",IFERROR(INDEX(Drinks!$D$4:$D$53,MATCH($B798,Drinks!$A$4:$A$53,0)),0))</f>
        <v/>
      </c>
    </row>
    <row r="799" customFormat="false" ht="15" hidden="false" customHeight="false" outlineLevel="0" collapsed="false">
      <c r="A799" s="22"/>
      <c r="B799" s="9"/>
      <c r="C799" s="9"/>
      <c r="D799" s="9"/>
      <c r="E799" s="9"/>
      <c r="F799" s="10" t="str">
        <f aca="false">IF($B799="","",$C799+$D799-$E799)</f>
        <v/>
      </c>
      <c r="G799" s="10" t="str">
        <f aca="false">IF($B799="","",IFERROR(INDEX(Drinks!$C$4:$C$53,MATCH($B799,Drinks!$A$4:$A$53,0)),0))</f>
        <v/>
      </c>
      <c r="H799" s="10" t="str">
        <f aca="false">IF($B799="","",$D799*$G799)</f>
        <v/>
      </c>
      <c r="I799" s="10" t="str">
        <f aca="false">IF($B799="","",$F799*$G799)</f>
        <v/>
      </c>
      <c r="J799" s="9"/>
      <c r="K799" s="10" t="str">
        <f aca="false">IF($B799="","",$E799*IFERROR(INDEX(Drinks!$B$4:$B$53,MATCH($B799,Drinks!$A$4:$A$53,0)),0))</f>
        <v/>
      </c>
      <c r="L799" s="10" t="str">
        <f aca="false">IF($B799="","",$J799+$K799)</f>
        <v/>
      </c>
      <c r="M799" s="9"/>
      <c r="N799" s="10" t="str">
        <f aca="false">IF($B799="","",$L799-$M799)</f>
        <v/>
      </c>
      <c r="O799" s="10" t="str">
        <f aca="false">IF($B799="","",IFERROR(INDEX(Drinks!$E$4:$E$53,MATCH($B799,Drinks!$A$4:$A$53,0)),0))</f>
        <v/>
      </c>
      <c r="P799" s="10" t="str">
        <f aca="false">IF($B799="","",$N799*$O799)</f>
        <v/>
      </c>
      <c r="Q799" s="10" t="str">
        <f aca="false">IF($B799="","",$N799*IFERROR(INDEX(Drinks!$D$4:$D$53,MATCH($B799,Drinks!$A$4:$A$53,0)),0))</f>
        <v/>
      </c>
      <c r="R799" s="10" t="str">
        <f aca="false">IF($B799="","",$P799-$Q799)</f>
        <v/>
      </c>
      <c r="S799" s="23" t="str">
        <f aca="false">IF($B799="","",IF(COUNTIFS($A$4:$A$2003,$A799-1,$B$4:$B$2003,$B799)=0,"first day",IF(SUMIFS($M$4:$M$2003,$A$4:$A$2003,$A799-1,$B$4:$B$2003,$B799)=$J799,"OK","CHECK")))</f>
        <v/>
      </c>
      <c r="T799" s="10" t="str">
        <f aca="false">IF($B799="","",IFERROR(INDEX(Drinks!$D$4:$D$53,MATCH($B799,Drinks!$A$4:$A$53,0)),0))</f>
        <v/>
      </c>
    </row>
    <row r="800" customFormat="false" ht="15" hidden="false" customHeight="false" outlineLevel="0" collapsed="false">
      <c r="A800" s="22"/>
      <c r="B800" s="9"/>
      <c r="C800" s="9"/>
      <c r="D800" s="9"/>
      <c r="E800" s="9"/>
      <c r="F800" s="10" t="str">
        <f aca="false">IF($B800="","",$C800+$D800-$E800)</f>
        <v/>
      </c>
      <c r="G800" s="10" t="str">
        <f aca="false">IF($B800="","",IFERROR(INDEX(Drinks!$C$4:$C$53,MATCH($B800,Drinks!$A$4:$A$53,0)),0))</f>
        <v/>
      </c>
      <c r="H800" s="10" t="str">
        <f aca="false">IF($B800="","",$D800*$G800)</f>
        <v/>
      </c>
      <c r="I800" s="10" t="str">
        <f aca="false">IF($B800="","",$F800*$G800)</f>
        <v/>
      </c>
      <c r="J800" s="9"/>
      <c r="K800" s="10" t="str">
        <f aca="false">IF($B800="","",$E800*IFERROR(INDEX(Drinks!$B$4:$B$53,MATCH($B800,Drinks!$A$4:$A$53,0)),0))</f>
        <v/>
      </c>
      <c r="L800" s="10" t="str">
        <f aca="false">IF($B800="","",$J800+$K800)</f>
        <v/>
      </c>
      <c r="M800" s="9"/>
      <c r="N800" s="10" t="str">
        <f aca="false">IF($B800="","",$L800-$M800)</f>
        <v/>
      </c>
      <c r="O800" s="10" t="str">
        <f aca="false">IF($B800="","",IFERROR(INDEX(Drinks!$E$4:$E$53,MATCH($B800,Drinks!$A$4:$A$53,0)),0))</f>
        <v/>
      </c>
      <c r="P800" s="10" t="str">
        <f aca="false">IF($B800="","",$N800*$O800)</f>
        <v/>
      </c>
      <c r="Q800" s="10" t="str">
        <f aca="false">IF($B800="","",$N800*IFERROR(INDEX(Drinks!$D$4:$D$53,MATCH($B800,Drinks!$A$4:$A$53,0)),0))</f>
        <v/>
      </c>
      <c r="R800" s="10" t="str">
        <f aca="false">IF($B800="","",$P800-$Q800)</f>
        <v/>
      </c>
      <c r="S800" s="23" t="str">
        <f aca="false">IF($B800="","",IF(COUNTIFS($A$4:$A$2003,$A800-1,$B$4:$B$2003,$B800)=0,"first day",IF(SUMIFS($M$4:$M$2003,$A$4:$A$2003,$A800-1,$B$4:$B$2003,$B800)=$J800,"OK","CHECK")))</f>
        <v/>
      </c>
      <c r="T800" s="10" t="str">
        <f aca="false">IF($B800="","",IFERROR(INDEX(Drinks!$D$4:$D$53,MATCH($B800,Drinks!$A$4:$A$53,0)),0))</f>
        <v/>
      </c>
    </row>
    <row r="801" customFormat="false" ht="15" hidden="false" customHeight="false" outlineLevel="0" collapsed="false">
      <c r="A801" s="22"/>
      <c r="B801" s="9"/>
      <c r="C801" s="9"/>
      <c r="D801" s="9"/>
      <c r="E801" s="9"/>
      <c r="F801" s="10" t="str">
        <f aca="false">IF($B801="","",$C801+$D801-$E801)</f>
        <v/>
      </c>
      <c r="G801" s="10" t="str">
        <f aca="false">IF($B801="","",IFERROR(INDEX(Drinks!$C$4:$C$53,MATCH($B801,Drinks!$A$4:$A$53,0)),0))</f>
        <v/>
      </c>
      <c r="H801" s="10" t="str">
        <f aca="false">IF($B801="","",$D801*$G801)</f>
        <v/>
      </c>
      <c r="I801" s="10" t="str">
        <f aca="false">IF($B801="","",$F801*$G801)</f>
        <v/>
      </c>
      <c r="J801" s="9"/>
      <c r="K801" s="10" t="str">
        <f aca="false">IF($B801="","",$E801*IFERROR(INDEX(Drinks!$B$4:$B$53,MATCH($B801,Drinks!$A$4:$A$53,0)),0))</f>
        <v/>
      </c>
      <c r="L801" s="10" t="str">
        <f aca="false">IF($B801="","",$J801+$K801)</f>
        <v/>
      </c>
      <c r="M801" s="9"/>
      <c r="N801" s="10" t="str">
        <f aca="false">IF($B801="","",$L801-$M801)</f>
        <v/>
      </c>
      <c r="O801" s="10" t="str">
        <f aca="false">IF($B801="","",IFERROR(INDEX(Drinks!$E$4:$E$53,MATCH($B801,Drinks!$A$4:$A$53,0)),0))</f>
        <v/>
      </c>
      <c r="P801" s="10" t="str">
        <f aca="false">IF($B801="","",$N801*$O801)</f>
        <v/>
      </c>
      <c r="Q801" s="10" t="str">
        <f aca="false">IF($B801="","",$N801*IFERROR(INDEX(Drinks!$D$4:$D$53,MATCH($B801,Drinks!$A$4:$A$53,0)),0))</f>
        <v/>
      </c>
      <c r="R801" s="10" t="str">
        <f aca="false">IF($B801="","",$P801-$Q801)</f>
        <v/>
      </c>
      <c r="S801" s="23" t="str">
        <f aca="false">IF($B801="","",IF(COUNTIFS($A$4:$A$2003,$A801-1,$B$4:$B$2003,$B801)=0,"first day",IF(SUMIFS($M$4:$M$2003,$A$4:$A$2003,$A801-1,$B$4:$B$2003,$B801)=$J801,"OK","CHECK")))</f>
        <v/>
      </c>
      <c r="T801" s="10" t="str">
        <f aca="false">IF($B801="","",IFERROR(INDEX(Drinks!$D$4:$D$53,MATCH($B801,Drinks!$A$4:$A$53,0)),0))</f>
        <v/>
      </c>
    </row>
    <row r="802" customFormat="false" ht="15" hidden="false" customHeight="false" outlineLevel="0" collapsed="false">
      <c r="A802" s="22"/>
      <c r="B802" s="9"/>
      <c r="C802" s="9"/>
      <c r="D802" s="9"/>
      <c r="E802" s="9"/>
      <c r="F802" s="10" t="str">
        <f aca="false">IF($B802="","",$C802+$D802-$E802)</f>
        <v/>
      </c>
      <c r="G802" s="10" t="str">
        <f aca="false">IF($B802="","",IFERROR(INDEX(Drinks!$C$4:$C$53,MATCH($B802,Drinks!$A$4:$A$53,0)),0))</f>
        <v/>
      </c>
      <c r="H802" s="10" t="str">
        <f aca="false">IF($B802="","",$D802*$G802)</f>
        <v/>
      </c>
      <c r="I802" s="10" t="str">
        <f aca="false">IF($B802="","",$F802*$G802)</f>
        <v/>
      </c>
      <c r="J802" s="9"/>
      <c r="K802" s="10" t="str">
        <f aca="false">IF($B802="","",$E802*IFERROR(INDEX(Drinks!$B$4:$B$53,MATCH($B802,Drinks!$A$4:$A$53,0)),0))</f>
        <v/>
      </c>
      <c r="L802" s="10" t="str">
        <f aca="false">IF($B802="","",$J802+$K802)</f>
        <v/>
      </c>
      <c r="M802" s="9"/>
      <c r="N802" s="10" t="str">
        <f aca="false">IF($B802="","",$L802-$M802)</f>
        <v/>
      </c>
      <c r="O802" s="10" t="str">
        <f aca="false">IF($B802="","",IFERROR(INDEX(Drinks!$E$4:$E$53,MATCH($B802,Drinks!$A$4:$A$53,0)),0))</f>
        <v/>
      </c>
      <c r="P802" s="10" t="str">
        <f aca="false">IF($B802="","",$N802*$O802)</f>
        <v/>
      </c>
      <c r="Q802" s="10" t="str">
        <f aca="false">IF($B802="","",$N802*IFERROR(INDEX(Drinks!$D$4:$D$53,MATCH($B802,Drinks!$A$4:$A$53,0)),0))</f>
        <v/>
      </c>
      <c r="R802" s="10" t="str">
        <f aca="false">IF($B802="","",$P802-$Q802)</f>
        <v/>
      </c>
      <c r="S802" s="23" t="str">
        <f aca="false">IF($B802="","",IF(COUNTIFS($A$4:$A$2003,$A802-1,$B$4:$B$2003,$B802)=0,"first day",IF(SUMIFS($M$4:$M$2003,$A$4:$A$2003,$A802-1,$B$4:$B$2003,$B802)=$J802,"OK","CHECK")))</f>
        <v/>
      </c>
      <c r="T802" s="10" t="str">
        <f aca="false">IF($B802="","",IFERROR(INDEX(Drinks!$D$4:$D$53,MATCH($B802,Drinks!$A$4:$A$53,0)),0))</f>
        <v/>
      </c>
    </row>
    <row r="803" customFormat="false" ht="15" hidden="false" customHeight="false" outlineLevel="0" collapsed="false">
      <c r="A803" s="22"/>
      <c r="B803" s="9"/>
      <c r="C803" s="9"/>
      <c r="D803" s="9"/>
      <c r="E803" s="9"/>
      <c r="F803" s="10" t="str">
        <f aca="false">IF($B803="","",$C803+$D803-$E803)</f>
        <v/>
      </c>
      <c r="G803" s="10" t="str">
        <f aca="false">IF($B803="","",IFERROR(INDEX(Drinks!$C$4:$C$53,MATCH($B803,Drinks!$A$4:$A$53,0)),0))</f>
        <v/>
      </c>
      <c r="H803" s="10" t="str">
        <f aca="false">IF($B803="","",$D803*$G803)</f>
        <v/>
      </c>
      <c r="I803" s="10" t="str">
        <f aca="false">IF($B803="","",$F803*$G803)</f>
        <v/>
      </c>
      <c r="J803" s="9"/>
      <c r="K803" s="10" t="str">
        <f aca="false">IF($B803="","",$E803*IFERROR(INDEX(Drinks!$B$4:$B$53,MATCH($B803,Drinks!$A$4:$A$53,0)),0))</f>
        <v/>
      </c>
      <c r="L803" s="10" t="str">
        <f aca="false">IF($B803="","",$J803+$K803)</f>
        <v/>
      </c>
      <c r="M803" s="9"/>
      <c r="N803" s="10" t="str">
        <f aca="false">IF($B803="","",$L803-$M803)</f>
        <v/>
      </c>
      <c r="O803" s="10" t="str">
        <f aca="false">IF($B803="","",IFERROR(INDEX(Drinks!$E$4:$E$53,MATCH($B803,Drinks!$A$4:$A$53,0)),0))</f>
        <v/>
      </c>
      <c r="P803" s="10" t="str">
        <f aca="false">IF($B803="","",$N803*$O803)</f>
        <v/>
      </c>
      <c r="Q803" s="10" t="str">
        <f aca="false">IF($B803="","",$N803*IFERROR(INDEX(Drinks!$D$4:$D$53,MATCH($B803,Drinks!$A$4:$A$53,0)),0))</f>
        <v/>
      </c>
      <c r="R803" s="10" t="str">
        <f aca="false">IF($B803="","",$P803-$Q803)</f>
        <v/>
      </c>
      <c r="S803" s="23" t="str">
        <f aca="false">IF($B803="","",IF(COUNTIFS($A$4:$A$2003,$A803-1,$B$4:$B$2003,$B803)=0,"first day",IF(SUMIFS($M$4:$M$2003,$A$4:$A$2003,$A803-1,$B$4:$B$2003,$B803)=$J803,"OK","CHECK")))</f>
        <v/>
      </c>
      <c r="T803" s="10" t="str">
        <f aca="false">IF($B803="","",IFERROR(INDEX(Drinks!$D$4:$D$53,MATCH($B803,Drinks!$A$4:$A$53,0)),0))</f>
        <v/>
      </c>
    </row>
    <row r="804" customFormat="false" ht="15" hidden="false" customHeight="false" outlineLevel="0" collapsed="false">
      <c r="A804" s="22"/>
      <c r="B804" s="9"/>
      <c r="C804" s="9"/>
      <c r="D804" s="9"/>
      <c r="E804" s="9"/>
      <c r="F804" s="10" t="str">
        <f aca="false">IF($B804="","",$C804+$D804-$E804)</f>
        <v/>
      </c>
      <c r="G804" s="10" t="str">
        <f aca="false">IF($B804="","",IFERROR(INDEX(Drinks!$C$4:$C$53,MATCH($B804,Drinks!$A$4:$A$53,0)),0))</f>
        <v/>
      </c>
      <c r="H804" s="10" t="str">
        <f aca="false">IF($B804="","",$D804*$G804)</f>
        <v/>
      </c>
      <c r="I804" s="10" t="str">
        <f aca="false">IF($B804="","",$F804*$G804)</f>
        <v/>
      </c>
      <c r="J804" s="9"/>
      <c r="K804" s="10" t="str">
        <f aca="false">IF($B804="","",$E804*IFERROR(INDEX(Drinks!$B$4:$B$53,MATCH($B804,Drinks!$A$4:$A$53,0)),0))</f>
        <v/>
      </c>
      <c r="L804" s="10" t="str">
        <f aca="false">IF($B804="","",$J804+$K804)</f>
        <v/>
      </c>
      <c r="M804" s="9"/>
      <c r="N804" s="10" t="str">
        <f aca="false">IF($B804="","",$L804-$M804)</f>
        <v/>
      </c>
      <c r="O804" s="10" t="str">
        <f aca="false">IF($B804="","",IFERROR(INDEX(Drinks!$E$4:$E$53,MATCH($B804,Drinks!$A$4:$A$53,0)),0))</f>
        <v/>
      </c>
      <c r="P804" s="10" t="str">
        <f aca="false">IF($B804="","",$N804*$O804)</f>
        <v/>
      </c>
      <c r="Q804" s="10" t="str">
        <f aca="false">IF($B804="","",$N804*IFERROR(INDEX(Drinks!$D$4:$D$53,MATCH($B804,Drinks!$A$4:$A$53,0)),0))</f>
        <v/>
      </c>
      <c r="R804" s="10" t="str">
        <f aca="false">IF($B804="","",$P804-$Q804)</f>
        <v/>
      </c>
      <c r="S804" s="23" t="str">
        <f aca="false">IF($B804="","",IF(COUNTIFS($A$4:$A$2003,$A804-1,$B$4:$B$2003,$B804)=0,"first day",IF(SUMIFS($M$4:$M$2003,$A$4:$A$2003,$A804-1,$B$4:$B$2003,$B804)=$J804,"OK","CHECK")))</f>
        <v/>
      </c>
      <c r="T804" s="10" t="str">
        <f aca="false">IF($B804="","",IFERROR(INDEX(Drinks!$D$4:$D$53,MATCH($B804,Drinks!$A$4:$A$53,0)),0))</f>
        <v/>
      </c>
    </row>
    <row r="805" customFormat="false" ht="15" hidden="false" customHeight="false" outlineLevel="0" collapsed="false">
      <c r="A805" s="22"/>
      <c r="B805" s="9"/>
      <c r="C805" s="9"/>
      <c r="D805" s="9"/>
      <c r="E805" s="9"/>
      <c r="F805" s="10" t="str">
        <f aca="false">IF($B805="","",$C805+$D805-$E805)</f>
        <v/>
      </c>
      <c r="G805" s="10" t="str">
        <f aca="false">IF($B805="","",IFERROR(INDEX(Drinks!$C$4:$C$53,MATCH($B805,Drinks!$A$4:$A$53,0)),0))</f>
        <v/>
      </c>
      <c r="H805" s="10" t="str">
        <f aca="false">IF($B805="","",$D805*$G805)</f>
        <v/>
      </c>
      <c r="I805" s="10" t="str">
        <f aca="false">IF($B805="","",$F805*$G805)</f>
        <v/>
      </c>
      <c r="J805" s="9"/>
      <c r="K805" s="10" t="str">
        <f aca="false">IF($B805="","",$E805*IFERROR(INDEX(Drinks!$B$4:$B$53,MATCH($B805,Drinks!$A$4:$A$53,0)),0))</f>
        <v/>
      </c>
      <c r="L805" s="10" t="str">
        <f aca="false">IF($B805="","",$J805+$K805)</f>
        <v/>
      </c>
      <c r="M805" s="9"/>
      <c r="N805" s="10" t="str">
        <f aca="false">IF($B805="","",$L805-$M805)</f>
        <v/>
      </c>
      <c r="O805" s="10" t="str">
        <f aca="false">IF($B805="","",IFERROR(INDEX(Drinks!$E$4:$E$53,MATCH($B805,Drinks!$A$4:$A$53,0)),0))</f>
        <v/>
      </c>
      <c r="P805" s="10" t="str">
        <f aca="false">IF($B805="","",$N805*$O805)</f>
        <v/>
      </c>
      <c r="Q805" s="10" t="str">
        <f aca="false">IF($B805="","",$N805*IFERROR(INDEX(Drinks!$D$4:$D$53,MATCH($B805,Drinks!$A$4:$A$53,0)),0))</f>
        <v/>
      </c>
      <c r="R805" s="10" t="str">
        <f aca="false">IF($B805="","",$P805-$Q805)</f>
        <v/>
      </c>
      <c r="S805" s="23" t="str">
        <f aca="false">IF($B805="","",IF(COUNTIFS($A$4:$A$2003,$A805-1,$B$4:$B$2003,$B805)=0,"first day",IF(SUMIFS($M$4:$M$2003,$A$4:$A$2003,$A805-1,$B$4:$B$2003,$B805)=$J805,"OK","CHECK")))</f>
        <v/>
      </c>
      <c r="T805" s="10" t="str">
        <f aca="false">IF($B805="","",IFERROR(INDEX(Drinks!$D$4:$D$53,MATCH($B805,Drinks!$A$4:$A$53,0)),0))</f>
        <v/>
      </c>
    </row>
    <row r="806" customFormat="false" ht="15" hidden="false" customHeight="false" outlineLevel="0" collapsed="false">
      <c r="A806" s="22"/>
      <c r="B806" s="9"/>
      <c r="C806" s="9"/>
      <c r="D806" s="9"/>
      <c r="E806" s="9"/>
      <c r="F806" s="10" t="str">
        <f aca="false">IF($B806="","",$C806+$D806-$E806)</f>
        <v/>
      </c>
      <c r="G806" s="10" t="str">
        <f aca="false">IF($B806="","",IFERROR(INDEX(Drinks!$C$4:$C$53,MATCH($B806,Drinks!$A$4:$A$53,0)),0))</f>
        <v/>
      </c>
      <c r="H806" s="10" t="str">
        <f aca="false">IF($B806="","",$D806*$G806)</f>
        <v/>
      </c>
      <c r="I806" s="10" t="str">
        <f aca="false">IF($B806="","",$F806*$G806)</f>
        <v/>
      </c>
      <c r="J806" s="9"/>
      <c r="K806" s="10" t="str">
        <f aca="false">IF($B806="","",$E806*IFERROR(INDEX(Drinks!$B$4:$B$53,MATCH($B806,Drinks!$A$4:$A$53,0)),0))</f>
        <v/>
      </c>
      <c r="L806" s="10" t="str">
        <f aca="false">IF($B806="","",$J806+$K806)</f>
        <v/>
      </c>
      <c r="M806" s="9"/>
      <c r="N806" s="10" t="str">
        <f aca="false">IF($B806="","",$L806-$M806)</f>
        <v/>
      </c>
      <c r="O806" s="10" t="str">
        <f aca="false">IF($B806="","",IFERROR(INDEX(Drinks!$E$4:$E$53,MATCH($B806,Drinks!$A$4:$A$53,0)),0))</f>
        <v/>
      </c>
      <c r="P806" s="10" t="str">
        <f aca="false">IF($B806="","",$N806*$O806)</f>
        <v/>
      </c>
      <c r="Q806" s="10" t="str">
        <f aca="false">IF($B806="","",$N806*IFERROR(INDEX(Drinks!$D$4:$D$53,MATCH($B806,Drinks!$A$4:$A$53,0)),0))</f>
        <v/>
      </c>
      <c r="R806" s="10" t="str">
        <f aca="false">IF($B806="","",$P806-$Q806)</f>
        <v/>
      </c>
      <c r="S806" s="23" t="str">
        <f aca="false">IF($B806="","",IF(COUNTIFS($A$4:$A$2003,$A806-1,$B$4:$B$2003,$B806)=0,"first day",IF(SUMIFS($M$4:$M$2003,$A$4:$A$2003,$A806-1,$B$4:$B$2003,$B806)=$J806,"OK","CHECK")))</f>
        <v/>
      </c>
      <c r="T806" s="10" t="str">
        <f aca="false">IF($B806="","",IFERROR(INDEX(Drinks!$D$4:$D$53,MATCH($B806,Drinks!$A$4:$A$53,0)),0))</f>
        <v/>
      </c>
    </row>
    <row r="807" customFormat="false" ht="15" hidden="false" customHeight="false" outlineLevel="0" collapsed="false">
      <c r="A807" s="22"/>
      <c r="B807" s="9"/>
      <c r="C807" s="9"/>
      <c r="D807" s="9"/>
      <c r="E807" s="9"/>
      <c r="F807" s="10" t="str">
        <f aca="false">IF($B807="","",$C807+$D807-$E807)</f>
        <v/>
      </c>
      <c r="G807" s="10" t="str">
        <f aca="false">IF($B807="","",IFERROR(INDEX(Drinks!$C$4:$C$53,MATCH($B807,Drinks!$A$4:$A$53,0)),0))</f>
        <v/>
      </c>
      <c r="H807" s="10" t="str">
        <f aca="false">IF($B807="","",$D807*$G807)</f>
        <v/>
      </c>
      <c r="I807" s="10" t="str">
        <f aca="false">IF($B807="","",$F807*$G807)</f>
        <v/>
      </c>
      <c r="J807" s="9"/>
      <c r="K807" s="10" t="str">
        <f aca="false">IF($B807="","",$E807*IFERROR(INDEX(Drinks!$B$4:$B$53,MATCH($B807,Drinks!$A$4:$A$53,0)),0))</f>
        <v/>
      </c>
      <c r="L807" s="10" t="str">
        <f aca="false">IF($B807="","",$J807+$K807)</f>
        <v/>
      </c>
      <c r="M807" s="9"/>
      <c r="N807" s="10" t="str">
        <f aca="false">IF($B807="","",$L807-$M807)</f>
        <v/>
      </c>
      <c r="O807" s="10" t="str">
        <f aca="false">IF($B807="","",IFERROR(INDEX(Drinks!$E$4:$E$53,MATCH($B807,Drinks!$A$4:$A$53,0)),0))</f>
        <v/>
      </c>
      <c r="P807" s="10" t="str">
        <f aca="false">IF($B807="","",$N807*$O807)</f>
        <v/>
      </c>
      <c r="Q807" s="10" t="str">
        <f aca="false">IF($B807="","",$N807*IFERROR(INDEX(Drinks!$D$4:$D$53,MATCH($B807,Drinks!$A$4:$A$53,0)),0))</f>
        <v/>
      </c>
      <c r="R807" s="10" t="str">
        <f aca="false">IF($B807="","",$P807-$Q807)</f>
        <v/>
      </c>
      <c r="S807" s="23" t="str">
        <f aca="false">IF($B807="","",IF(COUNTIFS($A$4:$A$2003,$A807-1,$B$4:$B$2003,$B807)=0,"first day",IF(SUMIFS($M$4:$M$2003,$A$4:$A$2003,$A807-1,$B$4:$B$2003,$B807)=$J807,"OK","CHECK")))</f>
        <v/>
      </c>
      <c r="T807" s="10" t="str">
        <f aca="false">IF($B807="","",IFERROR(INDEX(Drinks!$D$4:$D$53,MATCH($B807,Drinks!$A$4:$A$53,0)),0))</f>
        <v/>
      </c>
    </row>
    <row r="808" customFormat="false" ht="15" hidden="false" customHeight="false" outlineLevel="0" collapsed="false">
      <c r="A808" s="22"/>
      <c r="B808" s="9"/>
      <c r="C808" s="9"/>
      <c r="D808" s="9"/>
      <c r="E808" s="9"/>
      <c r="F808" s="10" t="str">
        <f aca="false">IF($B808="","",$C808+$D808-$E808)</f>
        <v/>
      </c>
      <c r="G808" s="10" t="str">
        <f aca="false">IF($B808="","",IFERROR(INDEX(Drinks!$C$4:$C$53,MATCH($B808,Drinks!$A$4:$A$53,0)),0))</f>
        <v/>
      </c>
      <c r="H808" s="10" t="str">
        <f aca="false">IF($B808="","",$D808*$G808)</f>
        <v/>
      </c>
      <c r="I808" s="10" t="str">
        <f aca="false">IF($B808="","",$F808*$G808)</f>
        <v/>
      </c>
      <c r="J808" s="9"/>
      <c r="K808" s="10" t="str">
        <f aca="false">IF($B808="","",$E808*IFERROR(INDEX(Drinks!$B$4:$B$53,MATCH($B808,Drinks!$A$4:$A$53,0)),0))</f>
        <v/>
      </c>
      <c r="L808" s="10" t="str">
        <f aca="false">IF($B808="","",$J808+$K808)</f>
        <v/>
      </c>
      <c r="M808" s="9"/>
      <c r="N808" s="10" t="str">
        <f aca="false">IF($B808="","",$L808-$M808)</f>
        <v/>
      </c>
      <c r="O808" s="10" t="str">
        <f aca="false">IF($B808="","",IFERROR(INDEX(Drinks!$E$4:$E$53,MATCH($B808,Drinks!$A$4:$A$53,0)),0))</f>
        <v/>
      </c>
      <c r="P808" s="10" t="str">
        <f aca="false">IF($B808="","",$N808*$O808)</f>
        <v/>
      </c>
      <c r="Q808" s="10" t="str">
        <f aca="false">IF($B808="","",$N808*IFERROR(INDEX(Drinks!$D$4:$D$53,MATCH($B808,Drinks!$A$4:$A$53,0)),0))</f>
        <v/>
      </c>
      <c r="R808" s="10" t="str">
        <f aca="false">IF($B808="","",$P808-$Q808)</f>
        <v/>
      </c>
      <c r="S808" s="23" t="str">
        <f aca="false">IF($B808="","",IF(COUNTIFS($A$4:$A$2003,$A808-1,$B$4:$B$2003,$B808)=0,"first day",IF(SUMIFS($M$4:$M$2003,$A$4:$A$2003,$A808-1,$B$4:$B$2003,$B808)=$J808,"OK","CHECK")))</f>
        <v/>
      </c>
      <c r="T808" s="10" t="str">
        <f aca="false">IF($B808="","",IFERROR(INDEX(Drinks!$D$4:$D$53,MATCH($B808,Drinks!$A$4:$A$53,0)),0))</f>
        <v/>
      </c>
    </row>
    <row r="809" customFormat="false" ht="15" hidden="false" customHeight="false" outlineLevel="0" collapsed="false">
      <c r="A809" s="22"/>
      <c r="B809" s="9"/>
      <c r="C809" s="9"/>
      <c r="D809" s="9"/>
      <c r="E809" s="9"/>
      <c r="F809" s="10" t="str">
        <f aca="false">IF($B809="","",$C809+$D809-$E809)</f>
        <v/>
      </c>
      <c r="G809" s="10" t="str">
        <f aca="false">IF($B809="","",IFERROR(INDEX(Drinks!$C$4:$C$53,MATCH($B809,Drinks!$A$4:$A$53,0)),0))</f>
        <v/>
      </c>
      <c r="H809" s="10" t="str">
        <f aca="false">IF($B809="","",$D809*$G809)</f>
        <v/>
      </c>
      <c r="I809" s="10" t="str">
        <f aca="false">IF($B809="","",$F809*$G809)</f>
        <v/>
      </c>
      <c r="J809" s="9"/>
      <c r="K809" s="10" t="str">
        <f aca="false">IF($B809="","",$E809*IFERROR(INDEX(Drinks!$B$4:$B$53,MATCH($B809,Drinks!$A$4:$A$53,0)),0))</f>
        <v/>
      </c>
      <c r="L809" s="10" t="str">
        <f aca="false">IF($B809="","",$J809+$K809)</f>
        <v/>
      </c>
      <c r="M809" s="9"/>
      <c r="N809" s="10" t="str">
        <f aca="false">IF($B809="","",$L809-$M809)</f>
        <v/>
      </c>
      <c r="O809" s="10" t="str">
        <f aca="false">IF($B809="","",IFERROR(INDEX(Drinks!$E$4:$E$53,MATCH($B809,Drinks!$A$4:$A$53,0)),0))</f>
        <v/>
      </c>
      <c r="P809" s="10" t="str">
        <f aca="false">IF($B809="","",$N809*$O809)</f>
        <v/>
      </c>
      <c r="Q809" s="10" t="str">
        <f aca="false">IF($B809="","",$N809*IFERROR(INDEX(Drinks!$D$4:$D$53,MATCH($B809,Drinks!$A$4:$A$53,0)),0))</f>
        <v/>
      </c>
      <c r="R809" s="10" t="str">
        <f aca="false">IF($B809="","",$P809-$Q809)</f>
        <v/>
      </c>
      <c r="S809" s="23" t="str">
        <f aca="false">IF($B809="","",IF(COUNTIFS($A$4:$A$2003,$A809-1,$B$4:$B$2003,$B809)=0,"first day",IF(SUMIFS($M$4:$M$2003,$A$4:$A$2003,$A809-1,$B$4:$B$2003,$B809)=$J809,"OK","CHECK")))</f>
        <v/>
      </c>
      <c r="T809" s="10" t="str">
        <f aca="false">IF($B809="","",IFERROR(INDEX(Drinks!$D$4:$D$53,MATCH($B809,Drinks!$A$4:$A$53,0)),0))</f>
        <v/>
      </c>
    </row>
    <row r="810" customFormat="false" ht="15" hidden="false" customHeight="false" outlineLevel="0" collapsed="false">
      <c r="A810" s="22"/>
      <c r="B810" s="9"/>
      <c r="C810" s="9"/>
      <c r="D810" s="9"/>
      <c r="E810" s="9"/>
      <c r="F810" s="10" t="str">
        <f aca="false">IF($B810="","",$C810+$D810-$E810)</f>
        <v/>
      </c>
      <c r="G810" s="10" t="str">
        <f aca="false">IF($B810="","",IFERROR(INDEX(Drinks!$C$4:$C$53,MATCH($B810,Drinks!$A$4:$A$53,0)),0))</f>
        <v/>
      </c>
      <c r="H810" s="10" t="str">
        <f aca="false">IF($B810="","",$D810*$G810)</f>
        <v/>
      </c>
      <c r="I810" s="10" t="str">
        <f aca="false">IF($B810="","",$F810*$G810)</f>
        <v/>
      </c>
      <c r="J810" s="9"/>
      <c r="K810" s="10" t="str">
        <f aca="false">IF($B810="","",$E810*IFERROR(INDEX(Drinks!$B$4:$B$53,MATCH($B810,Drinks!$A$4:$A$53,0)),0))</f>
        <v/>
      </c>
      <c r="L810" s="10" t="str">
        <f aca="false">IF($B810="","",$J810+$K810)</f>
        <v/>
      </c>
      <c r="M810" s="9"/>
      <c r="N810" s="10" t="str">
        <f aca="false">IF($B810="","",$L810-$M810)</f>
        <v/>
      </c>
      <c r="O810" s="10" t="str">
        <f aca="false">IF($B810="","",IFERROR(INDEX(Drinks!$E$4:$E$53,MATCH($B810,Drinks!$A$4:$A$53,0)),0))</f>
        <v/>
      </c>
      <c r="P810" s="10" t="str">
        <f aca="false">IF($B810="","",$N810*$O810)</f>
        <v/>
      </c>
      <c r="Q810" s="10" t="str">
        <f aca="false">IF($B810="","",$N810*IFERROR(INDEX(Drinks!$D$4:$D$53,MATCH($B810,Drinks!$A$4:$A$53,0)),0))</f>
        <v/>
      </c>
      <c r="R810" s="10" t="str">
        <f aca="false">IF($B810="","",$P810-$Q810)</f>
        <v/>
      </c>
      <c r="S810" s="23" t="str">
        <f aca="false">IF($B810="","",IF(COUNTIFS($A$4:$A$2003,$A810-1,$B$4:$B$2003,$B810)=0,"first day",IF(SUMIFS($M$4:$M$2003,$A$4:$A$2003,$A810-1,$B$4:$B$2003,$B810)=$J810,"OK","CHECK")))</f>
        <v/>
      </c>
      <c r="T810" s="10" t="str">
        <f aca="false">IF($B810="","",IFERROR(INDEX(Drinks!$D$4:$D$53,MATCH($B810,Drinks!$A$4:$A$53,0)),0))</f>
        <v/>
      </c>
    </row>
    <row r="811" customFormat="false" ht="15" hidden="false" customHeight="false" outlineLevel="0" collapsed="false">
      <c r="A811" s="22"/>
      <c r="B811" s="9"/>
      <c r="C811" s="9"/>
      <c r="D811" s="9"/>
      <c r="E811" s="9"/>
      <c r="F811" s="10" t="str">
        <f aca="false">IF($B811="","",$C811+$D811-$E811)</f>
        <v/>
      </c>
      <c r="G811" s="10" t="str">
        <f aca="false">IF($B811="","",IFERROR(INDEX(Drinks!$C$4:$C$53,MATCH($B811,Drinks!$A$4:$A$53,0)),0))</f>
        <v/>
      </c>
      <c r="H811" s="10" t="str">
        <f aca="false">IF($B811="","",$D811*$G811)</f>
        <v/>
      </c>
      <c r="I811" s="10" t="str">
        <f aca="false">IF($B811="","",$F811*$G811)</f>
        <v/>
      </c>
      <c r="J811" s="9"/>
      <c r="K811" s="10" t="str">
        <f aca="false">IF($B811="","",$E811*IFERROR(INDEX(Drinks!$B$4:$B$53,MATCH($B811,Drinks!$A$4:$A$53,0)),0))</f>
        <v/>
      </c>
      <c r="L811" s="10" t="str">
        <f aca="false">IF($B811="","",$J811+$K811)</f>
        <v/>
      </c>
      <c r="M811" s="9"/>
      <c r="N811" s="10" t="str">
        <f aca="false">IF($B811="","",$L811-$M811)</f>
        <v/>
      </c>
      <c r="O811" s="10" t="str">
        <f aca="false">IF($B811="","",IFERROR(INDEX(Drinks!$E$4:$E$53,MATCH($B811,Drinks!$A$4:$A$53,0)),0))</f>
        <v/>
      </c>
      <c r="P811" s="10" t="str">
        <f aca="false">IF($B811="","",$N811*$O811)</f>
        <v/>
      </c>
      <c r="Q811" s="10" t="str">
        <f aca="false">IF($B811="","",$N811*IFERROR(INDEX(Drinks!$D$4:$D$53,MATCH($B811,Drinks!$A$4:$A$53,0)),0))</f>
        <v/>
      </c>
      <c r="R811" s="10" t="str">
        <f aca="false">IF($B811="","",$P811-$Q811)</f>
        <v/>
      </c>
      <c r="S811" s="23" t="str">
        <f aca="false">IF($B811="","",IF(COUNTIFS($A$4:$A$2003,$A811-1,$B$4:$B$2003,$B811)=0,"first day",IF(SUMIFS($M$4:$M$2003,$A$4:$A$2003,$A811-1,$B$4:$B$2003,$B811)=$J811,"OK","CHECK")))</f>
        <v/>
      </c>
      <c r="T811" s="10" t="str">
        <f aca="false">IF($B811="","",IFERROR(INDEX(Drinks!$D$4:$D$53,MATCH($B811,Drinks!$A$4:$A$53,0)),0))</f>
        <v/>
      </c>
    </row>
    <row r="812" customFormat="false" ht="15" hidden="false" customHeight="false" outlineLevel="0" collapsed="false">
      <c r="A812" s="22"/>
      <c r="B812" s="9"/>
      <c r="C812" s="9"/>
      <c r="D812" s="9"/>
      <c r="E812" s="9"/>
      <c r="F812" s="10" t="str">
        <f aca="false">IF($B812="","",$C812+$D812-$E812)</f>
        <v/>
      </c>
      <c r="G812" s="10" t="str">
        <f aca="false">IF($B812="","",IFERROR(INDEX(Drinks!$C$4:$C$53,MATCH($B812,Drinks!$A$4:$A$53,0)),0))</f>
        <v/>
      </c>
      <c r="H812" s="10" t="str">
        <f aca="false">IF($B812="","",$D812*$G812)</f>
        <v/>
      </c>
      <c r="I812" s="10" t="str">
        <f aca="false">IF($B812="","",$F812*$G812)</f>
        <v/>
      </c>
      <c r="J812" s="9"/>
      <c r="K812" s="10" t="str">
        <f aca="false">IF($B812="","",$E812*IFERROR(INDEX(Drinks!$B$4:$B$53,MATCH($B812,Drinks!$A$4:$A$53,0)),0))</f>
        <v/>
      </c>
      <c r="L812" s="10" t="str">
        <f aca="false">IF($B812="","",$J812+$K812)</f>
        <v/>
      </c>
      <c r="M812" s="9"/>
      <c r="N812" s="10" t="str">
        <f aca="false">IF($B812="","",$L812-$M812)</f>
        <v/>
      </c>
      <c r="O812" s="10" t="str">
        <f aca="false">IF($B812="","",IFERROR(INDEX(Drinks!$E$4:$E$53,MATCH($B812,Drinks!$A$4:$A$53,0)),0))</f>
        <v/>
      </c>
      <c r="P812" s="10" t="str">
        <f aca="false">IF($B812="","",$N812*$O812)</f>
        <v/>
      </c>
      <c r="Q812" s="10" t="str">
        <f aca="false">IF($B812="","",$N812*IFERROR(INDEX(Drinks!$D$4:$D$53,MATCH($B812,Drinks!$A$4:$A$53,0)),0))</f>
        <v/>
      </c>
      <c r="R812" s="10" t="str">
        <f aca="false">IF($B812="","",$P812-$Q812)</f>
        <v/>
      </c>
      <c r="S812" s="23" t="str">
        <f aca="false">IF($B812="","",IF(COUNTIFS($A$4:$A$2003,$A812-1,$B$4:$B$2003,$B812)=0,"first day",IF(SUMIFS($M$4:$M$2003,$A$4:$A$2003,$A812-1,$B$4:$B$2003,$B812)=$J812,"OK","CHECK")))</f>
        <v/>
      </c>
      <c r="T812" s="10" t="str">
        <f aca="false">IF($B812="","",IFERROR(INDEX(Drinks!$D$4:$D$53,MATCH($B812,Drinks!$A$4:$A$53,0)),0))</f>
        <v/>
      </c>
    </row>
    <row r="813" customFormat="false" ht="15" hidden="false" customHeight="false" outlineLevel="0" collapsed="false">
      <c r="A813" s="22"/>
      <c r="B813" s="9"/>
      <c r="C813" s="9"/>
      <c r="D813" s="9"/>
      <c r="E813" s="9"/>
      <c r="F813" s="10" t="str">
        <f aca="false">IF($B813="","",$C813+$D813-$E813)</f>
        <v/>
      </c>
      <c r="G813" s="10" t="str">
        <f aca="false">IF($B813="","",IFERROR(INDEX(Drinks!$C$4:$C$53,MATCH($B813,Drinks!$A$4:$A$53,0)),0))</f>
        <v/>
      </c>
      <c r="H813" s="10" t="str">
        <f aca="false">IF($B813="","",$D813*$G813)</f>
        <v/>
      </c>
      <c r="I813" s="10" t="str">
        <f aca="false">IF($B813="","",$F813*$G813)</f>
        <v/>
      </c>
      <c r="J813" s="9"/>
      <c r="K813" s="10" t="str">
        <f aca="false">IF($B813="","",$E813*IFERROR(INDEX(Drinks!$B$4:$B$53,MATCH($B813,Drinks!$A$4:$A$53,0)),0))</f>
        <v/>
      </c>
      <c r="L813" s="10" t="str">
        <f aca="false">IF($B813="","",$J813+$K813)</f>
        <v/>
      </c>
      <c r="M813" s="9"/>
      <c r="N813" s="10" t="str">
        <f aca="false">IF($B813="","",$L813-$M813)</f>
        <v/>
      </c>
      <c r="O813" s="10" t="str">
        <f aca="false">IF($B813="","",IFERROR(INDEX(Drinks!$E$4:$E$53,MATCH($B813,Drinks!$A$4:$A$53,0)),0))</f>
        <v/>
      </c>
      <c r="P813" s="10" t="str">
        <f aca="false">IF($B813="","",$N813*$O813)</f>
        <v/>
      </c>
      <c r="Q813" s="10" t="str">
        <f aca="false">IF($B813="","",$N813*IFERROR(INDEX(Drinks!$D$4:$D$53,MATCH($B813,Drinks!$A$4:$A$53,0)),0))</f>
        <v/>
      </c>
      <c r="R813" s="10" t="str">
        <f aca="false">IF($B813="","",$P813-$Q813)</f>
        <v/>
      </c>
      <c r="S813" s="23" t="str">
        <f aca="false">IF($B813="","",IF(COUNTIFS($A$4:$A$2003,$A813-1,$B$4:$B$2003,$B813)=0,"first day",IF(SUMIFS($M$4:$M$2003,$A$4:$A$2003,$A813-1,$B$4:$B$2003,$B813)=$J813,"OK","CHECK")))</f>
        <v/>
      </c>
      <c r="T813" s="10" t="str">
        <f aca="false">IF($B813="","",IFERROR(INDEX(Drinks!$D$4:$D$53,MATCH($B813,Drinks!$A$4:$A$53,0)),0))</f>
        <v/>
      </c>
    </row>
    <row r="814" customFormat="false" ht="15" hidden="false" customHeight="false" outlineLevel="0" collapsed="false">
      <c r="A814" s="22"/>
      <c r="B814" s="9"/>
      <c r="C814" s="9"/>
      <c r="D814" s="9"/>
      <c r="E814" s="9"/>
      <c r="F814" s="10" t="str">
        <f aca="false">IF($B814="","",$C814+$D814-$E814)</f>
        <v/>
      </c>
      <c r="G814" s="10" t="str">
        <f aca="false">IF($B814="","",IFERROR(INDEX(Drinks!$C$4:$C$53,MATCH($B814,Drinks!$A$4:$A$53,0)),0))</f>
        <v/>
      </c>
      <c r="H814" s="10" t="str">
        <f aca="false">IF($B814="","",$D814*$G814)</f>
        <v/>
      </c>
      <c r="I814" s="10" t="str">
        <f aca="false">IF($B814="","",$F814*$G814)</f>
        <v/>
      </c>
      <c r="J814" s="9"/>
      <c r="K814" s="10" t="str">
        <f aca="false">IF($B814="","",$E814*IFERROR(INDEX(Drinks!$B$4:$B$53,MATCH($B814,Drinks!$A$4:$A$53,0)),0))</f>
        <v/>
      </c>
      <c r="L814" s="10" t="str">
        <f aca="false">IF($B814="","",$J814+$K814)</f>
        <v/>
      </c>
      <c r="M814" s="9"/>
      <c r="N814" s="10" t="str">
        <f aca="false">IF($B814="","",$L814-$M814)</f>
        <v/>
      </c>
      <c r="O814" s="10" t="str">
        <f aca="false">IF($B814="","",IFERROR(INDEX(Drinks!$E$4:$E$53,MATCH($B814,Drinks!$A$4:$A$53,0)),0))</f>
        <v/>
      </c>
      <c r="P814" s="10" t="str">
        <f aca="false">IF($B814="","",$N814*$O814)</f>
        <v/>
      </c>
      <c r="Q814" s="10" t="str">
        <f aca="false">IF($B814="","",$N814*IFERROR(INDEX(Drinks!$D$4:$D$53,MATCH($B814,Drinks!$A$4:$A$53,0)),0))</f>
        <v/>
      </c>
      <c r="R814" s="10" t="str">
        <f aca="false">IF($B814="","",$P814-$Q814)</f>
        <v/>
      </c>
      <c r="S814" s="23" t="str">
        <f aca="false">IF($B814="","",IF(COUNTIFS($A$4:$A$2003,$A814-1,$B$4:$B$2003,$B814)=0,"first day",IF(SUMIFS($M$4:$M$2003,$A$4:$A$2003,$A814-1,$B$4:$B$2003,$B814)=$J814,"OK","CHECK")))</f>
        <v/>
      </c>
      <c r="T814" s="10" t="str">
        <f aca="false">IF($B814="","",IFERROR(INDEX(Drinks!$D$4:$D$53,MATCH($B814,Drinks!$A$4:$A$53,0)),0))</f>
        <v/>
      </c>
    </row>
    <row r="815" customFormat="false" ht="15" hidden="false" customHeight="false" outlineLevel="0" collapsed="false">
      <c r="A815" s="22"/>
      <c r="B815" s="9"/>
      <c r="C815" s="9"/>
      <c r="D815" s="9"/>
      <c r="E815" s="9"/>
      <c r="F815" s="10" t="str">
        <f aca="false">IF($B815="","",$C815+$D815-$E815)</f>
        <v/>
      </c>
      <c r="G815" s="10" t="str">
        <f aca="false">IF($B815="","",IFERROR(INDEX(Drinks!$C$4:$C$53,MATCH($B815,Drinks!$A$4:$A$53,0)),0))</f>
        <v/>
      </c>
      <c r="H815" s="10" t="str">
        <f aca="false">IF($B815="","",$D815*$G815)</f>
        <v/>
      </c>
      <c r="I815" s="10" t="str">
        <f aca="false">IF($B815="","",$F815*$G815)</f>
        <v/>
      </c>
      <c r="J815" s="9"/>
      <c r="K815" s="10" t="str">
        <f aca="false">IF($B815="","",$E815*IFERROR(INDEX(Drinks!$B$4:$B$53,MATCH($B815,Drinks!$A$4:$A$53,0)),0))</f>
        <v/>
      </c>
      <c r="L815" s="10" t="str">
        <f aca="false">IF($B815="","",$J815+$K815)</f>
        <v/>
      </c>
      <c r="M815" s="9"/>
      <c r="N815" s="10" t="str">
        <f aca="false">IF($B815="","",$L815-$M815)</f>
        <v/>
      </c>
      <c r="O815" s="10" t="str">
        <f aca="false">IF($B815="","",IFERROR(INDEX(Drinks!$E$4:$E$53,MATCH($B815,Drinks!$A$4:$A$53,0)),0))</f>
        <v/>
      </c>
      <c r="P815" s="10" t="str">
        <f aca="false">IF($B815="","",$N815*$O815)</f>
        <v/>
      </c>
      <c r="Q815" s="10" t="str">
        <f aca="false">IF($B815="","",$N815*IFERROR(INDEX(Drinks!$D$4:$D$53,MATCH($B815,Drinks!$A$4:$A$53,0)),0))</f>
        <v/>
      </c>
      <c r="R815" s="10" t="str">
        <f aca="false">IF($B815="","",$P815-$Q815)</f>
        <v/>
      </c>
      <c r="S815" s="23" t="str">
        <f aca="false">IF($B815="","",IF(COUNTIFS($A$4:$A$2003,$A815-1,$B$4:$B$2003,$B815)=0,"first day",IF(SUMIFS($M$4:$M$2003,$A$4:$A$2003,$A815-1,$B$4:$B$2003,$B815)=$J815,"OK","CHECK")))</f>
        <v/>
      </c>
      <c r="T815" s="10" t="str">
        <f aca="false">IF($B815="","",IFERROR(INDEX(Drinks!$D$4:$D$53,MATCH($B815,Drinks!$A$4:$A$53,0)),0))</f>
        <v/>
      </c>
    </row>
    <row r="816" customFormat="false" ht="15" hidden="false" customHeight="false" outlineLevel="0" collapsed="false">
      <c r="A816" s="22"/>
      <c r="B816" s="9"/>
      <c r="C816" s="9"/>
      <c r="D816" s="9"/>
      <c r="E816" s="9"/>
      <c r="F816" s="10" t="str">
        <f aca="false">IF($B816="","",$C816+$D816-$E816)</f>
        <v/>
      </c>
      <c r="G816" s="10" t="str">
        <f aca="false">IF($B816="","",IFERROR(INDEX(Drinks!$C$4:$C$53,MATCH($B816,Drinks!$A$4:$A$53,0)),0))</f>
        <v/>
      </c>
      <c r="H816" s="10" t="str">
        <f aca="false">IF($B816="","",$D816*$G816)</f>
        <v/>
      </c>
      <c r="I816" s="10" t="str">
        <f aca="false">IF($B816="","",$F816*$G816)</f>
        <v/>
      </c>
      <c r="J816" s="9"/>
      <c r="K816" s="10" t="str">
        <f aca="false">IF($B816="","",$E816*IFERROR(INDEX(Drinks!$B$4:$B$53,MATCH($B816,Drinks!$A$4:$A$53,0)),0))</f>
        <v/>
      </c>
      <c r="L816" s="10" t="str">
        <f aca="false">IF($B816="","",$J816+$K816)</f>
        <v/>
      </c>
      <c r="M816" s="9"/>
      <c r="N816" s="10" t="str">
        <f aca="false">IF($B816="","",$L816-$M816)</f>
        <v/>
      </c>
      <c r="O816" s="10" t="str">
        <f aca="false">IF($B816="","",IFERROR(INDEX(Drinks!$E$4:$E$53,MATCH($B816,Drinks!$A$4:$A$53,0)),0))</f>
        <v/>
      </c>
      <c r="P816" s="10" t="str">
        <f aca="false">IF($B816="","",$N816*$O816)</f>
        <v/>
      </c>
      <c r="Q816" s="10" t="str">
        <f aca="false">IF($B816="","",$N816*IFERROR(INDEX(Drinks!$D$4:$D$53,MATCH($B816,Drinks!$A$4:$A$53,0)),0))</f>
        <v/>
      </c>
      <c r="R816" s="10" t="str">
        <f aca="false">IF($B816="","",$P816-$Q816)</f>
        <v/>
      </c>
      <c r="S816" s="23" t="str">
        <f aca="false">IF($B816="","",IF(COUNTIFS($A$4:$A$2003,$A816-1,$B$4:$B$2003,$B816)=0,"first day",IF(SUMIFS($M$4:$M$2003,$A$4:$A$2003,$A816-1,$B$4:$B$2003,$B816)=$J816,"OK","CHECK")))</f>
        <v/>
      </c>
      <c r="T816" s="10" t="str">
        <f aca="false">IF($B816="","",IFERROR(INDEX(Drinks!$D$4:$D$53,MATCH($B816,Drinks!$A$4:$A$53,0)),0))</f>
        <v/>
      </c>
    </row>
    <row r="817" customFormat="false" ht="15" hidden="false" customHeight="false" outlineLevel="0" collapsed="false">
      <c r="A817" s="22"/>
      <c r="B817" s="9"/>
      <c r="C817" s="9"/>
      <c r="D817" s="9"/>
      <c r="E817" s="9"/>
      <c r="F817" s="10" t="str">
        <f aca="false">IF($B817="","",$C817+$D817-$E817)</f>
        <v/>
      </c>
      <c r="G817" s="10" t="str">
        <f aca="false">IF($B817="","",IFERROR(INDEX(Drinks!$C$4:$C$53,MATCH($B817,Drinks!$A$4:$A$53,0)),0))</f>
        <v/>
      </c>
      <c r="H817" s="10" t="str">
        <f aca="false">IF($B817="","",$D817*$G817)</f>
        <v/>
      </c>
      <c r="I817" s="10" t="str">
        <f aca="false">IF($B817="","",$F817*$G817)</f>
        <v/>
      </c>
      <c r="J817" s="9"/>
      <c r="K817" s="10" t="str">
        <f aca="false">IF($B817="","",$E817*IFERROR(INDEX(Drinks!$B$4:$B$53,MATCH($B817,Drinks!$A$4:$A$53,0)),0))</f>
        <v/>
      </c>
      <c r="L817" s="10" t="str">
        <f aca="false">IF($B817="","",$J817+$K817)</f>
        <v/>
      </c>
      <c r="M817" s="9"/>
      <c r="N817" s="10" t="str">
        <f aca="false">IF($B817="","",$L817-$M817)</f>
        <v/>
      </c>
      <c r="O817" s="10" t="str">
        <f aca="false">IF($B817="","",IFERROR(INDEX(Drinks!$E$4:$E$53,MATCH($B817,Drinks!$A$4:$A$53,0)),0))</f>
        <v/>
      </c>
      <c r="P817" s="10" t="str">
        <f aca="false">IF($B817="","",$N817*$O817)</f>
        <v/>
      </c>
      <c r="Q817" s="10" t="str">
        <f aca="false">IF($B817="","",$N817*IFERROR(INDEX(Drinks!$D$4:$D$53,MATCH($B817,Drinks!$A$4:$A$53,0)),0))</f>
        <v/>
      </c>
      <c r="R817" s="10" t="str">
        <f aca="false">IF($B817="","",$P817-$Q817)</f>
        <v/>
      </c>
      <c r="S817" s="23" t="str">
        <f aca="false">IF($B817="","",IF(COUNTIFS($A$4:$A$2003,$A817-1,$B$4:$B$2003,$B817)=0,"first day",IF(SUMIFS($M$4:$M$2003,$A$4:$A$2003,$A817-1,$B$4:$B$2003,$B817)=$J817,"OK","CHECK")))</f>
        <v/>
      </c>
      <c r="T817" s="10" t="str">
        <f aca="false">IF($B817="","",IFERROR(INDEX(Drinks!$D$4:$D$53,MATCH($B817,Drinks!$A$4:$A$53,0)),0))</f>
        <v/>
      </c>
    </row>
    <row r="818" customFormat="false" ht="15" hidden="false" customHeight="false" outlineLevel="0" collapsed="false">
      <c r="A818" s="22"/>
      <c r="B818" s="9"/>
      <c r="C818" s="9"/>
      <c r="D818" s="9"/>
      <c r="E818" s="9"/>
      <c r="F818" s="10" t="str">
        <f aca="false">IF($B818="","",$C818+$D818-$E818)</f>
        <v/>
      </c>
      <c r="G818" s="10" t="str">
        <f aca="false">IF($B818="","",IFERROR(INDEX(Drinks!$C$4:$C$53,MATCH($B818,Drinks!$A$4:$A$53,0)),0))</f>
        <v/>
      </c>
      <c r="H818" s="10" t="str">
        <f aca="false">IF($B818="","",$D818*$G818)</f>
        <v/>
      </c>
      <c r="I818" s="10" t="str">
        <f aca="false">IF($B818="","",$F818*$G818)</f>
        <v/>
      </c>
      <c r="J818" s="9"/>
      <c r="K818" s="10" t="str">
        <f aca="false">IF($B818="","",$E818*IFERROR(INDEX(Drinks!$B$4:$B$53,MATCH($B818,Drinks!$A$4:$A$53,0)),0))</f>
        <v/>
      </c>
      <c r="L818" s="10" t="str">
        <f aca="false">IF($B818="","",$J818+$K818)</f>
        <v/>
      </c>
      <c r="M818" s="9"/>
      <c r="N818" s="10" t="str">
        <f aca="false">IF($B818="","",$L818-$M818)</f>
        <v/>
      </c>
      <c r="O818" s="10" t="str">
        <f aca="false">IF($B818="","",IFERROR(INDEX(Drinks!$E$4:$E$53,MATCH($B818,Drinks!$A$4:$A$53,0)),0))</f>
        <v/>
      </c>
      <c r="P818" s="10" t="str">
        <f aca="false">IF($B818="","",$N818*$O818)</f>
        <v/>
      </c>
      <c r="Q818" s="10" t="str">
        <f aca="false">IF($B818="","",$N818*IFERROR(INDEX(Drinks!$D$4:$D$53,MATCH($B818,Drinks!$A$4:$A$53,0)),0))</f>
        <v/>
      </c>
      <c r="R818" s="10" t="str">
        <f aca="false">IF($B818="","",$P818-$Q818)</f>
        <v/>
      </c>
      <c r="S818" s="23" t="str">
        <f aca="false">IF($B818="","",IF(COUNTIFS($A$4:$A$2003,$A818-1,$B$4:$B$2003,$B818)=0,"first day",IF(SUMIFS($M$4:$M$2003,$A$4:$A$2003,$A818-1,$B$4:$B$2003,$B818)=$J818,"OK","CHECK")))</f>
        <v/>
      </c>
      <c r="T818" s="10" t="str">
        <f aca="false">IF($B818="","",IFERROR(INDEX(Drinks!$D$4:$D$53,MATCH($B818,Drinks!$A$4:$A$53,0)),0))</f>
        <v/>
      </c>
    </row>
    <row r="819" customFormat="false" ht="15" hidden="false" customHeight="false" outlineLevel="0" collapsed="false">
      <c r="A819" s="22"/>
      <c r="B819" s="9"/>
      <c r="C819" s="9"/>
      <c r="D819" s="9"/>
      <c r="E819" s="9"/>
      <c r="F819" s="10" t="str">
        <f aca="false">IF($B819="","",$C819+$D819-$E819)</f>
        <v/>
      </c>
      <c r="G819" s="10" t="str">
        <f aca="false">IF($B819="","",IFERROR(INDEX(Drinks!$C$4:$C$53,MATCH($B819,Drinks!$A$4:$A$53,0)),0))</f>
        <v/>
      </c>
      <c r="H819" s="10" t="str">
        <f aca="false">IF($B819="","",$D819*$G819)</f>
        <v/>
      </c>
      <c r="I819" s="10" t="str">
        <f aca="false">IF($B819="","",$F819*$G819)</f>
        <v/>
      </c>
      <c r="J819" s="9"/>
      <c r="K819" s="10" t="str">
        <f aca="false">IF($B819="","",$E819*IFERROR(INDEX(Drinks!$B$4:$B$53,MATCH($B819,Drinks!$A$4:$A$53,0)),0))</f>
        <v/>
      </c>
      <c r="L819" s="10" t="str">
        <f aca="false">IF($B819="","",$J819+$K819)</f>
        <v/>
      </c>
      <c r="M819" s="9"/>
      <c r="N819" s="10" t="str">
        <f aca="false">IF($B819="","",$L819-$M819)</f>
        <v/>
      </c>
      <c r="O819" s="10" t="str">
        <f aca="false">IF($B819="","",IFERROR(INDEX(Drinks!$E$4:$E$53,MATCH($B819,Drinks!$A$4:$A$53,0)),0))</f>
        <v/>
      </c>
      <c r="P819" s="10" t="str">
        <f aca="false">IF($B819="","",$N819*$O819)</f>
        <v/>
      </c>
      <c r="Q819" s="10" t="str">
        <f aca="false">IF($B819="","",$N819*IFERROR(INDEX(Drinks!$D$4:$D$53,MATCH($B819,Drinks!$A$4:$A$53,0)),0))</f>
        <v/>
      </c>
      <c r="R819" s="10" t="str">
        <f aca="false">IF($B819="","",$P819-$Q819)</f>
        <v/>
      </c>
      <c r="S819" s="23" t="str">
        <f aca="false">IF($B819="","",IF(COUNTIFS($A$4:$A$2003,$A819-1,$B$4:$B$2003,$B819)=0,"first day",IF(SUMIFS($M$4:$M$2003,$A$4:$A$2003,$A819-1,$B$4:$B$2003,$B819)=$J819,"OK","CHECK")))</f>
        <v/>
      </c>
      <c r="T819" s="10" t="str">
        <f aca="false">IF($B819="","",IFERROR(INDEX(Drinks!$D$4:$D$53,MATCH($B819,Drinks!$A$4:$A$53,0)),0))</f>
        <v/>
      </c>
    </row>
    <row r="820" customFormat="false" ht="15" hidden="false" customHeight="false" outlineLevel="0" collapsed="false">
      <c r="A820" s="22"/>
      <c r="B820" s="9"/>
      <c r="C820" s="9"/>
      <c r="D820" s="9"/>
      <c r="E820" s="9"/>
      <c r="F820" s="10" t="str">
        <f aca="false">IF($B820="","",$C820+$D820-$E820)</f>
        <v/>
      </c>
      <c r="G820" s="10" t="str">
        <f aca="false">IF($B820="","",IFERROR(INDEX(Drinks!$C$4:$C$53,MATCH($B820,Drinks!$A$4:$A$53,0)),0))</f>
        <v/>
      </c>
      <c r="H820" s="10" t="str">
        <f aca="false">IF($B820="","",$D820*$G820)</f>
        <v/>
      </c>
      <c r="I820" s="10" t="str">
        <f aca="false">IF($B820="","",$F820*$G820)</f>
        <v/>
      </c>
      <c r="J820" s="9"/>
      <c r="K820" s="10" t="str">
        <f aca="false">IF($B820="","",$E820*IFERROR(INDEX(Drinks!$B$4:$B$53,MATCH($B820,Drinks!$A$4:$A$53,0)),0))</f>
        <v/>
      </c>
      <c r="L820" s="10" t="str">
        <f aca="false">IF($B820="","",$J820+$K820)</f>
        <v/>
      </c>
      <c r="M820" s="9"/>
      <c r="N820" s="10" t="str">
        <f aca="false">IF($B820="","",$L820-$M820)</f>
        <v/>
      </c>
      <c r="O820" s="10" t="str">
        <f aca="false">IF($B820="","",IFERROR(INDEX(Drinks!$E$4:$E$53,MATCH($B820,Drinks!$A$4:$A$53,0)),0))</f>
        <v/>
      </c>
      <c r="P820" s="10" t="str">
        <f aca="false">IF($B820="","",$N820*$O820)</f>
        <v/>
      </c>
      <c r="Q820" s="10" t="str">
        <f aca="false">IF($B820="","",$N820*IFERROR(INDEX(Drinks!$D$4:$D$53,MATCH($B820,Drinks!$A$4:$A$53,0)),0))</f>
        <v/>
      </c>
      <c r="R820" s="10" t="str">
        <f aca="false">IF($B820="","",$P820-$Q820)</f>
        <v/>
      </c>
      <c r="S820" s="23" t="str">
        <f aca="false">IF($B820="","",IF(COUNTIFS($A$4:$A$2003,$A820-1,$B$4:$B$2003,$B820)=0,"first day",IF(SUMIFS($M$4:$M$2003,$A$4:$A$2003,$A820-1,$B$4:$B$2003,$B820)=$J820,"OK","CHECK")))</f>
        <v/>
      </c>
      <c r="T820" s="10" t="str">
        <f aca="false">IF($B820="","",IFERROR(INDEX(Drinks!$D$4:$D$53,MATCH($B820,Drinks!$A$4:$A$53,0)),0))</f>
        <v/>
      </c>
    </row>
    <row r="821" customFormat="false" ht="15" hidden="false" customHeight="false" outlineLevel="0" collapsed="false">
      <c r="A821" s="22"/>
      <c r="B821" s="9"/>
      <c r="C821" s="9"/>
      <c r="D821" s="9"/>
      <c r="E821" s="9"/>
      <c r="F821" s="10" t="str">
        <f aca="false">IF($B821="","",$C821+$D821-$E821)</f>
        <v/>
      </c>
      <c r="G821" s="10" t="str">
        <f aca="false">IF($B821="","",IFERROR(INDEX(Drinks!$C$4:$C$53,MATCH($B821,Drinks!$A$4:$A$53,0)),0))</f>
        <v/>
      </c>
      <c r="H821" s="10" t="str">
        <f aca="false">IF($B821="","",$D821*$G821)</f>
        <v/>
      </c>
      <c r="I821" s="10" t="str">
        <f aca="false">IF($B821="","",$F821*$G821)</f>
        <v/>
      </c>
      <c r="J821" s="9"/>
      <c r="K821" s="10" t="str">
        <f aca="false">IF($B821="","",$E821*IFERROR(INDEX(Drinks!$B$4:$B$53,MATCH($B821,Drinks!$A$4:$A$53,0)),0))</f>
        <v/>
      </c>
      <c r="L821" s="10" t="str">
        <f aca="false">IF($B821="","",$J821+$K821)</f>
        <v/>
      </c>
      <c r="M821" s="9"/>
      <c r="N821" s="10" t="str">
        <f aca="false">IF($B821="","",$L821-$M821)</f>
        <v/>
      </c>
      <c r="O821" s="10" t="str">
        <f aca="false">IF($B821="","",IFERROR(INDEX(Drinks!$E$4:$E$53,MATCH($B821,Drinks!$A$4:$A$53,0)),0))</f>
        <v/>
      </c>
      <c r="P821" s="10" t="str">
        <f aca="false">IF($B821="","",$N821*$O821)</f>
        <v/>
      </c>
      <c r="Q821" s="10" t="str">
        <f aca="false">IF($B821="","",$N821*IFERROR(INDEX(Drinks!$D$4:$D$53,MATCH($B821,Drinks!$A$4:$A$53,0)),0))</f>
        <v/>
      </c>
      <c r="R821" s="10" t="str">
        <f aca="false">IF($B821="","",$P821-$Q821)</f>
        <v/>
      </c>
      <c r="S821" s="23" t="str">
        <f aca="false">IF($B821="","",IF(COUNTIFS($A$4:$A$2003,$A821-1,$B$4:$B$2003,$B821)=0,"first day",IF(SUMIFS($M$4:$M$2003,$A$4:$A$2003,$A821-1,$B$4:$B$2003,$B821)=$J821,"OK","CHECK")))</f>
        <v/>
      </c>
      <c r="T821" s="10" t="str">
        <f aca="false">IF($B821="","",IFERROR(INDEX(Drinks!$D$4:$D$53,MATCH($B821,Drinks!$A$4:$A$53,0)),0))</f>
        <v/>
      </c>
    </row>
    <row r="822" customFormat="false" ht="15" hidden="false" customHeight="false" outlineLevel="0" collapsed="false">
      <c r="A822" s="22"/>
      <c r="B822" s="9"/>
      <c r="C822" s="9"/>
      <c r="D822" s="9"/>
      <c r="E822" s="9"/>
      <c r="F822" s="10" t="str">
        <f aca="false">IF($B822="","",$C822+$D822-$E822)</f>
        <v/>
      </c>
      <c r="G822" s="10" t="str">
        <f aca="false">IF($B822="","",IFERROR(INDEX(Drinks!$C$4:$C$53,MATCH($B822,Drinks!$A$4:$A$53,0)),0))</f>
        <v/>
      </c>
      <c r="H822" s="10" t="str">
        <f aca="false">IF($B822="","",$D822*$G822)</f>
        <v/>
      </c>
      <c r="I822" s="10" t="str">
        <f aca="false">IF($B822="","",$F822*$G822)</f>
        <v/>
      </c>
      <c r="J822" s="9"/>
      <c r="K822" s="10" t="str">
        <f aca="false">IF($B822="","",$E822*IFERROR(INDEX(Drinks!$B$4:$B$53,MATCH($B822,Drinks!$A$4:$A$53,0)),0))</f>
        <v/>
      </c>
      <c r="L822" s="10" t="str">
        <f aca="false">IF($B822="","",$J822+$K822)</f>
        <v/>
      </c>
      <c r="M822" s="9"/>
      <c r="N822" s="10" t="str">
        <f aca="false">IF($B822="","",$L822-$M822)</f>
        <v/>
      </c>
      <c r="O822" s="10" t="str">
        <f aca="false">IF($B822="","",IFERROR(INDEX(Drinks!$E$4:$E$53,MATCH($B822,Drinks!$A$4:$A$53,0)),0))</f>
        <v/>
      </c>
      <c r="P822" s="10" t="str">
        <f aca="false">IF($B822="","",$N822*$O822)</f>
        <v/>
      </c>
      <c r="Q822" s="10" t="str">
        <f aca="false">IF($B822="","",$N822*IFERROR(INDEX(Drinks!$D$4:$D$53,MATCH($B822,Drinks!$A$4:$A$53,0)),0))</f>
        <v/>
      </c>
      <c r="R822" s="10" t="str">
        <f aca="false">IF($B822="","",$P822-$Q822)</f>
        <v/>
      </c>
      <c r="S822" s="23" t="str">
        <f aca="false">IF($B822="","",IF(COUNTIFS($A$4:$A$2003,$A822-1,$B$4:$B$2003,$B822)=0,"first day",IF(SUMIFS($M$4:$M$2003,$A$4:$A$2003,$A822-1,$B$4:$B$2003,$B822)=$J822,"OK","CHECK")))</f>
        <v/>
      </c>
      <c r="T822" s="10" t="str">
        <f aca="false">IF($B822="","",IFERROR(INDEX(Drinks!$D$4:$D$53,MATCH($B822,Drinks!$A$4:$A$53,0)),0))</f>
        <v/>
      </c>
    </row>
    <row r="823" customFormat="false" ht="15" hidden="false" customHeight="false" outlineLevel="0" collapsed="false">
      <c r="A823" s="22"/>
      <c r="B823" s="9"/>
      <c r="C823" s="9"/>
      <c r="D823" s="9"/>
      <c r="E823" s="9"/>
      <c r="F823" s="10" t="str">
        <f aca="false">IF($B823="","",$C823+$D823-$E823)</f>
        <v/>
      </c>
      <c r="G823" s="10" t="str">
        <f aca="false">IF($B823="","",IFERROR(INDEX(Drinks!$C$4:$C$53,MATCH($B823,Drinks!$A$4:$A$53,0)),0))</f>
        <v/>
      </c>
      <c r="H823" s="10" t="str">
        <f aca="false">IF($B823="","",$D823*$G823)</f>
        <v/>
      </c>
      <c r="I823" s="10" t="str">
        <f aca="false">IF($B823="","",$F823*$G823)</f>
        <v/>
      </c>
      <c r="J823" s="9"/>
      <c r="K823" s="10" t="str">
        <f aca="false">IF($B823="","",$E823*IFERROR(INDEX(Drinks!$B$4:$B$53,MATCH($B823,Drinks!$A$4:$A$53,0)),0))</f>
        <v/>
      </c>
      <c r="L823" s="10" t="str">
        <f aca="false">IF($B823="","",$J823+$K823)</f>
        <v/>
      </c>
      <c r="M823" s="9"/>
      <c r="N823" s="10" t="str">
        <f aca="false">IF($B823="","",$L823-$M823)</f>
        <v/>
      </c>
      <c r="O823" s="10" t="str">
        <f aca="false">IF($B823="","",IFERROR(INDEX(Drinks!$E$4:$E$53,MATCH($B823,Drinks!$A$4:$A$53,0)),0))</f>
        <v/>
      </c>
      <c r="P823" s="10" t="str">
        <f aca="false">IF($B823="","",$N823*$O823)</f>
        <v/>
      </c>
      <c r="Q823" s="10" t="str">
        <f aca="false">IF($B823="","",$N823*IFERROR(INDEX(Drinks!$D$4:$D$53,MATCH($B823,Drinks!$A$4:$A$53,0)),0))</f>
        <v/>
      </c>
      <c r="R823" s="10" t="str">
        <f aca="false">IF($B823="","",$P823-$Q823)</f>
        <v/>
      </c>
      <c r="S823" s="23" t="str">
        <f aca="false">IF($B823="","",IF(COUNTIFS($A$4:$A$2003,$A823-1,$B$4:$B$2003,$B823)=0,"first day",IF(SUMIFS($M$4:$M$2003,$A$4:$A$2003,$A823-1,$B$4:$B$2003,$B823)=$J823,"OK","CHECK")))</f>
        <v/>
      </c>
      <c r="T823" s="10" t="str">
        <f aca="false">IF($B823="","",IFERROR(INDEX(Drinks!$D$4:$D$53,MATCH($B823,Drinks!$A$4:$A$53,0)),0))</f>
        <v/>
      </c>
    </row>
    <row r="824" customFormat="false" ht="15" hidden="false" customHeight="false" outlineLevel="0" collapsed="false">
      <c r="A824" s="22"/>
      <c r="B824" s="9"/>
      <c r="C824" s="9"/>
      <c r="D824" s="9"/>
      <c r="E824" s="9"/>
      <c r="F824" s="10" t="str">
        <f aca="false">IF($B824="","",$C824+$D824-$E824)</f>
        <v/>
      </c>
      <c r="G824" s="10" t="str">
        <f aca="false">IF($B824="","",IFERROR(INDEX(Drinks!$C$4:$C$53,MATCH($B824,Drinks!$A$4:$A$53,0)),0))</f>
        <v/>
      </c>
      <c r="H824" s="10" t="str">
        <f aca="false">IF($B824="","",$D824*$G824)</f>
        <v/>
      </c>
      <c r="I824" s="10" t="str">
        <f aca="false">IF($B824="","",$F824*$G824)</f>
        <v/>
      </c>
      <c r="J824" s="9"/>
      <c r="K824" s="10" t="str">
        <f aca="false">IF($B824="","",$E824*IFERROR(INDEX(Drinks!$B$4:$B$53,MATCH($B824,Drinks!$A$4:$A$53,0)),0))</f>
        <v/>
      </c>
      <c r="L824" s="10" t="str">
        <f aca="false">IF($B824="","",$J824+$K824)</f>
        <v/>
      </c>
      <c r="M824" s="9"/>
      <c r="N824" s="10" t="str">
        <f aca="false">IF($B824="","",$L824-$M824)</f>
        <v/>
      </c>
      <c r="O824" s="10" t="str">
        <f aca="false">IF($B824="","",IFERROR(INDEX(Drinks!$E$4:$E$53,MATCH($B824,Drinks!$A$4:$A$53,0)),0))</f>
        <v/>
      </c>
      <c r="P824" s="10" t="str">
        <f aca="false">IF($B824="","",$N824*$O824)</f>
        <v/>
      </c>
      <c r="Q824" s="10" t="str">
        <f aca="false">IF($B824="","",$N824*IFERROR(INDEX(Drinks!$D$4:$D$53,MATCH($B824,Drinks!$A$4:$A$53,0)),0))</f>
        <v/>
      </c>
      <c r="R824" s="10" t="str">
        <f aca="false">IF($B824="","",$P824-$Q824)</f>
        <v/>
      </c>
      <c r="S824" s="23" t="str">
        <f aca="false">IF($B824="","",IF(COUNTIFS($A$4:$A$2003,$A824-1,$B$4:$B$2003,$B824)=0,"first day",IF(SUMIFS($M$4:$M$2003,$A$4:$A$2003,$A824-1,$B$4:$B$2003,$B824)=$J824,"OK","CHECK")))</f>
        <v/>
      </c>
      <c r="T824" s="10" t="str">
        <f aca="false">IF($B824="","",IFERROR(INDEX(Drinks!$D$4:$D$53,MATCH($B824,Drinks!$A$4:$A$53,0)),0))</f>
        <v/>
      </c>
    </row>
    <row r="825" customFormat="false" ht="15" hidden="false" customHeight="false" outlineLevel="0" collapsed="false">
      <c r="A825" s="22"/>
      <c r="B825" s="9"/>
      <c r="C825" s="9"/>
      <c r="D825" s="9"/>
      <c r="E825" s="9"/>
      <c r="F825" s="10" t="str">
        <f aca="false">IF($B825="","",$C825+$D825-$E825)</f>
        <v/>
      </c>
      <c r="G825" s="10" t="str">
        <f aca="false">IF($B825="","",IFERROR(INDEX(Drinks!$C$4:$C$53,MATCH($B825,Drinks!$A$4:$A$53,0)),0))</f>
        <v/>
      </c>
      <c r="H825" s="10" t="str">
        <f aca="false">IF($B825="","",$D825*$G825)</f>
        <v/>
      </c>
      <c r="I825" s="10" t="str">
        <f aca="false">IF($B825="","",$F825*$G825)</f>
        <v/>
      </c>
      <c r="J825" s="9"/>
      <c r="K825" s="10" t="str">
        <f aca="false">IF($B825="","",$E825*IFERROR(INDEX(Drinks!$B$4:$B$53,MATCH($B825,Drinks!$A$4:$A$53,0)),0))</f>
        <v/>
      </c>
      <c r="L825" s="10" t="str">
        <f aca="false">IF($B825="","",$J825+$K825)</f>
        <v/>
      </c>
      <c r="M825" s="9"/>
      <c r="N825" s="10" t="str">
        <f aca="false">IF($B825="","",$L825-$M825)</f>
        <v/>
      </c>
      <c r="O825" s="10" t="str">
        <f aca="false">IF($B825="","",IFERROR(INDEX(Drinks!$E$4:$E$53,MATCH($B825,Drinks!$A$4:$A$53,0)),0))</f>
        <v/>
      </c>
      <c r="P825" s="10" t="str">
        <f aca="false">IF($B825="","",$N825*$O825)</f>
        <v/>
      </c>
      <c r="Q825" s="10" t="str">
        <f aca="false">IF($B825="","",$N825*IFERROR(INDEX(Drinks!$D$4:$D$53,MATCH($B825,Drinks!$A$4:$A$53,0)),0))</f>
        <v/>
      </c>
      <c r="R825" s="10" t="str">
        <f aca="false">IF($B825="","",$P825-$Q825)</f>
        <v/>
      </c>
      <c r="S825" s="23" t="str">
        <f aca="false">IF($B825="","",IF(COUNTIFS($A$4:$A$2003,$A825-1,$B$4:$B$2003,$B825)=0,"first day",IF(SUMIFS($M$4:$M$2003,$A$4:$A$2003,$A825-1,$B$4:$B$2003,$B825)=$J825,"OK","CHECK")))</f>
        <v/>
      </c>
      <c r="T825" s="10" t="str">
        <f aca="false">IF($B825="","",IFERROR(INDEX(Drinks!$D$4:$D$53,MATCH($B825,Drinks!$A$4:$A$53,0)),0))</f>
        <v/>
      </c>
    </row>
    <row r="826" customFormat="false" ht="15" hidden="false" customHeight="false" outlineLevel="0" collapsed="false">
      <c r="A826" s="22"/>
      <c r="B826" s="9"/>
      <c r="C826" s="9"/>
      <c r="D826" s="9"/>
      <c r="E826" s="9"/>
      <c r="F826" s="10" t="str">
        <f aca="false">IF($B826="","",$C826+$D826-$E826)</f>
        <v/>
      </c>
      <c r="G826" s="10" t="str">
        <f aca="false">IF($B826="","",IFERROR(INDEX(Drinks!$C$4:$C$53,MATCH($B826,Drinks!$A$4:$A$53,0)),0))</f>
        <v/>
      </c>
      <c r="H826" s="10" t="str">
        <f aca="false">IF($B826="","",$D826*$G826)</f>
        <v/>
      </c>
      <c r="I826" s="10" t="str">
        <f aca="false">IF($B826="","",$F826*$G826)</f>
        <v/>
      </c>
      <c r="J826" s="9"/>
      <c r="K826" s="10" t="str">
        <f aca="false">IF($B826="","",$E826*IFERROR(INDEX(Drinks!$B$4:$B$53,MATCH($B826,Drinks!$A$4:$A$53,0)),0))</f>
        <v/>
      </c>
      <c r="L826" s="10" t="str">
        <f aca="false">IF($B826="","",$J826+$K826)</f>
        <v/>
      </c>
      <c r="M826" s="9"/>
      <c r="N826" s="10" t="str">
        <f aca="false">IF($B826="","",$L826-$M826)</f>
        <v/>
      </c>
      <c r="O826" s="10" t="str">
        <f aca="false">IF($B826="","",IFERROR(INDEX(Drinks!$E$4:$E$53,MATCH($B826,Drinks!$A$4:$A$53,0)),0))</f>
        <v/>
      </c>
      <c r="P826" s="10" t="str">
        <f aca="false">IF($B826="","",$N826*$O826)</f>
        <v/>
      </c>
      <c r="Q826" s="10" t="str">
        <f aca="false">IF($B826="","",$N826*IFERROR(INDEX(Drinks!$D$4:$D$53,MATCH($B826,Drinks!$A$4:$A$53,0)),0))</f>
        <v/>
      </c>
      <c r="R826" s="10" t="str">
        <f aca="false">IF($B826="","",$P826-$Q826)</f>
        <v/>
      </c>
      <c r="S826" s="23" t="str">
        <f aca="false">IF($B826="","",IF(COUNTIFS($A$4:$A$2003,$A826-1,$B$4:$B$2003,$B826)=0,"first day",IF(SUMIFS($M$4:$M$2003,$A$4:$A$2003,$A826-1,$B$4:$B$2003,$B826)=$J826,"OK","CHECK")))</f>
        <v/>
      </c>
      <c r="T826" s="10" t="str">
        <f aca="false">IF($B826="","",IFERROR(INDEX(Drinks!$D$4:$D$53,MATCH($B826,Drinks!$A$4:$A$53,0)),0))</f>
        <v/>
      </c>
    </row>
    <row r="827" customFormat="false" ht="15" hidden="false" customHeight="false" outlineLevel="0" collapsed="false">
      <c r="A827" s="22"/>
      <c r="B827" s="9"/>
      <c r="C827" s="9"/>
      <c r="D827" s="9"/>
      <c r="E827" s="9"/>
      <c r="F827" s="10" t="str">
        <f aca="false">IF($B827="","",$C827+$D827-$E827)</f>
        <v/>
      </c>
      <c r="G827" s="10" t="str">
        <f aca="false">IF($B827="","",IFERROR(INDEX(Drinks!$C$4:$C$53,MATCH($B827,Drinks!$A$4:$A$53,0)),0))</f>
        <v/>
      </c>
      <c r="H827" s="10" t="str">
        <f aca="false">IF($B827="","",$D827*$G827)</f>
        <v/>
      </c>
      <c r="I827" s="10" t="str">
        <f aca="false">IF($B827="","",$F827*$G827)</f>
        <v/>
      </c>
      <c r="J827" s="9"/>
      <c r="K827" s="10" t="str">
        <f aca="false">IF($B827="","",$E827*IFERROR(INDEX(Drinks!$B$4:$B$53,MATCH($B827,Drinks!$A$4:$A$53,0)),0))</f>
        <v/>
      </c>
      <c r="L827" s="10" t="str">
        <f aca="false">IF($B827="","",$J827+$K827)</f>
        <v/>
      </c>
      <c r="M827" s="9"/>
      <c r="N827" s="10" t="str">
        <f aca="false">IF($B827="","",$L827-$M827)</f>
        <v/>
      </c>
      <c r="O827" s="10" t="str">
        <f aca="false">IF($B827="","",IFERROR(INDEX(Drinks!$E$4:$E$53,MATCH($B827,Drinks!$A$4:$A$53,0)),0))</f>
        <v/>
      </c>
      <c r="P827" s="10" t="str">
        <f aca="false">IF($B827="","",$N827*$O827)</f>
        <v/>
      </c>
      <c r="Q827" s="10" t="str">
        <f aca="false">IF($B827="","",$N827*IFERROR(INDEX(Drinks!$D$4:$D$53,MATCH($B827,Drinks!$A$4:$A$53,0)),0))</f>
        <v/>
      </c>
      <c r="R827" s="10" t="str">
        <f aca="false">IF($B827="","",$P827-$Q827)</f>
        <v/>
      </c>
      <c r="S827" s="23" t="str">
        <f aca="false">IF($B827="","",IF(COUNTIFS($A$4:$A$2003,$A827-1,$B$4:$B$2003,$B827)=0,"first day",IF(SUMIFS($M$4:$M$2003,$A$4:$A$2003,$A827-1,$B$4:$B$2003,$B827)=$J827,"OK","CHECK")))</f>
        <v/>
      </c>
      <c r="T827" s="10" t="str">
        <f aca="false">IF($B827="","",IFERROR(INDEX(Drinks!$D$4:$D$53,MATCH($B827,Drinks!$A$4:$A$53,0)),0))</f>
        <v/>
      </c>
    </row>
    <row r="828" customFormat="false" ht="15" hidden="false" customHeight="false" outlineLevel="0" collapsed="false">
      <c r="A828" s="22"/>
      <c r="B828" s="9"/>
      <c r="C828" s="9"/>
      <c r="D828" s="9"/>
      <c r="E828" s="9"/>
      <c r="F828" s="10" t="str">
        <f aca="false">IF($B828="","",$C828+$D828-$E828)</f>
        <v/>
      </c>
      <c r="G828" s="10" t="str">
        <f aca="false">IF($B828="","",IFERROR(INDEX(Drinks!$C$4:$C$53,MATCH($B828,Drinks!$A$4:$A$53,0)),0))</f>
        <v/>
      </c>
      <c r="H828" s="10" t="str">
        <f aca="false">IF($B828="","",$D828*$G828)</f>
        <v/>
      </c>
      <c r="I828" s="10" t="str">
        <f aca="false">IF($B828="","",$F828*$G828)</f>
        <v/>
      </c>
      <c r="J828" s="9"/>
      <c r="K828" s="10" t="str">
        <f aca="false">IF($B828="","",$E828*IFERROR(INDEX(Drinks!$B$4:$B$53,MATCH($B828,Drinks!$A$4:$A$53,0)),0))</f>
        <v/>
      </c>
      <c r="L828" s="10" t="str">
        <f aca="false">IF($B828="","",$J828+$K828)</f>
        <v/>
      </c>
      <c r="M828" s="9"/>
      <c r="N828" s="10" t="str">
        <f aca="false">IF($B828="","",$L828-$M828)</f>
        <v/>
      </c>
      <c r="O828" s="10" t="str">
        <f aca="false">IF($B828="","",IFERROR(INDEX(Drinks!$E$4:$E$53,MATCH($B828,Drinks!$A$4:$A$53,0)),0))</f>
        <v/>
      </c>
      <c r="P828" s="10" t="str">
        <f aca="false">IF($B828="","",$N828*$O828)</f>
        <v/>
      </c>
      <c r="Q828" s="10" t="str">
        <f aca="false">IF($B828="","",$N828*IFERROR(INDEX(Drinks!$D$4:$D$53,MATCH($B828,Drinks!$A$4:$A$53,0)),0))</f>
        <v/>
      </c>
      <c r="R828" s="10" t="str">
        <f aca="false">IF($B828="","",$P828-$Q828)</f>
        <v/>
      </c>
      <c r="S828" s="23" t="str">
        <f aca="false">IF($B828="","",IF(COUNTIFS($A$4:$A$2003,$A828-1,$B$4:$B$2003,$B828)=0,"first day",IF(SUMIFS($M$4:$M$2003,$A$4:$A$2003,$A828-1,$B$4:$B$2003,$B828)=$J828,"OK","CHECK")))</f>
        <v/>
      </c>
      <c r="T828" s="10" t="str">
        <f aca="false">IF($B828="","",IFERROR(INDEX(Drinks!$D$4:$D$53,MATCH($B828,Drinks!$A$4:$A$53,0)),0))</f>
        <v/>
      </c>
    </row>
    <row r="829" customFormat="false" ht="15" hidden="false" customHeight="false" outlineLevel="0" collapsed="false">
      <c r="A829" s="22"/>
      <c r="B829" s="9"/>
      <c r="C829" s="9"/>
      <c r="D829" s="9"/>
      <c r="E829" s="9"/>
      <c r="F829" s="10" t="str">
        <f aca="false">IF($B829="","",$C829+$D829-$E829)</f>
        <v/>
      </c>
      <c r="G829" s="10" t="str">
        <f aca="false">IF($B829="","",IFERROR(INDEX(Drinks!$C$4:$C$53,MATCH($B829,Drinks!$A$4:$A$53,0)),0))</f>
        <v/>
      </c>
      <c r="H829" s="10" t="str">
        <f aca="false">IF($B829="","",$D829*$G829)</f>
        <v/>
      </c>
      <c r="I829" s="10" t="str">
        <f aca="false">IF($B829="","",$F829*$G829)</f>
        <v/>
      </c>
      <c r="J829" s="9"/>
      <c r="K829" s="10" t="str">
        <f aca="false">IF($B829="","",$E829*IFERROR(INDEX(Drinks!$B$4:$B$53,MATCH($B829,Drinks!$A$4:$A$53,0)),0))</f>
        <v/>
      </c>
      <c r="L829" s="10" t="str">
        <f aca="false">IF($B829="","",$J829+$K829)</f>
        <v/>
      </c>
      <c r="M829" s="9"/>
      <c r="N829" s="10" t="str">
        <f aca="false">IF($B829="","",$L829-$M829)</f>
        <v/>
      </c>
      <c r="O829" s="10" t="str">
        <f aca="false">IF($B829="","",IFERROR(INDEX(Drinks!$E$4:$E$53,MATCH($B829,Drinks!$A$4:$A$53,0)),0))</f>
        <v/>
      </c>
      <c r="P829" s="10" t="str">
        <f aca="false">IF($B829="","",$N829*$O829)</f>
        <v/>
      </c>
      <c r="Q829" s="10" t="str">
        <f aca="false">IF($B829="","",$N829*IFERROR(INDEX(Drinks!$D$4:$D$53,MATCH($B829,Drinks!$A$4:$A$53,0)),0))</f>
        <v/>
      </c>
      <c r="R829" s="10" t="str">
        <f aca="false">IF($B829="","",$P829-$Q829)</f>
        <v/>
      </c>
      <c r="S829" s="23" t="str">
        <f aca="false">IF($B829="","",IF(COUNTIFS($A$4:$A$2003,$A829-1,$B$4:$B$2003,$B829)=0,"first day",IF(SUMIFS($M$4:$M$2003,$A$4:$A$2003,$A829-1,$B$4:$B$2003,$B829)=$J829,"OK","CHECK")))</f>
        <v/>
      </c>
      <c r="T829" s="10" t="str">
        <f aca="false">IF($B829="","",IFERROR(INDEX(Drinks!$D$4:$D$53,MATCH($B829,Drinks!$A$4:$A$53,0)),0))</f>
        <v/>
      </c>
    </row>
    <row r="830" customFormat="false" ht="15" hidden="false" customHeight="false" outlineLevel="0" collapsed="false">
      <c r="A830" s="22"/>
      <c r="B830" s="9"/>
      <c r="C830" s="9"/>
      <c r="D830" s="9"/>
      <c r="E830" s="9"/>
      <c r="F830" s="10" t="str">
        <f aca="false">IF($B830="","",$C830+$D830-$E830)</f>
        <v/>
      </c>
      <c r="G830" s="10" t="str">
        <f aca="false">IF($B830="","",IFERROR(INDEX(Drinks!$C$4:$C$53,MATCH($B830,Drinks!$A$4:$A$53,0)),0))</f>
        <v/>
      </c>
      <c r="H830" s="10" t="str">
        <f aca="false">IF($B830="","",$D830*$G830)</f>
        <v/>
      </c>
      <c r="I830" s="10" t="str">
        <f aca="false">IF($B830="","",$F830*$G830)</f>
        <v/>
      </c>
      <c r="J830" s="9"/>
      <c r="K830" s="10" t="str">
        <f aca="false">IF($B830="","",$E830*IFERROR(INDEX(Drinks!$B$4:$B$53,MATCH($B830,Drinks!$A$4:$A$53,0)),0))</f>
        <v/>
      </c>
      <c r="L830" s="10" t="str">
        <f aca="false">IF($B830="","",$J830+$K830)</f>
        <v/>
      </c>
      <c r="M830" s="9"/>
      <c r="N830" s="10" t="str">
        <f aca="false">IF($B830="","",$L830-$M830)</f>
        <v/>
      </c>
      <c r="O830" s="10" t="str">
        <f aca="false">IF($B830="","",IFERROR(INDEX(Drinks!$E$4:$E$53,MATCH($B830,Drinks!$A$4:$A$53,0)),0))</f>
        <v/>
      </c>
      <c r="P830" s="10" t="str">
        <f aca="false">IF($B830="","",$N830*$O830)</f>
        <v/>
      </c>
      <c r="Q830" s="10" t="str">
        <f aca="false">IF($B830="","",$N830*IFERROR(INDEX(Drinks!$D$4:$D$53,MATCH($B830,Drinks!$A$4:$A$53,0)),0))</f>
        <v/>
      </c>
      <c r="R830" s="10" t="str">
        <f aca="false">IF($B830="","",$P830-$Q830)</f>
        <v/>
      </c>
      <c r="S830" s="23" t="str">
        <f aca="false">IF($B830="","",IF(COUNTIFS($A$4:$A$2003,$A830-1,$B$4:$B$2003,$B830)=0,"first day",IF(SUMIFS($M$4:$M$2003,$A$4:$A$2003,$A830-1,$B$4:$B$2003,$B830)=$J830,"OK","CHECK")))</f>
        <v/>
      </c>
      <c r="T830" s="10" t="str">
        <f aca="false">IF($B830="","",IFERROR(INDEX(Drinks!$D$4:$D$53,MATCH($B830,Drinks!$A$4:$A$53,0)),0))</f>
        <v/>
      </c>
    </row>
    <row r="831" customFormat="false" ht="15" hidden="false" customHeight="false" outlineLevel="0" collapsed="false">
      <c r="A831" s="22"/>
      <c r="B831" s="9"/>
      <c r="C831" s="9"/>
      <c r="D831" s="9"/>
      <c r="E831" s="9"/>
      <c r="F831" s="10" t="str">
        <f aca="false">IF($B831="","",$C831+$D831-$E831)</f>
        <v/>
      </c>
      <c r="G831" s="10" t="str">
        <f aca="false">IF($B831="","",IFERROR(INDEX(Drinks!$C$4:$C$53,MATCH($B831,Drinks!$A$4:$A$53,0)),0))</f>
        <v/>
      </c>
      <c r="H831" s="10" t="str">
        <f aca="false">IF($B831="","",$D831*$G831)</f>
        <v/>
      </c>
      <c r="I831" s="10" t="str">
        <f aca="false">IF($B831="","",$F831*$G831)</f>
        <v/>
      </c>
      <c r="J831" s="9"/>
      <c r="K831" s="10" t="str">
        <f aca="false">IF($B831="","",$E831*IFERROR(INDEX(Drinks!$B$4:$B$53,MATCH($B831,Drinks!$A$4:$A$53,0)),0))</f>
        <v/>
      </c>
      <c r="L831" s="10" t="str">
        <f aca="false">IF($B831="","",$J831+$K831)</f>
        <v/>
      </c>
      <c r="M831" s="9"/>
      <c r="N831" s="10" t="str">
        <f aca="false">IF($B831="","",$L831-$M831)</f>
        <v/>
      </c>
      <c r="O831" s="10" t="str">
        <f aca="false">IF($B831="","",IFERROR(INDEX(Drinks!$E$4:$E$53,MATCH($B831,Drinks!$A$4:$A$53,0)),0))</f>
        <v/>
      </c>
      <c r="P831" s="10" t="str">
        <f aca="false">IF($B831="","",$N831*$O831)</f>
        <v/>
      </c>
      <c r="Q831" s="10" t="str">
        <f aca="false">IF($B831="","",$N831*IFERROR(INDEX(Drinks!$D$4:$D$53,MATCH($B831,Drinks!$A$4:$A$53,0)),0))</f>
        <v/>
      </c>
      <c r="R831" s="10" t="str">
        <f aca="false">IF($B831="","",$P831-$Q831)</f>
        <v/>
      </c>
      <c r="S831" s="23" t="str">
        <f aca="false">IF($B831="","",IF(COUNTIFS($A$4:$A$2003,$A831-1,$B$4:$B$2003,$B831)=0,"first day",IF(SUMIFS($M$4:$M$2003,$A$4:$A$2003,$A831-1,$B$4:$B$2003,$B831)=$J831,"OK","CHECK")))</f>
        <v/>
      </c>
      <c r="T831" s="10" t="str">
        <f aca="false">IF($B831="","",IFERROR(INDEX(Drinks!$D$4:$D$53,MATCH($B831,Drinks!$A$4:$A$53,0)),0))</f>
        <v/>
      </c>
    </row>
    <row r="832" customFormat="false" ht="15" hidden="false" customHeight="false" outlineLevel="0" collapsed="false">
      <c r="A832" s="22"/>
      <c r="B832" s="9"/>
      <c r="C832" s="9"/>
      <c r="D832" s="9"/>
      <c r="E832" s="9"/>
      <c r="F832" s="10" t="str">
        <f aca="false">IF($B832="","",$C832+$D832-$E832)</f>
        <v/>
      </c>
      <c r="G832" s="10" t="str">
        <f aca="false">IF($B832="","",IFERROR(INDEX(Drinks!$C$4:$C$53,MATCH($B832,Drinks!$A$4:$A$53,0)),0))</f>
        <v/>
      </c>
      <c r="H832" s="10" t="str">
        <f aca="false">IF($B832="","",$D832*$G832)</f>
        <v/>
      </c>
      <c r="I832" s="10" t="str">
        <f aca="false">IF($B832="","",$F832*$G832)</f>
        <v/>
      </c>
      <c r="J832" s="9"/>
      <c r="K832" s="10" t="str">
        <f aca="false">IF($B832="","",$E832*IFERROR(INDEX(Drinks!$B$4:$B$53,MATCH($B832,Drinks!$A$4:$A$53,0)),0))</f>
        <v/>
      </c>
      <c r="L832" s="10" t="str">
        <f aca="false">IF($B832="","",$J832+$K832)</f>
        <v/>
      </c>
      <c r="M832" s="9"/>
      <c r="N832" s="10" t="str">
        <f aca="false">IF($B832="","",$L832-$M832)</f>
        <v/>
      </c>
      <c r="O832" s="10" t="str">
        <f aca="false">IF($B832="","",IFERROR(INDEX(Drinks!$E$4:$E$53,MATCH($B832,Drinks!$A$4:$A$53,0)),0))</f>
        <v/>
      </c>
      <c r="P832" s="10" t="str">
        <f aca="false">IF($B832="","",$N832*$O832)</f>
        <v/>
      </c>
      <c r="Q832" s="10" t="str">
        <f aca="false">IF($B832="","",$N832*IFERROR(INDEX(Drinks!$D$4:$D$53,MATCH($B832,Drinks!$A$4:$A$53,0)),0))</f>
        <v/>
      </c>
      <c r="R832" s="10" t="str">
        <f aca="false">IF($B832="","",$P832-$Q832)</f>
        <v/>
      </c>
      <c r="S832" s="23" t="str">
        <f aca="false">IF($B832="","",IF(COUNTIFS($A$4:$A$2003,$A832-1,$B$4:$B$2003,$B832)=0,"first day",IF(SUMIFS($M$4:$M$2003,$A$4:$A$2003,$A832-1,$B$4:$B$2003,$B832)=$J832,"OK","CHECK")))</f>
        <v/>
      </c>
      <c r="T832" s="10" t="str">
        <f aca="false">IF($B832="","",IFERROR(INDEX(Drinks!$D$4:$D$53,MATCH($B832,Drinks!$A$4:$A$53,0)),0))</f>
        <v/>
      </c>
    </row>
    <row r="833" customFormat="false" ht="15" hidden="false" customHeight="false" outlineLevel="0" collapsed="false">
      <c r="A833" s="22"/>
      <c r="B833" s="9"/>
      <c r="C833" s="9"/>
      <c r="D833" s="9"/>
      <c r="E833" s="9"/>
      <c r="F833" s="10" t="str">
        <f aca="false">IF($B833="","",$C833+$D833-$E833)</f>
        <v/>
      </c>
      <c r="G833" s="10" t="str">
        <f aca="false">IF($B833="","",IFERROR(INDEX(Drinks!$C$4:$C$53,MATCH($B833,Drinks!$A$4:$A$53,0)),0))</f>
        <v/>
      </c>
      <c r="H833" s="10" t="str">
        <f aca="false">IF($B833="","",$D833*$G833)</f>
        <v/>
      </c>
      <c r="I833" s="10" t="str">
        <f aca="false">IF($B833="","",$F833*$G833)</f>
        <v/>
      </c>
      <c r="J833" s="9"/>
      <c r="K833" s="10" t="str">
        <f aca="false">IF($B833="","",$E833*IFERROR(INDEX(Drinks!$B$4:$B$53,MATCH($B833,Drinks!$A$4:$A$53,0)),0))</f>
        <v/>
      </c>
      <c r="L833" s="10" t="str">
        <f aca="false">IF($B833="","",$J833+$K833)</f>
        <v/>
      </c>
      <c r="M833" s="9"/>
      <c r="N833" s="10" t="str">
        <f aca="false">IF($B833="","",$L833-$M833)</f>
        <v/>
      </c>
      <c r="O833" s="10" t="str">
        <f aca="false">IF($B833="","",IFERROR(INDEX(Drinks!$E$4:$E$53,MATCH($B833,Drinks!$A$4:$A$53,0)),0))</f>
        <v/>
      </c>
      <c r="P833" s="10" t="str">
        <f aca="false">IF($B833="","",$N833*$O833)</f>
        <v/>
      </c>
      <c r="Q833" s="10" t="str">
        <f aca="false">IF($B833="","",$N833*IFERROR(INDEX(Drinks!$D$4:$D$53,MATCH($B833,Drinks!$A$4:$A$53,0)),0))</f>
        <v/>
      </c>
      <c r="R833" s="10" t="str">
        <f aca="false">IF($B833="","",$P833-$Q833)</f>
        <v/>
      </c>
      <c r="S833" s="23" t="str">
        <f aca="false">IF($B833="","",IF(COUNTIFS($A$4:$A$2003,$A833-1,$B$4:$B$2003,$B833)=0,"first day",IF(SUMIFS($M$4:$M$2003,$A$4:$A$2003,$A833-1,$B$4:$B$2003,$B833)=$J833,"OK","CHECK")))</f>
        <v/>
      </c>
      <c r="T833" s="10" t="str">
        <f aca="false">IF($B833="","",IFERROR(INDEX(Drinks!$D$4:$D$53,MATCH($B833,Drinks!$A$4:$A$53,0)),0))</f>
        <v/>
      </c>
    </row>
    <row r="834" customFormat="false" ht="15" hidden="false" customHeight="false" outlineLevel="0" collapsed="false">
      <c r="A834" s="22"/>
      <c r="B834" s="9"/>
      <c r="C834" s="9"/>
      <c r="D834" s="9"/>
      <c r="E834" s="9"/>
      <c r="F834" s="10" t="str">
        <f aca="false">IF($B834="","",$C834+$D834-$E834)</f>
        <v/>
      </c>
      <c r="G834" s="10" t="str">
        <f aca="false">IF($B834="","",IFERROR(INDEX(Drinks!$C$4:$C$53,MATCH($B834,Drinks!$A$4:$A$53,0)),0))</f>
        <v/>
      </c>
      <c r="H834" s="10" t="str">
        <f aca="false">IF($B834="","",$D834*$G834)</f>
        <v/>
      </c>
      <c r="I834" s="10" t="str">
        <f aca="false">IF($B834="","",$F834*$G834)</f>
        <v/>
      </c>
      <c r="J834" s="9"/>
      <c r="K834" s="10" t="str">
        <f aca="false">IF($B834="","",$E834*IFERROR(INDEX(Drinks!$B$4:$B$53,MATCH($B834,Drinks!$A$4:$A$53,0)),0))</f>
        <v/>
      </c>
      <c r="L834" s="10" t="str">
        <f aca="false">IF($B834="","",$J834+$K834)</f>
        <v/>
      </c>
      <c r="M834" s="9"/>
      <c r="N834" s="10" t="str">
        <f aca="false">IF($B834="","",$L834-$M834)</f>
        <v/>
      </c>
      <c r="O834" s="10" t="str">
        <f aca="false">IF($B834="","",IFERROR(INDEX(Drinks!$E$4:$E$53,MATCH($B834,Drinks!$A$4:$A$53,0)),0))</f>
        <v/>
      </c>
      <c r="P834" s="10" t="str">
        <f aca="false">IF($B834="","",$N834*$O834)</f>
        <v/>
      </c>
      <c r="Q834" s="10" t="str">
        <f aca="false">IF($B834="","",$N834*IFERROR(INDEX(Drinks!$D$4:$D$53,MATCH($B834,Drinks!$A$4:$A$53,0)),0))</f>
        <v/>
      </c>
      <c r="R834" s="10" t="str">
        <f aca="false">IF($B834="","",$P834-$Q834)</f>
        <v/>
      </c>
      <c r="S834" s="23" t="str">
        <f aca="false">IF($B834="","",IF(COUNTIFS($A$4:$A$2003,$A834-1,$B$4:$B$2003,$B834)=0,"first day",IF(SUMIFS($M$4:$M$2003,$A$4:$A$2003,$A834-1,$B$4:$B$2003,$B834)=$J834,"OK","CHECK")))</f>
        <v/>
      </c>
      <c r="T834" s="10" t="str">
        <f aca="false">IF($B834="","",IFERROR(INDEX(Drinks!$D$4:$D$53,MATCH($B834,Drinks!$A$4:$A$53,0)),0))</f>
        <v/>
      </c>
    </row>
    <row r="835" customFormat="false" ht="15" hidden="false" customHeight="false" outlineLevel="0" collapsed="false">
      <c r="A835" s="22"/>
      <c r="B835" s="9"/>
      <c r="C835" s="9"/>
      <c r="D835" s="9"/>
      <c r="E835" s="9"/>
      <c r="F835" s="10" t="str">
        <f aca="false">IF($B835="","",$C835+$D835-$E835)</f>
        <v/>
      </c>
      <c r="G835" s="10" t="str">
        <f aca="false">IF($B835="","",IFERROR(INDEX(Drinks!$C$4:$C$53,MATCH($B835,Drinks!$A$4:$A$53,0)),0))</f>
        <v/>
      </c>
      <c r="H835" s="10" t="str">
        <f aca="false">IF($B835="","",$D835*$G835)</f>
        <v/>
      </c>
      <c r="I835" s="10" t="str">
        <f aca="false">IF($B835="","",$F835*$G835)</f>
        <v/>
      </c>
      <c r="J835" s="9"/>
      <c r="K835" s="10" t="str">
        <f aca="false">IF($B835="","",$E835*IFERROR(INDEX(Drinks!$B$4:$B$53,MATCH($B835,Drinks!$A$4:$A$53,0)),0))</f>
        <v/>
      </c>
      <c r="L835" s="10" t="str">
        <f aca="false">IF($B835="","",$J835+$K835)</f>
        <v/>
      </c>
      <c r="M835" s="9"/>
      <c r="N835" s="10" t="str">
        <f aca="false">IF($B835="","",$L835-$M835)</f>
        <v/>
      </c>
      <c r="O835" s="10" t="str">
        <f aca="false">IF($B835="","",IFERROR(INDEX(Drinks!$E$4:$E$53,MATCH($B835,Drinks!$A$4:$A$53,0)),0))</f>
        <v/>
      </c>
      <c r="P835" s="10" t="str">
        <f aca="false">IF($B835="","",$N835*$O835)</f>
        <v/>
      </c>
      <c r="Q835" s="10" t="str">
        <f aca="false">IF($B835="","",$N835*IFERROR(INDEX(Drinks!$D$4:$D$53,MATCH($B835,Drinks!$A$4:$A$53,0)),0))</f>
        <v/>
      </c>
      <c r="R835" s="10" t="str">
        <f aca="false">IF($B835="","",$P835-$Q835)</f>
        <v/>
      </c>
      <c r="S835" s="23" t="str">
        <f aca="false">IF($B835="","",IF(COUNTIFS($A$4:$A$2003,$A835-1,$B$4:$B$2003,$B835)=0,"first day",IF(SUMIFS($M$4:$M$2003,$A$4:$A$2003,$A835-1,$B$4:$B$2003,$B835)=$J835,"OK","CHECK")))</f>
        <v/>
      </c>
      <c r="T835" s="10" t="str">
        <f aca="false">IF($B835="","",IFERROR(INDEX(Drinks!$D$4:$D$53,MATCH($B835,Drinks!$A$4:$A$53,0)),0))</f>
        <v/>
      </c>
    </row>
    <row r="836" customFormat="false" ht="15" hidden="false" customHeight="false" outlineLevel="0" collapsed="false">
      <c r="A836" s="22"/>
      <c r="B836" s="9"/>
      <c r="C836" s="9"/>
      <c r="D836" s="9"/>
      <c r="E836" s="9"/>
      <c r="F836" s="10" t="str">
        <f aca="false">IF($B836="","",$C836+$D836-$E836)</f>
        <v/>
      </c>
      <c r="G836" s="10" t="str">
        <f aca="false">IF($B836="","",IFERROR(INDEX(Drinks!$C$4:$C$53,MATCH($B836,Drinks!$A$4:$A$53,0)),0))</f>
        <v/>
      </c>
      <c r="H836" s="10" t="str">
        <f aca="false">IF($B836="","",$D836*$G836)</f>
        <v/>
      </c>
      <c r="I836" s="10" t="str">
        <f aca="false">IF($B836="","",$F836*$G836)</f>
        <v/>
      </c>
      <c r="J836" s="9"/>
      <c r="K836" s="10" t="str">
        <f aca="false">IF($B836="","",$E836*IFERROR(INDEX(Drinks!$B$4:$B$53,MATCH($B836,Drinks!$A$4:$A$53,0)),0))</f>
        <v/>
      </c>
      <c r="L836" s="10" t="str">
        <f aca="false">IF($B836="","",$J836+$K836)</f>
        <v/>
      </c>
      <c r="M836" s="9"/>
      <c r="N836" s="10" t="str">
        <f aca="false">IF($B836="","",$L836-$M836)</f>
        <v/>
      </c>
      <c r="O836" s="10" t="str">
        <f aca="false">IF($B836="","",IFERROR(INDEX(Drinks!$E$4:$E$53,MATCH($B836,Drinks!$A$4:$A$53,0)),0))</f>
        <v/>
      </c>
      <c r="P836" s="10" t="str">
        <f aca="false">IF($B836="","",$N836*$O836)</f>
        <v/>
      </c>
      <c r="Q836" s="10" t="str">
        <f aca="false">IF($B836="","",$N836*IFERROR(INDEX(Drinks!$D$4:$D$53,MATCH($B836,Drinks!$A$4:$A$53,0)),0))</f>
        <v/>
      </c>
      <c r="R836" s="10" t="str">
        <f aca="false">IF($B836="","",$P836-$Q836)</f>
        <v/>
      </c>
      <c r="S836" s="23" t="str">
        <f aca="false">IF($B836="","",IF(COUNTIFS($A$4:$A$2003,$A836-1,$B$4:$B$2003,$B836)=0,"first day",IF(SUMIFS($M$4:$M$2003,$A$4:$A$2003,$A836-1,$B$4:$B$2003,$B836)=$J836,"OK","CHECK")))</f>
        <v/>
      </c>
      <c r="T836" s="10" t="str">
        <f aca="false">IF($B836="","",IFERROR(INDEX(Drinks!$D$4:$D$53,MATCH($B836,Drinks!$A$4:$A$53,0)),0))</f>
        <v/>
      </c>
    </row>
    <row r="837" customFormat="false" ht="15" hidden="false" customHeight="false" outlineLevel="0" collapsed="false">
      <c r="A837" s="22"/>
      <c r="B837" s="9"/>
      <c r="C837" s="9"/>
      <c r="D837" s="9"/>
      <c r="E837" s="9"/>
      <c r="F837" s="10" t="str">
        <f aca="false">IF($B837="","",$C837+$D837-$E837)</f>
        <v/>
      </c>
      <c r="G837" s="10" t="str">
        <f aca="false">IF($B837="","",IFERROR(INDEX(Drinks!$C$4:$C$53,MATCH($B837,Drinks!$A$4:$A$53,0)),0))</f>
        <v/>
      </c>
      <c r="H837" s="10" t="str">
        <f aca="false">IF($B837="","",$D837*$G837)</f>
        <v/>
      </c>
      <c r="I837" s="10" t="str">
        <f aca="false">IF($B837="","",$F837*$G837)</f>
        <v/>
      </c>
      <c r="J837" s="9"/>
      <c r="K837" s="10" t="str">
        <f aca="false">IF($B837="","",$E837*IFERROR(INDEX(Drinks!$B$4:$B$53,MATCH($B837,Drinks!$A$4:$A$53,0)),0))</f>
        <v/>
      </c>
      <c r="L837" s="10" t="str">
        <f aca="false">IF($B837="","",$J837+$K837)</f>
        <v/>
      </c>
      <c r="M837" s="9"/>
      <c r="N837" s="10" t="str">
        <f aca="false">IF($B837="","",$L837-$M837)</f>
        <v/>
      </c>
      <c r="O837" s="10" t="str">
        <f aca="false">IF($B837="","",IFERROR(INDEX(Drinks!$E$4:$E$53,MATCH($B837,Drinks!$A$4:$A$53,0)),0))</f>
        <v/>
      </c>
      <c r="P837" s="10" t="str">
        <f aca="false">IF($B837="","",$N837*$O837)</f>
        <v/>
      </c>
      <c r="Q837" s="10" t="str">
        <f aca="false">IF($B837="","",$N837*IFERROR(INDEX(Drinks!$D$4:$D$53,MATCH($B837,Drinks!$A$4:$A$53,0)),0))</f>
        <v/>
      </c>
      <c r="R837" s="10" t="str">
        <f aca="false">IF($B837="","",$P837-$Q837)</f>
        <v/>
      </c>
      <c r="S837" s="23" t="str">
        <f aca="false">IF($B837="","",IF(COUNTIFS($A$4:$A$2003,$A837-1,$B$4:$B$2003,$B837)=0,"first day",IF(SUMIFS($M$4:$M$2003,$A$4:$A$2003,$A837-1,$B$4:$B$2003,$B837)=$J837,"OK","CHECK")))</f>
        <v/>
      </c>
      <c r="T837" s="10" t="str">
        <f aca="false">IF($B837="","",IFERROR(INDEX(Drinks!$D$4:$D$53,MATCH($B837,Drinks!$A$4:$A$53,0)),0))</f>
        <v/>
      </c>
    </row>
    <row r="838" customFormat="false" ht="15" hidden="false" customHeight="false" outlineLevel="0" collapsed="false">
      <c r="A838" s="22"/>
      <c r="B838" s="9"/>
      <c r="C838" s="9"/>
      <c r="D838" s="9"/>
      <c r="E838" s="9"/>
      <c r="F838" s="10" t="str">
        <f aca="false">IF($B838="","",$C838+$D838-$E838)</f>
        <v/>
      </c>
      <c r="G838" s="10" t="str">
        <f aca="false">IF($B838="","",IFERROR(INDEX(Drinks!$C$4:$C$53,MATCH($B838,Drinks!$A$4:$A$53,0)),0))</f>
        <v/>
      </c>
      <c r="H838" s="10" t="str">
        <f aca="false">IF($B838="","",$D838*$G838)</f>
        <v/>
      </c>
      <c r="I838" s="10" t="str">
        <f aca="false">IF($B838="","",$F838*$G838)</f>
        <v/>
      </c>
      <c r="J838" s="9"/>
      <c r="K838" s="10" t="str">
        <f aca="false">IF($B838="","",$E838*IFERROR(INDEX(Drinks!$B$4:$B$53,MATCH($B838,Drinks!$A$4:$A$53,0)),0))</f>
        <v/>
      </c>
      <c r="L838" s="10" t="str">
        <f aca="false">IF($B838="","",$J838+$K838)</f>
        <v/>
      </c>
      <c r="M838" s="9"/>
      <c r="N838" s="10" t="str">
        <f aca="false">IF($B838="","",$L838-$M838)</f>
        <v/>
      </c>
      <c r="O838" s="10" t="str">
        <f aca="false">IF($B838="","",IFERROR(INDEX(Drinks!$E$4:$E$53,MATCH($B838,Drinks!$A$4:$A$53,0)),0))</f>
        <v/>
      </c>
      <c r="P838" s="10" t="str">
        <f aca="false">IF($B838="","",$N838*$O838)</f>
        <v/>
      </c>
      <c r="Q838" s="10" t="str">
        <f aca="false">IF($B838="","",$N838*IFERROR(INDEX(Drinks!$D$4:$D$53,MATCH($B838,Drinks!$A$4:$A$53,0)),0))</f>
        <v/>
      </c>
      <c r="R838" s="10" t="str">
        <f aca="false">IF($B838="","",$P838-$Q838)</f>
        <v/>
      </c>
      <c r="S838" s="23" t="str">
        <f aca="false">IF($B838="","",IF(COUNTIFS($A$4:$A$2003,$A838-1,$B$4:$B$2003,$B838)=0,"first day",IF(SUMIFS($M$4:$M$2003,$A$4:$A$2003,$A838-1,$B$4:$B$2003,$B838)=$J838,"OK","CHECK")))</f>
        <v/>
      </c>
      <c r="T838" s="10" t="str">
        <f aca="false">IF($B838="","",IFERROR(INDEX(Drinks!$D$4:$D$53,MATCH($B838,Drinks!$A$4:$A$53,0)),0))</f>
        <v/>
      </c>
    </row>
    <row r="839" customFormat="false" ht="15" hidden="false" customHeight="false" outlineLevel="0" collapsed="false">
      <c r="A839" s="22"/>
      <c r="B839" s="9"/>
      <c r="C839" s="9"/>
      <c r="D839" s="9"/>
      <c r="E839" s="9"/>
      <c r="F839" s="10" t="str">
        <f aca="false">IF($B839="","",$C839+$D839-$E839)</f>
        <v/>
      </c>
      <c r="G839" s="10" t="str">
        <f aca="false">IF($B839="","",IFERROR(INDEX(Drinks!$C$4:$C$53,MATCH($B839,Drinks!$A$4:$A$53,0)),0))</f>
        <v/>
      </c>
      <c r="H839" s="10" t="str">
        <f aca="false">IF($B839="","",$D839*$G839)</f>
        <v/>
      </c>
      <c r="I839" s="10" t="str">
        <f aca="false">IF($B839="","",$F839*$G839)</f>
        <v/>
      </c>
      <c r="J839" s="9"/>
      <c r="K839" s="10" t="str">
        <f aca="false">IF($B839="","",$E839*IFERROR(INDEX(Drinks!$B$4:$B$53,MATCH($B839,Drinks!$A$4:$A$53,0)),0))</f>
        <v/>
      </c>
      <c r="L839" s="10" t="str">
        <f aca="false">IF($B839="","",$J839+$K839)</f>
        <v/>
      </c>
      <c r="M839" s="9"/>
      <c r="N839" s="10" t="str">
        <f aca="false">IF($B839="","",$L839-$M839)</f>
        <v/>
      </c>
      <c r="O839" s="10" t="str">
        <f aca="false">IF($B839="","",IFERROR(INDEX(Drinks!$E$4:$E$53,MATCH($B839,Drinks!$A$4:$A$53,0)),0))</f>
        <v/>
      </c>
      <c r="P839" s="10" t="str">
        <f aca="false">IF($B839="","",$N839*$O839)</f>
        <v/>
      </c>
      <c r="Q839" s="10" t="str">
        <f aca="false">IF($B839="","",$N839*IFERROR(INDEX(Drinks!$D$4:$D$53,MATCH($B839,Drinks!$A$4:$A$53,0)),0))</f>
        <v/>
      </c>
      <c r="R839" s="10" t="str">
        <f aca="false">IF($B839="","",$P839-$Q839)</f>
        <v/>
      </c>
      <c r="S839" s="23" t="str">
        <f aca="false">IF($B839="","",IF(COUNTIFS($A$4:$A$2003,$A839-1,$B$4:$B$2003,$B839)=0,"first day",IF(SUMIFS($M$4:$M$2003,$A$4:$A$2003,$A839-1,$B$4:$B$2003,$B839)=$J839,"OK","CHECK")))</f>
        <v/>
      </c>
      <c r="T839" s="10" t="str">
        <f aca="false">IF($B839="","",IFERROR(INDEX(Drinks!$D$4:$D$53,MATCH($B839,Drinks!$A$4:$A$53,0)),0))</f>
        <v/>
      </c>
    </row>
    <row r="840" customFormat="false" ht="15" hidden="false" customHeight="false" outlineLevel="0" collapsed="false">
      <c r="A840" s="22"/>
      <c r="B840" s="9"/>
      <c r="C840" s="9"/>
      <c r="D840" s="9"/>
      <c r="E840" s="9"/>
      <c r="F840" s="10" t="str">
        <f aca="false">IF($B840="","",$C840+$D840-$E840)</f>
        <v/>
      </c>
      <c r="G840" s="10" t="str">
        <f aca="false">IF($B840="","",IFERROR(INDEX(Drinks!$C$4:$C$53,MATCH($B840,Drinks!$A$4:$A$53,0)),0))</f>
        <v/>
      </c>
      <c r="H840" s="10" t="str">
        <f aca="false">IF($B840="","",$D840*$G840)</f>
        <v/>
      </c>
      <c r="I840" s="10" t="str">
        <f aca="false">IF($B840="","",$F840*$G840)</f>
        <v/>
      </c>
      <c r="J840" s="9"/>
      <c r="K840" s="10" t="str">
        <f aca="false">IF($B840="","",$E840*IFERROR(INDEX(Drinks!$B$4:$B$53,MATCH($B840,Drinks!$A$4:$A$53,0)),0))</f>
        <v/>
      </c>
      <c r="L840" s="10" t="str">
        <f aca="false">IF($B840="","",$J840+$K840)</f>
        <v/>
      </c>
      <c r="M840" s="9"/>
      <c r="N840" s="10" t="str">
        <f aca="false">IF($B840="","",$L840-$M840)</f>
        <v/>
      </c>
      <c r="O840" s="10" t="str">
        <f aca="false">IF($B840="","",IFERROR(INDEX(Drinks!$E$4:$E$53,MATCH($B840,Drinks!$A$4:$A$53,0)),0))</f>
        <v/>
      </c>
      <c r="P840" s="10" t="str">
        <f aca="false">IF($B840="","",$N840*$O840)</f>
        <v/>
      </c>
      <c r="Q840" s="10" t="str">
        <f aca="false">IF($B840="","",$N840*IFERROR(INDEX(Drinks!$D$4:$D$53,MATCH($B840,Drinks!$A$4:$A$53,0)),0))</f>
        <v/>
      </c>
      <c r="R840" s="10" t="str">
        <f aca="false">IF($B840="","",$P840-$Q840)</f>
        <v/>
      </c>
      <c r="S840" s="23" t="str">
        <f aca="false">IF($B840="","",IF(COUNTIFS($A$4:$A$2003,$A840-1,$B$4:$B$2003,$B840)=0,"first day",IF(SUMIFS($M$4:$M$2003,$A$4:$A$2003,$A840-1,$B$4:$B$2003,$B840)=$J840,"OK","CHECK")))</f>
        <v/>
      </c>
      <c r="T840" s="10" t="str">
        <f aca="false">IF($B840="","",IFERROR(INDEX(Drinks!$D$4:$D$53,MATCH($B840,Drinks!$A$4:$A$53,0)),0))</f>
        <v/>
      </c>
    </row>
    <row r="841" customFormat="false" ht="15" hidden="false" customHeight="false" outlineLevel="0" collapsed="false">
      <c r="A841" s="22"/>
      <c r="B841" s="9"/>
      <c r="C841" s="9"/>
      <c r="D841" s="9"/>
      <c r="E841" s="9"/>
      <c r="F841" s="10" t="str">
        <f aca="false">IF($B841="","",$C841+$D841-$E841)</f>
        <v/>
      </c>
      <c r="G841" s="10" t="str">
        <f aca="false">IF($B841="","",IFERROR(INDEX(Drinks!$C$4:$C$53,MATCH($B841,Drinks!$A$4:$A$53,0)),0))</f>
        <v/>
      </c>
      <c r="H841" s="10" t="str">
        <f aca="false">IF($B841="","",$D841*$G841)</f>
        <v/>
      </c>
      <c r="I841" s="10" t="str">
        <f aca="false">IF($B841="","",$F841*$G841)</f>
        <v/>
      </c>
      <c r="J841" s="9"/>
      <c r="K841" s="10" t="str">
        <f aca="false">IF($B841="","",$E841*IFERROR(INDEX(Drinks!$B$4:$B$53,MATCH($B841,Drinks!$A$4:$A$53,0)),0))</f>
        <v/>
      </c>
      <c r="L841" s="10" t="str">
        <f aca="false">IF($B841="","",$J841+$K841)</f>
        <v/>
      </c>
      <c r="M841" s="9"/>
      <c r="N841" s="10" t="str">
        <f aca="false">IF($B841="","",$L841-$M841)</f>
        <v/>
      </c>
      <c r="O841" s="10" t="str">
        <f aca="false">IF($B841="","",IFERROR(INDEX(Drinks!$E$4:$E$53,MATCH($B841,Drinks!$A$4:$A$53,0)),0))</f>
        <v/>
      </c>
      <c r="P841" s="10" t="str">
        <f aca="false">IF($B841="","",$N841*$O841)</f>
        <v/>
      </c>
      <c r="Q841" s="10" t="str">
        <f aca="false">IF($B841="","",$N841*IFERROR(INDEX(Drinks!$D$4:$D$53,MATCH($B841,Drinks!$A$4:$A$53,0)),0))</f>
        <v/>
      </c>
      <c r="R841" s="10" t="str">
        <f aca="false">IF($B841="","",$P841-$Q841)</f>
        <v/>
      </c>
      <c r="S841" s="23" t="str">
        <f aca="false">IF($B841="","",IF(COUNTIFS($A$4:$A$2003,$A841-1,$B$4:$B$2003,$B841)=0,"first day",IF(SUMIFS($M$4:$M$2003,$A$4:$A$2003,$A841-1,$B$4:$B$2003,$B841)=$J841,"OK","CHECK")))</f>
        <v/>
      </c>
      <c r="T841" s="10" t="str">
        <f aca="false">IF($B841="","",IFERROR(INDEX(Drinks!$D$4:$D$53,MATCH($B841,Drinks!$A$4:$A$53,0)),0))</f>
        <v/>
      </c>
    </row>
    <row r="842" customFormat="false" ht="15" hidden="false" customHeight="false" outlineLevel="0" collapsed="false">
      <c r="A842" s="22"/>
      <c r="B842" s="9"/>
      <c r="C842" s="9"/>
      <c r="D842" s="9"/>
      <c r="E842" s="9"/>
      <c r="F842" s="10" t="str">
        <f aca="false">IF($B842="","",$C842+$D842-$E842)</f>
        <v/>
      </c>
      <c r="G842" s="10" t="str">
        <f aca="false">IF($B842="","",IFERROR(INDEX(Drinks!$C$4:$C$53,MATCH($B842,Drinks!$A$4:$A$53,0)),0))</f>
        <v/>
      </c>
      <c r="H842" s="10" t="str">
        <f aca="false">IF($B842="","",$D842*$G842)</f>
        <v/>
      </c>
      <c r="I842" s="10" t="str">
        <f aca="false">IF($B842="","",$F842*$G842)</f>
        <v/>
      </c>
      <c r="J842" s="9"/>
      <c r="K842" s="10" t="str">
        <f aca="false">IF($B842="","",$E842*IFERROR(INDEX(Drinks!$B$4:$B$53,MATCH($B842,Drinks!$A$4:$A$53,0)),0))</f>
        <v/>
      </c>
      <c r="L842" s="10" t="str">
        <f aca="false">IF($B842="","",$J842+$K842)</f>
        <v/>
      </c>
      <c r="M842" s="9"/>
      <c r="N842" s="10" t="str">
        <f aca="false">IF($B842="","",$L842-$M842)</f>
        <v/>
      </c>
      <c r="O842" s="10" t="str">
        <f aca="false">IF($B842="","",IFERROR(INDEX(Drinks!$E$4:$E$53,MATCH($B842,Drinks!$A$4:$A$53,0)),0))</f>
        <v/>
      </c>
      <c r="P842" s="10" t="str">
        <f aca="false">IF($B842="","",$N842*$O842)</f>
        <v/>
      </c>
      <c r="Q842" s="10" t="str">
        <f aca="false">IF($B842="","",$N842*IFERROR(INDEX(Drinks!$D$4:$D$53,MATCH($B842,Drinks!$A$4:$A$53,0)),0))</f>
        <v/>
      </c>
      <c r="R842" s="10" t="str">
        <f aca="false">IF($B842="","",$P842-$Q842)</f>
        <v/>
      </c>
      <c r="S842" s="23" t="str">
        <f aca="false">IF($B842="","",IF(COUNTIFS($A$4:$A$2003,$A842-1,$B$4:$B$2003,$B842)=0,"first day",IF(SUMIFS($M$4:$M$2003,$A$4:$A$2003,$A842-1,$B$4:$B$2003,$B842)=$J842,"OK","CHECK")))</f>
        <v/>
      </c>
      <c r="T842" s="10" t="str">
        <f aca="false">IF($B842="","",IFERROR(INDEX(Drinks!$D$4:$D$53,MATCH($B842,Drinks!$A$4:$A$53,0)),0))</f>
        <v/>
      </c>
    </row>
    <row r="843" customFormat="false" ht="15" hidden="false" customHeight="false" outlineLevel="0" collapsed="false">
      <c r="A843" s="22"/>
      <c r="B843" s="9"/>
      <c r="C843" s="9"/>
      <c r="D843" s="9"/>
      <c r="E843" s="9"/>
      <c r="F843" s="10" t="str">
        <f aca="false">IF($B843="","",$C843+$D843-$E843)</f>
        <v/>
      </c>
      <c r="G843" s="10" t="str">
        <f aca="false">IF($B843="","",IFERROR(INDEX(Drinks!$C$4:$C$53,MATCH($B843,Drinks!$A$4:$A$53,0)),0))</f>
        <v/>
      </c>
      <c r="H843" s="10" t="str">
        <f aca="false">IF($B843="","",$D843*$G843)</f>
        <v/>
      </c>
      <c r="I843" s="10" t="str">
        <f aca="false">IF($B843="","",$F843*$G843)</f>
        <v/>
      </c>
      <c r="J843" s="9"/>
      <c r="K843" s="10" t="str">
        <f aca="false">IF($B843="","",$E843*IFERROR(INDEX(Drinks!$B$4:$B$53,MATCH($B843,Drinks!$A$4:$A$53,0)),0))</f>
        <v/>
      </c>
      <c r="L843" s="10" t="str">
        <f aca="false">IF($B843="","",$J843+$K843)</f>
        <v/>
      </c>
      <c r="M843" s="9"/>
      <c r="N843" s="10" t="str">
        <f aca="false">IF($B843="","",$L843-$M843)</f>
        <v/>
      </c>
      <c r="O843" s="10" t="str">
        <f aca="false">IF($B843="","",IFERROR(INDEX(Drinks!$E$4:$E$53,MATCH($B843,Drinks!$A$4:$A$53,0)),0))</f>
        <v/>
      </c>
      <c r="P843" s="10" t="str">
        <f aca="false">IF($B843="","",$N843*$O843)</f>
        <v/>
      </c>
      <c r="Q843" s="10" t="str">
        <f aca="false">IF($B843="","",$N843*IFERROR(INDEX(Drinks!$D$4:$D$53,MATCH($B843,Drinks!$A$4:$A$53,0)),0))</f>
        <v/>
      </c>
      <c r="R843" s="10" t="str">
        <f aca="false">IF($B843="","",$P843-$Q843)</f>
        <v/>
      </c>
      <c r="S843" s="23" t="str">
        <f aca="false">IF($B843="","",IF(COUNTIFS($A$4:$A$2003,$A843-1,$B$4:$B$2003,$B843)=0,"first day",IF(SUMIFS($M$4:$M$2003,$A$4:$A$2003,$A843-1,$B$4:$B$2003,$B843)=$J843,"OK","CHECK")))</f>
        <v/>
      </c>
      <c r="T843" s="10" t="str">
        <f aca="false">IF($B843="","",IFERROR(INDEX(Drinks!$D$4:$D$53,MATCH($B843,Drinks!$A$4:$A$53,0)),0))</f>
        <v/>
      </c>
    </row>
    <row r="844" customFormat="false" ht="15" hidden="false" customHeight="false" outlineLevel="0" collapsed="false">
      <c r="A844" s="22"/>
      <c r="B844" s="9"/>
      <c r="C844" s="9"/>
      <c r="D844" s="9"/>
      <c r="E844" s="9"/>
      <c r="F844" s="10" t="str">
        <f aca="false">IF($B844="","",$C844+$D844-$E844)</f>
        <v/>
      </c>
      <c r="G844" s="10" t="str">
        <f aca="false">IF($B844="","",IFERROR(INDEX(Drinks!$C$4:$C$53,MATCH($B844,Drinks!$A$4:$A$53,0)),0))</f>
        <v/>
      </c>
      <c r="H844" s="10" t="str">
        <f aca="false">IF($B844="","",$D844*$G844)</f>
        <v/>
      </c>
      <c r="I844" s="10" t="str">
        <f aca="false">IF($B844="","",$F844*$G844)</f>
        <v/>
      </c>
      <c r="J844" s="9"/>
      <c r="K844" s="10" t="str">
        <f aca="false">IF($B844="","",$E844*IFERROR(INDEX(Drinks!$B$4:$B$53,MATCH($B844,Drinks!$A$4:$A$53,0)),0))</f>
        <v/>
      </c>
      <c r="L844" s="10" t="str">
        <f aca="false">IF($B844="","",$J844+$K844)</f>
        <v/>
      </c>
      <c r="M844" s="9"/>
      <c r="N844" s="10" t="str">
        <f aca="false">IF($B844="","",$L844-$M844)</f>
        <v/>
      </c>
      <c r="O844" s="10" t="str">
        <f aca="false">IF($B844="","",IFERROR(INDEX(Drinks!$E$4:$E$53,MATCH($B844,Drinks!$A$4:$A$53,0)),0))</f>
        <v/>
      </c>
      <c r="P844" s="10" t="str">
        <f aca="false">IF($B844="","",$N844*$O844)</f>
        <v/>
      </c>
      <c r="Q844" s="10" t="str">
        <f aca="false">IF($B844="","",$N844*IFERROR(INDEX(Drinks!$D$4:$D$53,MATCH($B844,Drinks!$A$4:$A$53,0)),0))</f>
        <v/>
      </c>
      <c r="R844" s="10" t="str">
        <f aca="false">IF($B844="","",$P844-$Q844)</f>
        <v/>
      </c>
      <c r="S844" s="23" t="str">
        <f aca="false">IF($B844="","",IF(COUNTIFS($A$4:$A$2003,$A844-1,$B$4:$B$2003,$B844)=0,"first day",IF(SUMIFS($M$4:$M$2003,$A$4:$A$2003,$A844-1,$B$4:$B$2003,$B844)=$J844,"OK","CHECK")))</f>
        <v/>
      </c>
      <c r="T844" s="10" t="str">
        <f aca="false">IF($B844="","",IFERROR(INDEX(Drinks!$D$4:$D$53,MATCH($B844,Drinks!$A$4:$A$53,0)),0))</f>
        <v/>
      </c>
    </row>
    <row r="845" customFormat="false" ht="15" hidden="false" customHeight="false" outlineLevel="0" collapsed="false">
      <c r="A845" s="22"/>
      <c r="B845" s="9"/>
      <c r="C845" s="9"/>
      <c r="D845" s="9"/>
      <c r="E845" s="9"/>
      <c r="F845" s="10" t="str">
        <f aca="false">IF($B845="","",$C845+$D845-$E845)</f>
        <v/>
      </c>
      <c r="G845" s="10" t="str">
        <f aca="false">IF($B845="","",IFERROR(INDEX(Drinks!$C$4:$C$53,MATCH($B845,Drinks!$A$4:$A$53,0)),0))</f>
        <v/>
      </c>
      <c r="H845" s="10" t="str">
        <f aca="false">IF($B845="","",$D845*$G845)</f>
        <v/>
      </c>
      <c r="I845" s="10" t="str">
        <f aca="false">IF($B845="","",$F845*$G845)</f>
        <v/>
      </c>
      <c r="J845" s="9"/>
      <c r="K845" s="10" t="str">
        <f aca="false">IF($B845="","",$E845*IFERROR(INDEX(Drinks!$B$4:$B$53,MATCH($B845,Drinks!$A$4:$A$53,0)),0))</f>
        <v/>
      </c>
      <c r="L845" s="10" t="str">
        <f aca="false">IF($B845="","",$J845+$K845)</f>
        <v/>
      </c>
      <c r="M845" s="9"/>
      <c r="N845" s="10" t="str">
        <f aca="false">IF($B845="","",$L845-$M845)</f>
        <v/>
      </c>
      <c r="O845" s="10" t="str">
        <f aca="false">IF($B845="","",IFERROR(INDEX(Drinks!$E$4:$E$53,MATCH($B845,Drinks!$A$4:$A$53,0)),0))</f>
        <v/>
      </c>
      <c r="P845" s="10" t="str">
        <f aca="false">IF($B845="","",$N845*$O845)</f>
        <v/>
      </c>
      <c r="Q845" s="10" t="str">
        <f aca="false">IF($B845="","",$N845*IFERROR(INDEX(Drinks!$D$4:$D$53,MATCH($B845,Drinks!$A$4:$A$53,0)),0))</f>
        <v/>
      </c>
      <c r="R845" s="10" t="str">
        <f aca="false">IF($B845="","",$P845-$Q845)</f>
        <v/>
      </c>
      <c r="S845" s="23" t="str">
        <f aca="false">IF($B845="","",IF(COUNTIFS($A$4:$A$2003,$A845-1,$B$4:$B$2003,$B845)=0,"first day",IF(SUMIFS($M$4:$M$2003,$A$4:$A$2003,$A845-1,$B$4:$B$2003,$B845)=$J845,"OK","CHECK")))</f>
        <v/>
      </c>
      <c r="T845" s="10" t="str">
        <f aca="false">IF($B845="","",IFERROR(INDEX(Drinks!$D$4:$D$53,MATCH($B845,Drinks!$A$4:$A$53,0)),0))</f>
        <v/>
      </c>
    </row>
    <row r="846" customFormat="false" ht="15" hidden="false" customHeight="false" outlineLevel="0" collapsed="false">
      <c r="A846" s="22"/>
      <c r="B846" s="9"/>
      <c r="C846" s="9"/>
      <c r="D846" s="9"/>
      <c r="E846" s="9"/>
      <c r="F846" s="10" t="str">
        <f aca="false">IF($B846="","",$C846+$D846-$E846)</f>
        <v/>
      </c>
      <c r="G846" s="10" t="str">
        <f aca="false">IF($B846="","",IFERROR(INDEX(Drinks!$C$4:$C$53,MATCH($B846,Drinks!$A$4:$A$53,0)),0))</f>
        <v/>
      </c>
      <c r="H846" s="10" t="str">
        <f aca="false">IF($B846="","",$D846*$G846)</f>
        <v/>
      </c>
      <c r="I846" s="10" t="str">
        <f aca="false">IF($B846="","",$F846*$G846)</f>
        <v/>
      </c>
      <c r="J846" s="9"/>
      <c r="K846" s="10" t="str">
        <f aca="false">IF($B846="","",$E846*IFERROR(INDEX(Drinks!$B$4:$B$53,MATCH($B846,Drinks!$A$4:$A$53,0)),0))</f>
        <v/>
      </c>
      <c r="L846" s="10" t="str">
        <f aca="false">IF($B846="","",$J846+$K846)</f>
        <v/>
      </c>
      <c r="M846" s="9"/>
      <c r="N846" s="10" t="str">
        <f aca="false">IF($B846="","",$L846-$M846)</f>
        <v/>
      </c>
      <c r="O846" s="10" t="str">
        <f aca="false">IF($B846="","",IFERROR(INDEX(Drinks!$E$4:$E$53,MATCH($B846,Drinks!$A$4:$A$53,0)),0))</f>
        <v/>
      </c>
      <c r="P846" s="10" t="str">
        <f aca="false">IF($B846="","",$N846*$O846)</f>
        <v/>
      </c>
      <c r="Q846" s="10" t="str">
        <f aca="false">IF($B846="","",$N846*IFERROR(INDEX(Drinks!$D$4:$D$53,MATCH($B846,Drinks!$A$4:$A$53,0)),0))</f>
        <v/>
      </c>
      <c r="R846" s="10" t="str">
        <f aca="false">IF($B846="","",$P846-$Q846)</f>
        <v/>
      </c>
      <c r="S846" s="23" t="str">
        <f aca="false">IF($B846="","",IF(COUNTIFS($A$4:$A$2003,$A846-1,$B$4:$B$2003,$B846)=0,"first day",IF(SUMIFS($M$4:$M$2003,$A$4:$A$2003,$A846-1,$B$4:$B$2003,$B846)=$J846,"OK","CHECK")))</f>
        <v/>
      </c>
      <c r="T846" s="10" t="str">
        <f aca="false">IF($B846="","",IFERROR(INDEX(Drinks!$D$4:$D$53,MATCH($B846,Drinks!$A$4:$A$53,0)),0))</f>
        <v/>
      </c>
    </row>
    <row r="847" customFormat="false" ht="15" hidden="false" customHeight="false" outlineLevel="0" collapsed="false">
      <c r="A847" s="22"/>
      <c r="B847" s="9"/>
      <c r="C847" s="9"/>
      <c r="D847" s="9"/>
      <c r="E847" s="9"/>
      <c r="F847" s="10" t="str">
        <f aca="false">IF($B847="","",$C847+$D847-$E847)</f>
        <v/>
      </c>
      <c r="G847" s="10" t="str">
        <f aca="false">IF($B847="","",IFERROR(INDEX(Drinks!$C$4:$C$53,MATCH($B847,Drinks!$A$4:$A$53,0)),0))</f>
        <v/>
      </c>
      <c r="H847" s="10" t="str">
        <f aca="false">IF($B847="","",$D847*$G847)</f>
        <v/>
      </c>
      <c r="I847" s="10" t="str">
        <f aca="false">IF($B847="","",$F847*$G847)</f>
        <v/>
      </c>
      <c r="J847" s="9"/>
      <c r="K847" s="10" t="str">
        <f aca="false">IF($B847="","",$E847*IFERROR(INDEX(Drinks!$B$4:$B$53,MATCH($B847,Drinks!$A$4:$A$53,0)),0))</f>
        <v/>
      </c>
      <c r="L847" s="10" t="str">
        <f aca="false">IF($B847="","",$J847+$K847)</f>
        <v/>
      </c>
      <c r="M847" s="9"/>
      <c r="N847" s="10" t="str">
        <f aca="false">IF($B847="","",$L847-$M847)</f>
        <v/>
      </c>
      <c r="O847" s="10" t="str">
        <f aca="false">IF($B847="","",IFERROR(INDEX(Drinks!$E$4:$E$53,MATCH($B847,Drinks!$A$4:$A$53,0)),0))</f>
        <v/>
      </c>
      <c r="P847" s="10" t="str">
        <f aca="false">IF($B847="","",$N847*$O847)</f>
        <v/>
      </c>
      <c r="Q847" s="10" t="str">
        <f aca="false">IF($B847="","",$N847*IFERROR(INDEX(Drinks!$D$4:$D$53,MATCH($B847,Drinks!$A$4:$A$53,0)),0))</f>
        <v/>
      </c>
      <c r="R847" s="10" t="str">
        <f aca="false">IF($B847="","",$P847-$Q847)</f>
        <v/>
      </c>
      <c r="S847" s="23" t="str">
        <f aca="false">IF($B847="","",IF(COUNTIFS($A$4:$A$2003,$A847-1,$B$4:$B$2003,$B847)=0,"first day",IF(SUMIFS($M$4:$M$2003,$A$4:$A$2003,$A847-1,$B$4:$B$2003,$B847)=$J847,"OK","CHECK")))</f>
        <v/>
      </c>
      <c r="T847" s="10" t="str">
        <f aca="false">IF($B847="","",IFERROR(INDEX(Drinks!$D$4:$D$53,MATCH($B847,Drinks!$A$4:$A$53,0)),0))</f>
        <v/>
      </c>
    </row>
    <row r="848" customFormat="false" ht="15" hidden="false" customHeight="false" outlineLevel="0" collapsed="false">
      <c r="A848" s="22"/>
      <c r="B848" s="9"/>
      <c r="C848" s="9"/>
      <c r="D848" s="9"/>
      <c r="E848" s="9"/>
      <c r="F848" s="10" t="str">
        <f aca="false">IF($B848="","",$C848+$D848-$E848)</f>
        <v/>
      </c>
      <c r="G848" s="10" t="str">
        <f aca="false">IF($B848="","",IFERROR(INDEX(Drinks!$C$4:$C$53,MATCH($B848,Drinks!$A$4:$A$53,0)),0))</f>
        <v/>
      </c>
      <c r="H848" s="10" t="str">
        <f aca="false">IF($B848="","",$D848*$G848)</f>
        <v/>
      </c>
      <c r="I848" s="10" t="str">
        <f aca="false">IF($B848="","",$F848*$G848)</f>
        <v/>
      </c>
      <c r="J848" s="9"/>
      <c r="K848" s="10" t="str">
        <f aca="false">IF($B848="","",$E848*IFERROR(INDEX(Drinks!$B$4:$B$53,MATCH($B848,Drinks!$A$4:$A$53,0)),0))</f>
        <v/>
      </c>
      <c r="L848" s="10" t="str">
        <f aca="false">IF($B848="","",$J848+$K848)</f>
        <v/>
      </c>
      <c r="M848" s="9"/>
      <c r="N848" s="10" t="str">
        <f aca="false">IF($B848="","",$L848-$M848)</f>
        <v/>
      </c>
      <c r="O848" s="10" t="str">
        <f aca="false">IF($B848="","",IFERROR(INDEX(Drinks!$E$4:$E$53,MATCH($B848,Drinks!$A$4:$A$53,0)),0))</f>
        <v/>
      </c>
      <c r="P848" s="10" t="str">
        <f aca="false">IF($B848="","",$N848*$O848)</f>
        <v/>
      </c>
      <c r="Q848" s="10" t="str">
        <f aca="false">IF($B848="","",$N848*IFERROR(INDEX(Drinks!$D$4:$D$53,MATCH($B848,Drinks!$A$4:$A$53,0)),0))</f>
        <v/>
      </c>
      <c r="R848" s="10" t="str">
        <f aca="false">IF($B848="","",$P848-$Q848)</f>
        <v/>
      </c>
      <c r="S848" s="23" t="str">
        <f aca="false">IF($B848="","",IF(COUNTIFS($A$4:$A$2003,$A848-1,$B$4:$B$2003,$B848)=0,"first day",IF(SUMIFS($M$4:$M$2003,$A$4:$A$2003,$A848-1,$B$4:$B$2003,$B848)=$J848,"OK","CHECK")))</f>
        <v/>
      </c>
      <c r="T848" s="10" t="str">
        <f aca="false">IF($B848="","",IFERROR(INDEX(Drinks!$D$4:$D$53,MATCH($B848,Drinks!$A$4:$A$53,0)),0))</f>
        <v/>
      </c>
    </row>
    <row r="849" customFormat="false" ht="15" hidden="false" customHeight="false" outlineLevel="0" collapsed="false">
      <c r="A849" s="22"/>
      <c r="B849" s="9"/>
      <c r="C849" s="9"/>
      <c r="D849" s="9"/>
      <c r="E849" s="9"/>
      <c r="F849" s="10" t="str">
        <f aca="false">IF($B849="","",$C849+$D849-$E849)</f>
        <v/>
      </c>
      <c r="G849" s="10" t="str">
        <f aca="false">IF($B849="","",IFERROR(INDEX(Drinks!$C$4:$C$53,MATCH($B849,Drinks!$A$4:$A$53,0)),0))</f>
        <v/>
      </c>
      <c r="H849" s="10" t="str">
        <f aca="false">IF($B849="","",$D849*$G849)</f>
        <v/>
      </c>
      <c r="I849" s="10" t="str">
        <f aca="false">IF($B849="","",$F849*$G849)</f>
        <v/>
      </c>
      <c r="J849" s="9"/>
      <c r="K849" s="10" t="str">
        <f aca="false">IF($B849="","",$E849*IFERROR(INDEX(Drinks!$B$4:$B$53,MATCH($B849,Drinks!$A$4:$A$53,0)),0))</f>
        <v/>
      </c>
      <c r="L849" s="10" t="str">
        <f aca="false">IF($B849="","",$J849+$K849)</f>
        <v/>
      </c>
      <c r="M849" s="9"/>
      <c r="N849" s="10" t="str">
        <f aca="false">IF($B849="","",$L849-$M849)</f>
        <v/>
      </c>
      <c r="O849" s="10" t="str">
        <f aca="false">IF($B849="","",IFERROR(INDEX(Drinks!$E$4:$E$53,MATCH($B849,Drinks!$A$4:$A$53,0)),0))</f>
        <v/>
      </c>
      <c r="P849" s="10" t="str">
        <f aca="false">IF($B849="","",$N849*$O849)</f>
        <v/>
      </c>
      <c r="Q849" s="10" t="str">
        <f aca="false">IF($B849="","",$N849*IFERROR(INDEX(Drinks!$D$4:$D$53,MATCH($B849,Drinks!$A$4:$A$53,0)),0))</f>
        <v/>
      </c>
      <c r="R849" s="10" t="str">
        <f aca="false">IF($B849="","",$P849-$Q849)</f>
        <v/>
      </c>
      <c r="S849" s="23" t="str">
        <f aca="false">IF($B849="","",IF(COUNTIFS($A$4:$A$2003,$A849-1,$B$4:$B$2003,$B849)=0,"first day",IF(SUMIFS($M$4:$M$2003,$A$4:$A$2003,$A849-1,$B$4:$B$2003,$B849)=$J849,"OK","CHECK")))</f>
        <v/>
      </c>
      <c r="T849" s="10" t="str">
        <f aca="false">IF($B849="","",IFERROR(INDEX(Drinks!$D$4:$D$53,MATCH($B849,Drinks!$A$4:$A$53,0)),0))</f>
        <v/>
      </c>
    </row>
    <row r="850" customFormat="false" ht="15" hidden="false" customHeight="false" outlineLevel="0" collapsed="false">
      <c r="A850" s="22"/>
      <c r="B850" s="9"/>
      <c r="C850" s="9"/>
      <c r="D850" s="9"/>
      <c r="E850" s="9"/>
      <c r="F850" s="10" t="str">
        <f aca="false">IF($B850="","",$C850+$D850-$E850)</f>
        <v/>
      </c>
      <c r="G850" s="10" t="str">
        <f aca="false">IF($B850="","",IFERROR(INDEX(Drinks!$C$4:$C$53,MATCH($B850,Drinks!$A$4:$A$53,0)),0))</f>
        <v/>
      </c>
      <c r="H850" s="10" t="str">
        <f aca="false">IF($B850="","",$D850*$G850)</f>
        <v/>
      </c>
      <c r="I850" s="10" t="str">
        <f aca="false">IF($B850="","",$F850*$G850)</f>
        <v/>
      </c>
      <c r="J850" s="9"/>
      <c r="K850" s="10" t="str">
        <f aca="false">IF($B850="","",$E850*IFERROR(INDEX(Drinks!$B$4:$B$53,MATCH($B850,Drinks!$A$4:$A$53,0)),0))</f>
        <v/>
      </c>
      <c r="L850" s="10" t="str">
        <f aca="false">IF($B850="","",$J850+$K850)</f>
        <v/>
      </c>
      <c r="M850" s="9"/>
      <c r="N850" s="10" t="str">
        <f aca="false">IF($B850="","",$L850-$M850)</f>
        <v/>
      </c>
      <c r="O850" s="10" t="str">
        <f aca="false">IF($B850="","",IFERROR(INDEX(Drinks!$E$4:$E$53,MATCH($B850,Drinks!$A$4:$A$53,0)),0))</f>
        <v/>
      </c>
      <c r="P850" s="10" t="str">
        <f aca="false">IF($B850="","",$N850*$O850)</f>
        <v/>
      </c>
      <c r="Q850" s="10" t="str">
        <f aca="false">IF($B850="","",$N850*IFERROR(INDEX(Drinks!$D$4:$D$53,MATCH($B850,Drinks!$A$4:$A$53,0)),0))</f>
        <v/>
      </c>
      <c r="R850" s="10" t="str">
        <f aca="false">IF($B850="","",$P850-$Q850)</f>
        <v/>
      </c>
      <c r="S850" s="23" t="str">
        <f aca="false">IF($B850="","",IF(COUNTIFS($A$4:$A$2003,$A850-1,$B$4:$B$2003,$B850)=0,"first day",IF(SUMIFS($M$4:$M$2003,$A$4:$A$2003,$A850-1,$B$4:$B$2003,$B850)=$J850,"OK","CHECK")))</f>
        <v/>
      </c>
      <c r="T850" s="10" t="str">
        <f aca="false">IF($B850="","",IFERROR(INDEX(Drinks!$D$4:$D$53,MATCH($B850,Drinks!$A$4:$A$53,0)),0))</f>
        <v/>
      </c>
    </row>
    <row r="851" customFormat="false" ht="15" hidden="false" customHeight="false" outlineLevel="0" collapsed="false">
      <c r="A851" s="22"/>
      <c r="B851" s="9"/>
      <c r="C851" s="9"/>
      <c r="D851" s="9"/>
      <c r="E851" s="9"/>
      <c r="F851" s="10" t="str">
        <f aca="false">IF($B851="","",$C851+$D851-$E851)</f>
        <v/>
      </c>
      <c r="G851" s="10" t="str">
        <f aca="false">IF($B851="","",IFERROR(INDEX(Drinks!$C$4:$C$53,MATCH($B851,Drinks!$A$4:$A$53,0)),0))</f>
        <v/>
      </c>
      <c r="H851" s="10" t="str">
        <f aca="false">IF($B851="","",$D851*$G851)</f>
        <v/>
      </c>
      <c r="I851" s="10" t="str">
        <f aca="false">IF($B851="","",$F851*$G851)</f>
        <v/>
      </c>
      <c r="J851" s="9"/>
      <c r="K851" s="10" t="str">
        <f aca="false">IF($B851="","",$E851*IFERROR(INDEX(Drinks!$B$4:$B$53,MATCH($B851,Drinks!$A$4:$A$53,0)),0))</f>
        <v/>
      </c>
      <c r="L851" s="10" t="str">
        <f aca="false">IF($B851="","",$J851+$K851)</f>
        <v/>
      </c>
      <c r="M851" s="9"/>
      <c r="N851" s="10" t="str">
        <f aca="false">IF($B851="","",$L851-$M851)</f>
        <v/>
      </c>
      <c r="O851" s="10" t="str">
        <f aca="false">IF($B851="","",IFERROR(INDEX(Drinks!$E$4:$E$53,MATCH($B851,Drinks!$A$4:$A$53,0)),0))</f>
        <v/>
      </c>
      <c r="P851" s="10" t="str">
        <f aca="false">IF($B851="","",$N851*$O851)</f>
        <v/>
      </c>
      <c r="Q851" s="10" t="str">
        <f aca="false">IF($B851="","",$N851*IFERROR(INDEX(Drinks!$D$4:$D$53,MATCH($B851,Drinks!$A$4:$A$53,0)),0))</f>
        <v/>
      </c>
      <c r="R851" s="10" t="str">
        <f aca="false">IF($B851="","",$P851-$Q851)</f>
        <v/>
      </c>
      <c r="S851" s="23" t="str">
        <f aca="false">IF($B851="","",IF(COUNTIFS($A$4:$A$2003,$A851-1,$B$4:$B$2003,$B851)=0,"first day",IF(SUMIFS($M$4:$M$2003,$A$4:$A$2003,$A851-1,$B$4:$B$2003,$B851)=$J851,"OK","CHECK")))</f>
        <v/>
      </c>
      <c r="T851" s="10" t="str">
        <f aca="false">IF($B851="","",IFERROR(INDEX(Drinks!$D$4:$D$53,MATCH($B851,Drinks!$A$4:$A$53,0)),0))</f>
        <v/>
      </c>
    </row>
    <row r="852" customFormat="false" ht="15" hidden="false" customHeight="false" outlineLevel="0" collapsed="false">
      <c r="A852" s="22"/>
      <c r="B852" s="9"/>
      <c r="C852" s="9"/>
      <c r="D852" s="9"/>
      <c r="E852" s="9"/>
      <c r="F852" s="10" t="str">
        <f aca="false">IF($B852="","",$C852+$D852-$E852)</f>
        <v/>
      </c>
      <c r="G852" s="10" t="str">
        <f aca="false">IF($B852="","",IFERROR(INDEX(Drinks!$C$4:$C$53,MATCH($B852,Drinks!$A$4:$A$53,0)),0))</f>
        <v/>
      </c>
      <c r="H852" s="10" t="str">
        <f aca="false">IF($B852="","",$D852*$G852)</f>
        <v/>
      </c>
      <c r="I852" s="10" t="str">
        <f aca="false">IF($B852="","",$F852*$G852)</f>
        <v/>
      </c>
      <c r="J852" s="9"/>
      <c r="K852" s="10" t="str">
        <f aca="false">IF($B852="","",$E852*IFERROR(INDEX(Drinks!$B$4:$B$53,MATCH($B852,Drinks!$A$4:$A$53,0)),0))</f>
        <v/>
      </c>
      <c r="L852" s="10" t="str">
        <f aca="false">IF($B852="","",$J852+$K852)</f>
        <v/>
      </c>
      <c r="M852" s="9"/>
      <c r="N852" s="10" t="str">
        <f aca="false">IF($B852="","",$L852-$M852)</f>
        <v/>
      </c>
      <c r="O852" s="10" t="str">
        <f aca="false">IF($B852="","",IFERROR(INDEX(Drinks!$E$4:$E$53,MATCH($B852,Drinks!$A$4:$A$53,0)),0))</f>
        <v/>
      </c>
      <c r="P852" s="10" t="str">
        <f aca="false">IF($B852="","",$N852*$O852)</f>
        <v/>
      </c>
      <c r="Q852" s="10" t="str">
        <f aca="false">IF($B852="","",$N852*IFERROR(INDEX(Drinks!$D$4:$D$53,MATCH($B852,Drinks!$A$4:$A$53,0)),0))</f>
        <v/>
      </c>
      <c r="R852" s="10" t="str">
        <f aca="false">IF($B852="","",$P852-$Q852)</f>
        <v/>
      </c>
      <c r="S852" s="23" t="str">
        <f aca="false">IF($B852="","",IF(COUNTIFS($A$4:$A$2003,$A852-1,$B$4:$B$2003,$B852)=0,"first day",IF(SUMIFS($M$4:$M$2003,$A$4:$A$2003,$A852-1,$B$4:$B$2003,$B852)=$J852,"OK","CHECK")))</f>
        <v/>
      </c>
      <c r="T852" s="10" t="str">
        <f aca="false">IF($B852="","",IFERROR(INDEX(Drinks!$D$4:$D$53,MATCH($B852,Drinks!$A$4:$A$53,0)),0))</f>
        <v/>
      </c>
    </row>
    <row r="853" customFormat="false" ht="15" hidden="false" customHeight="false" outlineLevel="0" collapsed="false">
      <c r="A853" s="22"/>
      <c r="B853" s="9"/>
      <c r="C853" s="9"/>
      <c r="D853" s="9"/>
      <c r="E853" s="9"/>
      <c r="F853" s="10" t="str">
        <f aca="false">IF($B853="","",$C853+$D853-$E853)</f>
        <v/>
      </c>
      <c r="G853" s="10" t="str">
        <f aca="false">IF($B853="","",IFERROR(INDEX(Drinks!$C$4:$C$53,MATCH($B853,Drinks!$A$4:$A$53,0)),0))</f>
        <v/>
      </c>
      <c r="H853" s="10" t="str">
        <f aca="false">IF($B853="","",$D853*$G853)</f>
        <v/>
      </c>
      <c r="I853" s="10" t="str">
        <f aca="false">IF($B853="","",$F853*$G853)</f>
        <v/>
      </c>
      <c r="J853" s="9"/>
      <c r="K853" s="10" t="str">
        <f aca="false">IF($B853="","",$E853*IFERROR(INDEX(Drinks!$B$4:$B$53,MATCH($B853,Drinks!$A$4:$A$53,0)),0))</f>
        <v/>
      </c>
      <c r="L853" s="10" t="str">
        <f aca="false">IF($B853="","",$J853+$K853)</f>
        <v/>
      </c>
      <c r="M853" s="9"/>
      <c r="N853" s="10" t="str">
        <f aca="false">IF($B853="","",$L853-$M853)</f>
        <v/>
      </c>
      <c r="O853" s="10" t="str">
        <f aca="false">IF($B853="","",IFERROR(INDEX(Drinks!$E$4:$E$53,MATCH($B853,Drinks!$A$4:$A$53,0)),0))</f>
        <v/>
      </c>
      <c r="P853" s="10" t="str">
        <f aca="false">IF($B853="","",$N853*$O853)</f>
        <v/>
      </c>
      <c r="Q853" s="10" t="str">
        <f aca="false">IF($B853="","",$N853*IFERROR(INDEX(Drinks!$D$4:$D$53,MATCH($B853,Drinks!$A$4:$A$53,0)),0))</f>
        <v/>
      </c>
      <c r="R853" s="10" t="str">
        <f aca="false">IF($B853="","",$P853-$Q853)</f>
        <v/>
      </c>
      <c r="S853" s="23" t="str">
        <f aca="false">IF($B853="","",IF(COUNTIFS($A$4:$A$2003,$A853-1,$B$4:$B$2003,$B853)=0,"first day",IF(SUMIFS($M$4:$M$2003,$A$4:$A$2003,$A853-1,$B$4:$B$2003,$B853)=$J853,"OK","CHECK")))</f>
        <v/>
      </c>
      <c r="T853" s="10" t="str">
        <f aca="false">IF($B853="","",IFERROR(INDEX(Drinks!$D$4:$D$53,MATCH($B853,Drinks!$A$4:$A$53,0)),0))</f>
        <v/>
      </c>
    </row>
    <row r="854" customFormat="false" ht="15" hidden="false" customHeight="false" outlineLevel="0" collapsed="false">
      <c r="A854" s="22"/>
      <c r="B854" s="9"/>
      <c r="C854" s="9"/>
      <c r="D854" s="9"/>
      <c r="E854" s="9"/>
      <c r="F854" s="10" t="str">
        <f aca="false">IF($B854="","",$C854+$D854-$E854)</f>
        <v/>
      </c>
      <c r="G854" s="10" t="str">
        <f aca="false">IF($B854="","",IFERROR(INDEX(Drinks!$C$4:$C$53,MATCH($B854,Drinks!$A$4:$A$53,0)),0))</f>
        <v/>
      </c>
      <c r="H854" s="10" t="str">
        <f aca="false">IF($B854="","",$D854*$G854)</f>
        <v/>
      </c>
      <c r="I854" s="10" t="str">
        <f aca="false">IF($B854="","",$F854*$G854)</f>
        <v/>
      </c>
      <c r="J854" s="9"/>
      <c r="K854" s="10" t="str">
        <f aca="false">IF($B854="","",$E854*IFERROR(INDEX(Drinks!$B$4:$B$53,MATCH($B854,Drinks!$A$4:$A$53,0)),0))</f>
        <v/>
      </c>
      <c r="L854" s="10" t="str">
        <f aca="false">IF($B854="","",$J854+$K854)</f>
        <v/>
      </c>
      <c r="M854" s="9"/>
      <c r="N854" s="10" t="str">
        <f aca="false">IF($B854="","",$L854-$M854)</f>
        <v/>
      </c>
      <c r="O854" s="10" t="str">
        <f aca="false">IF($B854="","",IFERROR(INDEX(Drinks!$E$4:$E$53,MATCH($B854,Drinks!$A$4:$A$53,0)),0))</f>
        <v/>
      </c>
      <c r="P854" s="10" t="str">
        <f aca="false">IF($B854="","",$N854*$O854)</f>
        <v/>
      </c>
      <c r="Q854" s="10" t="str">
        <f aca="false">IF($B854="","",$N854*IFERROR(INDEX(Drinks!$D$4:$D$53,MATCH($B854,Drinks!$A$4:$A$53,0)),0))</f>
        <v/>
      </c>
      <c r="R854" s="10" t="str">
        <f aca="false">IF($B854="","",$P854-$Q854)</f>
        <v/>
      </c>
      <c r="S854" s="23" t="str">
        <f aca="false">IF($B854="","",IF(COUNTIFS($A$4:$A$2003,$A854-1,$B$4:$B$2003,$B854)=0,"first day",IF(SUMIFS($M$4:$M$2003,$A$4:$A$2003,$A854-1,$B$4:$B$2003,$B854)=$J854,"OK","CHECK")))</f>
        <v/>
      </c>
      <c r="T854" s="10" t="str">
        <f aca="false">IF($B854="","",IFERROR(INDEX(Drinks!$D$4:$D$53,MATCH($B854,Drinks!$A$4:$A$53,0)),0))</f>
        <v/>
      </c>
    </row>
    <row r="855" customFormat="false" ht="15" hidden="false" customHeight="false" outlineLevel="0" collapsed="false">
      <c r="A855" s="22"/>
      <c r="B855" s="9"/>
      <c r="C855" s="9"/>
      <c r="D855" s="9"/>
      <c r="E855" s="9"/>
      <c r="F855" s="10" t="str">
        <f aca="false">IF($B855="","",$C855+$D855-$E855)</f>
        <v/>
      </c>
      <c r="G855" s="10" t="str">
        <f aca="false">IF($B855="","",IFERROR(INDEX(Drinks!$C$4:$C$53,MATCH($B855,Drinks!$A$4:$A$53,0)),0))</f>
        <v/>
      </c>
      <c r="H855" s="10" t="str">
        <f aca="false">IF($B855="","",$D855*$G855)</f>
        <v/>
      </c>
      <c r="I855" s="10" t="str">
        <f aca="false">IF($B855="","",$F855*$G855)</f>
        <v/>
      </c>
      <c r="J855" s="9"/>
      <c r="K855" s="10" t="str">
        <f aca="false">IF($B855="","",$E855*IFERROR(INDEX(Drinks!$B$4:$B$53,MATCH($B855,Drinks!$A$4:$A$53,0)),0))</f>
        <v/>
      </c>
      <c r="L855" s="10" t="str">
        <f aca="false">IF($B855="","",$J855+$K855)</f>
        <v/>
      </c>
      <c r="M855" s="9"/>
      <c r="N855" s="10" t="str">
        <f aca="false">IF($B855="","",$L855-$M855)</f>
        <v/>
      </c>
      <c r="O855" s="10" t="str">
        <f aca="false">IF($B855="","",IFERROR(INDEX(Drinks!$E$4:$E$53,MATCH($B855,Drinks!$A$4:$A$53,0)),0))</f>
        <v/>
      </c>
      <c r="P855" s="10" t="str">
        <f aca="false">IF($B855="","",$N855*$O855)</f>
        <v/>
      </c>
      <c r="Q855" s="10" t="str">
        <f aca="false">IF($B855="","",$N855*IFERROR(INDEX(Drinks!$D$4:$D$53,MATCH($B855,Drinks!$A$4:$A$53,0)),0))</f>
        <v/>
      </c>
      <c r="R855" s="10" t="str">
        <f aca="false">IF($B855="","",$P855-$Q855)</f>
        <v/>
      </c>
      <c r="S855" s="23" t="str">
        <f aca="false">IF($B855="","",IF(COUNTIFS($A$4:$A$2003,$A855-1,$B$4:$B$2003,$B855)=0,"first day",IF(SUMIFS($M$4:$M$2003,$A$4:$A$2003,$A855-1,$B$4:$B$2003,$B855)=$J855,"OK","CHECK")))</f>
        <v/>
      </c>
      <c r="T855" s="10" t="str">
        <f aca="false">IF($B855="","",IFERROR(INDEX(Drinks!$D$4:$D$53,MATCH($B855,Drinks!$A$4:$A$53,0)),0))</f>
        <v/>
      </c>
    </row>
    <row r="856" customFormat="false" ht="15" hidden="false" customHeight="false" outlineLevel="0" collapsed="false">
      <c r="A856" s="22"/>
      <c r="B856" s="9"/>
      <c r="C856" s="9"/>
      <c r="D856" s="9"/>
      <c r="E856" s="9"/>
      <c r="F856" s="10" t="str">
        <f aca="false">IF($B856="","",$C856+$D856-$E856)</f>
        <v/>
      </c>
      <c r="G856" s="10" t="str">
        <f aca="false">IF($B856="","",IFERROR(INDEX(Drinks!$C$4:$C$53,MATCH($B856,Drinks!$A$4:$A$53,0)),0))</f>
        <v/>
      </c>
      <c r="H856" s="10" t="str">
        <f aca="false">IF($B856="","",$D856*$G856)</f>
        <v/>
      </c>
      <c r="I856" s="10" t="str">
        <f aca="false">IF($B856="","",$F856*$G856)</f>
        <v/>
      </c>
      <c r="J856" s="9"/>
      <c r="K856" s="10" t="str">
        <f aca="false">IF($B856="","",$E856*IFERROR(INDEX(Drinks!$B$4:$B$53,MATCH($B856,Drinks!$A$4:$A$53,0)),0))</f>
        <v/>
      </c>
      <c r="L856" s="10" t="str">
        <f aca="false">IF($B856="","",$J856+$K856)</f>
        <v/>
      </c>
      <c r="M856" s="9"/>
      <c r="N856" s="10" t="str">
        <f aca="false">IF($B856="","",$L856-$M856)</f>
        <v/>
      </c>
      <c r="O856" s="10" t="str">
        <f aca="false">IF($B856="","",IFERROR(INDEX(Drinks!$E$4:$E$53,MATCH($B856,Drinks!$A$4:$A$53,0)),0))</f>
        <v/>
      </c>
      <c r="P856" s="10" t="str">
        <f aca="false">IF($B856="","",$N856*$O856)</f>
        <v/>
      </c>
      <c r="Q856" s="10" t="str">
        <f aca="false">IF($B856="","",$N856*IFERROR(INDEX(Drinks!$D$4:$D$53,MATCH($B856,Drinks!$A$4:$A$53,0)),0))</f>
        <v/>
      </c>
      <c r="R856" s="10" t="str">
        <f aca="false">IF($B856="","",$P856-$Q856)</f>
        <v/>
      </c>
      <c r="S856" s="23" t="str">
        <f aca="false">IF($B856="","",IF(COUNTIFS($A$4:$A$2003,$A856-1,$B$4:$B$2003,$B856)=0,"first day",IF(SUMIFS($M$4:$M$2003,$A$4:$A$2003,$A856-1,$B$4:$B$2003,$B856)=$J856,"OK","CHECK")))</f>
        <v/>
      </c>
      <c r="T856" s="10" t="str">
        <f aca="false">IF($B856="","",IFERROR(INDEX(Drinks!$D$4:$D$53,MATCH($B856,Drinks!$A$4:$A$53,0)),0))</f>
        <v/>
      </c>
    </row>
    <row r="857" customFormat="false" ht="15" hidden="false" customHeight="false" outlineLevel="0" collapsed="false">
      <c r="A857" s="22"/>
      <c r="B857" s="9"/>
      <c r="C857" s="9"/>
      <c r="D857" s="9"/>
      <c r="E857" s="9"/>
      <c r="F857" s="10" t="str">
        <f aca="false">IF($B857="","",$C857+$D857-$E857)</f>
        <v/>
      </c>
      <c r="G857" s="10" t="str">
        <f aca="false">IF($B857="","",IFERROR(INDEX(Drinks!$C$4:$C$53,MATCH($B857,Drinks!$A$4:$A$53,0)),0))</f>
        <v/>
      </c>
      <c r="H857" s="10" t="str">
        <f aca="false">IF($B857="","",$D857*$G857)</f>
        <v/>
      </c>
      <c r="I857" s="10" t="str">
        <f aca="false">IF($B857="","",$F857*$G857)</f>
        <v/>
      </c>
      <c r="J857" s="9"/>
      <c r="K857" s="10" t="str">
        <f aca="false">IF($B857="","",$E857*IFERROR(INDEX(Drinks!$B$4:$B$53,MATCH($B857,Drinks!$A$4:$A$53,0)),0))</f>
        <v/>
      </c>
      <c r="L857" s="10" t="str">
        <f aca="false">IF($B857="","",$J857+$K857)</f>
        <v/>
      </c>
      <c r="M857" s="9"/>
      <c r="N857" s="10" t="str">
        <f aca="false">IF($B857="","",$L857-$M857)</f>
        <v/>
      </c>
      <c r="O857" s="10" t="str">
        <f aca="false">IF($B857="","",IFERROR(INDEX(Drinks!$E$4:$E$53,MATCH($B857,Drinks!$A$4:$A$53,0)),0))</f>
        <v/>
      </c>
      <c r="P857" s="10" t="str">
        <f aca="false">IF($B857="","",$N857*$O857)</f>
        <v/>
      </c>
      <c r="Q857" s="10" t="str">
        <f aca="false">IF($B857="","",$N857*IFERROR(INDEX(Drinks!$D$4:$D$53,MATCH($B857,Drinks!$A$4:$A$53,0)),0))</f>
        <v/>
      </c>
      <c r="R857" s="10" t="str">
        <f aca="false">IF($B857="","",$P857-$Q857)</f>
        <v/>
      </c>
      <c r="S857" s="23" t="str">
        <f aca="false">IF($B857="","",IF(COUNTIFS($A$4:$A$2003,$A857-1,$B$4:$B$2003,$B857)=0,"first day",IF(SUMIFS($M$4:$M$2003,$A$4:$A$2003,$A857-1,$B$4:$B$2003,$B857)=$J857,"OK","CHECK")))</f>
        <v/>
      </c>
      <c r="T857" s="10" t="str">
        <f aca="false">IF($B857="","",IFERROR(INDEX(Drinks!$D$4:$D$53,MATCH($B857,Drinks!$A$4:$A$53,0)),0))</f>
        <v/>
      </c>
    </row>
    <row r="858" customFormat="false" ht="15" hidden="false" customHeight="false" outlineLevel="0" collapsed="false">
      <c r="A858" s="22"/>
      <c r="B858" s="9"/>
      <c r="C858" s="9"/>
      <c r="D858" s="9"/>
      <c r="E858" s="9"/>
      <c r="F858" s="10" t="str">
        <f aca="false">IF($B858="","",$C858+$D858-$E858)</f>
        <v/>
      </c>
      <c r="G858" s="10" t="str">
        <f aca="false">IF($B858="","",IFERROR(INDEX(Drinks!$C$4:$C$53,MATCH($B858,Drinks!$A$4:$A$53,0)),0))</f>
        <v/>
      </c>
      <c r="H858" s="10" t="str">
        <f aca="false">IF($B858="","",$D858*$G858)</f>
        <v/>
      </c>
      <c r="I858" s="10" t="str">
        <f aca="false">IF($B858="","",$F858*$G858)</f>
        <v/>
      </c>
      <c r="J858" s="9"/>
      <c r="K858" s="10" t="str">
        <f aca="false">IF($B858="","",$E858*IFERROR(INDEX(Drinks!$B$4:$B$53,MATCH($B858,Drinks!$A$4:$A$53,0)),0))</f>
        <v/>
      </c>
      <c r="L858" s="10" t="str">
        <f aca="false">IF($B858="","",$J858+$K858)</f>
        <v/>
      </c>
      <c r="M858" s="9"/>
      <c r="N858" s="10" t="str">
        <f aca="false">IF($B858="","",$L858-$M858)</f>
        <v/>
      </c>
      <c r="O858" s="10" t="str">
        <f aca="false">IF($B858="","",IFERROR(INDEX(Drinks!$E$4:$E$53,MATCH($B858,Drinks!$A$4:$A$53,0)),0))</f>
        <v/>
      </c>
      <c r="P858" s="10" t="str">
        <f aca="false">IF($B858="","",$N858*$O858)</f>
        <v/>
      </c>
      <c r="Q858" s="10" t="str">
        <f aca="false">IF($B858="","",$N858*IFERROR(INDEX(Drinks!$D$4:$D$53,MATCH($B858,Drinks!$A$4:$A$53,0)),0))</f>
        <v/>
      </c>
      <c r="R858" s="10" t="str">
        <f aca="false">IF($B858="","",$P858-$Q858)</f>
        <v/>
      </c>
      <c r="S858" s="23" t="str">
        <f aca="false">IF($B858="","",IF(COUNTIFS($A$4:$A$2003,$A858-1,$B$4:$B$2003,$B858)=0,"first day",IF(SUMIFS($M$4:$M$2003,$A$4:$A$2003,$A858-1,$B$4:$B$2003,$B858)=$J858,"OK","CHECK")))</f>
        <v/>
      </c>
      <c r="T858" s="10" t="str">
        <f aca="false">IF($B858="","",IFERROR(INDEX(Drinks!$D$4:$D$53,MATCH($B858,Drinks!$A$4:$A$53,0)),0))</f>
        <v/>
      </c>
    </row>
    <row r="859" customFormat="false" ht="15" hidden="false" customHeight="false" outlineLevel="0" collapsed="false">
      <c r="A859" s="22"/>
      <c r="B859" s="9"/>
      <c r="C859" s="9"/>
      <c r="D859" s="9"/>
      <c r="E859" s="9"/>
      <c r="F859" s="10" t="str">
        <f aca="false">IF($B859="","",$C859+$D859-$E859)</f>
        <v/>
      </c>
      <c r="G859" s="10" t="str">
        <f aca="false">IF($B859="","",IFERROR(INDEX(Drinks!$C$4:$C$53,MATCH($B859,Drinks!$A$4:$A$53,0)),0))</f>
        <v/>
      </c>
      <c r="H859" s="10" t="str">
        <f aca="false">IF($B859="","",$D859*$G859)</f>
        <v/>
      </c>
      <c r="I859" s="10" t="str">
        <f aca="false">IF($B859="","",$F859*$G859)</f>
        <v/>
      </c>
      <c r="J859" s="9"/>
      <c r="K859" s="10" t="str">
        <f aca="false">IF($B859="","",$E859*IFERROR(INDEX(Drinks!$B$4:$B$53,MATCH($B859,Drinks!$A$4:$A$53,0)),0))</f>
        <v/>
      </c>
      <c r="L859" s="10" t="str">
        <f aca="false">IF($B859="","",$J859+$K859)</f>
        <v/>
      </c>
      <c r="M859" s="9"/>
      <c r="N859" s="10" t="str">
        <f aca="false">IF($B859="","",$L859-$M859)</f>
        <v/>
      </c>
      <c r="O859" s="10" t="str">
        <f aca="false">IF($B859="","",IFERROR(INDEX(Drinks!$E$4:$E$53,MATCH($B859,Drinks!$A$4:$A$53,0)),0))</f>
        <v/>
      </c>
      <c r="P859" s="10" t="str">
        <f aca="false">IF($B859="","",$N859*$O859)</f>
        <v/>
      </c>
      <c r="Q859" s="10" t="str">
        <f aca="false">IF($B859="","",$N859*IFERROR(INDEX(Drinks!$D$4:$D$53,MATCH($B859,Drinks!$A$4:$A$53,0)),0))</f>
        <v/>
      </c>
      <c r="R859" s="10" t="str">
        <f aca="false">IF($B859="","",$P859-$Q859)</f>
        <v/>
      </c>
      <c r="S859" s="23" t="str">
        <f aca="false">IF($B859="","",IF(COUNTIFS($A$4:$A$2003,$A859-1,$B$4:$B$2003,$B859)=0,"first day",IF(SUMIFS($M$4:$M$2003,$A$4:$A$2003,$A859-1,$B$4:$B$2003,$B859)=$J859,"OK","CHECK")))</f>
        <v/>
      </c>
      <c r="T859" s="10" t="str">
        <f aca="false">IF($B859="","",IFERROR(INDEX(Drinks!$D$4:$D$53,MATCH($B859,Drinks!$A$4:$A$53,0)),0))</f>
        <v/>
      </c>
    </row>
    <row r="860" customFormat="false" ht="15" hidden="false" customHeight="false" outlineLevel="0" collapsed="false">
      <c r="A860" s="22"/>
      <c r="B860" s="9"/>
      <c r="C860" s="9"/>
      <c r="D860" s="9"/>
      <c r="E860" s="9"/>
      <c r="F860" s="10" t="str">
        <f aca="false">IF($B860="","",$C860+$D860-$E860)</f>
        <v/>
      </c>
      <c r="G860" s="10" t="str">
        <f aca="false">IF($B860="","",IFERROR(INDEX(Drinks!$C$4:$C$53,MATCH($B860,Drinks!$A$4:$A$53,0)),0))</f>
        <v/>
      </c>
      <c r="H860" s="10" t="str">
        <f aca="false">IF($B860="","",$D860*$G860)</f>
        <v/>
      </c>
      <c r="I860" s="10" t="str">
        <f aca="false">IF($B860="","",$F860*$G860)</f>
        <v/>
      </c>
      <c r="J860" s="9"/>
      <c r="K860" s="10" t="str">
        <f aca="false">IF($B860="","",$E860*IFERROR(INDEX(Drinks!$B$4:$B$53,MATCH($B860,Drinks!$A$4:$A$53,0)),0))</f>
        <v/>
      </c>
      <c r="L860" s="10" t="str">
        <f aca="false">IF($B860="","",$J860+$K860)</f>
        <v/>
      </c>
      <c r="M860" s="9"/>
      <c r="N860" s="10" t="str">
        <f aca="false">IF($B860="","",$L860-$M860)</f>
        <v/>
      </c>
      <c r="O860" s="10" t="str">
        <f aca="false">IF($B860="","",IFERROR(INDEX(Drinks!$E$4:$E$53,MATCH($B860,Drinks!$A$4:$A$53,0)),0))</f>
        <v/>
      </c>
      <c r="P860" s="10" t="str">
        <f aca="false">IF($B860="","",$N860*$O860)</f>
        <v/>
      </c>
      <c r="Q860" s="10" t="str">
        <f aca="false">IF($B860="","",$N860*IFERROR(INDEX(Drinks!$D$4:$D$53,MATCH($B860,Drinks!$A$4:$A$53,0)),0))</f>
        <v/>
      </c>
      <c r="R860" s="10" t="str">
        <f aca="false">IF($B860="","",$P860-$Q860)</f>
        <v/>
      </c>
      <c r="S860" s="23" t="str">
        <f aca="false">IF($B860="","",IF(COUNTIFS($A$4:$A$2003,$A860-1,$B$4:$B$2003,$B860)=0,"first day",IF(SUMIFS($M$4:$M$2003,$A$4:$A$2003,$A860-1,$B$4:$B$2003,$B860)=$J860,"OK","CHECK")))</f>
        <v/>
      </c>
      <c r="T860" s="10" t="str">
        <f aca="false">IF($B860="","",IFERROR(INDEX(Drinks!$D$4:$D$53,MATCH($B860,Drinks!$A$4:$A$53,0)),0))</f>
        <v/>
      </c>
    </row>
    <row r="861" customFormat="false" ht="15" hidden="false" customHeight="false" outlineLevel="0" collapsed="false">
      <c r="A861" s="22"/>
      <c r="B861" s="9"/>
      <c r="C861" s="9"/>
      <c r="D861" s="9"/>
      <c r="E861" s="9"/>
      <c r="F861" s="10" t="str">
        <f aca="false">IF($B861="","",$C861+$D861-$E861)</f>
        <v/>
      </c>
      <c r="G861" s="10" t="str">
        <f aca="false">IF($B861="","",IFERROR(INDEX(Drinks!$C$4:$C$53,MATCH($B861,Drinks!$A$4:$A$53,0)),0))</f>
        <v/>
      </c>
      <c r="H861" s="10" t="str">
        <f aca="false">IF($B861="","",$D861*$G861)</f>
        <v/>
      </c>
      <c r="I861" s="10" t="str">
        <f aca="false">IF($B861="","",$F861*$G861)</f>
        <v/>
      </c>
      <c r="J861" s="9"/>
      <c r="K861" s="10" t="str">
        <f aca="false">IF($B861="","",$E861*IFERROR(INDEX(Drinks!$B$4:$B$53,MATCH($B861,Drinks!$A$4:$A$53,0)),0))</f>
        <v/>
      </c>
      <c r="L861" s="10" t="str">
        <f aca="false">IF($B861="","",$J861+$K861)</f>
        <v/>
      </c>
      <c r="M861" s="9"/>
      <c r="N861" s="10" t="str">
        <f aca="false">IF($B861="","",$L861-$M861)</f>
        <v/>
      </c>
      <c r="O861" s="10" t="str">
        <f aca="false">IF($B861="","",IFERROR(INDEX(Drinks!$E$4:$E$53,MATCH($B861,Drinks!$A$4:$A$53,0)),0))</f>
        <v/>
      </c>
      <c r="P861" s="10" t="str">
        <f aca="false">IF($B861="","",$N861*$O861)</f>
        <v/>
      </c>
      <c r="Q861" s="10" t="str">
        <f aca="false">IF($B861="","",$N861*IFERROR(INDEX(Drinks!$D$4:$D$53,MATCH($B861,Drinks!$A$4:$A$53,0)),0))</f>
        <v/>
      </c>
      <c r="R861" s="10" t="str">
        <f aca="false">IF($B861="","",$P861-$Q861)</f>
        <v/>
      </c>
      <c r="S861" s="23" t="str">
        <f aca="false">IF($B861="","",IF(COUNTIFS($A$4:$A$2003,$A861-1,$B$4:$B$2003,$B861)=0,"first day",IF(SUMIFS($M$4:$M$2003,$A$4:$A$2003,$A861-1,$B$4:$B$2003,$B861)=$J861,"OK","CHECK")))</f>
        <v/>
      </c>
      <c r="T861" s="10" t="str">
        <f aca="false">IF($B861="","",IFERROR(INDEX(Drinks!$D$4:$D$53,MATCH($B861,Drinks!$A$4:$A$53,0)),0))</f>
        <v/>
      </c>
    </row>
    <row r="862" customFormat="false" ht="15" hidden="false" customHeight="false" outlineLevel="0" collapsed="false">
      <c r="A862" s="22"/>
      <c r="B862" s="9"/>
      <c r="C862" s="9"/>
      <c r="D862" s="9"/>
      <c r="E862" s="9"/>
      <c r="F862" s="10" t="str">
        <f aca="false">IF($B862="","",$C862+$D862-$E862)</f>
        <v/>
      </c>
      <c r="G862" s="10" t="str">
        <f aca="false">IF($B862="","",IFERROR(INDEX(Drinks!$C$4:$C$53,MATCH($B862,Drinks!$A$4:$A$53,0)),0))</f>
        <v/>
      </c>
      <c r="H862" s="10" t="str">
        <f aca="false">IF($B862="","",$D862*$G862)</f>
        <v/>
      </c>
      <c r="I862" s="10" t="str">
        <f aca="false">IF($B862="","",$F862*$G862)</f>
        <v/>
      </c>
      <c r="J862" s="9"/>
      <c r="K862" s="10" t="str">
        <f aca="false">IF($B862="","",$E862*IFERROR(INDEX(Drinks!$B$4:$B$53,MATCH($B862,Drinks!$A$4:$A$53,0)),0))</f>
        <v/>
      </c>
      <c r="L862" s="10" t="str">
        <f aca="false">IF($B862="","",$J862+$K862)</f>
        <v/>
      </c>
      <c r="M862" s="9"/>
      <c r="N862" s="10" t="str">
        <f aca="false">IF($B862="","",$L862-$M862)</f>
        <v/>
      </c>
      <c r="O862" s="10" t="str">
        <f aca="false">IF($B862="","",IFERROR(INDEX(Drinks!$E$4:$E$53,MATCH($B862,Drinks!$A$4:$A$53,0)),0))</f>
        <v/>
      </c>
      <c r="P862" s="10" t="str">
        <f aca="false">IF($B862="","",$N862*$O862)</f>
        <v/>
      </c>
      <c r="Q862" s="10" t="str">
        <f aca="false">IF($B862="","",$N862*IFERROR(INDEX(Drinks!$D$4:$D$53,MATCH($B862,Drinks!$A$4:$A$53,0)),0))</f>
        <v/>
      </c>
      <c r="R862" s="10" t="str">
        <f aca="false">IF($B862="","",$P862-$Q862)</f>
        <v/>
      </c>
      <c r="S862" s="23" t="str">
        <f aca="false">IF($B862="","",IF(COUNTIFS($A$4:$A$2003,$A862-1,$B$4:$B$2003,$B862)=0,"first day",IF(SUMIFS($M$4:$M$2003,$A$4:$A$2003,$A862-1,$B$4:$B$2003,$B862)=$J862,"OK","CHECK")))</f>
        <v/>
      </c>
      <c r="T862" s="10" t="str">
        <f aca="false">IF($B862="","",IFERROR(INDEX(Drinks!$D$4:$D$53,MATCH($B862,Drinks!$A$4:$A$53,0)),0))</f>
        <v/>
      </c>
    </row>
    <row r="863" customFormat="false" ht="15" hidden="false" customHeight="false" outlineLevel="0" collapsed="false">
      <c r="A863" s="22"/>
      <c r="B863" s="9"/>
      <c r="C863" s="9"/>
      <c r="D863" s="9"/>
      <c r="E863" s="9"/>
      <c r="F863" s="10" t="str">
        <f aca="false">IF($B863="","",$C863+$D863-$E863)</f>
        <v/>
      </c>
      <c r="G863" s="10" t="str">
        <f aca="false">IF($B863="","",IFERROR(INDEX(Drinks!$C$4:$C$53,MATCH($B863,Drinks!$A$4:$A$53,0)),0))</f>
        <v/>
      </c>
      <c r="H863" s="10" t="str">
        <f aca="false">IF($B863="","",$D863*$G863)</f>
        <v/>
      </c>
      <c r="I863" s="10" t="str">
        <f aca="false">IF($B863="","",$F863*$G863)</f>
        <v/>
      </c>
      <c r="J863" s="9"/>
      <c r="K863" s="10" t="str">
        <f aca="false">IF($B863="","",$E863*IFERROR(INDEX(Drinks!$B$4:$B$53,MATCH($B863,Drinks!$A$4:$A$53,0)),0))</f>
        <v/>
      </c>
      <c r="L863" s="10" t="str">
        <f aca="false">IF($B863="","",$J863+$K863)</f>
        <v/>
      </c>
      <c r="M863" s="9"/>
      <c r="N863" s="10" t="str">
        <f aca="false">IF($B863="","",$L863-$M863)</f>
        <v/>
      </c>
      <c r="O863" s="10" t="str">
        <f aca="false">IF($B863="","",IFERROR(INDEX(Drinks!$E$4:$E$53,MATCH($B863,Drinks!$A$4:$A$53,0)),0))</f>
        <v/>
      </c>
      <c r="P863" s="10" t="str">
        <f aca="false">IF($B863="","",$N863*$O863)</f>
        <v/>
      </c>
      <c r="Q863" s="10" t="str">
        <f aca="false">IF($B863="","",$N863*IFERROR(INDEX(Drinks!$D$4:$D$53,MATCH($B863,Drinks!$A$4:$A$53,0)),0))</f>
        <v/>
      </c>
      <c r="R863" s="10" t="str">
        <f aca="false">IF($B863="","",$P863-$Q863)</f>
        <v/>
      </c>
      <c r="S863" s="23" t="str">
        <f aca="false">IF($B863="","",IF(COUNTIFS($A$4:$A$2003,$A863-1,$B$4:$B$2003,$B863)=0,"first day",IF(SUMIFS($M$4:$M$2003,$A$4:$A$2003,$A863-1,$B$4:$B$2003,$B863)=$J863,"OK","CHECK")))</f>
        <v/>
      </c>
      <c r="T863" s="10" t="str">
        <f aca="false">IF($B863="","",IFERROR(INDEX(Drinks!$D$4:$D$53,MATCH($B863,Drinks!$A$4:$A$53,0)),0))</f>
        <v/>
      </c>
    </row>
    <row r="864" customFormat="false" ht="15" hidden="false" customHeight="false" outlineLevel="0" collapsed="false">
      <c r="A864" s="22"/>
      <c r="B864" s="9"/>
      <c r="C864" s="9"/>
      <c r="D864" s="9"/>
      <c r="E864" s="9"/>
      <c r="F864" s="10" t="str">
        <f aca="false">IF($B864="","",$C864+$D864-$E864)</f>
        <v/>
      </c>
      <c r="G864" s="10" t="str">
        <f aca="false">IF($B864="","",IFERROR(INDEX(Drinks!$C$4:$C$53,MATCH($B864,Drinks!$A$4:$A$53,0)),0))</f>
        <v/>
      </c>
      <c r="H864" s="10" t="str">
        <f aca="false">IF($B864="","",$D864*$G864)</f>
        <v/>
      </c>
      <c r="I864" s="10" t="str">
        <f aca="false">IF($B864="","",$F864*$G864)</f>
        <v/>
      </c>
      <c r="J864" s="9"/>
      <c r="K864" s="10" t="str">
        <f aca="false">IF($B864="","",$E864*IFERROR(INDEX(Drinks!$B$4:$B$53,MATCH($B864,Drinks!$A$4:$A$53,0)),0))</f>
        <v/>
      </c>
      <c r="L864" s="10" t="str">
        <f aca="false">IF($B864="","",$J864+$K864)</f>
        <v/>
      </c>
      <c r="M864" s="9"/>
      <c r="N864" s="10" t="str">
        <f aca="false">IF($B864="","",$L864-$M864)</f>
        <v/>
      </c>
      <c r="O864" s="10" t="str">
        <f aca="false">IF($B864="","",IFERROR(INDEX(Drinks!$E$4:$E$53,MATCH($B864,Drinks!$A$4:$A$53,0)),0))</f>
        <v/>
      </c>
      <c r="P864" s="10" t="str">
        <f aca="false">IF($B864="","",$N864*$O864)</f>
        <v/>
      </c>
      <c r="Q864" s="10" t="str">
        <f aca="false">IF($B864="","",$N864*IFERROR(INDEX(Drinks!$D$4:$D$53,MATCH($B864,Drinks!$A$4:$A$53,0)),0))</f>
        <v/>
      </c>
      <c r="R864" s="10" t="str">
        <f aca="false">IF($B864="","",$P864-$Q864)</f>
        <v/>
      </c>
      <c r="S864" s="23" t="str">
        <f aca="false">IF($B864="","",IF(COUNTIFS($A$4:$A$2003,$A864-1,$B$4:$B$2003,$B864)=0,"first day",IF(SUMIFS($M$4:$M$2003,$A$4:$A$2003,$A864-1,$B$4:$B$2003,$B864)=$J864,"OK","CHECK")))</f>
        <v/>
      </c>
      <c r="T864" s="10" t="str">
        <f aca="false">IF($B864="","",IFERROR(INDEX(Drinks!$D$4:$D$53,MATCH($B864,Drinks!$A$4:$A$53,0)),0))</f>
        <v/>
      </c>
    </row>
    <row r="865" customFormat="false" ht="15" hidden="false" customHeight="false" outlineLevel="0" collapsed="false">
      <c r="A865" s="22"/>
      <c r="B865" s="9"/>
      <c r="C865" s="9"/>
      <c r="D865" s="9"/>
      <c r="E865" s="9"/>
      <c r="F865" s="10" t="str">
        <f aca="false">IF($B865="","",$C865+$D865-$E865)</f>
        <v/>
      </c>
      <c r="G865" s="10" t="str">
        <f aca="false">IF($B865="","",IFERROR(INDEX(Drinks!$C$4:$C$53,MATCH($B865,Drinks!$A$4:$A$53,0)),0))</f>
        <v/>
      </c>
      <c r="H865" s="10" t="str">
        <f aca="false">IF($B865="","",$D865*$G865)</f>
        <v/>
      </c>
      <c r="I865" s="10" t="str">
        <f aca="false">IF($B865="","",$F865*$G865)</f>
        <v/>
      </c>
      <c r="J865" s="9"/>
      <c r="K865" s="10" t="str">
        <f aca="false">IF($B865="","",$E865*IFERROR(INDEX(Drinks!$B$4:$B$53,MATCH($B865,Drinks!$A$4:$A$53,0)),0))</f>
        <v/>
      </c>
      <c r="L865" s="10" t="str">
        <f aca="false">IF($B865="","",$J865+$K865)</f>
        <v/>
      </c>
      <c r="M865" s="9"/>
      <c r="N865" s="10" t="str">
        <f aca="false">IF($B865="","",$L865-$M865)</f>
        <v/>
      </c>
      <c r="O865" s="10" t="str">
        <f aca="false">IF($B865="","",IFERROR(INDEX(Drinks!$E$4:$E$53,MATCH($B865,Drinks!$A$4:$A$53,0)),0))</f>
        <v/>
      </c>
      <c r="P865" s="10" t="str">
        <f aca="false">IF($B865="","",$N865*$O865)</f>
        <v/>
      </c>
      <c r="Q865" s="10" t="str">
        <f aca="false">IF($B865="","",$N865*IFERROR(INDEX(Drinks!$D$4:$D$53,MATCH($B865,Drinks!$A$4:$A$53,0)),0))</f>
        <v/>
      </c>
      <c r="R865" s="10" t="str">
        <f aca="false">IF($B865="","",$P865-$Q865)</f>
        <v/>
      </c>
      <c r="S865" s="23" t="str">
        <f aca="false">IF($B865="","",IF(COUNTIFS($A$4:$A$2003,$A865-1,$B$4:$B$2003,$B865)=0,"first day",IF(SUMIFS($M$4:$M$2003,$A$4:$A$2003,$A865-1,$B$4:$B$2003,$B865)=$J865,"OK","CHECK")))</f>
        <v/>
      </c>
      <c r="T865" s="10" t="str">
        <f aca="false">IF($B865="","",IFERROR(INDEX(Drinks!$D$4:$D$53,MATCH($B865,Drinks!$A$4:$A$53,0)),0))</f>
        <v/>
      </c>
    </row>
    <row r="866" customFormat="false" ht="15" hidden="false" customHeight="false" outlineLevel="0" collapsed="false">
      <c r="A866" s="22"/>
      <c r="B866" s="9"/>
      <c r="C866" s="9"/>
      <c r="D866" s="9"/>
      <c r="E866" s="9"/>
      <c r="F866" s="10" t="str">
        <f aca="false">IF($B866="","",$C866+$D866-$E866)</f>
        <v/>
      </c>
      <c r="G866" s="10" t="str">
        <f aca="false">IF($B866="","",IFERROR(INDEX(Drinks!$C$4:$C$53,MATCH($B866,Drinks!$A$4:$A$53,0)),0))</f>
        <v/>
      </c>
      <c r="H866" s="10" t="str">
        <f aca="false">IF($B866="","",$D866*$G866)</f>
        <v/>
      </c>
      <c r="I866" s="10" t="str">
        <f aca="false">IF($B866="","",$F866*$G866)</f>
        <v/>
      </c>
      <c r="J866" s="9"/>
      <c r="K866" s="10" t="str">
        <f aca="false">IF($B866="","",$E866*IFERROR(INDEX(Drinks!$B$4:$B$53,MATCH($B866,Drinks!$A$4:$A$53,0)),0))</f>
        <v/>
      </c>
      <c r="L866" s="10" t="str">
        <f aca="false">IF($B866="","",$J866+$K866)</f>
        <v/>
      </c>
      <c r="M866" s="9"/>
      <c r="N866" s="10" t="str">
        <f aca="false">IF($B866="","",$L866-$M866)</f>
        <v/>
      </c>
      <c r="O866" s="10" t="str">
        <f aca="false">IF($B866="","",IFERROR(INDEX(Drinks!$E$4:$E$53,MATCH($B866,Drinks!$A$4:$A$53,0)),0))</f>
        <v/>
      </c>
      <c r="P866" s="10" t="str">
        <f aca="false">IF($B866="","",$N866*$O866)</f>
        <v/>
      </c>
      <c r="Q866" s="10" t="str">
        <f aca="false">IF($B866="","",$N866*IFERROR(INDEX(Drinks!$D$4:$D$53,MATCH($B866,Drinks!$A$4:$A$53,0)),0))</f>
        <v/>
      </c>
      <c r="R866" s="10" t="str">
        <f aca="false">IF($B866="","",$P866-$Q866)</f>
        <v/>
      </c>
      <c r="S866" s="23" t="str">
        <f aca="false">IF($B866="","",IF(COUNTIFS($A$4:$A$2003,$A866-1,$B$4:$B$2003,$B866)=0,"first day",IF(SUMIFS($M$4:$M$2003,$A$4:$A$2003,$A866-1,$B$4:$B$2003,$B866)=$J866,"OK","CHECK")))</f>
        <v/>
      </c>
      <c r="T866" s="10" t="str">
        <f aca="false">IF($B866="","",IFERROR(INDEX(Drinks!$D$4:$D$53,MATCH($B866,Drinks!$A$4:$A$53,0)),0))</f>
        <v/>
      </c>
    </row>
    <row r="867" customFormat="false" ht="15" hidden="false" customHeight="false" outlineLevel="0" collapsed="false">
      <c r="A867" s="22"/>
      <c r="B867" s="9"/>
      <c r="C867" s="9"/>
      <c r="D867" s="9"/>
      <c r="E867" s="9"/>
      <c r="F867" s="10" t="str">
        <f aca="false">IF($B867="","",$C867+$D867-$E867)</f>
        <v/>
      </c>
      <c r="G867" s="10" t="str">
        <f aca="false">IF($B867="","",IFERROR(INDEX(Drinks!$C$4:$C$53,MATCH($B867,Drinks!$A$4:$A$53,0)),0))</f>
        <v/>
      </c>
      <c r="H867" s="10" t="str">
        <f aca="false">IF($B867="","",$D867*$G867)</f>
        <v/>
      </c>
      <c r="I867" s="10" t="str">
        <f aca="false">IF($B867="","",$F867*$G867)</f>
        <v/>
      </c>
      <c r="J867" s="9"/>
      <c r="K867" s="10" t="str">
        <f aca="false">IF($B867="","",$E867*IFERROR(INDEX(Drinks!$B$4:$B$53,MATCH($B867,Drinks!$A$4:$A$53,0)),0))</f>
        <v/>
      </c>
      <c r="L867" s="10" t="str">
        <f aca="false">IF($B867="","",$J867+$K867)</f>
        <v/>
      </c>
      <c r="M867" s="9"/>
      <c r="N867" s="10" t="str">
        <f aca="false">IF($B867="","",$L867-$M867)</f>
        <v/>
      </c>
      <c r="O867" s="10" t="str">
        <f aca="false">IF($B867="","",IFERROR(INDEX(Drinks!$E$4:$E$53,MATCH($B867,Drinks!$A$4:$A$53,0)),0))</f>
        <v/>
      </c>
      <c r="P867" s="10" t="str">
        <f aca="false">IF($B867="","",$N867*$O867)</f>
        <v/>
      </c>
      <c r="Q867" s="10" t="str">
        <f aca="false">IF($B867="","",$N867*IFERROR(INDEX(Drinks!$D$4:$D$53,MATCH($B867,Drinks!$A$4:$A$53,0)),0))</f>
        <v/>
      </c>
      <c r="R867" s="10" t="str">
        <f aca="false">IF($B867="","",$P867-$Q867)</f>
        <v/>
      </c>
      <c r="S867" s="23" t="str">
        <f aca="false">IF($B867="","",IF(COUNTIFS($A$4:$A$2003,$A867-1,$B$4:$B$2003,$B867)=0,"first day",IF(SUMIFS($M$4:$M$2003,$A$4:$A$2003,$A867-1,$B$4:$B$2003,$B867)=$J867,"OK","CHECK")))</f>
        <v/>
      </c>
      <c r="T867" s="10" t="str">
        <f aca="false">IF($B867="","",IFERROR(INDEX(Drinks!$D$4:$D$53,MATCH($B867,Drinks!$A$4:$A$53,0)),0))</f>
        <v/>
      </c>
    </row>
    <row r="868" customFormat="false" ht="15" hidden="false" customHeight="false" outlineLevel="0" collapsed="false">
      <c r="A868" s="22"/>
      <c r="B868" s="9"/>
      <c r="C868" s="9"/>
      <c r="D868" s="9"/>
      <c r="E868" s="9"/>
      <c r="F868" s="10" t="str">
        <f aca="false">IF($B868="","",$C868+$D868-$E868)</f>
        <v/>
      </c>
      <c r="G868" s="10" t="str">
        <f aca="false">IF($B868="","",IFERROR(INDEX(Drinks!$C$4:$C$53,MATCH($B868,Drinks!$A$4:$A$53,0)),0))</f>
        <v/>
      </c>
      <c r="H868" s="10" t="str">
        <f aca="false">IF($B868="","",$D868*$G868)</f>
        <v/>
      </c>
      <c r="I868" s="10" t="str">
        <f aca="false">IF($B868="","",$F868*$G868)</f>
        <v/>
      </c>
      <c r="J868" s="9"/>
      <c r="K868" s="10" t="str">
        <f aca="false">IF($B868="","",$E868*IFERROR(INDEX(Drinks!$B$4:$B$53,MATCH($B868,Drinks!$A$4:$A$53,0)),0))</f>
        <v/>
      </c>
      <c r="L868" s="10" t="str">
        <f aca="false">IF($B868="","",$J868+$K868)</f>
        <v/>
      </c>
      <c r="M868" s="9"/>
      <c r="N868" s="10" t="str">
        <f aca="false">IF($B868="","",$L868-$M868)</f>
        <v/>
      </c>
      <c r="O868" s="10" t="str">
        <f aca="false">IF($B868="","",IFERROR(INDEX(Drinks!$E$4:$E$53,MATCH($B868,Drinks!$A$4:$A$53,0)),0))</f>
        <v/>
      </c>
      <c r="P868" s="10" t="str">
        <f aca="false">IF($B868="","",$N868*$O868)</f>
        <v/>
      </c>
      <c r="Q868" s="10" t="str">
        <f aca="false">IF($B868="","",$N868*IFERROR(INDEX(Drinks!$D$4:$D$53,MATCH($B868,Drinks!$A$4:$A$53,0)),0))</f>
        <v/>
      </c>
      <c r="R868" s="10" t="str">
        <f aca="false">IF($B868="","",$P868-$Q868)</f>
        <v/>
      </c>
      <c r="S868" s="23" t="str">
        <f aca="false">IF($B868="","",IF(COUNTIFS($A$4:$A$2003,$A868-1,$B$4:$B$2003,$B868)=0,"first day",IF(SUMIFS($M$4:$M$2003,$A$4:$A$2003,$A868-1,$B$4:$B$2003,$B868)=$J868,"OK","CHECK")))</f>
        <v/>
      </c>
      <c r="T868" s="10" t="str">
        <f aca="false">IF($B868="","",IFERROR(INDEX(Drinks!$D$4:$D$53,MATCH($B868,Drinks!$A$4:$A$53,0)),0))</f>
        <v/>
      </c>
    </row>
    <row r="869" customFormat="false" ht="15" hidden="false" customHeight="false" outlineLevel="0" collapsed="false">
      <c r="A869" s="22"/>
      <c r="B869" s="9"/>
      <c r="C869" s="9"/>
      <c r="D869" s="9"/>
      <c r="E869" s="9"/>
      <c r="F869" s="10" t="str">
        <f aca="false">IF($B869="","",$C869+$D869-$E869)</f>
        <v/>
      </c>
      <c r="G869" s="10" t="str">
        <f aca="false">IF($B869="","",IFERROR(INDEX(Drinks!$C$4:$C$53,MATCH($B869,Drinks!$A$4:$A$53,0)),0))</f>
        <v/>
      </c>
      <c r="H869" s="10" t="str">
        <f aca="false">IF($B869="","",$D869*$G869)</f>
        <v/>
      </c>
      <c r="I869" s="10" t="str">
        <f aca="false">IF($B869="","",$F869*$G869)</f>
        <v/>
      </c>
      <c r="J869" s="9"/>
      <c r="K869" s="10" t="str">
        <f aca="false">IF($B869="","",$E869*IFERROR(INDEX(Drinks!$B$4:$B$53,MATCH($B869,Drinks!$A$4:$A$53,0)),0))</f>
        <v/>
      </c>
      <c r="L869" s="10" t="str">
        <f aca="false">IF($B869="","",$J869+$K869)</f>
        <v/>
      </c>
      <c r="M869" s="9"/>
      <c r="N869" s="10" t="str">
        <f aca="false">IF($B869="","",$L869-$M869)</f>
        <v/>
      </c>
      <c r="O869" s="10" t="str">
        <f aca="false">IF($B869="","",IFERROR(INDEX(Drinks!$E$4:$E$53,MATCH($B869,Drinks!$A$4:$A$53,0)),0))</f>
        <v/>
      </c>
      <c r="P869" s="10" t="str">
        <f aca="false">IF($B869="","",$N869*$O869)</f>
        <v/>
      </c>
      <c r="Q869" s="10" t="str">
        <f aca="false">IF($B869="","",$N869*IFERROR(INDEX(Drinks!$D$4:$D$53,MATCH($B869,Drinks!$A$4:$A$53,0)),0))</f>
        <v/>
      </c>
      <c r="R869" s="10" t="str">
        <f aca="false">IF($B869="","",$P869-$Q869)</f>
        <v/>
      </c>
      <c r="S869" s="23" t="str">
        <f aca="false">IF($B869="","",IF(COUNTIFS($A$4:$A$2003,$A869-1,$B$4:$B$2003,$B869)=0,"first day",IF(SUMIFS($M$4:$M$2003,$A$4:$A$2003,$A869-1,$B$4:$B$2003,$B869)=$J869,"OK","CHECK")))</f>
        <v/>
      </c>
      <c r="T869" s="10" t="str">
        <f aca="false">IF($B869="","",IFERROR(INDEX(Drinks!$D$4:$D$53,MATCH($B869,Drinks!$A$4:$A$53,0)),0))</f>
        <v/>
      </c>
    </row>
    <row r="870" customFormat="false" ht="15" hidden="false" customHeight="false" outlineLevel="0" collapsed="false">
      <c r="A870" s="22"/>
      <c r="B870" s="9"/>
      <c r="C870" s="9"/>
      <c r="D870" s="9"/>
      <c r="E870" s="9"/>
      <c r="F870" s="10" t="str">
        <f aca="false">IF($B870="","",$C870+$D870-$E870)</f>
        <v/>
      </c>
      <c r="G870" s="10" t="str">
        <f aca="false">IF($B870="","",IFERROR(INDEX(Drinks!$C$4:$C$53,MATCH($B870,Drinks!$A$4:$A$53,0)),0))</f>
        <v/>
      </c>
      <c r="H870" s="10" t="str">
        <f aca="false">IF($B870="","",$D870*$G870)</f>
        <v/>
      </c>
      <c r="I870" s="10" t="str">
        <f aca="false">IF($B870="","",$F870*$G870)</f>
        <v/>
      </c>
      <c r="J870" s="9"/>
      <c r="K870" s="10" t="str">
        <f aca="false">IF($B870="","",$E870*IFERROR(INDEX(Drinks!$B$4:$B$53,MATCH($B870,Drinks!$A$4:$A$53,0)),0))</f>
        <v/>
      </c>
      <c r="L870" s="10" t="str">
        <f aca="false">IF($B870="","",$J870+$K870)</f>
        <v/>
      </c>
      <c r="M870" s="9"/>
      <c r="N870" s="10" t="str">
        <f aca="false">IF($B870="","",$L870-$M870)</f>
        <v/>
      </c>
      <c r="O870" s="10" t="str">
        <f aca="false">IF($B870="","",IFERROR(INDEX(Drinks!$E$4:$E$53,MATCH($B870,Drinks!$A$4:$A$53,0)),0))</f>
        <v/>
      </c>
      <c r="P870" s="10" t="str">
        <f aca="false">IF($B870="","",$N870*$O870)</f>
        <v/>
      </c>
      <c r="Q870" s="10" t="str">
        <f aca="false">IF($B870="","",$N870*IFERROR(INDEX(Drinks!$D$4:$D$53,MATCH($B870,Drinks!$A$4:$A$53,0)),0))</f>
        <v/>
      </c>
      <c r="R870" s="10" t="str">
        <f aca="false">IF($B870="","",$P870-$Q870)</f>
        <v/>
      </c>
      <c r="S870" s="23" t="str">
        <f aca="false">IF($B870="","",IF(COUNTIFS($A$4:$A$2003,$A870-1,$B$4:$B$2003,$B870)=0,"first day",IF(SUMIFS($M$4:$M$2003,$A$4:$A$2003,$A870-1,$B$4:$B$2003,$B870)=$J870,"OK","CHECK")))</f>
        <v/>
      </c>
      <c r="T870" s="10" t="str">
        <f aca="false">IF($B870="","",IFERROR(INDEX(Drinks!$D$4:$D$53,MATCH($B870,Drinks!$A$4:$A$53,0)),0))</f>
        <v/>
      </c>
    </row>
    <row r="871" customFormat="false" ht="15" hidden="false" customHeight="false" outlineLevel="0" collapsed="false">
      <c r="A871" s="22"/>
      <c r="B871" s="9"/>
      <c r="C871" s="9"/>
      <c r="D871" s="9"/>
      <c r="E871" s="9"/>
      <c r="F871" s="10" t="str">
        <f aca="false">IF($B871="","",$C871+$D871-$E871)</f>
        <v/>
      </c>
      <c r="G871" s="10" t="str">
        <f aca="false">IF($B871="","",IFERROR(INDEX(Drinks!$C$4:$C$53,MATCH($B871,Drinks!$A$4:$A$53,0)),0))</f>
        <v/>
      </c>
      <c r="H871" s="10" t="str">
        <f aca="false">IF($B871="","",$D871*$G871)</f>
        <v/>
      </c>
      <c r="I871" s="10" t="str">
        <f aca="false">IF($B871="","",$F871*$G871)</f>
        <v/>
      </c>
      <c r="J871" s="9"/>
      <c r="K871" s="10" t="str">
        <f aca="false">IF($B871="","",$E871*IFERROR(INDEX(Drinks!$B$4:$B$53,MATCH($B871,Drinks!$A$4:$A$53,0)),0))</f>
        <v/>
      </c>
      <c r="L871" s="10" t="str">
        <f aca="false">IF($B871="","",$J871+$K871)</f>
        <v/>
      </c>
      <c r="M871" s="9"/>
      <c r="N871" s="10" t="str">
        <f aca="false">IF($B871="","",$L871-$M871)</f>
        <v/>
      </c>
      <c r="O871" s="10" t="str">
        <f aca="false">IF($B871="","",IFERROR(INDEX(Drinks!$E$4:$E$53,MATCH($B871,Drinks!$A$4:$A$53,0)),0))</f>
        <v/>
      </c>
      <c r="P871" s="10" t="str">
        <f aca="false">IF($B871="","",$N871*$O871)</f>
        <v/>
      </c>
      <c r="Q871" s="10" t="str">
        <f aca="false">IF($B871="","",$N871*IFERROR(INDEX(Drinks!$D$4:$D$53,MATCH($B871,Drinks!$A$4:$A$53,0)),0))</f>
        <v/>
      </c>
      <c r="R871" s="10" t="str">
        <f aca="false">IF($B871="","",$P871-$Q871)</f>
        <v/>
      </c>
      <c r="S871" s="23" t="str">
        <f aca="false">IF($B871="","",IF(COUNTIFS($A$4:$A$2003,$A871-1,$B$4:$B$2003,$B871)=0,"first day",IF(SUMIFS($M$4:$M$2003,$A$4:$A$2003,$A871-1,$B$4:$B$2003,$B871)=$J871,"OK","CHECK")))</f>
        <v/>
      </c>
      <c r="T871" s="10" t="str">
        <f aca="false">IF($B871="","",IFERROR(INDEX(Drinks!$D$4:$D$53,MATCH($B871,Drinks!$A$4:$A$53,0)),0))</f>
        <v/>
      </c>
    </row>
    <row r="872" customFormat="false" ht="15" hidden="false" customHeight="false" outlineLevel="0" collapsed="false">
      <c r="A872" s="22"/>
      <c r="B872" s="9"/>
      <c r="C872" s="9"/>
      <c r="D872" s="9"/>
      <c r="E872" s="9"/>
      <c r="F872" s="10" t="str">
        <f aca="false">IF($B872="","",$C872+$D872-$E872)</f>
        <v/>
      </c>
      <c r="G872" s="10" t="str">
        <f aca="false">IF($B872="","",IFERROR(INDEX(Drinks!$C$4:$C$53,MATCH($B872,Drinks!$A$4:$A$53,0)),0))</f>
        <v/>
      </c>
      <c r="H872" s="10" t="str">
        <f aca="false">IF($B872="","",$D872*$G872)</f>
        <v/>
      </c>
      <c r="I872" s="10" t="str">
        <f aca="false">IF($B872="","",$F872*$G872)</f>
        <v/>
      </c>
      <c r="J872" s="9"/>
      <c r="K872" s="10" t="str">
        <f aca="false">IF($B872="","",$E872*IFERROR(INDEX(Drinks!$B$4:$B$53,MATCH($B872,Drinks!$A$4:$A$53,0)),0))</f>
        <v/>
      </c>
      <c r="L872" s="10" t="str">
        <f aca="false">IF($B872="","",$J872+$K872)</f>
        <v/>
      </c>
      <c r="M872" s="9"/>
      <c r="N872" s="10" t="str">
        <f aca="false">IF($B872="","",$L872-$M872)</f>
        <v/>
      </c>
      <c r="O872" s="10" t="str">
        <f aca="false">IF($B872="","",IFERROR(INDEX(Drinks!$E$4:$E$53,MATCH($B872,Drinks!$A$4:$A$53,0)),0))</f>
        <v/>
      </c>
      <c r="P872" s="10" t="str">
        <f aca="false">IF($B872="","",$N872*$O872)</f>
        <v/>
      </c>
      <c r="Q872" s="10" t="str">
        <f aca="false">IF($B872="","",$N872*IFERROR(INDEX(Drinks!$D$4:$D$53,MATCH($B872,Drinks!$A$4:$A$53,0)),0))</f>
        <v/>
      </c>
      <c r="R872" s="10" t="str">
        <f aca="false">IF($B872="","",$P872-$Q872)</f>
        <v/>
      </c>
      <c r="S872" s="23" t="str">
        <f aca="false">IF($B872="","",IF(COUNTIFS($A$4:$A$2003,$A872-1,$B$4:$B$2003,$B872)=0,"first day",IF(SUMIFS($M$4:$M$2003,$A$4:$A$2003,$A872-1,$B$4:$B$2003,$B872)=$J872,"OK","CHECK")))</f>
        <v/>
      </c>
      <c r="T872" s="10" t="str">
        <f aca="false">IF($B872="","",IFERROR(INDEX(Drinks!$D$4:$D$53,MATCH($B872,Drinks!$A$4:$A$53,0)),0))</f>
        <v/>
      </c>
    </row>
    <row r="873" customFormat="false" ht="15" hidden="false" customHeight="false" outlineLevel="0" collapsed="false">
      <c r="A873" s="22"/>
      <c r="B873" s="9"/>
      <c r="C873" s="9"/>
      <c r="D873" s="9"/>
      <c r="E873" s="9"/>
      <c r="F873" s="10" t="str">
        <f aca="false">IF($B873="","",$C873+$D873-$E873)</f>
        <v/>
      </c>
      <c r="G873" s="10" t="str">
        <f aca="false">IF($B873="","",IFERROR(INDEX(Drinks!$C$4:$C$53,MATCH($B873,Drinks!$A$4:$A$53,0)),0))</f>
        <v/>
      </c>
      <c r="H873" s="10" t="str">
        <f aca="false">IF($B873="","",$D873*$G873)</f>
        <v/>
      </c>
      <c r="I873" s="10" t="str">
        <f aca="false">IF($B873="","",$F873*$G873)</f>
        <v/>
      </c>
      <c r="J873" s="9"/>
      <c r="K873" s="10" t="str">
        <f aca="false">IF($B873="","",$E873*IFERROR(INDEX(Drinks!$B$4:$B$53,MATCH($B873,Drinks!$A$4:$A$53,0)),0))</f>
        <v/>
      </c>
      <c r="L873" s="10" t="str">
        <f aca="false">IF($B873="","",$J873+$K873)</f>
        <v/>
      </c>
      <c r="M873" s="9"/>
      <c r="N873" s="10" t="str">
        <f aca="false">IF($B873="","",$L873-$M873)</f>
        <v/>
      </c>
      <c r="O873" s="10" t="str">
        <f aca="false">IF($B873="","",IFERROR(INDEX(Drinks!$E$4:$E$53,MATCH($B873,Drinks!$A$4:$A$53,0)),0))</f>
        <v/>
      </c>
      <c r="P873" s="10" t="str">
        <f aca="false">IF($B873="","",$N873*$O873)</f>
        <v/>
      </c>
      <c r="Q873" s="10" t="str">
        <f aca="false">IF($B873="","",$N873*IFERROR(INDEX(Drinks!$D$4:$D$53,MATCH($B873,Drinks!$A$4:$A$53,0)),0))</f>
        <v/>
      </c>
      <c r="R873" s="10" t="str">
        <f aca="false">IF($B873="","",$P873-$Q873)</f>
        <v/>
      </c>
      <c r="S873" s="23" t="str">
        <f aca="false">IF($B873="","",IF(COUNTIFS($A$4:$A$2003,$A873-1,$B$4:$B$2003,$B873)=0,"first day",IF(SUMIFS($M$4:$M$2003,$A$4:$A$2003,$A873-1,$B$4:$B$2003,$B873)=$J873,"OK","CHECK")))</f>
        <v/>
      </c>
      <c r="T873" s="10" t="str">
        <f aca="false">IF($B873="","",IFERROR(INDEX(Drinks!$D$4:$D$53,MATCH($B873,Drinks!$A$4:$A$53,0)),0))</f>
        <v/>
      </c>
    </row>
    <row r="874" customFormat="false" ht="15" hidden="false" customHeight="false" outlineLevel="0" collapsed="false">
      <c r="A874" s="22"/>
      <c r="B874" s="9"/>
      <c r="C874" s="9"/>
      <c r="D874" s="9"/>
      <c r="E874" s="9"/>
      <c r="F874" s="10" t="str">
        <f aca="false">IF($B874="","",$C874+$D874-$E874)</f>
        <v/>
      </c>
      <c r="G874" s="10" t="str">
        <f aca="false">IF($B874="","",IFERROR(INDEX(Drinks!$C$4:$C$53,MATCH($B874,Drinks!$A$4:$A$53,0)),0))</f>
        <v/>
      </c>
      <c r="H874" s="10" t="str">
        <f aca="false">IF($B874="","",$D874*$G874)</f>
        <v/>
      </c>
      <c r="I874" s="10" t="str">
        <f aca="false">IF($B874="","",$F874*$G874)</f>
        <v/>
      </c>
      <c r="J874" s="9"/>
      <c r="K874" s="10" t="str">
        <f aca="false">IF($B874="","",$E874*IFERROR(INDEX(Drinks!$B$4:$B$53,MATCH($B874,Drinks!$A$4:$A$53,0)),0))</f>
        <v/>
      </c>
      <c r="L874" s="10" t="str">
        <f aca="false">IF($B874="","",$J874+$K874)</f>
        <v/>
      </c>
      <c r="M874" s="9"/>
      <c r="N874" s="10" t="str">
        <f aca="false">IF($B874="","",$L874-$M874)</f>
        <v/>
      </c>
      <c r="O874" s="10" t="str">
        <f aca="false">IF($B874="","",IFERROR(INDEX(Drinks!$E$4:$E$53,MATCH($B874,Drinks!$A$4:$A$53,0)),0))</f>
        <v/>
      </c>
      <c r="P874" s="10" t="str">
        <f aca="false">IF($B874="","",$N874*$O874)</f>
        <v/>
      </c>
      <c r="Q874" s="10" t="str">
        <f aca="false">IF($B874="","",$N874*IFERROR(INDEX(Drinks!$D$4:$D$53,MATCH($B874,Drinks!$A$4:$A$53,0)),0))</f>
        <v/>
      </c>
      <c r="R874" s="10" t="str">
        <f aca="false">IF($B874="","",$P874-$Q874)</f>
        <v/>
      </c>
      <c r="S874" s="23" t="str">
        <f aca="false">IF($B874="","",IF(COUNTIFS($A$4:$A$2003,$A874-1,$B$4:$B$2003,$B874)=0,"first day",IF(SUMIFS($M$4:$M$2003,$A$4:$A$2003,$A874-1,$B$4:$B$2003,$B874)=$J874,"OK","CHECK")))</f>
        <v/>
      </c>
      <c r="T874" s="10" t="str">
        <f aca="false">IF($B874="","",IFERROR(INDEX(Drinks!$D$4:$D$53,MATCH($B874,Drinks!$A$4:$A$53,0)),0))</f>
        <v/>
      </c>
    </row>
    <row r="875" customFormat="false" ht="15" hidden="false" customHeight="false" outlineLevel="0" collapsed="false">
      <c r="A875" s="22"/>
      <c r="B875" s="9"/>
      <c r="C875" s="9"/>
      <c r="D875" s="9"/>
      <c r="E875" s="9"/>
      <c r="F875" s="10" t="str">
        <f aca="false">IF($B875="","",$C875+$D875-$E875)</f>
        <v/>
      </c>
      <c r="G875" s="10" t="str">
        <f aca="false">IF($B875="","",IFERROR(INDEX(Drinks!$C$4:$C$53,MATCH($B875,Drinks!$A$4:$A$53,0)),0))</f>
        <v/>
      </c>
      <c r="H875" s="10" t="str">
        <f aca="false">IF($B875="","",$D875*$G875)</f>
        <v/>
      </c>
      <c r="I875" s="10" t="str">
        <f aca="false">IF($B875="","",$F875*$G875)</f>
        <v/>
      </c>
      <c r="J875" s="9"/>
      <c r="K875" s="10" t="str">
        <f aca="false">IF($B875="","",$E875*IFERROR(INDEX(Drinks!$B$4:$B$53,MATCH($B875,Drinks!$A$4:$A$53,0)),0))</f>
        <v/>
      </c>
      <c r="L875" s="10" t="str">
        <f aca="false">IF($B875="","",$J875+$K875)</f>
        <v/>
      </c>
      <c r="M875" s="9"/>
      <c r="N875" s="10" t="str">
        <f aca="false">IF($B875="","",$L875-$M875)</f>
        <v/>
      </c>
      <c r="O875" s="10" t="str">
        <f aca="false">IF($B875="","",IFERROR(INDEX(Drinks!$E$4:$E$53,MATCH($B875,Drinks!$A$4:$A$53,0)),0))</f>
        <v/>
      </c>
      <c r="P875" s="10" t="str">
        <f aca="false">IF($B875="","",$N875*$O875)</f>
        <v/>
      </c>
      <c r="Q875" s="10" t="str">
        <f aca="false">IF($B875="","",$N875*IFERROR(INDEX(Drinks!$D$4:$D$53,MATCH($B875,Drinks!$A$4:$A$53,0)),0))</f>
        <v/>
      </c>
      <c r="R875" s="10" t="str">
        <f aca="false">IF($B875="","",$P875-$Q875)</f>
        <v/>
      </c>
      <c r="S875" s="23" t="str">
        <f aca="false">IF($B875="","",IF(COUNTIFS($A$4:$A$2003,$A875-1,$B$4:$B$2003,$B875)=0,"first day",IF(SUMIFS($M$4:$M$2003,$A$4:$A$2003,$A875-1,$B$4:$B$2003,$B875)=$J875,"OK","CHECK")))</f>
        <v/>
      </c>
      <c r="T875" s="10" t="str">
        <f aca="false">IF($B875="","",IFERROR(INDEX(Drinks!$D$4:$D$53,MATCH($B875,Drinks!$A$4:$A$53,0)),0))</f>
        <v/>
      </c>
    </row>
    <row r="876" customFormat="false" ht="15" hidden="false" customHeight="false" outlineLevel="0" collapsed="false">
      <c r="A876" s="22"/>
      <c r="B876" s="9"/>
      <c r="C876" s="9"/>
      <c r="D876" s="9"/>
      <c r="E876" s="9"/>
      <c r="F876" s="10" t="str">
        <f aca="false">IF($B876="","",$C876+$D876-$E876)</f>
        <v/>
      </c>
      <c r="G876" s="10" t="str">
        <f aca="false">IF($B876="","",IFERROR(INDEX(Drinks!$C$4:$C$53,MATCH($B876,Drinks!$A$4:$A$53,0)),0))</f>
        <v/>
      </c>
      <c r="H876" s="10" t="str">
        <f aca="false">IF($B876="","",$D876*$G876)</f>
        <v/>
      </c>
      <c r="I876" s="10" t="str">
        <f aca="false">IF($B876="","",$F876*$G876)</f>
        <v/>
      </c>
      <c r="J876" s="9"/>
      <c r="K876" s="10" t="str">
        <f aca="false">IF($B876="","",$E876*IFERROR(INDEX(Drinks!$B$4:$B$53,MATCH($B876,Drinks!$A$4:$A$53,0)),0))</f>
        <v/>
      </c>
      <c r="L876" s="10" t="str">
        <f aca="false">IF($B876="","",$J876+$K876)</f>
        <v/>
      </c>
      <c r="M876" s="9"/>
      <c r="N876" s="10" t="str">
        <f aca="false">IF($B876="","",$L876-$M876)</f>
        <v/>
      </c>
      <c r="O876" s="10" t="str">
        <f aca="false">IF($B876="","",IFERROR(INDEX(Drinks!$E$4:$E$53,MATCH($B876,Drinks!$A$4:$A$53,0)),0))</f>
        <v/>
      </c>
      <c r="P876" s="10" t="str">
        <f aca="false">IF($B876="","",$N876*$O876)</f>
        <v/>
      </c>
      <c r="Q876" s="10" t="str">
        <f aca="false">IF($B876="","",$N876*IFERROR(INDEX(Drinks!$D$4:$D$53,MATCH($B876,Drinks!$A$4:$A$53,0)),0))</f>
        <v/>
      </c>
      <c r="R876" s="10" t="str">
        <f aca="false">IF($B876="","",$P876-$Q876)</f>
        <v/>
      </c>
      <c r="S876" s="23" t="str">
        <f aca="false">IF($B876="","",IF(COUNTIFS($A$4:$A$2003,$A876-1,$B$4:$B$2003,$B876)=0,"first day",IF(SUMIFS($M$4:$M$2003,$A$4:$A$2003,$A876-1,$B$4:$B$2003,$B876)=$J876,"OK","CHECK")))</f>
        <v/>
      </c>
      <c r="T876" s="10" t="str">
        <f aca="false">IF($B876="","",IFERROR(INDEX(Drinks!$D$4:$D$53,MATCH($B876,Drinks!$A$4:$A$53,0)),0))</f>
        <v/>
      </c>
    </row>
    <row r="877" customFormat="false" ht="15" hidden="false" customHeight="false" outlineLevel="0" collapsed="false">
      <c r="A877" s="22"/>
      <c r="B877" s="9"/>
      <c r="C877" s="9"/>
      <c r="D877" s="9"/>
      <c r="E877" s="9"/>
      <c r="F877" s="10" t="str">
        <f aca="false">IF($B877="","",$C877+$D877-$E877)</f>
        <v/>
      </c>
      <c r="G877" s="10" t="str">
        <f aca="false">IF($B877="","",IFERROR(INDEX(Drinks!$C$4:$C$53,MATCH($B877,Drinks!$A$4:$A$53,0)),0))</f>
        <v/>
      </c>
      <c r="H877" s="10" t="str">
        <f aca="false">IF($B877="","",$D877*$G877)</f>
        <v/>
      </c>
      <c r="I877" s="10" t="str">
        <f aca="false">IF($B877="","",$F877*$G877)</f>
        <v/>
      </c>
      <c r="J877" s="9"/>
      <c r="K877" s="10" t="str">
        <f aca="false">IF($B877="","",$E877*IFERROR(INDEX(Drinks!$B$4:$B$53,MATCH($B877,Drinks!$A$4:$A$53,0)),0))</f>
        <v/>
      </c>
      <c r="L877" s="10" t="str">
        <f aca="false">IF($B877="","",$J877+$K877)</f>
        <v/>
      </c>
      <c r="M877" s="9"/>
      <c r="N877" s="10" t="str">
        <f aca="false">IF($B877="","",$L877-$M877)</f>
        <v/>
      </c>
      <c r="O877" s="10" t="str">
        <f aca="false">IF($B877="","",IFERROR(INDEX(Drinks!$E$4:$E$53,MATCH($B877,Drinks!$A$4:$A$53,0)),0))</f>
        <v/>
      </c>
      <c r="P877" s="10" t="str">
        <f aca="false">IF($B877="","",$N877*$O877)</f>
        <v/>
      </c>
      <c r="Q877" s="10" t="str">
        <f aca="false">IF($B877="","",$N877*IFERROR(INDEX(Drinks!$D$4:$D$53,MATCH($B877,Drinks!$A$4:$A$53,0)),0))</f>
        <v/>
      </c>
      <c r="R877" s="10" t="str">
        <f aca="false">IF($B877="","",$P877-$Q877)</f>
        <v/>
      </c>
      <c r="S877" s="23" t="str">
        <f aca="false">IF($B877="","",IF(COUNTIFS($A$4:$A$2003,$A877-1,$B$4:$B$2003,$B877)=0,"first day",IF(SUMIFS($M$4:$M$2003,$A$4:$A$2003,$A877-1,$B$4:$B$2003,$B877)=$J877,"OK","CHECK")))</f>
        <v/>
      </c>
      <c r="T877" s="10" t="str">
        <f aca="false">IF($B877="","",IFERROR(INDEX(Drinks!$D$4:$D$53,MATCH($B877,Drinks!$A$4:$A$53,0)),0))</f>
        <v/>
      </c>
    </row>
    <row r="878" customFormat="false" ht="15" hidden="false" customHeight="false" outlineLevel="0" collapsed="false">
      <c r="A878" s="22"/>
      <c r="B878" s="9"/>
      <c r="C878" s="9"/>
      <c r="D878" s="9"/>
      <c r="E878" s="9"/>
      <c r="F878" s="10" t="str">
        <f aca="false">IF($B878="","",$C878+$D878-$E878)</f>
        <v/>
      </c>
      <c r="G878" s="10" t="str">
        <f aca="false">IF($B878="","",IFERROR(INDEX(Drinks!$C$4:$C$53,MATCH($B878,Drinks!$A$4:$A$53,0)),0))</f>
        <v/>
      </c>
      <c r="H878" s="10" t="str">
        <f aca="false">IF($B878="","",$D878*$G878)</f>
        <v/>
      </c>
      <c r="I878" s="10" t="str">
        <f aca="false">IF($B878="","",$F878*$G878)</f>
        <v/>
      </c>
      <c r="J878" s="9"/>
      <c r="K878" s="10" t="str">
        <f aca="false">IF($B878="","",$E878*IFERROR(INDEX(Drinks!$B$4:$B$53,MATCH($B878,Drinks!$A$4:$A$53,0)),0))</f>
        <v/>
      </c>
      <c r="L878" s="10" t="str">
        <f aca="false">IF($B878="","",$J878+$K878)</f>
        <v/>
      </c>
      <c r="M878" s="9"/>
      <c r="N878" s="10" t="str">
        <f aca="false">IF($B878="","",$L878-$M878)</f>
        <v/>
      </c>
      <c r="O878" s="10" t="str">
        <f aca="false">IF($B878="","",IFERROR(INDEX(Drinks!$E$4:$E$53,MATCH($B878,Drinks!$A$4:$A$53,0)),0))</f>
        <v/>
      </c>
      <c r="P878" s="10" t="str">
        <f aca="false">IF($B878="","",$N878*$O878)</f>
        <v/>
      </c>
      <c r="Q878" s="10" t="str">
        <f aca="false">IF($B878="","",$N878*IFERROR(INDEX(Drinks!$D$4:$D$53,MATCH($B878,Drinks!$A$4:$A$53,0)),0))</f>
        <v/>
      </c>
      <c r="R878" s="10" t="str">
        <f aca="false">IF($B878="","",$P878-$Q878)</f>
        <v/>
      </c>
      <c r="S878" s="23" t="str">
        <f aca="false">IF($B878="","",IF(COUNTIFS($A$4:$A$2003,$A878-1,$B$4:$B$2003,$B878)=0,"first day",IF(SUMIFS($M$4:$M$2003,$A$4:$A$2003,$A878-1,$B$4:$B$2003,$B878)=$J878,"OK","CHECK")))</f>
        <v/>
      </c>
      <c r="T878" s="10" t="str">
        <f aca="false">IF($B878="","",IFERROR(INDEX(Drinks!$D$4:$D$53,MATCH($B878,Drinks!$A$4:$A$53,0)),0))</f>
        <v/>
      </c>
    </row>
    <row r="879" customFormat="false" ht="15" hidden="false" customHeight="false" outlineLevel="0" collapsed="false">
      <c r="A879" s="22"/>
      <c r="B879" s="9"/>
      <c r="C879" s="9"/>
      <c r="D879" s="9"/>
      <c r="E879" s="9"/>
      <c r="F879" s="10" t="str">
        <f aca="false">IF($B879="","",$C879+$D879-$E879)</f>
        <v/>
      </c>
      <c r="G879" s="10" t="str">
        <f aca="false">IF($B879="","",IFERROR(INDEX(Drinks!$C$4:$C$53,MATCH($B879,Drinks!$A$4:$A$53,0)),0))</f>
        <v/>
      </c>
      <c r="H879" s="10" t="str">
        <f aca="false">IF($B879="","",$D879*$G879)</f>
        <v/>
      </c>
      <c r="I879" s="10" t="str">
        <f aca="false">IF($B879="","",$F879*$G879)</f>
        <v/>
      </c>
      <c r="J879" s="9"/>
      <c r="K879" s="10" t="str">
        <f aca="false">IF($B879="","",$E879*IFERROR(INDEX(Drinks!$B$4:$B$53,MATCH($B879,Drinks!$A$4:$A$53,0)),0))</f>
        <v/>
      </c>
      <c r="L879" s="10" t="str">
        <f aca="false">IF($B879="","",$J879+$K879)</f>
        <v/>
      </c>
      <c r="M879" s="9"/>
      <c r="N879" s="10" t="str">
        <f aca="false">IF($B879="","",$L879-$M879)</f>
        <v/>
      </c>
      <c r="O879" s="10" t="str">
        <f aca="false">IF($B879="","",IFERROR(INDEX(Drinks!$E$4:$E$53,MATCH($B879,Drinks!$A$4:$A$53,0)),0))</f>
        <v/>
      </c>
      <c r="P879" s="10" t="str">
        <f aca="false">IF($B879="","",$N879*$O879)</f>
        <v/>
      </c>
      <c r="Q879" s="10" t="str">
        <f aca="false">IF($B879="","",$N879*IFERROR(INDEX(Drinks!$D$4:$D$53,MATCH($B879,Drinks!$A$4:$A$53,0)),0))</f>
        <v/>
      </c>
      <c r="R879" s="10" t="str">
        <f aca="false">IF($B879="","",$P879-$Q879)</f>
        <v/>
      </c>
      <c r="S879" s="23" t="str">
        <f aca="false">IF($B879="","",IF(COUNTIFS($A$4:$A$2003,$A879-1,$B$4:$B$2003,$B879)=0,"first day",IF(SUMIFS($M$4:$M$2003,$A$4:$A$2003,$A879-1,$B$4:$B$2003,$B879)=$J879,"OK","CHECK")))</f>
        <v/>
      </c>
      <c r="T879" s="10" t="str">
        <f aca="false">IF($B879="","",IFERROR(INDEX(Drinks!$D$4:$D$53,MATCH($B879,Drinks!$A$4:$A$53,0)),0))</f>
        <v/>
      </c>
    </row>
    <row r="880" customFormat="false" ht="15" hidden="false" customHeight="false" outlineLevel="0" collapsed="false">
      <c r="A880" s="22"/>
      <c r="B880" s="9"/>
      <c r="C880" s="9"/>
      <c r="D880" s="9"/>
      <c r="E880" s="9"/>
      <c r="F880" s="10" t="str">
        <f aca="false">IF($B880="","",$C880+$D880-$E880)</f>
        <v/>
      </c>
      <c r="G880" s="10" t="str">
        <f aca="false">IF($B880="","",IFERROR(INDEX(Drinks!$C$4:$C$53,MATCH($B880,Drinks!$A$4:$A$53,0)),0))</f>
        <v/>
      </c>
      <c r="H880" s="10" t="str">
        <f aca="false">IF($B880="","",$D880*$G880)</f>
        <v/>
      </c>
      <c r="I880" s="10" t="str">
        <f aca="false">IF($B880="","",$F880*$G880)</f>
        <v/>
      </c>
      <c r="J880" s="9"/>
      <c r="K880" s="10" t="str">
        <f aca="false">IF($B880="","",$E880*IFERROR(INDEX(Drinks!$B$4:$B$53,MATCH($B880,Drinks!$A$4:$A$53,0)),0))</f>
        <v/>
      </c>
      <c r="L880" s="10" t="str">
        <f aca="false">IF($B880="","",$J880+$K880)</f>
        <v/>
      </c>
      <c r="M880" s="9"/>
      <c r="N880" s="10" t="str">
        <f aca="false">IF($B880="","",$L880-$M880)</f>
        <v/>
      </c>
      <c r="O880" s="10" t="str">
        <f aca="false">IF($B880="","",IFERROR(INDEX(Drinks!$E$4:$E$53,MATCH($B880,Drinks!$A$4:$A$53,0)),0))</f>
        <v/>
      </c>
      <c r="P880" s="10" t="str">
        <f aca="false">IF($B880="","",$N880*$O880)</f>
        <v/>
      </c>
      <c r="Q880" s="10" t="str">
        <f aca="false">IF($B880="","",$N880*IFERROR(INDEX(Drinks!$D$4:$D$53,MATCH($B880,Drinks!$A$4:$A$53,0)),0))</f>
        <v/>
      </c>
      <c r="R880" s="10" t="str">
        <f aca="false">IF($B880="","",$P880-$Q880)</f>
        <v/>
      </c>
      <c r="S880" s="23" t="str">
        <f aca="false">IF($B880="","",IF(COUNTIFS($A$4:$A$2003,$A880-1,$B$4:$B$2003,$B880)=0,"first day",IF(SUMIFS($M$4:$M$2003,$A$4:$A$2003,$A880-1,$B$4:$B$2003,$B880)=$J880,"OK","CHECK")))</f>
        <v/>
      </c>
      <c r="T880" s="10" t="str">
        <f aca="false">IF($B880="","",IFERROR(INDEX(Drinks!$D$4:$D$53,MATCH($B880,Drinks!$A$4:$A$53,0)),0))</f>
        <v/>
      </c>
    </row>
    <row r="881" customFormat="false" ht="15" hidden="false" customHeight="false" outlineLevel="0" collapsed="false">
      <c r="A881" s="22"/>
      <c r="B881" s="9"/>
      <c r="C881" s="9"/>
      <c r="D881" s="9"/>
      <c r="E881" s="9"/>
      <c r="F881" s="10" t="str">
        <f aca="false">IF($B881="","",$C881+$D881-$E881)</f>
        <v/>
      </c>
      <c r="G881" s="10" t="str">
        <f aca="false">IF($B881="","",IFERROR(INDEX(Drinks!$C$4:$C$53,MATCH($B881,Drinks!$A$4:$A$53,0)),0))</f>
        <v/>
      </c>
      <c r="H881" s="10" t="str">
        <f aca="false">IF($B881="","",$D881*$G881)</f>
        <v/>
      </c>
      <c r="I881" s="10" t="str">
        <f aca="false">IF($B881="","",$F881*$G881)</f>
        <v/>
      </c>
      <c r="J881" s="9"/>
      <c r="K881" s="10" t="str">
        <f aca="false">IF($B881="","",$E881*IFERROR(INDEX(Drinks!$B$4:$B$53,MATCH($B881,Drinks!$A$4:$A$53,0)),0))</f>
        <v/>
      </c>
      <c r="L881" s="10" t="str">
        <f aca="false">IF($B881="","",$J881+$K881)</f>
        <v/>
      </c>
      <c r="M881" s="9"/>
      <c r="N881" s="10" t="str">
        <f aca="false">IF($B881="","",$L881-$M881)</f>
        <v/>
      </c>
      <c r="O881" s="10" t="str">
        <f aca="false">IF($B881="","",IFERROR(INDEX(Drinks!$E$4:$E$53,MATCH($B881,Drinks!$A$4:$A$53,0)),0))</f>
        <v/>
      </c>
      <c r="P881" s="10" t="str">
        <f aca="false">IF($B881="","",$N881*$O881)</f>
        <v/>
      </c>
      <c r="Q881" s="10" t="str">
        <f aca="false">IF($B881="","",$N881*IFERROR(INDEX(Drinks!$D$4:$D$53,MATCH($B881,Drinks!$A$4:$A$53,0)),0))</f>
        <v/>
      </c>
      <c r="R881" s="10" t="str">
        <f aca="false">IF($B881="","",$P881-$Q881)</f>
        <v/>
      </c>
      <c r="S881" s="23" t="str">
        <f aca="false">IF($B881="","",IF(COUNTIFS($A$4:$A$2003,$A881-1,$B$4:$B$2003,$B881)=0,"first day",IF(SUMIFS($M$4:$M$2003,$A$4:$A$2003,$A881-1,$B$4:$B$2003,$B881)=$J881,"OK","CHECK")))</f>
        <v/>
      </c>
      <c r="T881" s="10" t="str">
        <f aca="false">IF($B881="","",IFERROR(INDEX(Drinks!$D$4:$D$53,MATCH($B881,Drinks!$A$4:$A$53,0)),0))</f>
        <v/>
      </c>
    </row>
    <row r="882" customFormat="false" ht="15" hidden="false" customHeight="false" outlineLevel="0" collapsed="false">
      <c r="A882" s="22"/>
      <c r="B882" s="9"/>
      <c r="C882" s="9"/>
      <c r="D882" s="9"/>
      <c r="E882" s="9"/>
      <c r="F882" s="10" t="str">
        <f aca="false">IF($B882="","",$C882+$D882-$E882)</f>
        <v/>
      </c>
      <c r="G882" s="10" t="str">
        <f aca="false">IF($B882="","",IFERROR(INDEX(Drinks!$C$4:$C$53,MATCH($B882,Drinks!$A$4:$A$53,0)),0))</f>
        <v/>
      </c>
      <c r="H882" s="10" t="str">
        <f aca="false">IF($B882="","",$D882*$G882)</f>
        <v/>
      </c>
      <c r="I882" s="10" t="str">
        <f aca="false">IF($B882="","",$F882*$G882)</f>
        <v/>
      </c>
      <c r="J882" s="9"/>
      <c r="K882" s="10" t="str">
        <f aca="false">IF($B882="","",$E882*IFERROR(INDEX(Drinks!$B$4:$B$53,MATCH($B882,Drinks!$A$4:$A$53,0)),0))</f>
        <v/>
      </c>
      <c r="L882" s="10" t="str">
        <f aca="false">IF($B882="","",$J882+$K882)</f>
        <v/>
      </c>
      <c r="M882" s="9"/>
      <c r="N882" s="10" t="str">
        <f aca="false">IF($B882="","",$L882-$M882)</f>
        <v/>
      </c>
      <c r="O882" s="10" t="str">
        <f aca="false">IF($B882="","",IFERROR(INDEX(Drinks!$E$4:$E$53,MATCH($B882,Drinks!$A$4:$A$53,0)),0))</f>
        <v/>
      </c>
      <c r="P882" s="10" t="str">
        <f aca="false">IF($B882="","",$N882*$O882)</f>
        <v/>
      </c>
      <c r="Q882" s="10" t="str">
        <f aca="false">IF($B882="","",$N882*IFERROR(INDEX(Drinks!$D$4:$D$53,MATCH($B882,Drinks!$A$4:$A$53,0)),0))</f>
        <v/>
      </c>
      <c r="R882" s="10" t="str">
        <f aca="false">IF($B882="","",$P882-$Q882)</f>
        <v/>
      </c>
      <c r="S882" s="23" t="str">
        <f aca="false">IF($B882="","",IF(COUNTIFS($A$4:$A$2003,$A882-1,$B$4:$B$2003,$B882)=0,"first day",IF(SUMIFS($M$4:$M$2003,$A$4:$A$2003,$A882-1,$B$4:$B$2003,$B882)=$J882,"OK","CHECK")))</f>
        <v/>
      </c>
      <c r="T882" s="10" t="str">
        <f aca="false">IF($B882="","",IFERROR(INDEX(Drinks!$D$4:$D$53,MATCH($B882,Drinks!$A$4:$A$53,0)),0))</f>
        <v/>
      </c>
    </row>
    <row r="883" customFormat="false" ht="15" hidden="false" customHeight="false" outlineLevel="0" collapsed="false">
      <c r="A883" s="22"/>
      <c r="B883" s="9"/>
      <c r="C883" s="9"/>
      <c r="D883" s="9"/>
      <c r="E883" s="9"/>
      <c r="F883" s="10" t="str">
        <f aca="false">IF($B883="","",$C883+$D883-$E883)</f>
        <v/>
      </c>
      <c r="G883" s="10" t="str">
        <f aca="false">IF($B883="","",IFERROR(INDEX(Drinks!$C$4:$C$53,MATCH($B883,Drinks!$A$4:$A$53,0)),0))</f>
        <v/>
      </c>
      <c r="H883" s="10" t="str">
        <f aca="false">IF($B883="","",$D883*$G883)</f>
        <v/>
      </c>
      <c r="I883" s="10" t="str">
        <f aca="false">IF($B883="","",$F883*$G883)</f>
        <v/>
      </c>
      <c r="J883" s="9"/>
      <c r="K883" s="10" t="str">
        <f aca="false">IF($B883="","",$E883*IFERROR(INDEX(Drinks!$B$4:$B$53,MATCH($B883,Drinks!$A$4:$A$53,0)),0))</f>
        <v/>
      </c>
      <c r="L883" s="10" t="str">
        <f aca="false">IF($B883="","",$J883+$K883)</f>
        <v/>
      </c>
      <c r="M883" s="9"/>
      <c r="N883" s="10" t="str">
        <f aca="false">IF($B883="","",$L883-$M883)</f>
        <v/>
      </c>
      <c r="O883" s="10" t="str">
        <f aca="false">IF($B883="","",IFERROR(INDEX(Drinks!$E$4:$E$53,MATCH($B883,Drinks!$A$4:$A$53,0)),0))</f>
        <v/>
      </c>
      <c r="P883" s="10" t="str">
        <f aca="false">IF($B883="","",$N883*$O883)</f>
        <v/>
      </c>
      <c r="Q883" s="10" t="str">
        <f aca="false">IF($B883="","",$N883*IFERROR(INDEX(Drinks!$D$4:$D$53,MATCH($B883,Drinks!$A$4:$A$53,0)),0))</f>
        <v/>
      </c>
      <c r="R883" s="10" t="str">
        <f aca="false">IF($B883="","",$P883-$Q883)</f>
        <v/>
      </c>
      <c r="S883" s="23" t="str">
        <f aca="false">IF($B883="","",IF(COUNTIFS($A$4:$A$2003,$A883-1,$B$4:$B$2003,$B883)=0,"first day",IF(SUMIFS($M$4:$M$2003,$A$4:$A$2003,$A883-1,$B$4:$B$2003,$B883)=$J883,"OK","CHECK")))</f>
        <v/>
      </c>
      <c r="T883" s="10" t="str">
        <f aca="false">IF($B883="","",IFERROR(INDEX(Drinks!$D$4:$D$53,MATCH($B883,Drinks!$A$4:$A$53,0)),0))</f>
        <v/>
      </c>
    </row>
    <row r="884" customFormat="false" ht="15" hidden="false" customHeight="false" outlineLevel="0" collapsed="false">
      <c r="A884" s="22"/>
      <c r="B884" s="9"/>
      <c r="C884" s="9"/>
      <c r="D884" s="9"/>
      <c r="E884" s="9"/>
      <c r="F884" s="10" t="str">
        <f aca="false">IF($B884="","",$C884+$D884-$E884)</f>
        <v/>
      </c>
      <c r="G884" s="10" t="str">
        <f aca="false">IF($B884="","",IFERROR(INDEX(Drinks!$C$4:$C$53,MATCH($B884,Drinks!$A$4:$A$53,0)),0))</f>
        <v/>
      </c>
      <c r="H884" s="10" t="str">
        <f aca="false">IF($B884="","",$D884*$G884)</f>
        <v/>
      </c>
      <c r="I884" s="10" t="str">
        <f aca="false">IF($B884="","",$F884*$G884)</f>
        <v/>
      </c>
      <c r="J884" s="9"/>
      <c r="K884" s="10" t="str">
        <f aca="false">IF($B884="","",$E884*IFERROR(INDEX(Drinks!$B$4:$B$53,MATCH($B884,Drinks!$A$4:$A$53,0)),0))</f>
        <v/>
      </c>
      <c r="L884" s="10" t="str">
        <f aca="false">IF($B884="","",$J884+$K884)</f>
        <v/>
      </c>
      <c r="M884" s="9"/>
      <c r="N884" s="10" t="str">
        <f aca="false">IF($B884="","",$L884-$M884)</f>
        <v/>
      </c>
      <c r="O884" s="10" t="str">
        <f aca="false">IF($B884="","",IFERROR(INDEX(Drinks!$E$4:$E$53,MATCH($B884,Drinks!$A$4:$A$53,0)),0))</f>
        <v/>
      </c>
      <c r="P884" s="10" t="str">
        <f aca="false">IF($B884="","",$N884*$O884)</f>
        <v/>
      </c>
      <c r="Q884" s="10" t="str">
        <f aca="false">IF($B884="","",$N884*IFERROR(INDEX(Drinks!$D$4:$D$53,MATCH($B884,Drinks!$A$4:$A$53,0)),0))</f>
        <v/>
      </c>
      <c r="R884" s="10" t="str">
        <f aca="false">IF($B884="","",$P884-$Q884)</f>
        <v/>
      </c>
      <c r="S884" s="23" t="str">
        <f aca="false">IF($B884="","",IF(COUNTIFS($A$4:$A$2003,$A884-1,$B$4:$B$2003,$B884)=0,"first day",IF(SUMIFS($M$4:$M$2003,$A$4:$A$2003,$A884-1,$B$4:$B$2003,$B884)=$J884,"OK","CHECK")))</f>
        <v/>
      </c>
      <c r="T884" s="10" t="str">
        <f aca="false">IF($B884="","",IFERROR(INDEX(Drinks!$D$4:$D$53,MATCH($B884,Drinks!$A$4:$A$53,0)),0))</f>
        <v/>
      </c>
    </row>
    <row r="885" customFormat="false" ht="15" hidden="false" customHeight="false" outlineLevel="0" collapsed="false">
      <c r="A885" s="22"/>
      <c r="B885" s="9"/>
      <c r="C885" s="9"/>
      <c r="D885" s="9"/>
      <c r="E885" s="9"/>
      <c r="F885" s="10" t="str">
        <f aca="false">IF($B885="","",$C885+$D885-$E885)</f>
        <v/>
      </c>
      <c r="G885" s="10" t="str">
        <f aca="false">IF($B885="","",IFERROR(INDEX(Drinks!$C$4:$C$53,MATCH($B885,Drinks!$A$4:$A$53,0)),0))</f>
        <v/>
      </c>
      <c r="H885" s="10" t="str">
        <f aca="false">IF($B885="","",$D885*$G885)</f>
        <v/>
      </c>
      <c r="I885" s="10" t="str">
        <f aca="false">IF($B885="","",$F885*$G885)</f>
        <v/>
      </c>
      <c r="J885" s="9"/>
      <c r="K885" s="10" t="str">
        <f aca="false">IF($B885="","",$E885*IFERROR(INDEX(Drinks!$B$4:$B$53,MATCH($B885,Drinks!$A$4:$A$53,0)),0))</f>
        <v/>
      </c>
      <c r="L885" s="10" t="str">
        <f aca="false">IF($B885="","",$J885+$K885)</f>
        <v/>
      </c>
      <c r="M885" s="9"/>
      <c r="N885" s="10" t="str">
        <f aca="false">IF($B885="","",$L885-$M885)</f>
        <v/>
      </c>
      <c r="O885" s="10" t="str">
        <f aca="false">IF($B885="","",IFERROR(INDEX(Drinks!$E$4:$E$53,MATCH($B885,Drinks!$A$4:$A$53,0)),0))</f>
        <v/>
      </c>
      <c r="P885" s="10" t="str">
        <f aca="false">IF($B885="","",$N885*$O885)</f>
        <v/>
      </c>
      <c r="Q885" s="10" t="str">
        <f aca="false">IF($B885="","",$N885*IFERROR(INDEX(Drinks!$D$4:$D$53,MATCH($B885,Drinks!$A$4:$A$53,0)),0))</f>
        <v/>
      </c>
      <c r="R885" s="10" t="str">
        <f aca="false">IF($B885="","",$P885-$Q885)</f>
        <v/>
      </c>
      <c r="S885" s="23" t="str">
        <f aca="false">IF($B885="","",IF(COUNTIFS($A$4:$A$2003,$A885-1,$B$4:$B$2003,$B885)=0,"first day",IF(SUMIFS($M$4:$M$2003,$A$4:$A$2003,$A885-1,$B$4:$B$2003,$B885)=$J885,"OK","CHECK")))</f>
        <v/>
      </c>
      <c r="T885" s="10" t="str">
        <f aca="false">IF($B885="","",IFERROR(INDEX(Drinks!$D$4:$D$53,MATCH($B885,Drinks!$A$4:$A$53,0)),0))</f>
        <v/>
      </c>
    </row>
    <row r="886" customFormat="false" ht="15" hidden="false" customHeight="false" outlineLevel="0" collapsed="false">
      <c r="A886" s="22"/>
      <c r="B886" s="9"/>
      <c r="C886" s="9"/>
      <c r="D886" s="9"/>
      <c r="E886" s="9"/>
      <c r="F886" s="10" t="str">
        <f aca="false">IF($B886="","",$C886+$D886-$E886)</f>
        <v/>
      </c>
      <c r="G886" s="10" t="str">
        <f aca="false">IF($B886="","",IFERROR(INDEX(Drinks!$C$4:$C$53,MATCH($B886,Drinks!$A$4:$A$53,0)),0))</f>
        <v/>
      </c>
      <c r="H886" s="10" t="str">
        <f aca="false">IF($B886="","",$D886*$G886)</f>
        <v/>
      </c>
      <c r="I886" s="10" t="str">
        <f aca="false">IF($B886="","",$F886*$G886)</f>
        <v/>
      </c>
      <c r="J886" s="9"/>
      <c r="K886" s="10" t="str">
        <f aca="false">IF($B886="","",$E886*IFERROR(INDEX(Drinks!$B$4:$B$53,MATCH($B886,Drinks!$A$4:$A$53,0)),0))</f>
        <v/>
      </c>
      <c r="L886" s="10" t="str">
        <f aca="false">IF($B886="","",$J886+$K886)</f>
        <v/>
      </c>
      <c r="M886" s="9"/>
      <c r="N886" s="10" t="str">
        <f aca="false">IF($B886="","",$L886-$M886)</f>
        <v/>
      </c>
      <c r="O886" s="10" t="str">
        <f aca="false">IF($B886="","",IFERROR(INDEX(Drinks!$E$4:$E$53,MATCH($B886,Drinks!$A$4:$A$53,0)),0))</f>
        <v/>
      </c>
      <c r="P886" s="10" t="str">
        <f aca="false">IF($B886="","",$N886*$O886)</f>
        <v/>
      </c>
      <c r="Q886" s="10" t="str">
        <f aca="false">IF($B886="","",$N886*IFERROR(INDEX(Drinks!$D$4:$D$53,MATCH($B886,Drinks!$A$4:$A$53,0)),0))</f>
        <v/>
      </c>
      <c r="R886" s="10" t="str">
        <f aca="false">IF($B886="","",$P886-$Q886)</f>
        <v/>
      </c>
      <c r="S886" s="23" t="str">
        <f aca="false">IF($B886="","",IF(COUNTIFS($A$4:$A$2003,$A886-1,$B$4:$B$2003,$B886)=0,"first day",IF(SUMIFS($M$4:$M$2003,$A$4:$A$2003,$A886-1,$B$4:$B$2003,$B886)=$J886,"OK","CHECK")))</f>
        <v/>
      </c>
      <c r="T886" s="10" t="str">
        <f aca="false">IF($B886="","",IFERROR(INDEX(Drinks!$D$4:$D$53,MATCH($B886,Drinks!$A$4:$A$53,0)),0))</f>
        <v/>
      </c>
    </row>
    <row r="887" customFormat="false" ht="15" hidden="false" customHeight="false" outlineLevel="0" collapsed="false">
      <c r="A887" s="22"/>
      <c r="B887" s="9"/>
      <c r="C887" s="9"/>
      <c r="D887" s="9"/>
      <c r="E887" s="9"/>
      <c r="F887" s="10" t="str">
        <f aca="false">IF($B887="","",$C887+$D887-$E887)</f>
        <v/>
      </c>
      <c r="G887" s="10" t="str">
        <f aca="false">IF($B887="","",IFERROR(INDEX(Drinks!$C$4:$C$53,MATCH($B887,Drinks!$A$4:$A$53,0)),0))</f>
        <v/>
      </c>
      <c r="H887" s="10" t="str">
        <f aca="false">IF($B887="","",$D887*$G887)</f>
        <v/>
      </c>
      <c r="I887" s="10" t="str">
        <f aca="false">IF($B887="","",$F887*$G887)</f>
        <v/>
      </c>
      <c r="J887" s="9"/>
      <c r="K887" s="10" t="str">
        <f aca="false">IF($B887="","",$E887*IFERROR(INDEX(Drinks!$B$4:$B$53,MATCH($B887,Drinks!$A$4:$A$53,0)),0))</f>
        <v/>
      </c>
      <c r="L887" s="10" t="str">
        <f aca="false">IF($B887="","",$J887+$K887)</f>
        <v/>
      </c>
      <c r="M887" s="9"/>
      <c r="N887" s="10" t="str">
        <f aca="false">IF($B887="","",$L887-$M887)</f>
        <v/>
      </c>
      <c r="O887" s="10" t="str">
        <f aca="false">IF($B887="","",IFERROR(INDEX(Drinks!$E$4:$E$53,MATCH($B887,Drinks!$A$4:$A$53,0)),0))</f>
        <v/>
      </c>
      <c r="P887" s="10" t="str">
        <f aca="false">IF($B887="","",$N887*$O887)</f>
        <v/>
      </c>
      <c r="Q887" s="10" t="str">
        <f aca="false">IF($B887="","",$N887*IFERROR(INDEX(Drinks!$D$4:$D$53,MATCH($B887,Drinks!$A$4:$A$53,0)),0))</f>
        <v/>
      </c>
      <c r="R887" s="10" t="str">
        <f aca="false">IF($B887="","",$P887-$Q887)</f>
        <v/>
      </c>
      <c r="S887" s="23" t="str">
        <f aca="false">IF($B887="","",IF(COUNTIFS($A$4:$A$2003,$A887-1,$B$4:$B$2003,$B887)=0,"first day",IF(SUMIFS($M$4:$M$2003,$A$4:$A$2003,$A887-1,$B$4:$B$2003,$B887)=$J887,"OK","CHECK")))</f>
        <v/>
      </c>
      <c r="T887" s="10" t="str">
        <f aca="false">IF($B887="","",IFERROR(INDEX(Drinks!$D$4:$D$53,MATCH($B887,Drinks!$A$4:$A$53,0)),0))</f>
        <v/>
      </c>
    </row>
    <row r="888" customFormat="false" ht="15" hidden="false" customHeight="false" outlineLevel="0" collapsed="false">
      <c r="A888" s="22"/>
      <c r="B888" s="9"/>
      <c r="C888" s="9"/>
      <c r="D888" s="9"/>
      <c r="E888" s="9"/>
      <c r="F888" s="10" t="str">
        <f aca="false">IF($B888="","",$C888+$D888-$E888)</f>
        <v/>
      </c>
      <c r="G888" s="10" t="str">
        <f aca="false">IF($B888="","",IFERROR(INDEX(Drinks!$C$4:$C$53,MATCH($B888,Drinks!$A$4:$A$53,0)),0))</f>
        <v/>
      </c>
      <c r="H888" s="10" t="str">
        <f aca="false">IF($B888="","",$D888*$G888)</f>
        <v/>
      </c>
      <c r="I888" s="10" t="str">
        <f aca="false">IF($B888="","",$F888*$G888)</f>
        <v/>
      </c>
      <c r="J888" s="9"/>
      <c r="K888" s="10" t="str">
        <f aca="false">IF($B888="","",$E888*IFERROR(INDEX(Drinks!$B$4:$B$53,MATCH($B888,Drinks!$A$4:$A$53,0)),0))</f>
        <v/>
      </c>
      <c r="L888" s="10" t="str">
        <f aca="false">IF($B888="","",$J888+$K888)</f>
        <v/>
      </c>
      <c r="M888" s="9"/>
      <c r="N888" s="10" t="str">
        <f aca="false">IF($B888="","",$L888-$M888)</f>
        <v/>
      </c>
      <c r="O888" s="10" t="str">
        <f aca="false">IF($B888="","",IFERROR(INDEX(Drinks!$E$4:$E$53,MATCH($B888,Drinks!$A$4:$A$53,0)),0))</f>
        <v/>
      </c>
      <c r="P888" s="10" t="str">
        <f aca="false">IF($B888="","",$N888*$O888)</f>
        <v/>
      </c>
      <c r="Q888" s="10" t="str">
        <f aca="false">IF($B888="","",$N888*IFERROR(INDEX(Drinks!$D$4:$D$53,MATCH($B888,Drinks!$A$4:$A$53,0)),0))</f>
        <v/>
      </c>
      <c r="R888" s="10" t="str">
        <f aca="false">IF($B888="","",$P888-$Q888)</f>
        <v/>
      </c>
      <c r="S888" s="23" t="str">
        <f aca="false">IF($B888="","",IF(COUNTIFS($A$4:$A$2003,$A888-1,$B$4:$B$2003,$B888)=0,"first day",IF(SUMIFS($M$4:$M$2003,$A$4:$A$2003,$A888-1,$B$4:$B$2003,$B888)=$J888,"OK","CHECK")))</f>
        <v/>
      </c>
      <c r="T888" s="10" t="str">
        <f aca="false">IF($B888="","",IFERROR(INDEX(Drinks!$D$4:$D$53,MATCH($B888,Drinks!$A$4:$A$53,0)),0))</f>
        <v/>
      </c>
    </row>
    <row r="889" customFormat="false" ht="15" hidden="false" customHeight="false" outlineLevel="0" collapsed="false">
      <c r="A889" s="22"/>
      <c r="B889" s="9"/>
      <c r="C889" s="9"/>
      <c r="D889" s="9"/>
      <c r="E889" s="9"/>
      <c r="F889" s="10" t="str">
        <f aca="false">IF($B889="","",$C889+$D889-$E889)</f>
        <v/>
      </c>
      <c r="G889" s="10" t="str">
        <f aca="false">IF($B889="","",IFERROR(INDEX(Drinks!$C$4:$C$53,MATCH($B889,Drinks!$A$4:$A$53,0)),0))</f>
        <v/>
      </c>
      <c r="H889" s="10" t="str">
        <f aca="false">IF($B889="","",$D889*$G889)</f>
        <v/>
      </c>
      <c r="I889" s="10" t="str">
        <f aca="false">IF($B889="","",$F889*$G889)</f>
        <v/>
      </c>
      <c r="J889" s="9"/>
      <c r="K889" s="10" t="str">
        <f aca="false">IF($B889="","",$E889*IFERROR(INDEX(Drinks!$B$4:$B$53,MATCH($B889,Drinks!$A$4:$A$53,0)),0))</f>
        <v/>
      </c>
      <c r="L889" s="10" t="str">
        <f aca="false">IF($B889="","",$J889+$K889)</f>
        <v/>
      </c>
      <c r="M889" s="9"/>
      <c r="N889" s="10" t="str">
        <f aca="false">IF($B889="","",$L889-$M889)</f>
        <v/>
      </c>
      <c r="O889" s="10" t="str">
        <f aca="false">IF($B889="","",IFERROR(INDEX(Drinks!$E$4:$E$53,MATCH($B889,Drinks!$A$4:$A$53,0)),0))</f>
        <v/>
      </c>
      <c r="P889" s="10" t="str">
        <f aca="false">IF($B889="","",$N889*$O889)</f>
        <v/>
      </c>
      <c r="Q889" s="10" t="str">
        <f aca="false">IF($B889="","",$N889*IFERROR(INDEX(Drinks!$D$4:$D$53,MATCH($B889,Drinks!$A$4:$A$53,0)),0))</f>
        <v/>
      </c>
      <c r="R889" s="10" t="str">
        <f aca="false">IF($B889="","",$P889-$Q889)</f>
        <v/>
      </c>
      <c r="S889" s="23" t="str">
        <f aca="false">IF($B889="","",IF(COUNTIFS($A$4:$A$2003,$A889-1,$B$4:$B$2003,$B889)=0,"first day",IF(SUMIFS($M$4:$M$2003,$A$4:$A$2003,$A889-1,$B$4:$B$2003,$B889)=$J889,"OK","CHECK")))</f>
        <v/>
      </c>
      <c r="T889" s="10" t="str">
        <f aca="false">IF($B889="","",IFERROR(INDEX(Drinks!$D$4:$D$53,MATCH($B889,Drinks!$A$4:$A$53,0)),0))</f>
        <v/>
      </c>
    </row>
    <row r="890" customFormat="false" ht="15" hidden="false" customHeight="false" outlineLevel="0" collapsed="false">
      <c r="A890" s="22"/>
      <c r="B890" s="9"/>
      <c r="C890" s="9"/>
      <c r="D890" s="9"/>
      <c r="E890" s="9"/>
      <c r="F890" s="10" t="str">
        <f aca="false">IF($B890="","",$C890+$D890-$E890)</f>
        <v/>
      </c>
      <c r="G890" s="10" t="str">
        <f aca="false">IF($B890="","",IFERROR(INDEX(Drinks!$C$4:$C$53,MATCH($B890,Drinks!$A$4:$A$53,0)),0))</f>
        <v/>
      </c>
      <c r="H890" s="10" t="str">
        <f aca="false">IF($B890="","",$D890*$G890)</f>
        <v/>
      </c>
      <c r="I890" s="10" t="str">
        <f aca="false">IF($B890="","",$F890*$G890)</f>
        <v/>
      </c>
      <c r="J890" s="9"/>
      <c r="K890" s="10" t="str">
        <f aca="false">IF($B890="","",$E890*IFERROR(INDEX(Drinks!$B$4:$B$53,MATCH($B890,Drinks!$A$4:$A$53,0)),0))</f>
        <v/>
      </c>
      <c r="L890" s="10" t="str">
        <f aca="false">IF($B890="","",$J890+$K890)</f>
        <v/>
      </c>
      <c r="M890" s="9"/>
      <c r="N890" s="10" t="str">
        <f aca="false">IF($B890="","",$L890-$M890)</f>
        <v/>
      </c>
      <c r="O890" s="10" t="str">
        <f aca="false">IF($B890="","",IFERROR(INDEX(Drinks!$E$4:$E$53,MATCH($B890,Drinks!$A$4:$A$53,0)),0))</f>
        <v/>
      </c>
      <c r="P890" s="10" t="str">
        <f aca="false">IF($B890="","",$N890*$O890)</f>
        <v/>
      </c>
      <c r="Q890" s="10" t="str">
        <f aca="false">IF($B890="","",$N890*IFERROR(INDEX(Drinks!$D$4:$D$53,MATCH($B890,Drinks!$A$4:$A$53,0)),0))</f>
        <v/>
      </c>
      <c r="R890" s="10" t="str">
        <f aca="false">IF($B890="","",$P890-$Q890)</f>
        <v/>
      </c>
      <c r="S890" s="23" t="str">
        <f aca="false">IF($B890="","",IF(COUNTIFS($A$4:$A$2003,$A890-1,$B$4:$B$2003,$B890)=0,"first day",IF(SUMIFS($M$4:$M$2003,$A$4:$A$2003,$A890-1,$B$4:$B$2003,$B890)=$J890,"OK","CHECK")))</f>
        <v/>
      </c>
      <c r="T890" s="10" t="str">
        <f aca="false">IF($B890="","",IFERROR(INDEX(Drinks!$D$4:$D$53,MATCH($B890,Drinks!$A$4:$A$53,0)),0))</f>
        <v/>
      </c>
    </row>
    <row r="891" customFormat="false" ht="15" hidden="false" customHeight="false" outlineLevel="0" collapsed="false">
      <c r="A891" s="22"/>
      <c r="B891" s="9"/>
      <c r="C891" s="9"/>
      <c r="D891" s="9"/>
      <c r="E891" s="9"/>
      <c r="F891" s="10" t="str">
        <f aca="false">IF($B891="","",$C891+$D891-$E891)</f>
        <v/>
      </c>
      <c r="G891" s="10" t="str">
        <f aca="false">IF($B891="","",IFERROR(INDEX(Drinks!$C$4:$C$53,MATCH($B891,Drinks!$A$4:$A$53,0)),0))</f>
        <v/>
      </c>
      <c r="H891" s="10" t="str">
        <f aca="false">IF($B891="","",$D891*$G891)</f>
        <v/>
      </c>
      <c r="I891" s="10" t="str">
        <f aca="false">IF($B891="","",$F891*$G891)</f>
        <v/>
      </c>
      <c r="J891" s="9"/>
      <c r="K891" s="10" t="str">
        <f aca="false">IF($B891="","",$E891*IFERROR(INDEX(Drinks!$B$4:$B$53,MATCH($B891,Drinks!$A$4:$A$53,0)),0))</f>
        <v/>
      </c>
      <c r="L891" s="10" t="str">
        <f aca="false">IF($B891="","",$J891+$K891)</f>
        <v/>
      </c>
      <c r="M891" s="9"/>
      <c r="N891" s="10" t="str">
        <f aca="false">IF($B891="","",$L891-$M891)</f>
        <v/>
      </c>
      <c r="O891" s="10" t="str">
        <f aca="false">IF($B891="","",IFERROR(INDEX(Drinks!$E$4:$E$53,MATCH($B891,Drinks!$A$4:$A$53,0)),0))</f>
        <v/>
      </c>
      <c r="P891" s="10" t="str">
        <f aca="false">IF($B891="","",$N891*$O891)</f>
        <v/>
      </c>
      <c r="Q891" s="10" t="str">
        <f aca="false">IF($B891="","",$N891*IFERROR(INDEX(Drinks!$D$4:$D$53,MATCH($B891,Drinks!$A$4:$A$53,0)),0))</f>
        <v/>
      </c>
      <c r="R891" s="10" t="str">
        <f aca="false">IF($B891="","",$P891-$Q891)</f>
        <v/>
      </c>
      <c r="S891" s="23" t="str">
        <f aca="false">IF($B891="","",IF(COUNTIFS($A$4:$A$2003,$A891-1,$B$4:$B$2003,$B891)=0,"first day",IF(SUMIFS($M$4:$M$2003,$A$4:$A$2003,$A891-1,$B$4:$B$2003,$B891)=$J891,"OK","CHECK")))</f>
        <v/>
      </c>
      <c r="T891" s="10" t="str">
        <f aca="false">IF($B891="","",IFERROR(INDEX(Drinks!$D$4:$D$53,MATCH($B891,Drinks!$A$4:$A$53,0)),0))</f>
        <v/>
      </c>
    </row>
    <row r="892" customFormat="false" ht="15" hidden="false" customHeight="false" outlineLevel="0" collapsed="false">
      <c r="A892" s="22"/>
      <c r="B892" s="9"/>
      <c r="C892" s="9"/>
      <c r="D892" s="9"/>
      <c r="E892" s="9"/>
      <c r="F892" s="10" t="str">
        <f aca="false">IF($B892="","",$C892+$D892-$E892)</f>
        <v/>
      </c>
      <c r="G892" s="10" t="str">
        <f aca="false">IF($B892="","",IFERROR(INDEX(Drinks!$C$4:$C$53,MATCH($B892,Drinks!$A$4:$A$53,0)),0))</f>
        <v/>
      </c>
      <c r="H892" s="10" t="str">
        <f aca="false">IF($B892="","",$D892*$G892)</f>
        <v/>
      </c>
      <c r="I892" s="10" t="str">
        <f aca="false">IF($B892="","",$F892*$G892)</f>
        <v/>
      </c>
      <c r="J892" s="9"/>
      <c r="K892" s="10" t="str">
        <f aca="false">IF($B892="","",$E892*IFERROR(INDEX(Drinks!$B$4:$B$53,MATCH($B892,Drinks!$A$4:$A$53,0)),0))</f>
        <v/>
      </c>
      <c r="L892" s="10" t="str">
        <f aca="false">IF($B892="","",$J892+$K892)</f>
        <v/>
      </c>
      <c r="M892" s="9"/>
      <c r="N892" s="10" t="str">
        <f aca="false">IF($B892="","",$L892-$M892)</f>
        <v/>
      </c>
      <c r="O892" s="10" t="str">
        <f aca="false">IF($B892="","",IFERROR(INDEX(Drinks!$E$4:$E$53,MATCH($B892,Drinks!$A$4:$A$53,0)),0))</f>
        <v/>
      </c>
      <c r="P892" s="10" t="str">
        <f aca="false">IF($B892="","",$N892*$O892)</f>
        <v/>
      </c>
      <c r="Q892" s="10" t="str">
        <f aca="false">IF($B892="","",$N892*IFERROR(INDEX(Drinks!$D$4:$D$53,MATCH($B892,Drinks!$A$4:$A$53,0)),0))</f>
        <v/>
      </c>
      <c r="R892" s="10" t="str">
        <f aca="false">IF($B892="","",$P892-$Q892)</f>
        <v/>
      </c>
      <c r="S892" s="23" t="str">
        <f aca="false">IF($B892="","",IF(COUNTIFS($A$4:$A$2003,$A892-1,$B$4:$B$2003,$B892)=0,"first day",IF(SUMIFS($M$4:$M$2003,$A$4:$A$2003,$A892-1,$B$4:$B$2003,$B892)=$J892,"OK","CHECK")))</f>
        <v/>
      </c>
      <c r="T892" s="10" t="str">
        <f aca="false">IF($B892="","",IFERROR(INDEX(Drinks!$D$4:$D$53,MATCH($B892,Drinks!$A$4:$A$53,0)),0))</f>
        <v/>
      </c>
    </row>
    <row r="893" customFormat="false" ht="15" hidden="false" customHeight="false" outlineLevel="0" collapsed="false">
      <c r="A893" s="22"/>
      <c r="B893" s="9"/>
      <c r="C893" s="9"/>
      <c r="D893" s="9"/>
      <c r="E893" s="9"/>
      <c r="F893" s="10" t="str">
        <f aca="false">IF($B893="","",$C893+$D893-$E893)</f>
        <v/>
      </c>
      <c r="G893" s="10" t="str">
        <f aca="false">IF($B893="","",IFERROR(INDEX(Drinks!$C$4:$C$53,MATCH($B893,Drinks!$A$4:$A$53,0)),0))</f>
        <v/>
      </c>
      <c r="H893" s="10" t="str">
        <f aca="false">IF($B893="","",$D893*$G893)</f>
        <v/>
      </c>
      <c r="I893" s="10" t="str">
        <f aca="false">IF($B893="","",$F893*$G893)</f>
        <v/>
      </c>
      <c r="J893" s="9"/>
      <c r="K893" s="10" t="str">
        <f aca="false">IF($B893="","",$E893*IFERROR(INDEX(Drinks!$B$4:$B$53,MATCH($B893,Drinks!$A$4:$A$53,0)),0))</f>
        <v/>
      </c>
      <c r="L893" s="10" t="str">
        <f aca="false">IF($B893="","",$J893+$K893)</f>
        <v/>
      </c>
      <c r="M893" s="9"/>
      <c r="N893" s="10" t="str">
        <f aca="false">IF($B893="","",$L893-$M893)</f>
        <v/>
      </c>
      <c r="O893" s="10" t="str">
        <f aca="false">IF($B893="","",IFERROR(INDEX(Drinks!$E$4:$E$53,MATCH($B893,Drinks!$A$4:$A$53,0)),0))</f>
        <v/>
      </c>
      <c r="P893" s="10" t="str">
        <f aca="false">IF($B893="","",$N893*$O893)</f>
        <v/>
      </c>
      <c r="Q893" s="10" t="str">
        <f aca="false">IF($B893="","",$N893*IFERROR(INDEX(Drinks!$D$4:$D$53,MATCH($B893,Drinks!$A$4:$A$53,0)),0))</f>
        <v/>
      </c>
      <c r="R893" s="10" t="str">
        <f aca="false">IF($B893="","",$P893-$Q893)</f>
        <v/>
      </c>
      <c r="S893" s="23" t="str">
        <f aca="false">IF($B893="","",IF(COUNTIFS($A$4:$A$2003,$A893-1,$B$4:$B$2003,$B893)=0,"first day",IF(SUMIFS($M$4:$M$2003,$A$4:$A$2003,$A893-1,$B$4:$B$2003,$B893)=$J893,"OK","CHECK")))</f>
        <v/>
      </c>
      <c r="T893" s="10" t="str">
        <f aca="false">IF($B893="","",IFERROR(INDEX(Drinks!$D$4:$D$53,MATCH($B893,Drinks!$A$4:$A$53,0)),0))</f>
        <v/>
      </c>
    </row>
    <row r="894" customFormat="false" ht="15" hidden="false" customHeight="false" outlineLevel="0" collapsed="false">
      <c r="A894" s="22"/>
      <c r="B894" s="9"/>
      <c r="C894" s="9"/>
      <c r="D894" s="9"/>
      <c r="E894" s="9"/>
      <c r="F894" s="10" t="str">
        <f aca="false">IF($B894="","",$C894+$D894-$E894)</f>
        <v/>
      </c>
      <c r="G894" s="10" t="str">
        <f aca="false">IF($B894="","",IFERROR(INDEX(Drinks!$C$4:$C$53,MATCH($B894,Drinks!$A$4:$A$53,0)),0))</f>
        <v/>
      </c>
      <c r="H894" s="10" t="str">
        <f aca="false">IF($B894="","",$D894*$G894)</f>
        <v/>
      </c>
      <c r="I894" s="10" t="str">
        <f aca="false">IF($B894="","",$F894*$G894)</f>
        <v/>
      </c>
      <c r="J894" s="9"/>
      <c r="K894" s="10" t="str">
        <f aca="false">IF($B894="","",$E894*IFERROR(INDEX(Drinks!$B$4:$B$53,MATCH($B894,Drinks!$A$4:$A$53,0)),0))</f>
        <v/>
      </c>
      <c r="L894" s="10" t="str">
        <f aca="false">IF($B894="","",$J894+$K894)</f>
        <v/>
      </c>
      <c r="M894" s="9"/>
      <c r="N894" s="10" t="str">
        <f aca="false">IF($B894="","",$L894-$M894)</f>
        <v/>
      </c>
      <c r="O894" s="10" t="str">
        <f aca="false">IF($B894="","",IFERROR(INDEX(Drinks!$E$4:$E$53,MATCH($B894,Drinks!$A$4:$A$53,0)),0))</f>
        <v/>
      </c>
      <c r="P894" s="10" t="str">
        <f aca="false">IF($B894="","",$N894*$O894)</f>
        <v/>
      </c>
      <c r="Q894" s="10" t="str">
        <f aca="false">IF($B894="","",$N894*IFERROR(INDEX(Drinks!$D$4:$D$53,MATCH($B894,Drinks!$A$4:$A$53,0)),0))</f>
        <v/>
      </c>
      <c r="R894" s="10" t="str">
        <f aca="false">IF($B894="","",$P894-$Q894)</f>
        <v/>
      </c>
      <c r="S894" s="23" t="str">
        <f aca="false">IF($B894="","",IF(COUNTIFS($A$4:$A$2003,$A894-1,$B$4:$B$2003,$B894)=0,"first day",IF(SUMIFS($M$4:$M$2003,$A$4:$A$2003,$A894-1,$B$4:$B$2003,$B894)=$J894,"OK","CHECK")))</f>
        <v/>
      </c>
      <c r="T894" s="10" t="str">
        <f aca="false">IF($B894="","",IFERROR(INDEX(Drinks!$D$4:$D$53,MATCH($B894,Drinks!$A$4:$A$53,0)),0))</f>
        <v/>
      </c>
    </row>
    <row r="895" customFormat="false" ht="15" hidden="false" customHeight="false" outlineLevel="0" collapsed="false">
      <c r="A895" s="22"/>
      <c r="B895" s="9"/>
      <c r="C895" s="9"/>
      <c r="D895" s="9"/>
      <c r="E895" s="9"/>
      <c r="F895" s="10" t="str">
        <f aca="false">IF($B895="","",$C895+$D895-$E895)</f>
        <v/>
      </c>
      <c r="G895" s="10" t="str">
        <f aca="false">IF($B895="","",IFERROR(INDEX(Drinks!$C$4:$C$53,MATCH($B895,Drinks!$A$4:$A$53,0)),0))</f>
        <v/>
      </c>
      <c r="H895" s="10" t="str">
        <f aca="false">IF($B895="","",$D895*$G895)</f>
        <v/>
      </c>
      <c r="I895" s="10" t="str">
        <f aca="false">IF($B895="","",$F895*$G895)</f>
        <v/>
      </c>
      <c r="J895" s="9"/>
      <c r="K895" s="10" t="str">
        <f aca="false">IF($B895="","",$E895*IFERROR(INDEX(Drinks!$B$4:$B$53,MATCH($B895,Drinks!$A$4:$A$53,0)),0))</f>
        <v/>
      </c>
      <c r="L895" s="10" t="str">
        <f aca="false">IF($B895="","",$J895+$K895)</f>
        <v/>
      </c>
      <c r="M895" s="9"/>
      <c r="N895" s="10" t="str">
        <f aca="false">IF($B895="","",$L895-$M895)</f>
        <v/>
      </c>
      <c r="O895" s="10" t="str">
        <f aca="false">IF($B895="","",IFERROR(INDEX(Drinks!$E$4:$E$53,MATCH($B895,Drinks!$A$4:$A$53,0)),0))</f>
        <v/>
      </c>
      <c r="P895" s="10" t="str">
        <f aca="false">IF($B895="","",$N895*$O895)</f>
        <v/>
      </c>
      <c r="Q895" s="10" t="str">
        <f aca="false">IF($B895="","",$N895*IFERROR(INDEX(Drinks!$D$4:$D$53,MATCH($B895,Drinks!$A$4:$A$53,0)),0))</f>
        <v/>
      </c>
      <c r="R895" s="10" t="str">
        <f aca="false">IF($B895="","",$P895-$Q895)</f>
        <v/>
      </c>
      <c r="S895" s="23" t="str">
        <f aca="false">IF($B895="","",IF(COUNTIFS($A$4:$A$2003,$A895-1,$B$4:$B$2003,$B895)=0,"first day",IF(SUMIFS($M$4:$M$2003,$A$4:$A$2003,$A895-1,$B$4:$B$2003,$B895)=$J895,"OK","CHECK")))</f>
        <v/>
      </c>
      <c r="T895" s="10" t="str">
        <f aca="false">IF($B895="","",IFERROR(INDEX(Drinks!$D$4:$D$53,MATCH($B895,Drinks!$A$4:$A$53,0)),0))</f>
        <v/>
      </c>
    </row>
    <row r="896" customFormat="false" ht="15" hidden="false" customHeight="false" outlineLevel="0" collapsed="false">
      <c r="A896" s="22"/>
      <c r="B896" s="9"/>
      <c r="C896" s="9"/>
      <c r="D896" s="9"/>
      <c r="E896" s="9"/>
      <c r="F896" s="10" t="str">
        <f aca="false">IF($B896="","",$C896+$D896-$E896)</f>
        <v/>
      </c>
      <c r="G896" s="10" t="str">
        <f aca="false">IF($B896="","",IFERROR(INDEX(Drinks!$C$4:$C$53,MATCH($B896,Drinks!$A$4:$A$53,0)),0))</f>
        <v/>
      </c>
      <c r="H896" s="10" t="str">
        <f aca="false">IF($B896="","",$D896*$G896)</f>
        <v/>
      </c>
      <c r="I896" s="10" t="str">
        <f aca="false">IF($B896="","",$F896*$G896)</f>
        <v/>
      </c>
      <c r="J896" s="9"/>
      <c r="K896" s="10" t="str">
        <f aca="false">IF($B896="","",$E896*IFERROR(INDEX(Drinks!$B$4:$B$53,MATCH($B896,Drinks!$A$4:$A$53,0)),0))</f>
        <v/>
      </c>
      <c r="L896" s="10" t="str">
        <f aca="false">IF($B896="","",$J896+$K896)</f>
        <v/>
      </c>
      <c r="M896" s="9"/>
      <c r="N896" s="10" t="str">
        <f aca="false">IF($B896="","",$L896-$M896)</f>
        <v/>
      </c>
      <c r="O896" s="10" t="str">
        <f aca="false">IF($B896="","",IFERROR(INDEX(Drinks!$E$4:$E$53,MATCH($B896,Drinks!$A$4:$A$53,0)),0))</f>
        <v/>
      </c>
      <c r="P896" s="10" t="str">
        <f aca="false">IF($B896="","",$N896*$O896)</f>
        <v/>
      </c>
      <c r="Q896" s="10" t="str">
        <f aca="false">IF($B896="","",$N896*IFERROR(INDEX(Drinks!$D$4:$D$53,MATCH($B896,Drinks!$A$4:$A$53,0)),0))</f>
        <v/>
      </c>
      <c r="R896" s="10" t="str">
        <f aca="false">IF($B896="","",$P896-$Q896)</f>
        <v/>
      </c>
      <c r="S896" s="23" t="str">
        <f aca="false">IF($B896="","",IF(COUNTIFS($A$4:$A$2003,$A896-1,$B$4:$B$2003,$B896)=0,"first day",IF(SUMIFS($M$4:$M$2003,$A$4:$A$2003,$A896-1,$B$4:$B$2003,$B896)=$J896,"OK","CHECK")))</f>
        <v/>
      </c>
      <c r="T896" s="10" t="str">
        <f aca="false">IF($B896="","",IFERROR(INDEX(Drinks!$D$4:$D$53,MATCH($B896,Drinks!$A$4:$A$53,0)),0))</f>
        <v/>
      </c>
    </row>
    <row r="897" customFormat="false" ht="15" hidden="false" customHeight="false" outlineLevel="0" collapsed="false">
      <c r="A897" s="22"/>
      <c r="B897" s="9"/>
      <c r="C897" s="9"/>
      <c r="D897" s="9"/>
      <c r="E897" s="9"/>
      <c r="F897" s="10" t="str">
        <f aca="false">IF($B897="","",$C897+$D897-$E897)</f>
        <v/>
      </c>
      <c r="G897" s="10" t="str">
        <f aca="false">IF($B897="","",IFERROR(INDEX(Drinks!$C$4:$C$53,MATCH($B897,Drinks!$A$4:$A$53,0)),0))</f>
        <v/>
      </c>
      <c r="H897" s="10" t="str">
        <f aca="false">IF($B897="","",$D897*$G897)</f>
        <v/>
      </c>
      <c r="I897" s="10" t="str">
        <f aca="false">IF($B897="","",$F897*$G897)</f>
        <v/>
      </c>
      <c r="J897" s="9"/>
      <c r="K897" s="10" t="str">
        <f aca="false">IF($B897="","",$E897*IFERROR(INDEX(Drinks!$B$4:$B$53,MATCH($B897,Drinks!$A$4:$A$53,0)),0))</f>
        <v/>
      </c>
      <c r="L897" s="10" t="str">
        <f aca="false">IF($B897="","",$J897+$K897)</f>
        <v/>
      </c>
      <c r="M897" s="9"/>
      <c r="N897" s="10" t="str">
        <f aca="false">IF($B897="","",$L897-$M897)</f>
        <v/>
      </c>
      <c r="O897" s="10" t="str">
        <f aca="false">IF($B897="","",IFERROR(INDEX(Drinks!$E$4:$E$53,MATCH($B897,Drinks!$A$4:$A$53,0)),0))</f>
        <v/>
      </c>
      <c r="P897" s="10" t="str">
        <f aca="false">IF($B897="","",$N897*$O897)</f>
        <v/>
      </c>
      <c r="Q897" s="10" t="str">
        <f aca="false">IF($B897="","",$N897*IFERROR(INDEX(Drinks!$D$4:$D$53,MATCH($B897,Drinks!$A$4:$A$53,0)),0))</f>
        <v/>
      </c>
      <c r="R897" s="10" t="str">
        <f aca="false">IF($B897="","",$P897-$Q897)</f>
        <v/>
      </c>
      <c r="S897" s="23" t="str">
        <f aca="false">IF($B897="","",IF(COUNTIFS($A$4:$A$2003,$A897-1,$B$4:$B$2003,$B897)=0,"first day",IF(SUMIFS($M$4:$M$2003,$A$4:$A$2003,$A897-1,$B$4:$B$2003,$B897)=$J897,"OK","CHECK")))</f>
        <v/>
      </c>
      <c r="T897" s="10" t="str">
        <f aca="false">IF($B897="","",IFERROR(INDEX(Drinks!$D$4:$D$53,MATCH($B897,Drinks!$A$4:$A$53,0)),0))</f>
        <v/>
      </c>
    </row>
    <row r="898" customFormat="false" ht="15" hidden="false" customHeight="false" outlineLevel="0" collapsed="false">
      <c r="A898" s="22"/>
      <c r="B898" s="9"/>
      <c r="C898" s="9"/>
      <c r="D898" s="9"/>
      <c r="E898" s="9"/>
      <c r="F898" s="10" t="str">
        <f aca="false">IF($B898="","",$C898+$D898-$E898)</f>
        <v/>
      </c>
      <c r="G898" s="10" t="str">
        <f aca="false">IF($B898="","",IFERROR(INDEX(Drinks!$C$4:$C$53,MATCH($B898,Drinks!$A$4:$A$53,0)),0))</f>
        <v/>
      </c>
      <c r="H898" s="10" t="str">
        <f aca="false">IF($B898="","",$D898*$G898)</f>
        <v/>
      </c>
      <c r="I898" s="10" t="str">
        <f aca="false">IF($B898="","",$F898*$G898)</f>
        <v/>
      </c>
      <c r="J898" s="9"/>
      <c r="K898" s="10" t="str">
        <f aca="false">IF($B898="","",$E898*IFERROR(INDEX(Drinks!$B$4:$B$53,MATCH($B898,Drinks!$A$4:$A$53,0)),0))</f>
        <v/>
      </c>
      <c r="L898" s="10" t="str">
        <f aca="false">IF($B898="","",$J898+$K898)</f>
        <v/>
      </c>
      <c r="M898" s="9"/>
      <c r="N898" s="10" t="str">
        <f aca="false">IF($B898="","",$L898-$M898)</f>
        <v/>
      </c>
      <c r="O898" s="10" t="str">
        <f aca="false">IF($B898="","",IFERROR(INDEX(Drinks!$E$4:$E$53,MATCH($B898,Drinks!$A$4:$A$53,0)),0))</f>
        <v/>
      </c>
      <c r="P898" s="10" t="str">
        <f aca="false">IF($B898="","",$N898*$O898)</f>
        <v/>
      </c>
      <c r="Q898" s="10" t="str">
        <f aca="false">IF($B898="","",$N898*IFERROR(INDEX(Drinks!$D$4:$D$53,MATCH($B898,Drinks!$A$4:$A$53,0)),0))</f>
        <v/>
      </c>
      <c r="R898" s="10" t="str">
        <f aca="false">IF($B898="","",$P898-$Q898)</f>
        <v/>
      </c>
      <c r="S898" s="23" t="str">
        <f aca="false">IF($B898="","",IF(COUNTIFS($A$4:$A$2003,$A898-1,$B$4:$B$2003,$B898)=0,"first day",IF(SUMIFS($M$4:$M$2003,$A$4:$A$2003,$A898-1,$B$4:$B$2003,$B898)=$J898,"OK","CHECK")))</f>
        <v/>
      </c>
      <c r="T898" s="10" t="str">
        <f aca="false">IF($B898="","",IFERROR(INDEX(Drinks!$D$4:$D$53,MATCH($B898,Drinks!$A$4:$A$53,0)),0))</f>
        <v/>
      </c>
    </row>
    <row r="899" customFormat="false" ht="15" hidden="false" customHeight="false" outlineLevel="0" collapsed="false">
      <c r="A899" s="22"/>
      <c r="B899" s="9"/>
      <c r="C899" s="9"/>
      <c r="D899" s="9"/>
      <c r="E899" s="9"/>
      <c r="F899" s="10" t="str">
        <f aca="false">IF($B899="","",$C899+$D899-$E899)</f>
        <v/>
      </c>
      <c r="G899" s="10" t="str">
        <f aca="false">IF($B899="","",IFERROR(INDEX(Drinks!$C$4:$C$53,MATCH($B899,Drinks!$A$4:$A$53,0)),0))</f>
        <v/>
      </c>
      <c r="H899" s="10" t="str">
        <f aca="false">IF($B899="","",$D899*$G899)</f>
        <v/>
      </c>
      <c r="I899" s="10" t="str">
        <f aca="false">IF($B899="","",$F899*$G899)</f>
        <v/>
      </c>
      <c r="J899" s="9"/>
      <c r="K899" s="10" t="str">
        <f aca="false">IF($B899="","",$E899*IFERROR(INDEX(Drinks!$B$4:$B$53,MATCH($B899,Drinks!$A$4:$A$53,0)),0))</f>
        <v/>
      </c>
      <c r="L899" s="10" t="str">
        <f aca="false">IF($B899="","",$J899+$K899)</f>
        <v/>
      </c>
      <c r="M899" s="9"/>
      <c r="N899" s="10" t="str">
        <f aca="false">IF($B899="","",$L899-$M899)</f>
        <v/>
      </c>
      <c r="O899" s="10" t="str">
        <f aca="false">IF($B899="","",IFERROR(INDEX(Drinks!$E$4:$E$53,MATCH($B899,Drinks!$A$4:$A$53,0)),0))</f>
        <v/>
      </c>
      <c r="P899" s="10" t="str">
        <f aca="false">IF($B899="","",$N899*$O899)</f>
        <v/>
      </c>
      <c r="Q899" s="10" t="str">
        <f aca="false">IF($B899="","",$N899*IFERROR(INDEX(Drinks!$D$4:$D$53,MATCH($B899,Drinks!$A$4:$A$53,0)),0))</f>
        <v/>
      </c>
      <c r="R899" s="10" t="str">
        <f aca="false">IF($B899="","",$P899-$Q899)</f>
        <v/>
      </c>
      <c r="S899" s="23" t="str">
        <f aca="false">IF($B899="","",IF(COUNTIFS($A$4:$A$2003,$A899-1,$B$4:$B$2003,$B899)=0,"first day",IF(SUMIFS($M$4:$M$2003,$A$4:$A$2003,$A899-1,$B$4:$B$2003,$B899)=$J899,"OK","CHECK")))</f>
        <v/>
      </c>
      <c r="T899" s="10" t="str">
        <f aca="false">IF($B899="","",IFERROR(INDEX(Drinks!$D$4:$D$53,MATCH($B899,Drinks!$A$4:$A$53,0)),0))</f>
        <v/>
      </c>
    </row>
    <row r="900" customFormat="false" ht="15" hidden="false" customHeight="false" outlineLevel="0" collapsed="false">
      <c r="A900" s="22"/>
      <c r="B900" s="9"/>
      <c r="C900" s="9"/>
      <c r="D900" s="9"/>
      <c r="E900" s="9"/>
      <c r="F900" s="10" t="str">
        <f aca="false">IF($B900="","",$C900+$D900-$E900)</f>
        <v/>
      </c>
      <c r="G900" s="10" t="str">
        <f aca="false">IF($B900="","",IFERROR(INDEX(Drinks!$C$4:$C$53,MATCH($B900,Drinks!$A$4:$A$53,0)),0))</f>
        <v/>
      </c>
      <c r="H900" s="10" t="str">
        <f aca="false">IF($B900="","",$D900*$G900)</f>
        <v/>
      </c>
      <c r="I900" s="10" t="str">
        <f aca="false">IF($B900="","",$F900*$G900)</f>
        <v/>
      </c>
      <c r="J900" s="9"/>
      <c r="K900" s="10" t="str">
        <f aca="false">IF($B900="","",$E900*IFERROR(INDEX(Drinks!$B$4:$B$53,MATCH($B900,Drinks!$A$4:$A$53,0)),0))</f>
        <v/>
      </c>
      <c r="L900" s="10" t="str">
        <f aca="false">IF($B900="","",$J900+$K900)</f>
        <v/>
      </c>
      <c r="M900" s="9"/>
      <c r="N900" s="10" t="str">
        <f aca="false">IF($B900="","",$L900-$M900)</f>
        <v/>
      </c>
      <c r="O900" s="10" t="str">
        <f aca="false">IF($B900="","",IFERROR(INDEX(Drinks!$E$4:$E$53,MATCH($B900,Drinks!$A$4:$A$53,0)),0))</f>
        <v/>
      </c>
      <c r="P900" s="10" t="str">
        <f aca="false">IF($B900="","",$N900*$O900)</f>
        <v/>
      </c>
      <c r="Q900" s="10" t="str">
        <f aca="false">IF($B900="","",$N900*IFERROR(INDEX(Drinks!$D$4:$D$53,MATCH($B900,Drinks!$A$4:$A$53,0)),0))</f>
        <v/>
      </c>
      <c r="R900" s="10" t="str">
        <f aca="false">IF($B900="","",$P900-$Q900)</f>
        <v/>
      </c>
      <c r="S900" s="23" t="str">
        <f aca="false">IF($B900="","",IF(COUNTIFS($A$4:$A$2003,$A900-1,$B$4:$B$2003,$B900)=0,"first day",IF(SUMIFS($M$4:$M$2003,$A$4:$A$2003,$A900-1,$B$4:$B$2003,$B900)=$J900,"OK","CHECK")))</f>
        <v/>
      </c>
      <c r="T900" s="10" t="str">
        <f aca="false">IF($B900="","",IFERROR(INDEX(Drinks!$D$4:$D$53,MATCH($B900,Drinks!$A$4:$A$53,0)),0))</f>
        <v/>
      </c>
    </row>
    <row r="901" customFormat="false" ht="15" hidden="false" customHeight="false" outlineLevel="0" collapsed="false">
      <c r="A901" s="22"/>
      <c r="B901" s="9"/>
      <c r="C901" s="9"/>
      <c r="D901" s="9"/>
      <c r="E901" s="9"/>
      <c r="F901" s="10" t="str">
        <f aca="false">IF($B901="","",$C901+$D901-$E901)</f>
        <v/>
      </c>
      <c r="G901" s="10" t="str">
        <f aca="false">IF($B901="","",IFERROR(INDEX(Drinks!$C$4:$C$53,MATCH($B901,Drinks!$A$4:$A$53,0)),0))</f>
        <v/>
      </c>
      <c r="H901" s="10" t="str">
        <f aca="false">IF($B901="","",$D901*$G901)</f>
        <v/>
      </c>
      <c r="I901" s="10" t="str">
        <f aca="false">IF($B901="","",$F901*$G901)</f>
        <v/>
      </c>
      <c r="J901" s="9"/>
      <c r="K901" s="10" t="str">
        <f aca="false">IF($B901="","",$E901*IFERROR(INDEX(Drinks!$B$4:$B$53,MATCH($B901,Drinks!$A$4:$A$53,0)),0))</f>
        <v/>
      </c>
      <c r="L901" s="10" t="str">
        <f aca="false">IF($B901="","",$J901+$K901)</f>
        <v/>
      </c>
      <c r="M901" s="9"/>
      <c r="N901" s="10" t="str">
        <f aca="false">IF($B901="","",$L901-$M901)</f>
        <v/>
      </c>
      <c r="O901" s="10" t="str">
        <f aca="false">IF($B901="","",IFERROR(INDEX(Drinks!$E$4:$E$53,MATCH($B901,Drinks!$A$4:$A$53,0)),0))</f>
        <v/>
      </c>
      <c r="P901" s="10" t="str">
        <f aca="false">IF($B901="","",$N901*$O901)</f>
        <v/>
      </c>
      <c r="Q901" s="10" t="str">
        <f aca="false">IF($B901="","",$N901*IFERROR(INDEX(Drinks!$D$4:$D$53,MATCH($B901,Drinks!$A$4:$A$53,0)),0))</f>
        <v/>
      </c>
      <c r="R901" s="10" t="str">
        <f aca="false">IF($B901="","",$P901-$Q901)</f>
        <v/>
      </c>
      <c r="S901" s="23" t="str">
        <f aca="false">IF($B901="","",IF(COUNTIFS($A$4:$A$2003,$A901-1,$B$4:$B$2003,$B901)=0,"first day",IF(SUMIFS($M$4:$M$2003,$A$4:$A$2003,$A901-1,$B$4:$B$2003,$B901)=$J901,"OK","CHECK")))</f>
        <v/>
      </c>
      <c r="T901" s="10" t="str">
        <f aca="false">IF($B901="","",IFERROR(INDEX(Drinks!$D$4:$D$53,MATCH($B901,Drinks!$A$4:$A$53,0)),0))</f>
        <v/>
      </c>
    </row>
    <row r="902" customFormat="false" ht="15" hidden="false" customHeight="false" outlineLevel="0" collapsed="false">
      <c r="A902" s="22"/>
      <c r="B902" s="9"/>
      <c r="C902" s="9"/>
      <c r="D902" s="9"/>
      <c r="E902" s="9"/>
      <c r="F902" s="10" t="str">
        <f aca="false">IF($B902="","",$C902+$D902-$E902)</f>
        <v/>
      </c>
      <c r="G902" s="10" t="str">
        <f aca="false">IF($B902="","",IFERROR(INDEX(Drinks!$C$4:$C$53,MATCH($B902,Drinks!$A$4:$A$53,0)),0))</f>
        <v/>
      </c>
      <c r="H902" s="10" t="str">
        <f aca="false">IF($B902="","",$D902*$G902)</f>
        <v/>
      </c>
      <c r="I902" s="10" t="str">
        <f aca="false">IF($B902="","",$F902*$G902)</f>
        <v/>
      </c>
      <c r="J902" s="9"/>
      <c r="K902" s="10" t="str">
        <f aca="false">IF($B902="","",$E902*IFERROR(INDEX(Drinks!$B$4:$B$53,MATCH($B902,Drinks!$A$4:$A$53,0)),0))</f>
        <v/>
      </c>
      <c r="L902" s="10" t="str">
        <f aca="false">IF($B902="","",$J902+$K902)</f>
        <v/>
      </c>
      <c r="M902" s="9"/>
      <c r="N902" s="10" t="str">
        <f aca="false">IF($B902="","",$L902-$M902)</f>
        <v/>
      </c>
      <c r="O902" s="10" t="str">
        <f aca="false">IF($B902="","",IFERROR(INDEX(Drinks!$E$4:$E$53,MATCH($B902,Drinks!$A$4:$A$53,0)),0))</f>
        <v/>
      </c>
      <c r="P902" s="10" t="str">
        <f aca="false">IF($B902="","",$N902*$O902)</f>
        <v/>
      </c>
      <c r="Q902" s="10" t="str">
        <f aca="false">IF($B902="","",$N902*IFERROR(INDEX(Drinks!$D$4:$D$53,MATCH($B902,Drinks!$A$4:$A$53,0)),0))</f>
        <v/>
      </c>
      <c r="R902" s="10" t="str">
        <f aca="false">IF($B902="","",$P902-$Q902)</f>
        <v/>
      </c>
      <c r="S902" s="23" t="str">
        <f aca="false">IF($B902="","",IF(COUNTIFS($A$4:$A$2003,$A902-1,$B$4:$B$2003,$B902)=0,"first day",IF(SUMIFS($M$4:$M$2003,$A$4:$A$2003,$A902-1,$B$4:$B$2003,$B902)=$J902,"OK","CHECK")))</f>
        <v/>
      </c>
      <c r="T902" s="10" t="str">
        <f aca="false">IF($B902="","",IFERROR(INDEX(Drinks!$D$4:$D$53,MATCH($B902,Drinks!$A$4:$A$53,0)),0))</f>
        <v/>
      </c>
    </row>
    <row r="903" customFormat="false" ht="15" hidden="false" customHeight="false" outlineLevel="0" collapsed="false">
      <c r="A903" s="22"/>
      <c r="B903" s="9"/>
      <c r="C903" s="9"/>
      <c r="D903" s="9"/>
      <c r="E903" s="9"/>
      <c r="F903" s="10" t="str">
        <f aca="false">IF($B903="","",$C903+$D903-$E903)</f>
        <v/>
      </c>
      <c r="G903" s="10" t="str">
        <f aca="false">IF($B903="","",IFERROR(INDEX(Drinks!$C$4:$C$53,MATCH($B903,Drinks!$A$4:$A$53,0)),0))</f>
        <v/>
      </c>
      <c r="H903" s="10" t="str">
        <f aca="false">IF($B903="","",$D903*$G903)</f>
        <v/>
      </c>
      <c r="I903" s="10" t="str">
        <f aca="false">IF($B903="","",$F903*$G903)</f>
        <v/>
      </c>
      <c r="J903" s="9"/>
      <c r="K903" s="10" t="str">
        <f aca="false">IF($B903="","",$E903*IFERROR(INDEX(Drinks!$B$4:$B$53,MATCH($B903,Drinks!$A$4:$A$53,0)),0))</f>
        <v/>
      </c>
      <c r="L903" s="10" t="str">
        <f aca="false">IF($B903="","",$J903+$K903)</f>
        <v/>
      </c>
      <c r="M903" s="9"/>
      <c r="N903" s="10" t="str">
        <f aca="false">IF($B903="","",$L903-$M903)</f>
        <v/>
      </c>
      <c r="O903" s="10" t="str">
        <f aca="false">IF($B903="","",IFERROR(INDEX(Drinks!$E$4:$E$53,MATCH($B903,Drinks!$A$4:$A$53,0)),0))</f>
        <v/>
      </c>
      <c r="P903" s="10" t="str">
        <f aca="false">IF($B903="","",$N903*$O903)</f>
        <v/>
      </c>
      <c r="Q903" s="10" t="str">
        <f aca="false">IF($B903="","",$N903*IFERROR(INDEX(Drinks!$D$4:$D$53,MATCH($B903,Drinks!$A$4:$A$53,0)),0))</f>
        <v/>
      </c>
      <c r="R903" s="10" t="str">
        <f aca="false">IF($B903="","",$P903-$Q903)</f>
        <v/>
      </c>
      <c r="S903" s="23" t="str">
        <f aca="false">IF($B903="","",IF(COUNTIFS($A$4:$A$2003,$A903-1,$B$4:$B$2003,$B903)=0,"first day",IF(SUMIFS($M$4:$M$2003,$A$4:$A$2003,$A903-1,$B$4:$B$2003,$B903)=$J903,"OK","CHECK")))</f>
        <v/>
      </c>
      <c r="T903" s="10" t="str">
        <f aca="false">IF($B903="","",IFERROR(INDEX(Drinks!$D$4:$D$53,MATCH($B903,Drinks!$A$4:$A$53,0)),0))</f>
        <v/>
      </c>
    </row>
    <row r="904" customFormat="false" ht="15" hidden="false" customHeight="false" outlineLevel="0" collapsed="false">
      <c r="A904" s="22"/>
      <c r="B904" s="9"/>
      <c r="C904" s="9"/>
      <c r="D904" s="9"/>
      <c r="E904" s="9"/>
      <c r="F904" s="10" t="str">
        <f aca="false">IF($B904="","",$C904+$D904-$E904)</f>
        <v/>
      </c>
      <c r="G904" s="10" t="str">
        <f aca="false">IF($B904="","",IFERROR(INDEX(Drinks!$C$4:$C$53,MATCH($B904,Drinks!$A$4:$A$53,0)),0))</f>
        <v/>
      </c>
      <c r="H904" s="10" t="str">
        <f aca="false">IF($B904="","",$D904*$G904)</f>
        <v/>
      </c>
      <c r="I904" s="10" t="str">
        <f aca="false">IF($B904="","",$F904*$G904)</f>
        <v/>
      </c>
      <c r="J904" s="9"/>
      <c r="K904" s="10" t="str">
        <f aca="false">IF($B904="","",$E904*IFERROR(INDEX(Drinks!$B$4:$B$53,MATCH($B904,Drinks!$A$4:$A$53,0)),0))</f>
        <v/>
      </c>
      <c r="L904" s="10" t="str">
        <f aca="false">IF($B904="","",$J904+$K904)</f>
        <v/>
      </c>
      <c r="M904" s="9"/>
      <c r="N904" s="10" t="str">
        <f aca="false">IF($B904="","",$L904-$M904)</f>
        <v/>
      </c>
      <c r="O904" s="10" t="str">
        <f aca="false">IF($B904="","",IFERROR(INDEX(Drinks!$E$4:$E$53,MATCH($B904,Drinks!$A$4:$A$53,0)),0))</f>
        <v/>
      </c>
      <c r="P904" s="10" t="str">
        <f aca="false">IF($B904="","",$N904*$O904)</f>
        <v/>
      </c>
      <c r="Q904" s="10" t="str">
        <f aca="false">IF($B904="","",$N904*IFERROR(INDEX(Drinks!$D$4:$D$53,MATCH($B904,Drinks!$A$4:$A$53,0)),0))</f>
        <v/>
      </c>
      <c r="R904" s="10" t="str">
        <f aca="false">IF($B904="","",$P904-$Q904)</f>
        <v/>
      </c>
      <c r="S904" s="23" t="str">
        <f aca="false">IF($B904="","",IF(COUNTIFS($A$4:$A$2003,$A904-1,$B$4:$B$2003,$B904)=0,"first day",IF(SUMIFS($M$4:$M$2003,$A$4:$A$2003,$A904-1,$B$4:$B$2003,$B904)=$J904,"OK","CHECK")))</f>
        <v/>
      </c>
      <c r="T904" s="10" t="str">
        <f aca="false">IF($B904="","",IFERROR(INDEX(Drinks!$D$4:$D$53,MATCH($B904,Drinks!$A$4:$A$53,0)),0))</f>
        <v/>
      </c>
    </row>
    <row r="905" customFormat="false" ht="15" hidden="false" customHeight="false" outlineLevel="0" collapsed="false">
      <c r="A905" s="22"/>
      <c r="B905" s="9"/>
      <c r="C905" s="9"/>
      <c r="D905" s="9"/>
      <c r="E905" s="9"/>
      <c r="F905" s="10" t="str">
        <f aca="false">IF($B905="","",$C905+$D905-$E905)</f>
        <v/>
      </c>
      <c r="G905" s="10" t="str">
        <f aca="false">IF($B905="","",IFERROR(INDEX(Drinks!$C$4:$C$53,MATCH($B905,Drinks!$A$4:$A$53,0)),0))</f>
        <v/>
      </c>
      <c r="H905" s="10" t="str">
        <f aca="false">IF($B905="","",$D905*$G905)</f>
        <v/>
      </c>
      <c r="I905" s="10" t="str">
        <f aca="false">IF($B905="","",$F905*$G905)</f>
        <v/>
      </c>
      <c r="J905" s="9"/>
      <c r="K905" s="10" t="str">
        <f aca="false">IF($B905="","",$E905*IFERROR(INDEX(Drinks!$B$4:$B$53,MATCH($B905,Drinks!$A$4:$A$53,0)),0))</f>
        <v/>
      </c>
      <c r="L905" s="10" t="str">
        <f aca="false">IF($B905="","",$J905+$K905)</f>
        <v/>
      </c>
      <c r="M905" s="9"/>
      <c r="N905" s="10" t="str">
        <f aca="false">IF($B905="","",$L905-$M905)</f>
        <v/>
      </c>
      <c r="O905" s="10" t="str">
        <f aca="false">IF($B905="","",IFERROR(INDEX(Drinks!$E$4:$E$53,MATCH($B905,Drinks!$A$4:$A$53,0)),0))</f>
        <v/>
      </c>
      <c r="P905" s="10" t="str">
        <f aca="false">IF($B905="","",$N905*$O905)</f>
        <v/>
      </c>
      <c r="Q905" s="10" t="str">
        <f aca="false">IF($B905="","",$N905*IFERROR(INDEX(Drinks!$D$4:$D$53,MATCH($B905,Drinks!$A$4:$A$53,0)),0))</f>
        <v/>
      </c>
      <c r="R905" s="10" t="str">
        <f aca="false">IF($B905="","",$P905-$Q905)</f>
        <v/>
      </c>
      <c r="S905" s="23" t="str">
        <f aca="false">IF($B905="","",IF(COUNTIFS($A$4:$A$2003,$A905-1,$B$4:$B$2003,$B905)=0,"first day",IF(SUMIFS($M$4:$M$2003,$A$4:$A$2003,$A905-1,$B$4:$B$2003,$B905)=$J905,"OK","CHECK")))</f>
        <v/>
      </c>
      <c r="T905" s="10" t="str">
        <f aca="false">IF($B905="","",IFERROR(INDEX(Drinks!$D$4:$D$53,MATCH($B905,Drinks!$A$4:$A$53,0)),0))</f>
        <v/>
      </c>
    </row>
    <row r="906" customFormat="false" ht="15" hidden="false" customHeight="false" outlineLevel="0" collapsed="false">
      <c r="A906" s="22"/>
      <c r="B906" s="9"/>
      <c r="C906" s="9"/>
      <c r="D906" s="9"/>
      <c r="E906" s="9"/>
      <c r="F906" s="10" t="str">
        <f aca="false">IF($B906="","",$C906+$D906-$E906)</f>
        <v/>
      </c>
      <c r="G906" s="10" t="str">
        <f aca="false">IF($B906="","",IFERROR(INDEX(Drinks!$C$4:$C$53,MATCH($B906,Drinks!$A$4:$A$53,0)),0))</f>
        <v/>
      </c>
      <c r="H906" s="10" t="str">
        <f aca="false">IF($B906="","",$D906*$G906)</f>
        <v/>
      </c>
      <c r="I906" s="10" t="str">
        <f aca="false">IF($B906="","",$F906*$G906)</f>
        <v/>
      </c>
      <c r="J906" s="9"/>
      <c r="K906" s="10" t="str">
        <f aca="false">IF($B906="","",$E906*IFERROR(INDEX(Drinks!$B$4:$B$53,MATCH($B906,Drinks!$A$4:$A$53,0)),0))</f>
        <v/>
      </c>
      <c r="L906" s="10" t="str">
        <f aca="false">IF($B906="","",$J906+$K906)</f>
        <v/>
      </c>
      <c r="M906" s="9"/>
      <c r="N906" s="10" t="str">
        <f aca="false">IF($B906="","",$L906-$M906)</f>
        <v/>
      </c>
      <c r="O906" s="10" t="str">
        <f aca="false">IF($B906="","",IFERROR(INDEX(Drinks!$E$4:$E$53,MATCH($B906,Drinks!$A$4:$A$53,0)),0))</f>
        <v/>
      </c>
      <c r="P906" s="10" t="str">
        <f aca="false">IF($B906="","",$N906*$O906)</f>
        <v/>
      </c>
      <c r="Q906" s="10" t="str">
        <f aca="false">IF($B906="","",$N906*IFERROR(INDEX(Drinks!$D$4:$D$53,MATCH($B906,Drinks!$A$4:$A$53,0)),0))</f>
        <v/>
      </c>
      <c r="R906" s="10" t="str">
        <f aca="false">IF($B906="","",$P906-$Q906)</f>
        <v/>
      </c>
      <c r="S906" s="23" t="str">
        <f aca="false">IF($B906="","",IF(COUNTIFS($A$4:$A$2003,$A906-1,$B$4:$B$2003,$B906)=0,"first day",IF(SUMIFS($M$4:$M$2003,$A$4:$A$2003,$A906-1,$B$4:$B$2003,$B906)=$J906,"OK","CHECK")))</f>
        <v/>
      </c>
      <c r="T906" s="10" t="str">
        <f aca="false">IF($B906="","",IFERROR(INDEX(Drinks!$D$4:$D$53,MATCH($B906,Drinks!$A$4:$A$53,0)),0))</f>
        <v/>
      </c>
    </row>
    <row r="907" customFormat="false" ht="15" hidden="false" customHeight="false" outlineLevel="0" collapsed="false">
      <c r="A907" s="22"/>
      <c r="B907" s="9"/>
      <c r="C907" s="9"/>
      <c r="D907" s="9"/>
      <c r="E907" s="9"/>
      <c r="F907" s="10" t="str">
        <f aca="false">IF($B907="","",$C907+$D907-$E907)</f>
        <v/>
      </c>
      <c r="G907" s="10" t="str">
        <f aca="false">IF($B907="","",IFERROR(INDEX(Drinks!$C$4:$C$53,MATCH($B907,Drinks!$A$4:$A$53,0)),0))</f>
        <v/>
      </c>
      <c r="H907" s="10" t="str">
        <f aca="false">IF($B907="","",$D907*$G907)</f>
        <v/>
      </c>
      <c r="I907" s="10" t="str">
        <f aca="false">IF($B907="","",$F907*$G907)</f>
        <v/>
      </c>
      <c r="J907" s="9"/>
      <c r="K907" s="10" t="str">
        <f aca="false">IF($B907="","",$E907*IFERROR(INDEX(Drinks!$B$4:$B$53,MATCH($B907,Drinks!$A$4:$A$53,0)),0))</f>
        <v/>
      </c>
      <c r="L907" s="10" t="str">
        <f aca="false">IF($B907="","",$J907+$K907)</f>
        <v/>
      </c>
      <c r="M907" s="9"/>
      <c r="N907" s="10" t="str">
        <f aca="false">IF($B907="","",$L907-$M907)</f>
        <v/>
      </c>
      <c r="O907" s="10" t="str">
        <f aca="false">IF($B907="","",IFERROR(INDEX(Drinks!$E$4:$E$53,MATCH($B907,Drinks!$A$4:$A$53,0)),0))</f>
        <v/>
      </c>
      <c r="P907" s="10" t="str">
        <f aca="false">IF($B907="","",$N907*$O907)</f>
        <v/>
      </c>
      <c r="Q907" s="10" t="str">
        <f aca="false">IF($B907="","",$N907*IFERROR(INDEX(Drinks!$D$4:$D$53,MATCH($B907,Drinks!$A$4:$A$53,0)),0))</f>
        <v/>
      </c>
      <c r="R907" s="10" t="str">
        <f aca="false">IF($B907="","",$P907-$Q907)</f>
        <v/>
      </c>
      <c r="S907" s="23" t="str">
        <f aca="false">IF($B907="","",IF(COUNTIFS($A$4:$A$2003,$A907-1,$B$4:$B$2003,$B907)=0,"first day",IF(SUMIFS($M$4:$M$2003,$A$4:$A$2003,$A907-1,$B$4:$B$2003,$B907)=$J907,"OK","CHECK")))</f>
        <v/>
      </c>
      <c r="T907" s="10" t="str">
        <f aca="false">IF($B907="","",IFERROR(INDEX(Drinks!$D$4:$D$53,MATCH($B907,Drinks!$A$4:$A$53,0)),0))</f>
        <v/>
      </c>
    </row>
    <row r="908" customFormat="false" ht="15" hidden="false" customHeight="false" outlineLevel="0" collapsed="false">
      <c r="A908" s="22"/>
      <c r="B908" s="9"/>
      <c r="C908" s="9"/>
      <c r="D908" s="9"/>
      <c r="E908" s="9"/>
      <c r="F908" s="10" t="str">
        <f aca="false">IF($B908="","",$C908+$D908-$E908)</f>
        <v/>
      </c>
      <c r="G908" s="10" t="str">
        <f aca="false">IF($B908="","",IFERROR(INDEX(Drinks!$C$4:$C$53,MATCH($B908,Drinks!$A$4:$A$53,0)),0))</f>
        <v/>
      </c>
      <c r="H908" s="10" t="str">
        <f aca="false">IF($B908="","",$D908*$G908)</f>
        <v/>
      </c>
      <c r="I908" s="10" t="str">
        <f aca="false">IF($B908="","",$F908*$G908)</f>
        <v/>
      </c>
      <c r="J908" s="9"/>
      <c r="K908" s="10" t="str">
        <f aca="false">IF($B908="","",$E908*IFERROR(INDEX(Drinks!$B$4:$B$53,MATCH($B908,Drinks!$A$4:$A$53,0)),0))</f>
        <v/>
      </c>
      <c r="L908" s="10" t="str">
        <f aca="false">IF($B908="","",$J908+$K908)</f>
        <v/>
      </c>
      <c r="M908" s="9"/>
      <c r="N908" s="10" t="str">
        <f aca="false">IF($B908="","",$L908-$M908)</f>
        <v/>
      </c>
      <c r="O908" s="10" t="str">
        <f aca="false">IF($B908="","",IFERROR(INDEX(Drinks!$E$4:$E$53,MATCH($B908,Drinks!$A$4:$A$53,0)),0))</f>
        <v/>
      </c>
      <c r="P908" s="10" t="str">
        <f aca="false">IF($B908="","",$N908*$O908)</f>
        <v/>
      </c>
      <c r="Q908" s="10" t="str">
        <f aca="false">IF($B908="","",$N908*IFERROR(INDEX(Drinks!$D$4:$D$53,MATCH($B908,Drinks!$A$4:$A$53,0)),0))</f>
        <v/>
      </c>
      <c r="R908" s="10" t="str">
        <f aca="false">IF($B908="","",$P908-$Q908)</f>
        <v/>
      </c>
      <c r="S908" s="23" t="str">
        <f aca="false">IF($B908="","",IF(COUNTIFS($A$4:$A$2003,$A908-1,$B$4:$B$2003,$B908)=0,"first day",IF(SUMIFS($M$4:$M$2003,$A$4:$A$2003,$A908-1,$B$4:$B$2003,$B908)=$J908,"OK","CHECK")))</f>
        <v/>
      </c>
      <c r="T908" s="10" t="str">
        <f aca="false">IF($B908="","",IFERROR(INDEX(Drinks!$D$4:$D$53,MATCH($B908,Drinks!$A$4:$A$53,0)),0))</f>
        <v/>
      </c>
    </row>
    <row r="909" customFormat="false" ht="15" hidden="false" customHeight="false" outlineLevel="0" collapsed="false">
      <c r="A909" s="22"/>
      <c r="B909" s="9"/>
      <c r="C909" s="9"/>
      <c r="D909" s="9"/>
      <c r="E909" s="9"/>
      <c r="F909" s="10" t="str">
        <f aca="false">IF($B909="","",$C909+$D909-$E909)</f>
        <v/>
      </c>
      <c r="G909" s="10" t="str">
        <f aca="false">IF($B909="","",IFERROR(INDEX(Drinks!$C$4:$C$53,MATCH($B909,Drinks!$A$4:$A$53,0)),0))</f>
        <v/>
      </c>
      <c r="H909" s="10" t="str">
        <f aca="false">IF($B909="","",$D909*$G909)</f>
        <v/>
      </c>
      <c r="I909" s="10" t="str">
        <f aca="false">IF($B909="","",$F909*$G909)</f>
        <v/>
      </c>
      <c r="J909" s="9"/>
      <c r="K909" s="10" t="str">
        <f aca="false">IF($B909="","",$E909*IFERROR(INDEX(Drinks!$B$4:$B$53,MATCH($B909,Drinks!$A$4:$A$53,0)),0))</f>
        <v/>
      </c>
      <c r="L909" s="10" t="str">
        <f aca="false">IF($B909="","",$J909+$K909)</f>
        <v/>
      </c>
      <c r="M909" s="9"/>
      <c r="N909" s="10" t="str">
        <f aca="false">IF($B909="","",$L909-$M909)</f>
        <v/>
      </c>
      <c r="O909" s="10" t="str">
        <f aca="false">IF($B909="","",IFERROR(INDEX(Drinks!$E$4:$E$53,MATCH($B909,Drinks!$A$4:$A$53,0)),0))</f>
        <v/>
      </c>
      <c r="P909" s="10" t="str">
        <f aca="false">IF($B909="","",$N909*$O909)</f>
        <v/>
      </c>
      <c r="Q909" s="10" t="str">
        <f aca="false">IF($B909="","",$N909*IFERROR(INDEX(Drinks!$D$4:$D$53,MATCH($B909,Drinks!$A$4:$A$53,0)),0))</f>
        <v/>
      </c>
      <c r="R909" s="10" t="str">
        <f aca="false">IF($B909="","",$P909-$Q909)</f>
        <v/>
      </c>
      <c r="S909" s="23" t="str">
        <f aca="false">IF($B909="","",IF(COUNTIFS($A$4:$A$2003,$A909-1,$B$4:$B$2003,$B909)=0,"first day",IF(SUMIFS($M$4:$M$2003,$A$4:$A$2003,$A909-1,$B$4:$B$2003,$B909)=$J909,"OK","CHECK")))</f>
        <v/>
      </c>
      <c r="T909" s="10" t="str">
        <f aca="false">IF($B909="","",IFERROR(INDEX(Drinks!$D$4:$D$53,MATCH($B909,Drinks!$A$4:$A$53,0)),0))</f>
        <v/>
      </c>
    </row>
    <row r="910" customFormat="false" ht="15" hidden="false" customHeight="false" outlineLevel="0" collapsed="false">
      <c r="A910" s="22"/>
      <c r="B910" s="9"/>
      <c r="C910" s="9"/>
      <c r="D910" s="9"/>
      <c r="E910" s="9"/>
      <c r="F910" s="10" t="str">
        <f aca="false">IF($B910="","",$C910+$D910-$E910)</f>
        <v/>
      </c>
      <c r="G910" s="10" t="str">
        <f aca="false">IF($B910="","",IFERROR(INDEX(Drinks!$C$4:$C$53,MATCH($B910,Drinks!$A$4:$A$53,0)),0))</f>
        <v/>
      </c>
      <c r="H910" s="10" t="str">
        <f aca="false">IF($B910="","",$D910*$G910)</f>
        <v/>
      </c>
      <c r="I910" s="10" t="str">
        <f aca="false">IF($B910="","",$F910*$G910)</f>
        <v/>
      </c>
      <c r="J910" s="9"/>
      <c r="K910" s="10" t="str">
        <f aca="false">IF($B910="","",$E910*IFERROR(INDEX(Drinks!$B$4:$B$53,MATCH($B910,Drinks!$A$4:$A$53,0)),0))</f>
        <v/>
      </c>
      <c r="L910" s="10" t="str">
        <f aca="false">IF($B910="","",$J910+$K910)</f>
        <v/>
      </c>
      <c r="M910" s="9"/>
      <c r="N910" s="10" t="str">
        <f aca="false">IF($B910="","",$L910-$M910)</f>
        <v/>
      </c>
      <c r="O910" s="10" t="str">
        <f aca="false">IF($B910="","",IFERROR(INDEX(Drinks!$E$4:$E$53,MATCH($B910,Drinks!$A$4:$A$53,0)),0))</f>
        <v/>
      </c>
      <c r="P910" s="10" t="str">
        <f aca="false">IF($B910="","",$N910*$O910)</f>
        <v/>
      </c>
      <c r="Q910" s="10" t="str">
        <f aca="false">IF($B910="","",$N910*IFERROR(INDEX(Drinks!$D$4:$D$53,MATCH($B910,Drinks!$A$4:$A$53,0)),0))</f>
        <v/>
      </c>
      <c r="R910" s="10" t="str">
        <f aca="false">IF($B910="","",$P910-$Q910)</f>
        <v/>
      </c>
      <c r="S910" s="23" t="str">
        <f aca="false">IF($B910="","",IF(COUNTIFS($A$4:$A$2003,$A910-1,$B$4:$B$2003,$B910)=0,"first day",IF(SUMIFS($M$4:$M$2003,$A$4:$A$2003,$A910-1,$B$4:$B$2003,$B910)=$J910,"OK","CHECK")))</f>
        <v/>
      </c>
      <c r="T910" s="10" t="str">
        <f aca="false">IF($B910="","",IFERROR(INDEX(Drinks!$D$4:$D$53,MATCH($B910,Drinks!$A$4:$A$53,0)),0))</f>
        <v/>
      </c>
    </row>
    <row r="911" customFormat="false" ht="15" hidden="false" customHeight="false" outlineLevel="0" collapsed="false">
      <c r="A911" s="22"/>
      <c r="B911" s="9"/>
      <c r="C911" s="9"/>
      <c r="D911" s="9"/>
      <c r="E911" s="9"/>
      <c r="F911" s="10" t="str">
        <f aca="false">IF($B911="","",$C911+$D911-$E911)</f>
        <v/>
      </c>
      <c r="G911" s="10" t="str">
        <f aca="false">IF($B911="","",IFERROR(INDEX(Drinks!$C$4:$C$53,MATCH($B911,Drinks!$A$4:$A$53,0)),0))</f>
        <v/>
      </c>
      <c r="H911" s="10" t="str">
        <f aca="false">IF($B911="","",$D911*$G911)</f>
        <v/>
      </c>
      <c r="I911" s="10" t="str">
        <f aca="false">IF($B911="","",$F911*$G911)</f>
        <v/>
      </c>
      <c r="J911" s="9"/>
      <c r="K911" s="10" t="str">
        <f aca="false">IF($B911="","",$E911*IFERROR(INDEX(Drinks!$B$4:$B$53,MATCH($B911,Drinks!$A$4:$A$53,0)),0))</f>
        <v/>
      </c>
      <c r="L911" s="10" t="str">
        <f aca="false">IF($B911="","",$J911+$K911)</f>
        <v/>
      </c>
      <c r="M911" s="9"/>
      <c r="N911" s="10" t="str">
        <f aca="false">IF($B911="","",$L911-$M911)</f>
        <v/>
      </c>
      <c r="O911" s="10" t="str">
        <f aca="false">IF($B911="","",IFERROR(INDEX(Drinks!$E$4:$E$53,MATCH($B911,Drinks!$A$4:$A$53,0)),0))</f>
        <v/>
      </c>
      <c r="P911" s="10" t="str">
        <f aca="false">IF($B911="","",$N911*$O911)</f>
        <v/>
      </c>
      <c r="Q911" s="10" t="str">
        <f aca="false">IF($B911="","",$N911*IFERROR(INDEX(Drinks!$D$4:$D$53,MATCH($B911,Drinks!$A$4:$A$53,0)),0))</f>
        <v/>
      </c>
      <c r="R911" s="10" t="str">
        <f aca="false">IF($B911="","",$P911-$Q911)</f>
        <v/>
      </c>
      <c r="S911" s="23" t="str">
        <f aca="false">IF($B911="","",IF(COUNTIFS($A$4:$A$2003,$A911-1,$B$4:$B$2003,$B911)=0,"first day",IF(SUMIFS($M$4:$M$2003,$A$4:$A$2003,$A911-1,$B$4:$B$2003,$B911)=$J911,"OK","CHECK")))</f>
        <v/>
      </c>
      <c r="T911" s="10" t="str">
        <f aca="false">IF($B911="","",IFERROR(INDEX(Drinks!$D$4:$D$53,MATCH($B911,Drinks!$A$4:$A$53,0)),0))</f>
        <v/>
      </c>
    </row>
    <row r="912" customFormat="false" ht="15" hidden="false" customHeight="false" outlineLevel="0" collapsed="false">
      <c r="A912" s="22"/>
      <c r="B912" s="9"/>
      <c r="C912" s="9"/>
      <c r="D912" s="9"/>
      <c r="E912" s="9"/>
      <c r="F912" s="10" t="str">
        <f aca="false">IF($B912="","",$C912+$D912-$E912)</f>
        <v/>
      </c>
      <c r="G912" s="10" t="str">
        <f aca="false">IF($B912="","",IFERROR(INDEX(Drinks!$C$4:$C$53,MATCH($B912,Drinks!$A$4:$A$53,0)),0))</f>
        <v/>
      </c>
      <c r="H912" s="10" t="str">
        <f aca="false">IF($B912="","",$D912*$G912)</f>
        <v/>
      </c>
      <c r="I912" s="10" t="str">
        <f aca="false">IF($B912="","",$F912*$G912)</f>
        <v/>
      </c>
      <c r="J912" s="9"/>
      <c r="K912" s="10" t="str">
        <f aca="false">IF($B912="","",$E912*IFERROR(INDEX(Drinks!$B$4:$B$53,MATCH($B912,Drinks!$A$4:$A$53,0)),0))</f>
        <v/>
      </c>
      <c r="L912" s="10" t="str">
        <f aca="false">IF($B912="","",$J912+$K912)</f>
        <v/>
      </c>
      <c r="M912" s="9"/>
      <c r="N912" s="10" t="str">
        <f aca="false">IF($B912="","",$L912-$M912)</f>
        <v/>
      </c>
      <c r="O912" s="10" t="str">
        <f aca="false">IF($B912="","",IFERROR(INDEX(Drinks!$E$4:$E$53,MATCH($B912,Drinks!$A$4:$A$53,0)),0))</f>
        <v/>
      </c>
      <c r="P912" s="10" t="str">
        <f aca="false">IF($B912="","",$N912*$O912)</f>
        <v/>
      </c>
      <c r="Q912" s="10" t="str">
        <f aca="false">IF($B912="","",$N912*IFERROR(INDEX(Drinks!$D$4:$D$53,MATCH($B912,Drinks!$A$4:$A$53,0)),0))</f>
        <v/>
      </c>
      <c r="R912" s="10" t="str">
        <f aca="false">IF($B912="","",$P912-$Q912)</f>
        <v/>
      </c>
      <c r="S912" s="23" t="str">
        <f aca="false">IF($B912="","",IF(COUNTIFS($A$4:$A$2003,$A912-1,$B$4:$B$2003,$B912)=0,"first day",IF(SUMIFS($M$4:$M$2003,$A$4:$A$2003,$A912-1,$B$4:$B$2003,$B912)=$J912,"OK","CHECK")))</f>
        <v/>
      </c>
      <c r="T912" s="10" t="str">
        <f aca="false">IF($B912="","",IFERROR(INDEX(Drinks!$D$4:$D$53,MATCH($B912,Drinks!$A$4:$A$53,0)),0))</f>
        <v/>
      </c>
    </row>
    <row r="913" customFormat="false" ht="15" hidden="false" customHeight="false" outlineLevel="0" collapsed="false">
      <c r="A913" s="22"/>
      <c r="B913" s="9"/>
      <c r="C913" s="9"/>
      <c r="D913" s="9"/>
      <c r="E913" s="9"/>
      <c r="F913" s="10" t="str">
        <f aca="false">IF($B913="","",$C913+$D913-$E913)</f>
        <v/>
      </c>
      <c r="G913" s="10" t="str">
        <f aca="false">IF($B913="","",IFERROR(INDEX(Drinks!$C$4:$C$53,MATCH($B913,Drinks!$A$4:$A$53,0)),0))</f>
        <v/>
      </c>
      <c r="H913" s="10" t="str">
        <f aca="false">IF($B913="","",$D913*$G913)</f>
        <v/>
      </c>
      <c r="I913" s="10" t="str">
        <f aca="false">IF($B913="","",$F913*$G913)</f>
        <v/>
      </c>
      <c r="J913" s="9"/>
      <c r="K913" s="10" t="str">
        <f aca="false">IF($B913="","",$E913*IFERROR(INDEX(Drinks!$B$4:$B$53,MATCH($B913,Drinks!$A$4:$A$53,0)),0))</f>
        <v/>
      </c>
      <c r="L913" s="10" t="str">
        <f aca="false">IF($B913="","",$J913+$K913)</f>
        <v/>
      </c>
      <c r="M913" s="9"/>
      <c r="N913" s="10" t="str">
        <f aca="false">IF($B913="","",$L913-$M913)</f>
        <v/>
      </c>
      <c r="O913" s="10" t="str">
        <f aca="false">IF($B913="","",IFERROR(INDEX(Drinks!$E$4:$E$53,MATCH($B913,Drinks!$A$4:$A$53,0)),0))</f>
        <v/>
      </c>
      <c r="P913" s="10" t="str">
        <f aca="false">IF($B913="","",$N913*$O913)</f>
        <v/>
      </c>
      <c r="Q913" s="10" t="str">
        <f aca="false">IF($B913="","",$N913*IFERROR(INDEX(Drinks!$D$4:$D$53,MATCH($B913,Drinks!$A$4:$A$53,0)),0))</f>
        <v/>
      </c>
      <c r="R913" s="10" t="str">
        <f aca="false">IF($B913="","",$P913-$Q913)</f>
        <v/>
      </c>
      <c r="S913" s="23" t="str">
        <f aca="false">IF($B913="","",IF(COUNTIFS($A$4:$A$2003,$A913-1,$B$4:$B$2003,$B913)=0,"first day",IF(SUMIFS($M$4:$M$2003,$A$4:$A$2003,$A913-1,$B$4:$B$2003,$B913)=$J913,"OK","CHECK")))</f>
        <v/>
      </c>
      <c r="T913" s="10" t="str">
        <f aca="false">IF($B913="","",IFERROR(INDEX(Drinks!$D$4:$D$53,MATCH($B913,Drinks!$A$4:$A$53,0)),0))</f>
        <v/>
      </c>
    </row>
    <row r="914" customFormat="false" ht="15" hidden="false" customHeight="false" outlineLevel="0" collapsed="false">
      <c r="A914" s="22"/>
      <c r="B914" s="9"/>
      <c r="C914" s="9"/>
      <c r="D914" s="9"/>
      <c r="E914" s="9"/>
      <c r="F914" s="10" t="str">
        <f aca="false">IF($B914="","",$C914+$D914-$E914)</f>
        <v/>
      </c>
      <c r="G914" s="10" t="str">
        <f aca="false">IF($B914="","",IFERROR(INDEX(Drinks!$C$4:$C$53,MATCH($B914,Drinks!$A$4:$A$53,0)),0))</f>
        <v/>
      </c>
      <c r="H914" s="10" t="str">
        <f aca="false">IF($B914="","",$D914*$G914)</f>
        <v/>
      </c>
      <c r="I914" s="10" t="str">
        <f aca="false">IF($B914="","",$F914*$G914)</f>
        <v/>
      </c>
      <c r="J914" s="9"/>
      <c r="K914" s="10" t="str">
        <f aca="false">IF($B914="","",$E914*IFERROR(INDEX(Drinks!$B$4:$B$53,MATCH($B914,Drinks!$A$4:$A$53,0)),0))</f>
        <v/>
      </c>
      <c r="L914" s="10" t="str">
        <f aca="false">IF($B914="","",$J914+$K914)</f>
        <v/>
      </c>
      <c r="M914" s="9"/>
      <c r="N914" s="10" t="str">
        <f aca="false">IF($B914="","",$L914-$M914)</f>
        <v/>
      </c>
      <c r="O914" s="10" t="str">
        <f aca="false">IF($B914="","",IFERROR(INDEX(Drinks!$E$4:$E$53,MATCH($B914,Drinks!$A$4:$A$53,0)),0))</f>
        <v/>
      </c>
      <c r="P914" s="10" t="str">
        <f aca="false">IF($B914="","",$N914*$O914)</f>
        <v/>
      </c>
      <c r="Q914" s="10" t="str">
        <f aca="false">IF($B914="","",$N914*IFERROR(INDEX(Drinks!$D$4:$D$53,MATCH($B914,Drinks!$A$4:$A$53,0)),0))</f>
        <v/>
      </c>
      <c r="R914" s="10" t="str">
        <f aca="false">IF($B914="","",$P914-$Q914)</f>
        <v/>
      </c>
      <c r="S914" s="23" t="str">
        <f aca="false">IF($B914="","",IF(COUNTIFS($A$4:$A$2003,$A914-1,$B$4:$B$2003,$B914)=0,"first day",IF(SUMIFS($M$4:$M$2003,$A$4:$A$2003,$A914-1,$B$4:$B$2003,$B914)=$J914,"OK","CHECK")))</f>
        <v/>
      </c>
      <c r="T914" s="10" t="str">
        <f aca="false">IF($B914="","",IFERROR(INDEX(Drinks!$D$4:$D$53,MATCH($B914,Drinks!$A$4:$A$53,0)),0))</f>
        <v/>
      </c>
    </row>
    <row r="915" customFormat="false" ht="15" hidden="false" customHeight="false" outlineLevel="0" collapsed="false">
      <c r="A915" s="22"/>
      <c r="B915" s="9"/>
      <c r="C915" s="9"/>
      <c r="D915" s="9"/>
      <c r="E915" s="9"/>
      <c r="F915" s="10" t="str">
        <f aca="false">IF($B915="","",$C915+$D915-$E915)</f>
        <v/>
      </c>
      <c r="G915" s="10" t="str">
        <f aca="false">IF($B915="","",IFERROR(INDEX(Drinks!$C$4:$C$53,MATCH($B915,Drinks!$A$4:$A$53,0)),0))</f>
        <v/>
      </c>
      <c r="H915" s="10" t="str">
        <f aca="false">IF($B915="","",$D915*$G915)</f>
        <v/>
      </c>
      <c r="I915" s="10" t="str">
        <f aca="false">IF($B915="","",$F915*$G915)</f>
        <v/>
      </c>
      <c r="J915" s="9"/>
      <c r="K915" s="10" t="str">
        <f aca="false">IF($B915="","",$E915*IFERROR(INDEX(Drinks!$B$4:$B$53,MATCH($B915,Drinks!$A$4:$A$53,0)),0))</f>
        <v/>
      </c>
      <c r="L915" s="10" t="str">
        <f aca="false">IF($B915="","",$J915+$K915)</f>
        <v/>
      </c>
      <c r="M915" s="9"/>
      <c r="N915" s="10" t="str">
        <f aca="false">IF($B915="","",$L915-$M915)</f>
        <v/>
      </c>
      <c r="O915" s="10" t="str">
        <f aca="false">IF($B915="","",IFERROR(INDEX(Drinks!$E$4:$E$53,MATCH($B915,Drinks!$A$4:$A$53,0)),0))</f>
        <v/>
      </c>
      <c r="P915" s="10" t="str">
        <f aca="false">IF($B915="","",$N915*$O915)</f>
        <v/>
      </c>
      <c r="Q915" s="10" t="str">
        <f aca="false">IF($B915="","",$N915*IFERROR(INDEX(Drinks!$D$4:$D$53,MATCH($B915,Drinks!$A$4:$A$53,0)),0))</f>
        <v/>
      </c>
      <c r="R915" s="10" t="str">
        <f aca="false">IF($B915="","",$P915-$Q915)</f>
        <v/>
      </c>
      <c r="S915" s="23" t="str">
        <f aca="false">IF($B915="","",IF(COUNTIFS($A$4:$A$2003,$A915-1,$B$4:$B$2003,$B915)=0,"first day",IF(SUMIFS($M$4:$M$2003,$A$4:$A$2003,$A915-1,$B$4:$B$2003,$B915)=$J915,"OK","CHECK")))</f>
        <v/>
      </c>
      <c r="T915" s="10" t="str">
        <f aca="false">IF($B915="","",IFERROR(INDEX(Drinks!$D$4:$D$53,MATCH($B915,Drinks!$A$4:$A$53,0)),0))</f>
        <v/>
      </c>
    </row>
    <row r="916" customFormat="false" ht="15" hidden="false" customHeight="false" outlineLevel="0" collapsed="false">
      <c r="A916" s="22"/>
      <c r="B916" s="9"/>
      <c r="C916" s="9"/>
      <c r="D916" s="9"/>
      <c r="E916" s="9"/>
      <c r="F916" s="10" t="str">
        <f aca="false">IF($B916="","",$C916+$D916-$E916)</f>
        <v/>
      </c>
      <c r="G916" s="10" t="str">
        <f aca="false">IF($B916="","",IFERROR(INDEX(Drinks!$C$4:$C$53,MATCH($B916,Drinks!$A$4:$A$53,0)),0))</f>
        <v/>
      </c>
      <c r="H916" s="10" t="str">
        <f aca="false">IF($B916="","",$D916*$G916)</f>
        <v/>
      </c>
      <c r="I916" s="10" t="str">
        <f aca="false">IF($B916="","",$F916*$G916)</f>
        <v/>
      </c>
      <c r="J916" s="9"/>
      <c r="K916" s="10" t="str">
        <f aca="false">IF($B916="","",$E916*IFERROR(INDEX(Drinks!$B$4:$B$53,MATCH($B916,Drinks!$A$4:$A$53,0)),0))</f>
        <v/>
      </c>
      <c r="L916" s="10" t="str">
        <f aca="false">IF($B916="","",$J916+$K916)</f>
        <v/>
      </c>
      <c r="M916" s="9"/>
      <c r="N916" s="10" t="str">
        <f aca="false">IF($B916="","",$L916-$M916)</f>
        <v/>
      </c>
      <c r="O916" s="10" t="str">
        <f aca="false">IF($B916="","",IFERROR(INDEX(Drinks!$E$4:$E$53,MATCH($B916,Drinks!$A$4:$A$53,0)),0))</f>
        <v/>
      </c>
      <c r="P916" s="10" t="str">
        <f aca="false">IF($B916="","",$N916*$O916)</f>
        <v/>
      </c>
      <c r="Q916" s="10" t="str">
        <f aca="false">IF($B916="","",$N916*IFERROR(INDEX(Drinks!$D$4:$D$53,MATCH($B916,Drinks!$A$4:$A$53,0)),0))</f>
        <v/>
      </c>
      <c r="R916" s="10" t="str">
        <f aca="false">IF($B916="","",$P916-$Q916)</f>
        <v/>
      </c>
      <c r="S916" s="23" t="str">
        <f aca="false">IF($B916="","",IF(COUNTIFS($A$4:$A$2003,$A916-1,$B$4:$B$2003,$B916)=0,"first day",IF(SUMIFS($M$4:$M$2003,$A$4:$A$2003,$A916-1,$B$4:$B$2003,$B916)=$J916,"OK","CHECK")))</f>
        <v/>
      </c>
      <c r="T916" s="10" t="str">
        <f aca="false">IF($B916="","",IFERROR(INDEX(Drinks!$D$4:$D$53,MATCH($B916,Drinks!$A$4:$A$53,0)),0))</f>
        <v/>
      </c>
    </row>
    <row r="917" customFormat="false" ht="15" hidden="false" customHeight="false" outlineLevel="0" collapsed="false">
      <c r="A917" s="22"/>
      <c r="B917" s="9"/>
      <c r="C917" s="9"/>
      <c r="D917" s="9"/>
      <c r="E917" s="9"/>
      <c r="F917" s="10" t="str">
        <f aca="false">IF($B917="","",$C917+$D917-$E917)</f>
        <v/>
      </c>
      <c r="G917" s="10" t="str">
        <f aca="false">IF($B917="","",IFERROR(INDEX(Drinks!$C$4:$C$53,MATCH($B917,Drinks!$A$4:$A$53,0)),0))</f>
        <v/>
      </c>
      <c r="H917" s="10" t="str">
        <f aca="false">IF($B917="","",$D917*$G917)</f>
        <v/>
      </c>
      <c r="I917" s="10" t="str">
        <f aca="false">IF($B917="","",$F917*$G917)</f>
        <v/>
      </c>
      <c r="J917" s="9"/>
      <c r="K917" s="10" t="str">
        <f aca="false">IF($B917="","",$E917*IFERROR(INDEX(Drinks!$B$4:$B$53,MATCH($B917,Drinks!$A$4:$A$53,0)),0))</f>
        <v/>
      </c>
      <c r="L917" s="10" t="str">
        <f aca="false">IF($B917="","",$J917+$K917)</f>
        <v/>
      </c>
      <c r="M917" s="9"/>
      <c r="N917" s="10" t="str">
        <f aca="false">IF($B917="","",$L917-$M917)</f>
        <v/>
      </c>
      <c r="O917" s="10" t="str">
        <f aca="false">IF($B917="","",IFERROR(INDEX(Drinks!$E$4:$E$53,MATCH($B917,Drinks!$A$4:$A$53,0)),0))</f>
        <v/>
      </c>
      <c r="P917" s="10" t="str">
        <f aca="false">IF($B917="","",$N917*$O917)</f>
        <v/>
      </c>
      <c r="Q917" s="10" t="str">
        <f aca="false">IF($B917="","",$N917*IFERROR(INDEX(Drinks!$D$4:$D$53,MATCH($B917,Drinks!$A$4:$A$53,0)),0))</f>
        <v/>
      </c>
      <c r="R917" s="10" t="str">
        <f aca="false">IF($B917="","",$P917-$Q917)</f>
        <v/>
      </c>
      <c r="S917" s="23" t="str">
        <f aca="false">IF($B917="","",IF(COUNTIFS($A$4:$A$2003,$A917-1,$B$4:$B$2003,$B917)=0,"first day",IF(SUMIFS($M$4:$M$2003,$A$4:$A$2003,$A917-1,$B$4:$B$2003,$B917)=$J917,"OK","CHECK")))</f>
        <v/>
      </c>
      <c r="T917" s="10" t="str">
        <f aca="false">IF($B917="","",IFERROR(INDEX(Drinks!$D$4:$D$53,MATCH($B917,Drinks!$A$4:$A$53,0)),0))</f>
        <v/>
      </c>
    </row>
    <row r="918" customFormat="false" ht="15" hidden="false" customHeight="false" outlineLevel="0" collapsed="false">
      <c r="A918" s="22"/>
      <c r="B918" s="9"/>
      <c r="C918" s="9"/>
      <c r="D918" s="9"/>
      <c r="E918" s="9"/>
      <c r="F918" s="10" t="str">
        <f aca="false">IF($B918="","",$C918+$D918-$E918)</f>
        <v/>
      </c>
      <c r="G918" s="10" t="str">
        <f aca="false">IF($B918="","",IFERROR(INDEX(Drinks!$C$4:$C$53,MATCH($B918,Drinks!$A$4:$A$53,0)),0))</f>
        <v/>
      </c>
      <c r="H918" s="10" t="str">
        <f aca="false">IF($B918="","",$D918*$G918)</f>
        <v/>
      </c>
      <c r="I918" s="10" t="str">
        <f aca="false">IF($B918="","",$F918*$G918)</f>
        <v/>
      </c>
      <c r="J918" s="9"/>
      <c r="K918" s="10" t="str">
        <f aca="false">IF($B918="","",$E918*IFERROR(INDEX(Drinks!$B$4:$B$53,MATCH($B918,Drinks!$A$4:$A$53,0)),0))</f>
        <v/>
      </c>
      <c r="L918" s="10" t="str">
        <f aca="false">IF($B918="","",$J918+$K918)</f>
        <v/>
      </c>
      <c r="M918" s="9"/>
      <c r="N918" s="10" t="str">
        <f aca="false">IF($B918="","",$L918-$M918)</f>
        <v/>
      </c>
      <c r="O918" s="10" t="str">
        <f aca="false">IF($B918="","",IFERROR(INDEX(Drinks!$E$4:$E$53,MATCH($B918,Drinks!$A$4:$A$53,0)),0))</f>
        <v/>
      </c>
      <c r="P918" s="10" t="str">
        <f aca="false">IF($B918="","",$N918*$O918)</f>
        <v/>
      </c>
      <c r="Q918" s="10" t="str">
        <f aca="false">IF($B918="","",$N918*IFERROR(INDEX(Drinks!$D$4:$D$53,MATCH($B918,Drinks!$A$4:$A$53,0)),0))</f>
        <v/>
      </c>
      <c r="R918" s="10" t="str">
        <f aca="false">IF($B918="","",$P918-$Q918)</f>
        <v/>
      </c>
      <c r="S918" s="23" t="str">
        <f aca="false">IF($B918="","",IF(COUNTIFS($A$4:$A$2003,$A918-1,$B$4:$B$2003,$B918)=0,"first day",IF(SUMIFS($M$4:$M$2003,$A$4:$A$2003,$A918-1,$B$4:$B$2003,$B918)=$J918,"OK","CHECK")))</f>
        <v/>
      </c>
      <c r="T918" s="10" t="str">
        <f aca="false">IF($B918="","",IFERROR(INDEX(Drinks!$D$4:$D$53,MATCH($B918,Drinks!$A$4:$A$53,0)),0))</f>
        <v/>
      </c>
    </row>
    <row r="919" customFormat="false" ht="15" hidden="false" customHeight="false" outlineLevel="0" collapsed="false">
      <c r="A919" s="22"/>
      <c r="B919" s="9"/>
      <c r="C919" s="9"/>
      <c r="D919" s="9"/>
      <c r="E919" s="9"/>
      <c r="F919" s="10" t="str">
        <f aca="false">IF($B919="","",$C919+$D919-$E919)</f>
        <v/>
      </c>
      <c r="G919" s="10" t="str">
        <f aca="false">IF($B919="","",IFERROR(INDEX(Drinks!$C$4:$C$53,MATCH($B919,Drinks!$A$4:$A$53,0)),0))</f>
        <v/>
      </c>
      <c r="H919" s="10" t="str">
        <f aca="false">IF($B919="","",$D919*$G919)</f>
        <v/>
      </c>
      <c r="I919" s="10" t="str">
        <f aca="false">IF($B919="","",$F919*$G919)</f>
        <v/>
      </c>
      <c r="J919" s="9"/>
      <c r="K919" s="10" t="str">
        <f aca="false">IF($B919="","",$E919*IFERROR(INDEX(Drinks!$B$4:$B$53,MATCH($B919,Drinks!$A$4:$A$53,0)),0))</f>
        <v/>
      </c>
      <c r="L919" s="10" t="str">
        <f aca="false">IF($B919="","",$J919+$K919)</f>
        <v/>
      </c>
      <c r="M919" s="9"/>
      <c r="N919" s="10" t="str">
        <f aca="false">IF($B919="","",$L919-$M919)</f>
        <v/>
      </c>
      <c r="O919" s="10" t="str">
        <f aca="false">IF($B919="","",IFERROR(INDEX(Drinks!$E$4:$E$53,MATCH($B919,Drinks!$A$4:$A$53,0)),0))</f>
        <v/>
      </c>
      <c r="P919" s="10" t="str">
        <f aca="false">IF($B919="","",$N919*$O919)</f>
        <v/>
      </c>
      <c r="Q919" s="10" t="str">
        <f aca="false">IF($B919="","",$N919*IFERROR(INDEX(Drinks!$D$4:$D$53,MATCH($B919,Drinks!$A$4:$A$53,0)),0))</f>
        <v/>
      </c>
      <c r="R919" s="10" t="str">
        <f aca="false">IF($B919="","",$P919-$Q919)</f>
        <v/>
      </c>
      <c r="S919" s="23" t="str">
        <f aca="false">IF($B919="","",IF(COUNTIFS($A$4:$A$2003,$A919-1,$B$4:$B$2003,$B919)=0,"first day",IF(SUMIFS($M$4:$M$2003,$A$4:$A$2003,$A919-1,$B$4:$B$2003,$B919)=$J919,"OK","CHECK")))</f>
        <v/>
      </c>
      <c r="T919" s="10" t="str">
        <f aca="false">IF($B919="","",IFERROR(INDEX(Drinks!$D$4:$D$53,MATCH($B919,Drinks!$A$4:$A$53,0)),0))</f>
        <v/>
      </c>
    </row>
    <row r="920" customFormat="false" ht="15" hidden="false" customHeight="false" outlineLevel="0" collapsed="false">
      <c r="A920" s="22"/>
      <c r="B920" s="9"/>
      <c r="C920" s="9"/>
      <c r="D920" s="9"/>
      <c r="E920" s="9"/>
      <c r="F920" s="10" t="str">
        <f aca="false">IF($B920="","",$C920+$D920-$E920)</f>
        <v/>
      </c>
      <c r="G920" s="10" t="str">
        <f aca="false">IF($B920="","",IFERROR(INDEX(Drinks!$C$4:$C$53,MATCH($B920,Drinks!$A$4:$A$53,0)),0))</f>
        <v/>
      </c>
      <c r="H920" s="10" t="str">
        <f aca="false">IF($B920="","",$D920*$G920)</f>
        <v/>
      </c>
      <c r="I920" s="10" t="str">
        <f aca="false">IF($B920="","",$F920*$G920)</f>
        <v/>
      </c>
      <c r="J920" s="9"/>
      <c r="K920" s="10" t="str">
        <f aca="false">IF($B920="","",$E920*IFERROR(INDEX(Drinks!$B$4:$B$53,MATCH($B920,Drinks!$A$4:$A$53,0)),0))</f>
        <v/>
      </c>
      <c r="L920" s="10" t="str">
        <f aca="false">IF($B920="","",$J920+$K920)</f>
        <v/>
      </c>
      <c r="M920" s="9"/>
      <c r="N920" s="10" t="str">
        <f aca="false">IF($B920="","",$L920-$M920)</f>
        <v/>
      </c>
      <c r="O920" s="10" t="str">
        <f aca="false">IF($B920="","",IFERROR(INDEX(Drinks!$E$4:$E$53,MATCH($B920,Drinks!$A$4:$A$53,0)),0))</f>
        <v/>
      </c>
      <c r="P920" s="10" t="str">
        <f aca="false">IF($B920="","",$N920*$O920)</f>
        <v/>
      </c>
      <c r="Q920" s="10" t="str">
        <f aca="false">IF($B920="","",$N920*IFERROR(INDEX(Drinks!$D$4:$D$53,MATCH($B920,Drinks!$A$4:$A$53,0)),0))</f>
        <v/>
      </c>
      <c r="R920" s="10" t="str">
        <f aca="false">IF($B920="","",$P920-$Q920)</f>
        <v/>
      </c>
      <c r="S920" s="23" t="str">
        <f aca="false">IF($B920="","",IF(COUNTIFS($A$4:$A$2003,$A920-1,$B$4:$B$2003,$B920)=0,"first day",IF(SUMIFS($M$4:$M$2003,$A$4:$A$2003,$A920-1,$B$4:$B$2003,$B920)=$J920,"OK","CHECK")))</f>
        <v/>
      </c>
      <c r="T920" s="10" t="str">
        <f aca="false">IF($B920="","",IFERROR(INDEX(Drinks!$D$4:$D$53,MATCH($B920,Drinks!$A$4:$A$53,0)),0))</f>
        <v/>
      </c>
    </row>
    <row r="921" customFormat="false" ht="15" hidden="false" customHeight="false" outlineLevel="0" collapsed="false">
      <c r="A921" s="22"/>
      <c r="B921" s="9"/>
      <c r="C921" s="9"/>
      <c r="D921" s="9"/>
      <c r="E921" s="9"/>
      <c r="F921" s="10" t="str">
        <f aca="false">IF($B921="","",$C921+$D921-$E921)</f>
        <v/>
      </c>
      <c r="G921" s="10" t="str">
        <f aca="false">IF($B921="","",IFERROR(INDEX(Drinks!$C$4:$C$53,MATCH($B921,Drinks!$A$4:$A$53,0)),0))</f>
        <v/>
      </c>
      <c r="H921" s="10" t="str">
        <f aca="false">IF($B921="","",$D921*$G921)</f>
        <v/>
      </c>
      <c r="I921" s="10" t="str">
        <f aca="false">IF($B921="","",$F921*$G921)</f>
        <v/>
      </c>
      <c r="J921" s="9"/>
      <c r="K921" s="10" t="str">
        <f aca="false">IF($B921="","",$E921*IFERROR(INDEX(Drinks!$B$4:$B$53,MATCH($B921,Drinks!$A$4:$A$53,0)),0))</f>
        <v/>
      </c>
      <c r="L921" s="10" t="str">
        <f aca="false">IF($B921="","",$J921+$K921)</f>
        <v/>
      </c>
      <c r="M921" s="9"/>
      <c r="N921" s="10" t="str">
        <f aca="false">IF($B921="","",$L921-$M921)</f>
        <v/>
      </c>
      <c r="O921" s="10" t="str">
        <f aca="false">IF($B921="","",IFERROR(INDEX(Drinks!$E$4:$E$53,MATCH($B921,Drinks!$A$4:$A$53,0)),0))</f>
        <v/>
      </c>
      <c r="P921" s="10" t="str">
        <f aca="false">IF($B921="","",$N921*$O921)</f>
        <v/>
      </c>
      <c r="Q921" s="10" t="str">
        <f aca="false">IF($B921="","",$N921*IFERROR(INDEX(Drinks!$D$4:$D$53,MATCH($B921,Drinks!$A$4:$A$53,0)),0))</f>
        <v/>
      </c>
      <c r="R921" s="10" t="str">
        <f aca="false">IF($B921="","",$P921-$Q921)</f>
        <v/>
      </c>
      <c r="S921" s="23" t="str">
        <f aca="false">IF($B921="","",IF(COUNTIFS($A$4:$A$2003,$A921-1,$B$4:$B$2003,$B921)=0,"first day",IF(SUMIFS($M$4:$M$2003,$A$4:$A$2003,$A921-1,$B$4:$B$2003,$B921)=$J921,"OK","CHECK")))</f>
        <v/>
      </c>
      <c r="T921" s="10" t="str">
        <f aca="false">IF($B921="","",IFERROR(INDEX(Drinks!$D$4:$D$53,MATCH($B921,Drinks!$A$4:$A$53,0)),0))</f>
        <v/>
      </c>
    </row>
    <row r="922" customFormat="false" ht="15" hidden="false" customHeight="false" outlineLevel="0" collapsed="false">
      <c r="A922" s="22"/>
      <c r="B922" s="9"/>
      <c r="C922" s="9"/>
      <c r="D922" s="9"/>
      <c r="E922" s="9"/>
      <c r="F922" s="10" t="str">
        <f aca="false">IF($B922="","",$C922+$D922-$E922)</f>
        <v/>
      </c>
      <c r="G922" s="10" t="str">
        <f aca="false">IF($B922="","",IFERROR(INDEX(Drinks!$C$4:$C$53,MATCH($B922,Drinks!$A$4:$A$53,0)),0))</f>
        <v/>
      </c>
      <c r="H922" s="10" t="str">
        <f aca="false">IF($B922="","",$D922*$G922)</f>
        <v/>
      </c>
      <c r="I922" s="10" t="str">
        <f aca="false">IF($B922="","",$F922*$G922)</f>
        <v/>
      </c>
      <c r="J922" s="9"/>
      <c r="K922" s="10" t="str">
        <f aca="false">IF($B922="","",$E922*IFERROR(INDEX(Drinks!$B$4:$B$53,MATCH($B922,Drinks!$A$4:$A$53,0)),0))</f>
        <v/>
      </c>
      <c r="L922" s="10" t="str">
        <f aca="false">IF($B922="","",$J922+$K922)</f>
        <v/>
      </c>
      <c r="M922" s="9"/>
      <c r="N922" s="10" t="str">
        <f aca="false">IF($B922="","",$L922-$M922)</f>
        <v/>
      </c>
      <c r="O922" s="10" t="str">
        <f aca="false">IF($B922="","",IFERROR(INDEX(Drinks!$E$4:$E$53,MATCH($B922,Drinks!$A$4:$A$53,0)),0))</f>
        <v/>
      </c>
      <c r="P922" s="10" t="str">
        <f aca="false">IF($B922="","",$N922*$O922)</f>
        <v/>
      </c>
      <c r="Q922" s="10" t="str">
        <f aca="false">IF($B922="","",$N922*IFERROR(INDEX(Drinks!$D$4:$D$53,MATCH($B922,Drinks!$A$4:$A$53,0)),0))</f>
        <v/>
      </c>
      <c r="R922" s="10" t="str">
        <f aca="false">IF($B922="","",$P922-$Q922)</f>
        <v/>
      </c>
      <c r="S922" s="23" t="str">
        <f aca="false">IF($B922="","",IF(COUNTIFS($A$4:$A$2003,$A922-1,$B$4:$B$2003,$B922)=0,"first day",IF(SUMIFS($M$4:$M$2003,$A$4:$A$2003,$A922-1,$B$4:$B$2003,$B922)=$J922,"OK","CHECK")))</f>
        <v/>
      </c>
      <c r="T922" s="10" t="str">
        <f aca="false">IF($B922="","",IFERROR(INDEX(Drinks!$D$4:$D$53,MATCH($B922,Drinks!$A$4:$A$53,0)),0))</f>
        <v/>
      </c>
    </row>
    <row r="923" customFormat="false" ht="15" hidden="false" customHeight="false" outlineLevel="0" collapsed="false">
      <c r="A923" s="22"/>
      <c r="B923" s="9"/>
      <c r="C923" s="9"/>
      <c r="D923" s="9"/>
      <c r="E923" s="9"/>
      <c r="F923" s="10" t="str">
        <f aca="false">IF($B923="","",$C923+$D923-$E923)</f>
        <v/>
      </c>
      <c r="G923" s="10" t="str">
        <f aca="false">IF($B923="","",IFERROR(INDEX(Drinks!$C$4:$C$53,MATCH($B923,Drinks!$A$4:$A$53,0)),0))</f>
        <v/>
      </c>
      <c r="H923" s="10" t="str">
        <f aca="false">IF($B923="","",$D923*$G923)</f>
        <v/>
      </c>
      <c r="I923" s="10" t="str">
        <f aca="false">IF($B923="","",$F923*$G923)</f>
        <v/>
      </c>
      <c r="J923" s="9"/>
      <c r="K923" s="10" t="str">
        <f aca="false">IF($B923="","",$E923*IFERROR(INDEX(Drinks!$B$4:$B$53,MATCH($B923,Drinks!$A$4:$A$53,0)),0))</f>
        <v/>
      </c>
      <c r="L923" s="10" t="str">
        <f aca="false">IF($B923="","",$J923+$K923)</f>
        <v/>
      </c>
      <c r="M923" s="9"/>
      <c r="N923" s="10" t="str">
        <f aca="false">IF($B923="","",$L923-$M923)</f>
        <v/>
      </c>
      <c r="O923" s="10" t="str">
        <f aca="false">IF($B923="","",IFERROR(INDEX(Drinks!$E$4:$E$53,MATCH($B923,Drinks!$A$4:$A$53,0)),0))</f>
        <v/>
      </c>
      <c r="P923" s="10" t="str">
        <f aca="false">IF($B923="","",$N923*$O923)</f>
        <v/>
      </c>
      <c r="Q923" s="10" t="str">
        <f aca="false">IF($B923="","",$N923*IFERROR(INDEX(Drinks!$D$4:$D$53,MATCH($B923,Drinks!$A$4:$A$53,0)),0))</f>
        <v/>
      </c>
      <c r="R923" s="10" t="str">
        <f aca="false">IF($B923="","",$P923-$Q923)</f>
        <v/>
      </c>
      <c r="S923" s="23" t="str">
        <f aca="false">IF($B923="","",IF(COUNTIFS($A$4:$A$2003,$A923-1,$B$4:$B$2003,$B923)=0,"first day",IF(SUMIFS($M$4:$M$2003,$A$4:$A$2003,$A923-1,$B$4:$B$2003,$B923)=$J923,"OK","CHECK")))</f>
        <v/>
      </c>
      <c r="T923" s="10" t="str">
        <f aca="false">IF($B923="","",IFERROR(INDEX(Drinks!$D$4:$D$53,MATCH($B923,Drinks!$A$4:$A$53,0)),0))</f>
        <v/>
      </c>
    </row>
    <row r="924" customFormat="false" ht="15" hidden="false" customHeight="false" outlineLevel="0" collapsed="false">
      <c r="A924" s="22"/>
      <c r="B924" s="9"/>
      <c r="C924" s="9"/>
      <c r="D924" s="9"/>
      <c r="E924" s="9"/>
      <c r="F924" s="10" t="str">
        <f aca="false">IF($B924="","",$C924+$D924-$E924)</f>
        <v/>
      </c>
      <c r="G924" s="10" t="str">
        <f aca="false">IF($B924="","",IFERROR(INDEX(Drinks!$C$4:$C$53,MATCH($B924,Drinks!$A$4:$A$53,0)),0))</f>
        <v/>
      </c>
      <c r="H924" s="10" t="str">
        <f aca="false">IF($B924="","",$D924*$G924)</f>
        <v/>
      </c>
      <c r="I924" s="10" t="str">
        <f aca="false">IF($B924="","",$F924*$G924)</f>
        <v/>
      </c>
      <c r="J924" s="9"/>
      <c r="K924" s="10" t="str">
        <f aca="false">IF($B924="","",$E924*IFERROR(INDEX(Drinks!$B$4:$B$53,MATCH($B924,Drinks!$A$4:$A$53,0)),0))</f>
        <v/>
      </c>
      <c r="L924" s="10" t="str">
        <f aca="false">IF($B924="","",$J924+$K924)</f>
        <v/>
      </c>
      <c r="M924" s="9"/>
      <c r="N924" s="10" t="str">
        <f aca="false">IF($B924="","",$L924-$M924)</f>
        <v/>
      </c>
      <c r="O924" s="10" t="str">
        <f aca="false">IF($B924="","",IFERROR(INDEX(Drinks!$E$4:$E$53,MATCH($B924,Drinks!$A$4:$A$53,0)),0))</f>
        <v/>
      </c>
      <c r="P924" s="10" t="str">
        <f aca="false">IF($B924="","",$N924*$O924)</f>
        <v/>
      </c>
      <c r="Q924" s="10" t="str">
        <f aca="false">IF($B924="","",$N924*IFERROR(INDEX(Drinks!$D$4:$D$53,MATCH($B924,Drinks!$A$4:$A$53,0)),0))</f>
        <v/>
      </c>
      <c r="R924" s="10" t="str">
        <f aca="false">IF($B924="","",$P924-$Q924)</f>
        <v/>
      </c>
      <c r="S924" s="23" t="str">
        <f aca="false">IF($B924="","",IF(COUNTIFS($A$4:$A$2003,$A924-1,$B$4:$B$2003,$B924)=0,"first day",IF(SUMIFS($M$4:$M$2003,$A$4:$A$2003,$A924-1,$B$4:$B$2003,$B924)=$J924,"OK","CHECK")))</f>
        <v/>
      </c>
      <c r="T924" s="10" t="str">
        <f aca="false">IF($B924="","",IFERROR(INDEX(Drinks!$D$4:$D$53,MATCH($B924,Drinks!$A$4:$A$53,0)),0))</f>
        <v/>
      </c>
    </row>
    <row r="925" customFormat="false" ht="15" hidden="false" customHeight="false" outlineLevel="0" collapsed="false">
      <c r="A925" s="22"/>
      <c r="B925" s="9"/>
      <c r="C925" s="9"/>
      <c r="D925" s="9"/>
      <c r="E925" s="9"/>
      <c r="F925" s="10" t="str">
        <f aca="false">IF($B925="","",$C925+$D925-$E925)</f>
        <v/>
      </c>
      <c r="G925" s="10" t="str">
        <f aca="false">IF($B925="","",IFERROR(INDEX(Drinks!$C$4:$C$53,MATCH($B925,Drinks!$A$4:$A$53,0)),0))</f>
        <v/>
      </c>
      <c r="H925" s="10" t="str">
        <f aca="false">IF($B925="","",$D925*$G925)</f>
        <v/>
      </c>
      <c r="I925" s="10" t="str">
        <f aca="false">IF($B925="","",$F925*$G925)</f>
        <v/>
      </c>
      <c r="J925" s="9"/>
      <c r="K925" s="10" t="str">
        <f aca="false">IF($B925="","",$E925*IFERROR(INDEX(Drinks!$B$4:$B$53,MATCH($B925,Drinks!$A$4:$A$53,0)),0))</f>
        <v/>
      </c>
      <c r="L925" s="10" t="str">
        <f aca="false">IF($B925="","",$J925+$K925)</f>
        <v/>
      </c>
      <c r="M925" s="9"/>
      <c r="N925" s="10" t="str">
        <f aca="false">IF($B925="","",$L925-$M925)</f>
        <v/>
      </c>
      <c r="O925" s="10" t="str">
        <f aca="false">IF($B925="","",IFERROR(INDEX(Drinks!$E$4:$E$53,MATCH($B925,Drinks!$A$4:$A$53,0)),0))</f>
        <v/>
      </c>
      <c r="P925" s="10" t="str">
        <f aca="false">IF($B925="","",$N925*$O925)</f>
        <v/>
      </c>
      <c r="Q925" s="10" t="str">
        <f aca="false">IF($B925="","",$N925*IFERROR(INDEX(Drinks!$D$4:$D$53,MATCH($B925,Drinks!$A$4:$A$53,0)),0))</f>
        <v/>
      </c>
      <c r="R925" s="10" t="str">
        <f aca="false">IF($B925="","",$P925-$Q925)</f>
        <v/>
      </c>
      <c r="S925" s="23" t="str">
        <f aca="false">IF($B925="","",IF(COUNTIFS($A$4:$A$2003,$A925-1,$B$4:$B$2003,$B925)=0,"first day",IF(SUMIFS($M$4:$M$2003,$A$4:$A$2003,$A925-1,$B$4:$B$2003,$B925)=$J925,"OK","CHECK")))</f>
        <v/>
      </c>
      <c r="T925" s="10" t="str">
        <f aca="false">IF($B925="","",IFERROR(INDEX(Drinks!$D$4:$D$53,MATCH($B925,Drinks!$A$4:$A$53,0)),0))</f>
        <v/>
      </c>
    </row>
    <row r="926" customFormat="false" ht="15" hidden="false" customHeight="false" outlineLevel="0" collapsed="false">
      <c r="A926" s="22"/>
      <c r="B926" s="9"/>
      <c r="C926" s="9"/>
      <c r="D926" s="9"/>
      <c r="E926" s="9"/>
      <c r="F926" s="10" t="str">
        <f aca="false">IF($B926="","",$C926+$D926-$E926)</f>
        <v/>
      </c>
      <c r="G926" s="10" t="str">
        <f aca="false">IF($B926="","",IFERROR(INDEX(Drinks!$C$4:$C$53,MATCH($B926,Drinks!$A$4:$A$53,0)),0))</f>
        <v/>
      </c>
      <c r="H926" s="10" t="str">
        <f aca="false">IF($B926="","",$D926*$G926)</f>
        <v/>
      </c>
      <c r="I926" s="10" t="str">
        <f aca="false">IF($B926="","",$F926*$G926)</f>
        <v/>
      </c>
      <c r="J926" s="9"/>
      <c r="K926" s="10" t="str">
        <f aca="false">IF($B926="","",$E926*IFERROR(INDEX(Drinks!$B$4:$B$53,MATCH($B926,Drinks!$A$4:$A$53,0)),0))</f>
        <v/>
      </c>
      <c r="L926" s="10" t="str">
        <f aca="false">IF($B926="","",$J926+$K926)</f>
        <v/>
      </c>
      <c r="M926" s="9"/>
      <c r="N926" s="10" t="str">
        <f aca="false">IF($B926="","",$L926-$M926)</f>
        <v/>
      </c>
      <c r="O926" s="10" t="str">
        <f aca="false">IF($B926="","",IFERROR(INDEX(Drinks!$E$4:$E$53,MATCH($B926,Drinks!$A$4:$A$53,0)),0))</f>
        <v/>
      </c>
      <c r="P926" s="10" t="str">
        <f aca="false">IF($B926="","",$N926*$O926)</f>
        <v/>
      </c>
      <c r="Q926" s="10" t="str">
        <f aca="false">IF($B926="","",$N926*IFERROR(INDEX(Drinks!$D$4:$D$53,MATCH($B926,Drinks!$A$4:$A$53,0)),0))</f>
        <v/>
      </c>
      <c r="R926" s="10" t="str">
        <f aca="false">IF($B926="","",$P926-$Q926)</f>
        <v/>
      </c>
      <c r="S926" s="23" t="str">
        <f aca="false">IF($B926="","",IF(COUNTIFS($A$4:$A$2003,$A926-1,$B$4:$B$2003,$B926)=0,"first day",IF(SUMIFS($M$4:$M$2003,$A$4:$A$2003,$A926-1,$B$4:$B$2003,$B926)=$J926,"OK","CHECK")))</f>
        <v/>
      </c>
      <c r="T926" s="10" t="str">
        <f aca="false">IF($B926="","",IFERROR(INDEX(Drinks!$D$4:$D$53,MATCH($B926,Drinks!$A$4:$A$53,0)),0))</f>
        <v/>
      </c>
    </row>
    <row r="927" customFormat="false" ht="15" hidden="false" customHeight="false" outlineLevel="0" collapsed="false">
      <c r="A927" s="22"/>
      <c r="B927" s="9"/>
      <c r="C927" s="9"/>
      <c r="D927" s="9"/>
      <c r="E927" s="9"/>
      <c r="F927" s="10" t="str">
        <f aca="false">IF($B927="","",$C927+$D927-$E927)</f>
        <v/>
      </c>
      <c r="G927" s="10" t="str">
        <f aca="false">IF($B927="","",IFERROR(INDEX(Drinks!$C$4:$C$53,MATCH($B927,Drinks!$A$4:$A$53,0)),0))</f>
        <v/>
      </c>
      <c r="H927" s="10" t="str">
        <f aca="false">IF($B927="","",$D927*$G927)</f>
        <v/>
      </c>
      <c r="I927" s="10" t="str">
        <f aca="false">IF($B927="","",$F927*$G927)</f>
        <v/>
      </c>
      <c r="J927" s="9"/>
      <c r="K927" s="10" t="str">
        <f aca="false">IF($B927="","",$E927*IFERROR(INDEX(Drinks!$B$4:$B$53,MATCH($B927,Drinks!$A$4:$A$53,0)),0))</f>
        <v/>
      </c>
      <c r="L927" s="10" t="str">
        <f aca="false">IF($B927="","",$J927+$K927)</f>
        <v/>
      </c>
      <c r="M927" s="9"/>
      <c r="N927" s="10" t="str">
        <f aca="false">IF($B927="","",$L927-$M927)</f>
        <v/>
      </c>
      <c r="O927" s="10" t="str">
        <f aca="false">IF($B927="","",IFERROR(INDEX(Drinks!$E$4:$E$53,MATCH($B927,Drinks!$A$4:$A$53,0)),0))</f>
        <v/>
      </c>
      <c r="P927" s="10" t="str">
        <f aca="false">IF($B927="","",$N927*$O927)</f>
        <v/>
      </c>
      <c r="Q927" s="10" t="str">
        <f aca="false">IF($B927="","",$N927*IFERROR(INDEX(Drinks!$D$4:$D$53,MATCH($B927,Drinks!$A$4:$A$53,0)),0))</f>
        <v/>
      </c>
      <c r="R927" s="10" t="str">
        <f aca="false">IF($B927="","",$P927-$Q927)</f>
        <v/>
      </c>
      <c r="S927" s="23" t="str">
        <f aca="false">IF($B927="","",IF(COUNTIFS($A$4:$A$2003,$A927-1,$B$4:$B$2003,$B927)=0,"first day",IF(SUMIFS($M$4:$M$2003,$A$4:$A$2003,$A927-1,$B$4:$B$2003,$B927)=$J927,"OK","CHECK")))</f>
        <v/>
      </c>
      <c r="T927" s="10" t="str">
        <f aca="false">IF($B927="","",IFERROR(INDEX(Drinks!$D$4:$D$53,MATCH($B927,Drinks!$A$4:$A$53,0)),0))</f>
        <v/>
      </c>
    </row>
    <row r="928" customFormat="false" ht="15" hidden="false" customHeight="false" outlineLevel="0" collapsed="false">
      <c r="A928" s="22"/>
      <c r="B928" s="9"/>
      <c r="C928" s="9"/>
      <c r="D928" s="9"/>
      <c r="E928" s="9"/>
      <c r="F928" s="10" t="str">
        <f aca="false">IF($B928="","",$C928+$D928-$E928)</f>
        <v/>
      </c>
      <c r="G928" s="10" t="str">
        <f aca="false">IF($B928="","",IFERROR(INDEX(Drinks!$C$4:$C$53,MATCH($B928,Drinks!$A$4:$A$53,0)),0))</f>
        <v/>
      </c>
      <c r="H928" s="10" t="str">
        <f aca="false">IF($B928="","",$D928*$G928)</f>
        <v/>
      </c>
      <c r="I928" s="10" t="str">
        <f aca="false">IF($B928="","",$F928*$G928)</f>
        <v/>
      </c>
      <c r="J928" s="9"/>
      <c r="K928" s="10" t="str">
        <f aca="false">IF($B928="","",$E928*IFERROR(INDEX(Drinks!$B$4:$B$53,MATCH($B928,Drinks!$A$4:$A$53,0)),0))</f>
        <v/>
      </c>
      <c r="L928" s="10" t="str">
        <f aca="false">IF($B928="","",$J928+$K928)</f>
        <v/>
      </c>
      <c r="M928" s="9"/>
      <c r="N928" s="10" t="str">
        <f aca="false">IF($B928="","",$L928-$M928)</f>
        <v/>
      </c>
      <c r="O928" s="10" t="str">
        <f aca="false">IF($B928="","",IFERROR(INDEX(Drinks!$E$4:$E$53,MATCH($B928,Drinks!$A$4:$A$53,0)),0))</f>
        <v/>
      </c>
      <c r="P928" s="10" t="str">
        <f aca="false">IF($B928="","",$N928*$O928)</f>
        <v/>
      </c>
      <c r="Q928" s="10" t="str">
        <f aca="false">IF($B928="","",$N928*IFERROR(INDEX(Drinks!$D$4:$D$53,MATCH($B928,Drinks!$A$4:$A$53,0)),0))</f>
        <v/>
      </c>
      <c r="R928" s="10" t="str">
        <f aca="false">IF($B928="","",$P928-$Q928)</f>
        <v/>
      </c>
      <c r="S928" s="23" t="str">
        <f aca="false">IF($B928="","",IF(COUNTIFS($A$4:$A$2003,$A928-1,$B$4:$B$2003,$B928)=0,"first day",IF(SUMIFS($M$4:$M$2003,$A$4:$A$2003,$A928-1,$B$4:$B$2003,$B928)=$J928,"OK","CHECK")))</f>
        <v/>
      </c>
      <c r="T928" s="10" t="str">
        <f aca="false">IF($B928="","",IFERROR(INDEX(Drinks!$D$4:$D$53,MATCH($B928,Drinks!$A$4:$A$53,0)),0))</f>
        <v/>
      </c>
    </row>
    <row r="929" customFormat="false" ht="15" hidden="false" customHeight="false" outlineLevel="0" collapsed="false">
      <c r="A929" s="22"/>
      <c r="B929" s="9"/>
      <c r="C929" s="9"/>
      <c r="D929" s="9"/>
      <c r="E929" s="9"/>
      <c r="F929" s="10" t="str">
        <f aca="false">IF($B929="","",$C929+$D929-$E929)</f>
        <v/>
      </c>
      <c r="G929" s="10" t="str">
        <f aca="false">IF($B929="","",IFERROR(INDEX(Drinks!$C$4:$C$53,MATCH($B929,Drinks!$A$4:$A$53,0)),0))</f>
        <v/>
      </c>
      <c r="H929" s="10" t="str">
        <f aca="false">IF($B929="","",$D929*$G929)</f>
        <v/>
      </c>
      <c r="I929" s="10" t="str">
        <f aca="false">IF($B929="","",$F929*$G929)</f>
        <v/>
      </c>
      <c r="J929" s="9"/>
      <c r="K929" s="10" t="str">
        <f aca="false">IF($B929="","",$E929*IFERROR(INDEX(Drinks!$B$4:$B$53,MATCH($B929,Drinks!$A$4:$A$53,0)),0))</f>
        <v/>
      </c>
      <c r="L929" s="10" t="str">
        <f aca="false">IF($B929="","",$J929+$K929)</f>
        <v/>
      </c>
      <c r="M929" s="9"/>
      <c r="N929" s="10" t="str">
        <f aca="false">IF($B929="","",$L929-$M929)</f>
        <v/>
      </c>
      <c r="O929" s="10" t="str">
        <f aca="false">IF($B929="","",IFERROR(INDEX(Drinks!$E$4:$E$53,MATCH($B929,Drinks!$A$4:$A$53,0)),0))</f>
        <v/>
      </c>
      <c r="P929" s="10" t="str">
        <f aca="false">IF($B929="","",$N929*$O929)</f>
        <v/>
      </c>
      <c r="Q929" s="10" t="str">
        <f aca="false">IF($B929="","",$N929*IFERROR(INDEX(Drinks!$D$4:$D$53,MATCH($B929,Drinks!$A$4:$A$53,0)),0))</f>
        <v/>
      </c>
      <c r="R929" s="10" t="str">
        <f aca="false">IF($B929="","",$P929-$Q929)</f>
        <v/>
      </c>
      <c r="S929" s="23" t="str">
        <f aca="false">IF($B929="","",IF(COUNTIFS($A$4:$A$2003,$A929-1,$B$4:$B$2003,$B929)=0,"first day",IF(SUMIFS($M$4:$M$2003,$A$4:$A$2003,$A929-1,$B$4:$B$2003,$B929)=$J929,"OK","CHECK")))</f>
        <v/>
      </c>
      <c r="T929" s="10" t="str">
        <f aca="false">IF($B929="","",IFERROR(INDEX(Drinks!$D$4:$D$53,MATCH($B929,Drinks!$A$4:$A$53,0)),0))</f>
        <v/>
      </c>
    </row>
    <row r="930" customFormat="false" ht="15" hidden="false" customHeight="false" outlineLevel="0" collapsed="false">
      <c r="A930" s="22"/>
      <c r="B930" s="9"/>
      <c r="C930" s="9"/>
      <c r="D930" s="9"/>
      <c r="E930" s="9"/>
      <c r="F930" s="10" t="str">
        <f aca="false">IF($B930="","",$C930+$D930-$E930)</f>
        <v/>
      </c>
      <c r="G930" s="10" t="str">
        <f aca="false">IF($B930="","",IFERROR(INDEX(Drinks!$C$4:$C$53,MATCH($B930,Drinks!$A$4:$A$53,0)),0))</f>
        <v/>
      </c>
      <c r="H930" s="10" t="str">
        <f aca="false">IF($B930="","",$D930*$G930)</f>
        <v/>
      </c>
      <c r="I930" s="10" t="str">
        <f aca="false">IF($B930="","",$F930*$G930)</f>
        <v/>
      </c>
      <c r="J930" s="9"/>
      <c r="K930" s="10" t="str">
        <f aca="false">IF($B930="","",$E930*IFERROR(INDEX(Drinks!$B$4:$B$53,MATCH($B930,Drinks!$A$4:$A$53,0)),0))</f>
        <v/>
      </c>
      <c r="L930" s="10" t="str">
        <f aca="false">IF($B930="","",$J930+$K930)</f>
        <v/>
      </c>
      <c r="M930" s="9"/>
      <c r="N930" s="10" t="str">
        <f aca="false">IF($B930="","",$L930-$M930)</f>
        <v/>
      </c>
      <c r="O930" s="10" t="str">
        <f aca="false">IF($B930="","",IFERROR(INDEX(Drinks!$E$4:$E$53,MATCH($B930,Drinks!$A$4:$A$53,0)),0))</f>
        <v/>
      </c>
      <c r="P930" s="10" t="str">
        <f aca="false">IF($B930="","",$N930*$O930)</f>
        <v/>
      </c>
      <c r="Q930" s="10" t="str">
        <f aca="false">IF($B930="","",$N930*IFERROR(INDEX(Drinks!$D$4:$D$53,MATCH($B930,Drinks!$A$4:$A$53,0)),0))</f>
        <v/>
      </c>
      <c r="R930" s="10" t="str">
        <f aca="false">IF($B930="","",$P930-$Q930)</f>
        <v/>
      </c>
      <c r="S930" s="23" t="str">
        <f aca="false">IF($B930="","",IF(COUNTIFS($A$4:$A$2003,$A930-1,$B$4:$B$2003,$B930)=0,"first day",IF(SUMIFS($M$4:$M$2003,$A$4:$A$2003,$A930-1,$B$4:$B$2003,$B930)=$J930,"OK","CHECK")))</f>
        <v/>
      </c>
      <c r="T930" s="10" t="str">
        <f aca="false">IF($B930="","",IFERROR(INDEX(Drinks!$D$4:$D$53,MATCH($B930,Drinks!$A$4:$A$53,0)),0))</f>
        <v/>
      </c>
    </row>
    <row r="931" customFormat="false" ht="15" hidden="false" customHeight="false" outlineLevel="0" collapsed="false">
      <c r="A931" s="22"/>
      <c r="B931" s="9"/>
      <c r="C931" s="9"/>
      <c r="D931" s="9"/>
      <c r="E931" s="9"/>
      <c r="F931" s="10" t="str">
        <f aca="false">IF($B931="","",$C931+$D931-$E931)</f>
        <v/>
      </c>
      <c r="G931" s="10" t="str">
        <f aca="false">IF($B931="","",IFERROR(INDEX(Drinks!$C$4:$C$53,MATCH($B931,Drinks!$A$4:$A$53,0)),0))</f>
        <v/>
      </c>
      <c r="H931" s="10" t="str">
        <f aca="false">IF($B931="","",$D931*$G931)</f>
        <v/>
      </c>
      <c r="I931" s="10" t="str">
        <f aca="false">IF($B931="","",$F931*$G931)</f>
        <v/>
      </c>
      <c r="J931" s="9"/>
      <c r="K931" s="10" t="str">
        <f aca="false">IF($B931="","",$E931*IFERROR(INDEX(Drinks!$B$4:$B$53,MATCH($B931,Drinks!$A$4:$A$53,0)),0))</f>
        <v/>
      </c>
      <c r="L931" s="10" t="str">
        <f aca="false">IF($B931="","",$J931+$K931)</f>
        <v/>
      </c>
      <c r="M931" s="9"/>
      <c r="N931" s="10" t="str">
        <f aca="false">IF($B931="","",$L931-$M931)</f>
        <v/>
      </c>
      <c r="O931" s="10" t="str">
        <f aca="false">IF($B931="","",IFERROR(INDEX(Drinks!$E$4:$E$53,MATCH($B931,Drinks!$A$4:$A$53,0)),0))</f>
        <v/>
      </c>
      <c r="P931" s="10" t="str">
        <f aca="false">IF($B931="","",$N931*$O931)</f>
        <v/>
      </c>
      <c r="Q931" s="10" t="str">
        <f aca="false">IF($B931="","",$N931*IFERROR(INDEX(Drinks!$D$4:$D$53,MATCH($B931,Drinks!$A$4:$A$53,0)),0))</f>
        <v/>
      </c>
      <c r="R931" s="10" t="str">
        <f aca="false">IF($B931="","",$P931-$Q931)</f>
        <v/>
      </c>
      <c r="S931" s="23" t="str">
        <f aca="false">IF($B931="","",IF(COUNTIFS($A$4:$A$2003,$A931-1,$B$4:$B$2003,$B931)=0,"first day",IF(SUMIFS($M$4:$M$2003,$A$4:$A$2003,$A931-1,$B$4:$B$2003,$B931)=$J931,"OK","CHECK")))</f>
        <v/>
      </c>
      <c r="T931" s="10" t="str">
        <f aca="false">IF($B931="","",IFERROR(INDEX(Drinks!$D$4:$D$53,MATCH($B931,Drinks!$A$4:$A$53,0)),0))</f>
        <v/>
      </c>
    </row>
    <row r="932" customFormat="false" ht="15" hidden="false" customHeight="false" outlineLevel="0" collapsed="false">
      <c r="A932" s="22"/>
      <c r="B932" s="9"/>
      <c r="C932" s="9"/>
      <c r="D932" s="9"/>
      <c r="E932" s="9"/>
      <c r="F932" s="10" t="str">
        <f aca="false">IF($B932="","",$C932+$D932-$E932)</f>
        <v/>
      </c>
      <c r="G932" s="10" t="str">
        <f aca="false">IF($B932="","",IFERROR(INDEX(Drinks!$C$4:$C$53,MATCH($B932,Drinks!$A$4:$A$53,0)),0))</f>
        <v/>
      </c>
      <c r="H932" s="10" t="str">
        <f aca="false">IF($B932="","",$D932*$G932)</f>
        <v/>
      </c>
      <c r="I932" s="10" t="str">
        <f aca="false">IF($B932="","",$F932*$G932)</f>
        <v/>
      </c>
      <c r="J932" s="9"/>
      <c r="K932" s="10" t="str">
        <f aca="false">IF($B932="","",$E932*IFERROR(INDEX(Drinks!$B$4:$B$53,MATCH($B932,Drinks!$A$4:$A$53,0)),0))</f>
        <v/>
      </c>
      <c r="L932" s="10" t="str">
        <f aca="false">IF($B932="","",$J932+$K932)</f>
        <v/>
      </c>
      <c r="M932" s="9"/>
      <c r="N932" s="10" t="str">
        <f aca="false">IF($B932="","",$L932-$M932)</f>
        <v/>
      </c>
      <c r="O932" s="10" t="str">
        <f aca="false">IF($B932="","",IFERROR(INDEX(Drinks!$E$4:$E$53,MATCH($B932,Drinks!$A$4:$A$53,0)),0))</f>
        <v/>
      </c>
      <c r="P932" s="10" t="str">
        <f aca="false">IF($B932="","",$N932*$O932)</f>
        <v/>
      </c>
      <c r="Q932" s="10" t="str">
        <f aca="false">IF($B932="","",$N932*IFERROR(INDEX(Drinks!$D$4:$D$53,MATCH($B932,Drinks!$A$4:$A$53,0)),0))</f>
        <v/>
      </c>
      <c r="R932" s="10" t="str">
        <f aca="false">IF($B932="","",$P932-$Q932)</f>
        <v/>
      </c>
      <c r="S932" s="23" t="str">
        <f aca="false">IF($B932="","",IF(COUNTIFS($A$4:$A$2003,$A932-1,$B$4:$B$2003,$B932)=0,"first day",IF(SUMIFS($M$4:$M$2003,$A$4:$A$2003,$A932-1,$B$4:$B$2003,$B932)=$J932,"OK","CHECK")))</f>
        <v/>
      </c>
      <c r="T932" s="10" t="str">
        <f aca="false">IF($B932="","",IFERROR(INDEX(Drinks!$D$4:$D$53,MATCH($B932,Drinks!$A$4:$A$53,0)),0))</f>
        <v/>
      </c>
    </row>
    <row r="933" customFormat="false" ht="15" hidden="false" customHeight="false" outlineLevel="0" collapsed="false">
      <c r="A933" s="22"/>
      <c r="B933" s="9"/>
      <c r="C933" s="9"/>
      <c r="D933" s="9"/>
      <c r="E933" s="9"/>
      <c r="F933" s="10" t="str">
        <f aca="false">IF($B933="","",$C933+$D933-$E933)</f>
        <v/>
      </c>
      <c r="G933" s="10" t="str">
        <f aca="false">IF($B933="","",IFERROR(INDEX(Drinks!$C$4:$C$53,MATCH($B933,Drinks!$A$4:$A$53,0)),0))</f>
        <v/>
      </c>
      <c r="H933" s="10" t="str">
        <f aca="false">IF($B933="","",$D933*$G933)</f>
        <v/>
      </c>
      <c r="I933" s="10" t="str">
        <f aca="false">IF($B933="","",$F933*$G933)</f>
        <v/>
      </c>
      <c r="J933" s="9"/>
      <c r="K933" s="10" t="str">
        <f aca="false">IF($B933="","",$E933*IFERROR(INDEX(Drinks!$B$4:$B$53,MATCH($B933,Drinks!$A$4:$A$53,0)),0))</f>
        <v/>
      </c>
      <c r="L933" s="10" t="str">
        <f aca="false">IF($B933="","",$J933+$K933)</f>
        <v/>
      </c>
      <c r="M933" s="9"/>
      <c r="N933" s="10" t="str">
        <f aca="false">IF($B933="","",$L933-$M933)</f>
        <v/>
      </c>
      <c r="O933" s="10" t="str">
        <f aca="false">IF($B933="","",IFERROR(INDEX(Drinks!$E$4:$E$53,MATCH($B933,Drinks!$A$4:$A$53,0)),0))</f>
        <v/>
      </c>
      <c r="P933" s="10" t="str">
        <f aca="false">IF($B933="","",$N933*$O933)</f>
        <v/>
      </c>
      <c r="Q933" s="10" t="str">
        <f aca="false">IF($B933="","",$N933*IFERROR(INDEX(Drinks!$D$4:$D$53,MATCH($B933,Drinks!$A$4:$A$53,0)),0))</f>
        <v/>
      </c>
      <c r="R933" s="10" t="str">
        <f aca="false">IF($B933="","",$P933-$Q933)</f>
        <v/>
      </c>
      <c r="S933" s="23" t="str">
        <f aca="false">IF($B933="","",IF(COUNTIFS($A$4:$A$2003,$A933-1,$B$4:$B$2003,$B933)=0,"first day",IF(SUMIFS($M$4:$M$2003,$A$4:$A$2003,$A933-1,$B$4:$B$2003,$B933)=$J933,"OK","CHECK")))</f>
        <v/>
      </c>
      <c r="T933" s="10" t="str">
        <f aca="false">IF($B933="","",IFERROR(INDEX(Drinks!$D$4:$D$53,MATCH($B933,Drinks!$A$4:$A$53,0)),0))</f>
        <v/>
      </c>
    </row>
    <row r="934" customFormat="false" ht="15" hidden="false" customHeight="false" outlineLevel="0" collapsed="false">
      <c r="A934" s="22"/>
      <c r="B934" s="9"/>
      <c r="C934" s="9"/>
      <c r="D934" s="9"/>
      <c r="E934" s="9"/>
      <c r="F934" s="10" t="str">
        <f aca="false">IF($B934="","",$C934+$D934-$E934)</f>
        <v/>
      </c>
      <c r="G934" s="10" t="str">
        <f aca="false">IF($B934="","",IFERROR(INDEX(Drinks!$C$4:$C$53,MATCH($B934,Drinks!$A$4:$A$53,0)),0))</f>
        <v/>
      </c>
      <c r="H934" s="10" t="str">
        <f aca="false">IF($B934="","",$D934*$G934)</f>
        <v/>
      </c>
      <c r="I934" s="10" t="str">
        <f aca="false">IF($B934="","",$F934*$G934)</f>
        <v/>
      </c>
      <c r="J934" s="9"/>
      <c r="K934" s="10" t="str">
        <f aca="false">IF($B934="","",$E934*IFERROR(INDEX(Drinks!$B$4:$B$53,MATCH($B934,Drinks!$A$4:$A$53,0)),0))</f>
        <v/>
      </c>
      <c r="L934" s="10" t="str">
        <f aca="false">IF($B934="","",$J934+$K934)</f>
        <v/>
      </c>
      <c r="M934" s="9"/>
      <c r="N934" s="10" t="str">
        <f aca="false">IF($B934="","",$L934-$M934)</f>
        <v/>
      </c>
      <c r="O934" s="10" t="str">
        <f aca="false">IF($B934="","",IFERROR(INDEX(Drinks!$E$4:$E$53,MATCH($B934,Drinks!$A$4:$A$53,0)),0))</f>
        <v/>
      </c>
      <c r="P934" s="10" t="str">
        <f aca="false">IF($B934="","",$N934*$O934)</f>
        <v/>
      </c>
      <c r="Q934" s="10" t="str">
        <f aca="false">IF($B934="","",$N934*IFERROR(INDEX(Drinks!$D$4:$D$53,MATCH($B934,Drinks!$A$4:$A$53,0)),0))</f>
        <v/>
      </c>
      <c r="R934" s="10" t="str">
        <f aca="false">IF($B934="","",$P934-$Q934)</f>
        <v/>
      </c>
      <c r="S934" s="23" t="str">
        <f aca="false">IF($B934="","",IF(COUNTIFS($A$4:$A$2003,$A934-1,$B$4:$B$2003,$B934)=0,"first day",IF(SUMIFS($M$4:$M$2003,$A$4:$A$2003,$A934-1,$B$4:$B$2003,$B934)=$J934,"OK","CHECK")))</f>
        <v/>
      </c>
      <c r="T934" s="10" t="str">
        <f aca="false">IF($B934="","",IFERROR(INDEX(Drinks!$D$4:$D$53,MATCH($B934,Drinks!$A$4:$A$53,0)),0))</f>
        <v/>
      </c>
    </row>
    <row r="935" customFormat="false" ht="15" hidden="false" customHeight="false" outlineLevel="0" collapsed="false">
      <c r="A935" s="22"/>
      <c r="B935" s="9"/>
      <c r="C935" s="9"/>
      <c r="D935" s="9"/>
      <c r="E935" s="9"/>
      <c r="F935" s="10" t="str">
        <f aca="false">IF($B935="","",$C935+$D935-$E935)</f>
        <v/>
      </c>
      <c r="G935" s="10" t="str">
        <f aca="false">IF($B935="","",IFERROR(INDEX(Drinks!$C$4:$C$53,MATCH($B935,Drinks!$A$4:$A$53,0)),0))</f>
        <v/>
      </c>
      <c r="H935" s="10" t="str">
        <f aca="false">IF($B935="","",$D935*$G935)</f>
        <v/>
      </c>
      <c r="I935" s="10" t="str">
        <f aca="false">IF($B935="","",$F935*$G935)</f>
        <v/>
      </c>
      <c r="J935" s="9"/>
      <c r="K935" s="10" t="str">
        <f aca="false">IF($B935="","",$E935*IFERROR(INDEX(Drinks!$B$4:$B$53,MATCH($B935,Drinks!$A$4:$A$53,0)),0))</f>
        <v/>
      </c>
      <c r="L935" s="10" t="str">
        <f aca="false">IF($B935="","",$J935+$K935)</f>
        <v/>
      </c>
      <c r="M935" s="9"/>
      <c r="N935" s="10" t="str">
        <f aca="false">IF($B935="","",$L935-$M935)</f>
        <v/>
      </c>
      <c r="O935" s="10" t="str">
        <f aca="false">IF($B935="","",IFERROR(INDEX(Drinks!$E$4:$E$53,MATCH($B935,Drinks!$A$4:$A$53,0)),0))</f>
        <v/>
      </c>
      <c r="P935" s="10" t="str">
        <f aca="false">IF($B935="","",$N935*$O935)</f>
        <v/>
      </c>
      <c r="Q935" s="10" t="str">
        <f aca="false">IF($B935="","",$N935*IFERROR(INDEX(Drinks!$D$4:$D$53,MATCH($B935,Drinks!$A$4:$A$53,0)),0))</f>
        <v/>
      </c>
      <c r="R935" s="10" t="str">
        <f aca="false">IF($B935="","",$P935-$Q935)</f>
        <v/>
      </c>
      <c r="S935" s="23" t="str">
        <f aca="false">IF($B935="","",IF(COUNTIFS($A$4:$A$2003,$A935-1,$B$4:$B$2003,$B935)=0,"first day",IF(SUMIFS($M$4:$M$2003,$A$4:$A$2003,$A935-1,$B$4:$B$2003,$B935)=$J935,"OK","CHECK")))</f>
        <v/>
      </c>
      <c r="T935" s="10" t="str">
        <f aca="false">IF($B935="","",IFERROR(INDEX(Drinks!$D$4:$D$53,MATCH($B935,Drinks!$A$4:$A$53,0)),0))</f>
        <v/>
      </c>
    </row>
    <row r="936" customFormat="false" ht="15" hidden="false" customHeight="false" outlineLevel="0" collapsed="false">
      <c r="A936" s="22"/>
      <c r="B936" s="9"/>
      <c r="C936" s="9"/>
      <c r="D936" s="9"/>
      <c r="E936" s="9"/>
      <c r="F936" s="10" t="str">
        <f aca="false">IF($B936="","",$C936+$D936-$E936)</f>
        <v/>
      </c>
      <c r="G936" s="10" t="str">
        <f aca="false">IF($B936="","",IFERROR(INDEX(Drinks!$C$4:$C$53,MATCH($B936,Drinks!$A$4:$A$53,0)),0))</f>
        <v/>
      </c>
      <c r="H936" s="10" t="str">
        <f aca="false">IF($B936="","",$D936*$G936)</f>
        <v/>
      </c>
      <c r="I936" s="10" t="str">
        <f aca="false">IF($B936="","",$F936*$G936)</f>
        <v/>
      </c>
      <c r="J936" s="9"/>
      <c r="K936" s="10" t="str">
        <f aca="false">IF($B936="","",$E936*IFERROR(INDEX(Drinks!$B$4:$B$53,MATCH($B936,Drinks!$A$4:$A$53,0)),0))</f>
        <v/>
      </c>
      <c r="L936" s="10" t="str">
        <f aca="false">IF($B936="","",$J936+$K936)</f>
        <v/>
      </c>
      <c r="M936" s="9"/>
      <c r="N936" s="10" t="str">
        <f aca="false">IF($B936="","",$L936-$M936)</f>
        <v/>
      </c>
      <c r="O936" s="10" t="str">
        <f aca="false">IF($B936="","",IFERROR(INDEX(Drinks!$E$4:$E$53,MATCH($B936,Drinks!$A$4:$A$53,0)),0))</f>
        <v/>
      </c>
      <c r="P936" s="10" t="str">
        <f aca="false">IF($B936="","",$N936*$O936)</f>
        <v/>
      </c>
      <c r="Q936" s="10" t="str">
        <f aca="false">IF($B936="","",$N936*IFERROR(INDEX(Drinks!$D$4:$D$53,MATCH($B936,Drinks!$A$4:$A$53,0)),0))</f>
        <v/>
      </c>
      <c r="R936" s="10" t="str">
        <f aca="false">IF($B936="","",$P936-$Q936)</f>
        <v/>
      </c>
      <c r="S936" s="23" t="str">
        <f aca="false">IF($B936="","",IF(COUNTIFS($A$4:$A$2003,$A936-1,$B$4:$B$2003,$B936)=0,"first day",IF(SUMIFS($M$4:$M$2003,$A$4:$A$2003,$A936-1,$B$4:$B$2003,$B936)=$J936,"OK","CHECK")))</f>
        <v/>
      </c>
      <c r="T936" s="10" t="str">
        <f aca="false">IF($B936="","",IFERROR(INDEX(Drinks!$D$4:$D$53,MATCH($B936,Drinks!$A$4:$A$53,0)),0))</f>
        <v/>
      </c>
    </row>
    <row r="937" customFormat="false" ht="15" hidden="false" customHeight="false" outlineLevel="0" collapsed="false">
      <c r="A937" s="22"/>
      <c r="B937" s="9"/>
      <c r="C937" s="9"/>
      <c r="D937" s="9"/>
      <c r="E937" s="9"/>
      <c r="F937" s="10" t="str">
        <f aca="false">IF($B937="","",$C937+$D937-$E937)</f>
        <v/>
      </c>
      <c r="G937" s="10" t="str">
        <f aca="false">IF($B937="","",IFERROR(INDEX(Drinks!$C$4:$C$53,MATCH($B937,Drinks!$A$4:$A$53,0)),0))</f>
        <v/>
      </c>
      <c r="H937" s="10" t="str">
        <f aca="false">IF($B937="","",$D937*$G937)</f>
        <v/>
      </c>
      <c r="I937" s="10" t="str">
        <f aca="false">IF($B937="","",$F937*$G937)</f>
        <v/>
      </c>
      <c r="J937" s="9"/>
      <c r="K937" s="10" t="str">
        <f aca="false">IF($B937="","",$E937*IFERROR(INDEX(Drinks!$B$4:$B$53,MATCH($B937,Drinks!$A$4:$A$53,0)),0))</f>
        <v/>
      </c>
      <c r="L937" s="10" t="str">
        <f aca="false">IF($B937="","",$J937+$K937)</f>
        <v/>
      </c>
      <c r="M937" s="9"/>
      <c r="N937" s="10" t="str">
        <f aca="false">IF($B937="","",$L937-$M937)</f>
        <v/>
      </c>
      <c r="O937" s="10" t="str">
        <f aca="false">IF($B937="","",IFERROR(INDEX(Drinks!$E$4:$E$53,MATCH($B937,Drinks!$A$4:$A$53,0)),0))</f>
        <v/>
      </c>
      <c r="P937" s="10" t="str">
        <f aca="false">IF($B937="","",$N937*$O937)</f>
        <v/>
      </c>
      <c r="Q937" s="10" t="str">
        <f aca="false">IF($B937="","",$N937*IFERROR(INDEX(Drinks!$D$4:$D$53,MATCH($B937,Drinks!$A$4:$A$53,0)),0))</f>
        <v/>
      </c>
      <c r="R937" s="10" t="str">
        <f aca="false">IF($B937="","",$P937-$Q937)</f>
        <v/>
      </c>
      <c r="S937" s="23" t="str">
        <f aca="false">IF($B937="","",IF(COUNTIFS($A$4:$A$2003,$A937-1,$B$4:$B$2003,$B937)=0,"first day",IF(SUMIFS($M$4:$M$2003,$A$4:$A$2003,$A937-1,$B$4:$B$2003,$B937)=$J937,"OK","CHECK")))</f>
        <v/>
      </c>
      <c r="T937" s="10" t="str">
        <f aca="false">IF($B937="","",IFERROR(INDEX(Drinks!$D$4:$D$53,MATCH($B937,Drinks!$A$4:$A$53,0)),0))</f>
        <v/>
      </c>
    </row>
    <row r="938" customFormat="false" ht="15" hidden="false" customHeight="false" outlineLevel="0" collapsed="false">
      <c r="A938" s="22"/>
      <c r="B938" s="9"/>
      <c r="C938" s="9"/>
      <c r="D938" s="9"/>
      <c r="E938" s="9"/>
      <c r="F938" s="10" t="str">
        <f aca="false">IF($B938="","",$C938+$D938-$E938)</f>
        <v/>
      </c>
      <c r="G938" s="10" t="str">
        <f aca="false">IF($B938="","",IFERROR(INDEX(Drinks!$C$4:$C$53,MATCH($B938,Drinks!$A$4:$A$53,0)),0))</f>
        <v/>
      </c>
      <c r="H938" s="10" t="str">
        <f aca="false">IF($B938="","",$D938*$G938)</f>
        <v/>
      </c>
      <c r="I938" s="10" t="str">
        <f aca="false">IF($B938="","",$F938*$G938)</f>
        <v/>
      </c>
      <c r="J938" s="9"/>
      <c r="K938" s="10" t="str">
        <f aca="false">IF($B938="","",$E938*IFERROR(INDEX(Drinks!$B$4:$B$53,MATCH($B938,Drinks!$A$4:$A$53,0)),0))</f>
        <v/>
      </c>
      <c r="L938" s="10" t="str">
        <f aca="false">IF($B938="","",$J938+$K938)</f>
        <v/>
      </c>
      <c r="M938" s="9"/>
      <c r="N938" s="10" t="str">
        <f aca="false">IF($B938="","",$L938-$M938)</f>
        <v/>
      </c>
      <c r="O938" s="10" t="str">
        <f aca="false">IF($B938="","",IFERROR(INDEX(Drinks!$E$4:$E$53,MATCH($B938,Drinks!$A$4:$A$53,0)),0))</f>
        <v/>
      </c>
      <c r="P938" s="10" t="str">
        <f aca="false">IF($B938="","",$N938*$O938)</f>
        <v/>
      </c>
      <c r="Q938" s="10" t="str">
        <f aca="false">IF($B938="","",$N938*IFERROR(INDEX(Drinks!$D$4:$D$53,MATCH($B938,Drinks!$A$4:$A$53,0)),0))</f>
        <v/>
      </c>
      <c r="R938" s="10" t="str">
        <f aca="false">IF($B938="","",$P938-$Q938)</f>
        <v/>
      </c>
      <c r="S938" s="23" t="str">
        <f aca="false">IF($B938="","",IF(COUNTIFS($A$4:$A$2003,$A938-1,$B$4:$B$2003,$B938)=0,"first day",IF(SUMIFS($M$4:$M$2003,$A$4:$A$2003,$A938-1,$B$4:$B$2003,$B938)=$J938,"OK","CHECK")))</f>
        <v/>
      </c>
      <c r="T938" s="10" t="str">
        <f aca="false">IF($B938="","",IFERROR(INDEX(Drinks!$D$4:$D$53,MATCH($B938,Drinks!$A$4:$A$53,0)),0))</f>
        <v/>
      </c>
    </row>
    <row r="939" customFormat="false" ht="15" hidden="false" customHeight="false" outlineLevel="0" collapsed="false">
      <c r="A939" s="22"/>
      <c r="B939" s="9"/>
      <c r="C939" s="9"/>
      <c r="D939" s="9"/>
      <c r="E939" s="9"/>
      <c r="F939" s="10" t="str">
        <f aca="false">IF($B939="","",$C939+$D939-$E939)</f>
        <v/>
      </c>
      <c r="G939" s="10" t="str">
        <f aca="false">IF($B939="","",IFERROR(INDEX(Drinks!$C$4:$C$53,MATCH($B939,Drinks!$A$4:$A$53,0)),0))</f>
        <v/>
      </c>
      <c r="H939" s="10" t="str">
        <f aca="false">IF($B939="","",$D939*$G939)</f>
        <v/>
      </c>
      <c r="I939" s="10" t="str">
        <f aca="false">IF($B939="","",$F939*$G939)</f>
        <v/>
      </c>
      <c r="J939" s="9"/>
      <c r="K939" s="10" t="str">
        <f aca="false">IF($B939="","",$E939*IFERROR(INDEX(Drinks!$B$4:$B$53,MATCH($B939,Drinks!$A$4:$A$53,0)),0))</f>
        <v/>
      </c>
      <c r="L939" s="10" t="str">
        <f aca="false">IF($B939="","",$J939+$K939)</f>
        <v/>
      </c>
      <c r="M939" s="9"/>
      <c r="N939" s="10" t="str">
        <f aca="false">IF($B939="","",$L939-$M939)</f>
        <v/>
      </c>
      <c r="O939" s="10" t="str">
        <f aca="false">IF($B939="","",IFERROR(INDEX(Drinks!$E$4:$E$53,MATCH($B939,Drinks!$A$4:$A$53,0)),0))</f>
        <v/>
      </c>
      <c r="P939" s="10" t="str">
        <f aca="false">IF($B939="","",$N939*$O939)</f>
        <v/>
      </c>
      <c r="Q939" s="10" t="str">
        <f aca="false">IF($B939="","",$N939*IFERROR(INDEX(Drinks!$D$4:$D$53,MATCH($B939,Drinks!$A$4:$A$53,0)),0))</f>
        <v/>
      </c>
      <c r="R939" s="10" t="str">
        <f aca="false">IF($B939="","",$P939-$Q939)</f>
        <v/>
      </c>
      <c r="S939" s="23" t="str">
        <f aca="false">IF($B939="","",IF(COUNTIFS($A$4:$A$2003,$A939-1,$B$4:$B$2003,$B939)=0,"first day",IF(SUMIFS($M$4:$M$2003,$A$4:$A$2003,$A939-1,$B$4:$B$2003,$B939)=$J939,"OK","CHECK")))</f>
        <v/>
      </c>
      <c r="T939" s="10" t="str">
        <f aca="false">IF($B939="","",IFERROR(INDEX(Drinks!$D$4:$D$53,MATCH($B939,Drinks!$A$4:$A$53,0)),0))</f>
        <v/>
      </c>
    </row>
    <row r="940" customFormat="false" ht="15" hidden="false" customHeight="false" outlineLevel="0" collapsed="false">
      <c r="A940" s="22"/>
      <c r="B940" s="9"/>
      <c r="C940" s="9"/>
      <c r="D940" s="9"/>
      <c r="E940" s="9"/>
      <c r="F940" s="10" t="str">
        <f aca="false">IF($B940="","",$C940+$D940-$E940)</f>
        <v/>
      </c>
      <c r="G940" s="10" t="str">
        <f aca="false">IF($B940="","",IFERROR(INDEX(Drinks!$C$4:$C$53,MATCH($B940,Drinks!$A$4:$A$53,0)),0))</f>
        <v/>
      </c>
      <c r="H940" s="10" t="str">
        <f aca="false">IF($B940="","",$D940*$G940)</f>
        <v/>
      </c>
      <c r="I940" s="10" t="str">
        <f aca="false">IF($B940="","",$F940*$G940)</f>
        <v/>
      </c>
      <c r="J940" s="9"/>
      <c r="K940" s="10" t="str">
        <f aca="false">IF($B940="","",$E940*IFERROR(INDEX(Drinks!$B$4:$B$53,MATCH($B940,Drinks!$A$4:$A$53,0)),0))</f>
        <v/>
      </c>
      <c r="L940" s="10" t="str">
        <f aca="false">IF($B940="","",$J940+$K940)</f>
        <v/>
      </c>
      <c r="M940" s="9"/>
      <c r="N940" s="10" t="str">
        <f aca="false">IF($B940="","",$L940-$M940)</f>
        <v/>
      </c>
      <c r="O940" s="10" t="str">
        <f aca="false">IF($B940="","",IFERROR(INDEX(Drinks!$E$4:$E$53,MATCH($B940,Drinks!$A$4:$A$53,0)),0))</f>
        <v/>
      </c>
      <c r="P940" s="10" t="str">
        <f aca="false">IF($B940="","",$N940*$O940)</f>
        <v/>
      </c>
      <c r="Q940" s="10" t="str">
        <f aca="false">IF($B940="","",$N940*IFERROR(INDEX(Drinks!$D$4:$D$53,MATCH($B940,Drinks!$A$4:$A$53,0)),0))</f>
        <v/>
      </c>
      <c r="R940" s="10" t="str">
        <f aca="false">IF($B940="","",$P940-$Q940)</f>
        <v/>
      </c>
      <c r="S940" s="23" t="str">
        <f aca="false">IF($B940="","",IF(COUNTIFS($A$4:$A$2003,$A940-1,$B$4:$B$2003,$B940)=0,"first day",IF(SUMIFS($M$4:$M$2003,$A$4:$A$2003,$A940-1,$B$4:$B$2003,$B940)=$J940,"OK","CHECK")))</f>
        <v/>
      </c>
      <c r="T940" s="10" t="str">
        <f aca="false">IF($B940="","",IFERROR(INDEX(Drinks!$D$4:$D$53,MATCH($B940,Drinks!$A$4:$A$53,0)),0))</f>
        <v/>
      </c>
    </row>
    <row r="941" customFormat="false" ht="15" hidden="false" customHeight="false" outlineLevel="0" collapsed="false">
      <c r="A941" s="22"/>
      <c r="B941" s="9"/>
      <c r="C941" s="9"/>
      <c r="D941" s="9"/>
      <c r="E941" s="9"/>
      <c r="F941" s="10" t="str">
        <f aca="false">IF($B941="","",$C941+$D941-$E941)</f>
        <v/>
      </c>
      <c r="G941" s="10" t="str">
        <f aca="false">IF($B941="","",IFERROR(INDEX(Drinks!$C$4:$C$53,MATCH($B941,Drinks!$A$4:$A$53,0)),0))</f>
        <v/>
      </c>
      <c r="H941" s="10" t="str">
        <f aca="false">IF($B941="","",$D941*$G941)</f>
        <v/>
      </c>
      <c r="I941" s="10" t="str">
        <f aca="false">IF($B941="","",$F941*$G941)</f>
        <v/>
      </c>
      <c r="J941" s="9"/>
      <c r="K941" s="10" t="str">
        <f aca="false">IF($B941="","",$E941*IFERROR(INDEX(Drinks!$B$4:$B$53,MATCH($B941,Drinks!$A$4:$A$53,0)),0))</f>
        <v/>
      </c>
      <c r="L941" s="10" t="str">
        <f aca="false">IF($B941="","",$J941+$K941)</f>
        <v/>
      </c>
      <c r="M941" s="9"/>
      <c r="N941" s="10" t="str">
        <f aca="false">IF($B941="","",$L941-$M941)</f>
        <v/>
      </c>
      <c r="O941" s="10" t="str">
        <f aca="false">IF($B941="","",IFERROR(INDEX(Drinks!$E$4:$E$53,MATCH($B941,Drinks!$A$4:$A$53,0)),0))</f>
        <v/>
      </c>
      <c r="P941" s="10" t="str">
        <f aca="false">IF($B941="","",$N941*$O941)</f>
        <v/>
      </c>
      <c r="Q941" s="10" t="str">
        <f aca="false">IF($B941="","",$N941*IFERROR(INDEX(Drinks!$D$4:$D$53,MATCH($B941,Drinks!$A$4:$A$53,0)),0))</f>
        <v/>
      </c>
      <c r="R941" s="10" t="str">
        <f aca="false">IF($B941="","",$P941-$Q941)</f>
        <v/>
      </c>
      <c r="S941" s="23" t="str">
        <f aca="false">IF($B941="","",IF(COUNTIFS($A$4:$A$2003,$A941-1,$B$4:$B$2003,$B941)=0,"first day",IF(SUMIFS($M$4:$M$2003,$A$4:$A$2003,$A941-1,$B$4:$B$2003,$B941)=$J941,"OK","CHECK")))</f>
        <v/>
      </c>
      <c r="T941" s="10" t="str">
        <f aca="false">IF($B941="","",IFERROR(INDEX(Drinks!$D$4:$D$53,MATCH($B941,Drinks!$A$4:$A$53,0)),0))</f>
        <v/>
      </c>
    </row>
    <row r="942" customFormat="false" ht="15" hidden="false" customHeight="false" outlineLevel="0" collapsed="false">
      <c r="A942" s="22"/>
      <c r="B942" s="9"/>
      <c r="C942" s="9"/>
      <c r="D942" s="9"/>
      <c r="E942" s="9"/>
      <c r="F942" s="10" t="str">
        <f aca="false">IF($B942="","",$C942+$D942-$E942)</f>
        <v/>
      </c>
      <c r="G942" s="10" t="str">
        <f aca="false">IF($B942="","",IFERROR(INDEX(Drinks!$C$4:$C$53,MATCH($B942,Drinks!$A$4:$A$53,0)),0))</f>
        <v/>
      </c>
      <c r="H942" s="10" t="str">
        <f aca="false">IF($B942="","",$D942*$G942)</f>
        <v/>
      </c>
      <c r="I942" s="10" t="str">
        <f aca="false">IF($B942="","",$F942*$G942)</f>
        <v/>
      </c>
      <c r="J942" s="9"/>
      <c r="K942" s="10" t="str">
        <f aca="false">IF($B942="","",$E942*IFERROR(INDEX(Drinks!$B$4:$B$53,MATCH($B942,Drinks!$A$4:$A$53,0)),0))</f>
        <v/>
      </c>
      <c r="L942" s="10" t="str">
        <f aca="false">IF($B942="","",$J942+$K942)</f>
        <v/>
      </c>
      <c r="M942" s="9"/>
      <c r="N942" s="10" t="str">
        <f aca="false">IF($B942="","",$L942-$M942)</f>
        <v/>
      </c>
      <c r="O942" s="10" t="str">
        <f aca="false">IF($B942="","",IFERROR(INDEX(Drinks!$E$4:$E$53,MATCH($B942,Drinks!$A$4:$A$53,0)),0))</f>
        <v/>
      </c>
      <c r="P942" s="10" t="str">
        <f aca="false">IF($B942="","",$N942*$O942)</f>
        <v/>
      </c>
      <c r="Q942" s="10" t="str">
        <f aca="false">IF($B942="","",$N942*IFERROR(INDEX(Drinks!$D$4:$D$53,MATCH($B942,Drinks!$A$4:$A$53,0)),0))</f>
        <v/>
      </c>
      <c r="R942" s="10" t="str">
        <f aca="false">IF($B942="","",$P942-$Q942)</f>
        <v/>
      </c>
      <c r="S942" s="23" t="str">
        <f aca="false">IF($B942="","",IF(COUNTIFS($A$4:$A$2003,$A942-1,$B$4:$B$2003,$B942)=0,"first day",IF(SUMIFS($M$4:$M$2003,$A$4:$A$2003,$A942-1,$B$4:$B$2003,$B942)=$J942,"OK","CHECK")))</f>
        <v/>
      </c>
      <c r="T942" s="10" t="str">
        <f aca="false">IF($B942="","",IFERROR(INDEX(Drinks!$D$4:$D$53,MATCH($B942,Drinks!$A$4:$A$53,0)),0))</f>
        <v/>
      </c>
    </row>
    <row r="943" customFormat="false" ht="15" hidden="false" customHeight="false" outlineLevel="0" collapsed="false">
      <c r="A943" s="22"/>
      <c r="B943" s="9"/>
      <c r="C943" s="9"/>
      <c r="D943" s="9"/>
      <c r="E943" s="9"/>
      <c r="F943" s="10" t="str">
        <f aca="false">IF($B943="","",$C943+$D943-$E943)</f>
        <v/>
      </c>
      <c r="G943" s="10" t="str">
        <f aca="false">IF($B943="","",IFERROR(INDEX(Drinks!$C$4:$C$53,MATCH($B943,Drinks!$A$4:$A$53,0)),0))</f>
        <v/>
      </c>
      <c r="H943" s="10" t="str">
        <f aca="false">IF($B943="","",$D943*$G943)</f>
        <v/>
      </c>
      <c r="I943" s="10" t="str">
        <f aca="false">IF($B943="","",$F943*$G943)</f>
        <v/>
      </c>
      <c r="J943" s="9"/>
      <c r="K943" s="10" t="str">
        <f aca="false">IF($B943="","",$E943*IFERROR(INDEX(Drinks!$B$4:$B$53,MATCH($B943,Drinks!$A$4:$A$53,0)),0))</f>
        <v/>
      </c>
      <c r="L943" s="10" t="str">
        <f aca="false">IF($B943="","",$J943+$K943)</f>
        <v/>
      </c>
      <c r="M943" s="9"/>
      <c r="N943" s="10" t="str">
        <f aca="false">IF($B943="","",$L943-$M943)</f>
        <v/>
      </c>
      <c r="O943" s="10" t="str">
        <f aca="false">IF($B943="","",IFERROR(INDEX(Drinks!$E$4:$E$53,MATCH($B943,Drinks!$A$4:$A$53,0)),0))</f>
        <v/>
      </c>
      <c r="P943" s="10" t="str">
        <f aca="false">IF($B943="","",$N943*$O943)</f>
        <v/>
      </c>
      <c r="Q943" s="10" t="str">
        <f aca="false">IF($B943="","",$N943*IFERROR(INDEX(Drinks!$D$4:$D$53,MATCH($B943,Drinks!$A$4:$A$53,0)),0))</f>
        <v/>
      </c>
      <c r="R943" s="10" t="str">
        <f aca="false">IF($B943="","",$P943-$Q943)</f>
        <v/>
      </c>
      <c r="S943" s="23" t="str">
        <f aca="false">IF($B943="","",IF(COUNTIFS($A$4:$A$2003,$A943-1,$B$4:$B$2003,$B943)=0,"first day",IF(SUMIFS($M$4:$M$2003,$A$4:$A$2003,$A943-1,$B$4:$B$2003,$B943)=$J943,"OK","CHECK")))</f>
        <v/>
      </c>
      <c r="T943" s="10" t="str">
        <f aca="false">IF($B943="","",IFERROR(INDEX(Drinks!$D$4:$D$53,MATCH($B943,Drinks!$A$4:$A$53,0)),0))</f>
        <v/>
      </c>
    </row>
    <row r="944" customFormat="false" ht="15" hidden="false" customHeight="false" outlineLevel="0" collapsed="false">
      <c r="A944" s="22"/>
      <c r="B944" s="9"/>
      <c r="C944" s="9"/>
      <c r="D944" s="9"/>
      <c r="E944" s="9"/>
      <c r="F944" s="10" t="str">
        <f aca="false">IF($B944="","",$C944+$D944-$E944)</f>
        <v/>
      </c>
      <c r="G944" s="10" t="str">
        <f aca="false">IF($B944="","",IFERROR(INDEX(Drinks!$C$4:$C$53,MATCH($B944,Drinks!$A$4:$A$53,0)),0))</f>
        <v/>
      </c>
      <c r="H944" s="10" t="str">
        <f aca="false">IF($B944="","",$D944*$G944)</f>
        <v/>
      </c>
      <c r="I944" s="10" t="str">
        <f aca="false">IF($B944="","",$F944*$G944)</f>
        <v/>
      </c>
      <c r="J944" s="9"/>
      <c r="K944" s="10" t="str">
        <f aca="false">IF($B944="","",$E944*IFERROR(INDEX(Drinks!$B$4:$B$53,MATCH($B944,Drinks!$A$4:$A$53,0)),0))</f>
        <v/>
      </c>
      <c r="L944" s="10" t="str">
        <f aca="false">IF($B944="","",$J944+$K944)</f>
        <v/>
      </c>
      <c r="M944" s="9"/>
      <c r="N944" s="10" t="str">
        <f aca="false">IF($B944="","",$L944-$M944)</f>
        <v/>
      </c>
      <c r="O944" s="10" t="str">
        <f aca="false">IF($B944="","",IFERROR(INDEX(Drinks!$E$4:$E$53,MATCH($B944,Drinks!$A$4:$A$53,0)),0))</f>
        <v/>
      </c>
      <c r="P944" s="10" t="str">
        <f aca="false">IF($B944="","",$N944*$O944)</f>
        <v/>
      </c>
      <c r="Q944" s="10" t="str">
        <f aca="false">IF($B944="","",$N944*IFERROR(INDEX(Drinks!$D$4:$D$53,MATCH($B944,Drinks!$A$4:$A$53,0)),0))</f>
        <v/>
      </c>
      <c r="R944" s="10" t="str">
        <f aca="false">IF($B944="","",$P944-$Q944)</f>
        <v/>
      </c>
      <c r="S944" s="23" t="str">
        <f aca="false">IF($B944="","",IF(COUNTIFS($A$4:$A$2003,$A944-1,$B$4:$B$2003,$B944)=0,"first day",IF(SUMIFS($M$4:$M$2003,$A$4:$A$2003,$A944-1,$B$4:$B$2003,$B944)=$J944,"OK","CHECK")))</f>
        <v/>
      </c>
      <c r="T944" s="10" t="str">
        <f aca="false">IF($B944="","",IFERROR(INDEX(Drinks!$D$4:$D$53,MATCH($B944,Drinks!$A$4:$A$53,0)),0))</f>
        <v/>
      </c>
    </row>
    <row r="945" customFormat="false" ht="15" hidden="false" customHeight="false" outlineLevel="0" collapsed="false">
      <c r="A945" s="22"/>
      <c r="B945" s="9"/>
      <c r="C945" s="9"/>
      <c r="D945" s="9"/>
      <c r="E945" s="9"/>
      <c r="F945" s="10" t="str">
        <f aca="false">IF($B945="","",$C945+$D945-$E945)</f>
        <v/>
      </c>
      <c r="G945" s="10" t="str">
        <f aca="false">IF($B945="","",IFERROR(INDEX(Drinks!$C$4:$C$53,MATCH($B945,Drinks!$A$4:$A$53,0)),0))</f>
        <v/>
      </c>
      <c r="H945" s="10" t="str">
        <f aca="false">IF($B945="","",$D945*$G945)</f>
        <v/>
      </c>
      <c r="I945" s="10" t="str">
        <f aca="false">IF($B945="","",$F945*$G945)</f>
        <v/>
      </c>
      <c r="J945" s="9"/>
      <c r="K945" s="10" t="str">
        <f aca="false">IF($B945="","",$E945*IFERROR(INDEX(Drinks!$B$4:$B$53,MATCH($B945,Drinks!$A$4:$A$53,0)),0))</f>
        <v/>
      </c>
      <c r="L945" s="10" t="str">
        <f aca="false">IF($B945="","",$J945+$K945)</f>
        <v/>
      </c>
      <c r="M945" s="9"/>
      <c r="N945" s="10" t="str">
        <f aca="false">IF($B945="","",$L945-$M945)</f>
        <v/>
      </c>
      <c r="O945" s="10" t="str">
        <f aca="false">IF($B945="","",IFERROR(INDEX(Drinks!$E$4:$E$53,MATCH($B945,Drinks!$A$4:$A$53,0)),0))</f>
        <v/>
      </c>
      <c r="P945" s="10" t="str">
        <f aca="false">IF($B945="","",$N945*$O945)</f>
        <v/>
      </c>
      <c r="Q945" s="10" t="str">
        <f aca="false">IF($B945="","",$N945*IFERROR(INDEX(Drinks!$D$4:$D$53,MATCH($B945,Drinks!$A$4:$A$53,0)),0))</f>
        <v/>
      </c>
      <c r="R945" s="10" t="str">
        <f aca="false">IF($B945="","",$P945-$Q945)</f>
        <v/>
      </c>
      <c r="S945" s="23" t="str">
        <f aca="false">IF($B945="","",IF(COUNTIFS($A$4:$A$2003,$A945-1,$B$4:$B$2003,$B945)=0,"first day",IF(SUMIFS($M$4:$M$2003,$A$4:$A$2003,$A945-1,$B$4:$B$2003,$B945)=$J945,"OK","CHECK")))</f>
        <v/>
      </c>
      <c r="T945" s="10" t="str">
        <f aca="false">IF($B945="","",IFERROR(INDEX(Drinks!$D$4:$D$53,MATCH($B945,Drinks!$A$4:$A$53,0)),0))</f>
        <v/>
      </c>
    </row>
    <row r="946" customFormat="false" ht="15" hidden="false" customHeight="false" outlineLevel="0" collapsed="false">
      <c r="A946" s="22"/>
      <c r="B946" s="9"/>
      <c r="C946" s="9"/>
      <c r="D946" s="9"/>
      <c r="E946" s="9"/>
      <c r="F946" s="10" t="str">
        <f aca="false">IF($B946="","",$C946+$D946-$E946)</f>
        <v/>
      </c>
      <c r="G946" s="10" t="str">
        <f aca="false">IF($B946="","",IFERROR(INDEX(Drinks!$C$4:$C$53,MATCH($B946,Drinks!$A$4:$A$53,0)),0))</f>
        <v/>
      </c>
      <c r="H946" s="10" t="str">
        <f aca="false">IF($B946="","",$D946*$G946)</f>
        <v/>
      </c>
      <c r="I946" s="10" t="str">
        <f aca="false">IF($B946="","",$F946*$G946)</f>
        <v/>
      </c>
      <c r="J946" s="9"/>
      <c r="K946" s="10" t="str">
        <f aca="false">IF($B946="","",$E946*IFERROR(INDEX(Drinks!$B$4:$B$53,MATCH($B946,Drinks!$A$4:$A$53,0)),0))</f>
        <v/>
      </c>
      <c r="L946" s="10" t="str">
        <f aca="false">IF($B946="","",$J946+$K946)</f>
        <v/>
      </c>
      <c r="M946" s="9"/>
      <c r="N946" s="10" t="str">
        <f aca="false">IF($B946="","",$L946-$M946)</f>
        <v/>
      </c>
      <c r="O946" s="10" t="str">
        <f aca="false">IF($B946="","",IFERROR(INDEX(Drinks!$E$4:$E$53,MATCH($B946,Drinks!$A$4:$A$53,0)),0))</f>
        <v/>
      </c>
      <c r="P946" s="10" t="str">
        <f aca="false">IF($B946="","",$N946*$O946)</f>
        <v/>
      </c>
      <c r="Q946" s="10" t="str">
        <f aca="false">IF($B946="","",$N946*IFERROR(INDEX(Drinks!$D$4:$D$53,MATCH($B946,Drinks!$A$4:$A$53,0)),0))</f>
        <v/>
      </c>
      <c r="R946" s="10" t="str">
        <f aca="false">IF($B946="","",$P946-$Q946)</f>
        <v/>
      </c>
      <c r="S946" s="23" t="str">
        <f aca="false">IF($B946="","",IF(COUNTIFS($A$4:$A$2003,$A946-1,$B$4:$B$2003,$B946)=0,"first day",IF(SUMIFS($M$4:$M$2003,$A$4:$A$2003,$A946-1,$B$4:$B$2003,$B946)=$J946,"OK","CHECK")))</f>
        <v/>
      </c>
      <c r="T946" s="10" t="str">
        <f aca="false">IF($B946="","",IFERROR(INDEX(Drinks!$D$4:$D$53,MATCH($B946,Drinks!$A$4:$A$53,0)),0))</f>
        <v/>
      </c>
    </row>
    <row r="947" customFormat="false" ht="15" hidden="false" customHeight="false" outlineLevel="0" collapsed="false">
      <c r="A947" s="22"/>
      <c r="B947" s="9"/>
      <c r="C947" s="9"/>
      <c r="D947" s="9"/>
      <c r="E947" s="9"/>
      <c r="F947" s="10" t="str">
        <f aca="false">IF($B947="","",$C947+$D947-$E947)</f>
        <v/>
      </c>
      <c r="G947" s="10" t="str">
        <f aca="false">IF($B947="","",IFERROR(INDEX(Drinks!$C$4:$C$53,MATCH($B947,Drinks!$A$4:$A$53,0)),0))</f>
        <v/>
      </c>
      <c r="H947" s="10" t="str">
        <f aca="false">IF($B947="","",$D947*$G947)</f>
        <v/>
      </c>
      <c r="I947" s="10" t="str">
        <f aca="false">IF($B947="","",$F947*$G947)</f>
        <v/>
      </c>
      <c r="J947" s="9"/>
      <c r="K947" s="10" t="str">
        <f aca="false">IF($B947="","",$E947*IFERROR(INDEX(Drinks!$B$4:$B$53,MATCH($B947,Drinks!$A$4:$A$53,0)),0))</f>
        <v/>
      </c>
      <c r="L947" s="10" t="str">
        <f aca="false">IF($B947="","",$J947+$K947)</f>
        <v/>
      </c>
      <c r="M947" s="9"/>
      <c r="N947" s="10" t="str">
        <f aca="false">IF($B947="","",$L947-$M947)</f>
        <v/>
      </c>
      <c r="O947" s="10" t="str">
        <f aca="false">IF($B947="","",IFERROR(INDEX(Drinks!$E$4:$E$53,MATCH($B947,Drinks!$A$4:$A$53,0)),0))</f>
        <v/>
      </c>
      <c r="P947" s="10" t="str">
        <f aca="false">IF($B947="","",$N947*$O947)</f>
        <v/>
      </c>
      <c r="Q947" s="10" t="str">
        <f aca="false">IF($B947="","",$N947*IFERROR(INDEX(Drinks!$D$4:$D$53,MATCH($B947,Drinks!$A$4:$A$53,0)),0))</f>
        <v/>
      </c>
      <c r="R947" s="10" t="str">
        <f aca="false">IF($B947="","",$P947-$Q947)</f>
        <v/>
      </c>
      <c r="S947" s="23" t="str">
        <f aca="false">IF($B947="","",IF(COUNTIFS($A$4:$A$2003,$A947-1,$B$4:$B$2003,$B947)=0,"first day",IF(SUMIFS($M$4:$M$2003,$A$4:$A$2003,$A947-1,$B$4:$B$2003,$B947)=$J947,"OK","CHECK")))</f>
        <v/>
      </c>
      <c r="T947" s="10" t="str">
        <f aca="false">IF($B947="","",IFERROR(INDEX(Drinks!$D$4:$D$53,MATCH($B947,Drinks!$A$4:$A$53,0)),0))</f>
        <v/>
      </c>
    </row>
    <row r="948" customFormat="false" ht="15" hidden="false" customHeight="false" outlineLevel="0" collapsed="false">
      <c r="A948" s="22"/>
      <c r="B948" s="9"/>
      <c r="C948" s="9"/>
      <c r="D948" s="9"/>
      <c r="E948" s="9"/>
      <c r="F948" s="10" t="str">
        <f aca="false">IF($B948="","",$C948+$D948-$E948)</f>
        <v/>
      </c>
      <c r="G948" s="10" t="str">
        <f aca="false">IF($B948="","",IFERROR(INDEX(Drinks!$C$4:$C$53,MATCH($B948,Drinks!$A$4:$A$53,0)),0))</f>
        <v/>
      </c>
      <c r="H948" s="10" t="str">
        <f aca="false">IF($B948="","",$D948*$G948)</f>
        <v/>
      </c>
      <c r="I948" s="10" t="str">
        <f aca="false">IF($B948="","",$F948*$G948)</f>
        <v/>
      </c>
      <c r="J948" s="9"/>
      <c r="K948" s="10" t="str">
        <f aca="false">IF($B948="","",$E948*IFERROR(INDEX(Drinks!$B$4:$B$53,MATCH($B948,Drinks!$A$4:$A$53,0)),0))</f>
        <v/>
      </c>
      <c r="L948" s="10" t="str">
        <f aca="false">IF($B948="","",$J948+$K948)</f>
        <v/>
      </c>
      <c r="M948" s="9"/>
      <c r="N948" s="10" t="str">
        <f aca="false">IF($B948="","",$L948-$M948)</f>
        <v/>
      </c>
      <c r="O948" s="10" t="str">
        <f aca="false">IF($B948="","",IFERROR(INDEX(Drinks!$E$4:$E$53,MATCH($B948,Drinks!$A$4:$A$53,0)),0))</f>
        <v/>
      </c>
      <c r="P948" s="10" t="str">
        <f aca="false">IF($B948="","",$N948*$O948)</f>
        <v/>
      </c>
      <c r="Q948" s="10" t="str">
        <f aca="false">IF($B948="","",$N948*IFERROR(INDEX(Drinks!$D$4:$D$53,MATCH($B948,Drinks!$A$4:$A$53,0)),0))</f>
        <v/>
      </c>
      <c r="R948" s="10" t="str">
        <f aca="false">IF($B948="","",$P948-$Q948)</f>
        <v/>
      </c>
      <c r="S948" s="23" t="str">
        <f aca="false">IF($B948="","",IF(COUNTIFS($A$4:$A$2003,$A948-1,$B$4:$B$2003,$B948)=0,"first day",IF(SUMIFS($M$4:$M$2003,$A$4:$A$2003,$A948-1,$B$4:$B$2003,$B948)=$J948,"OK","CHECK")))</f>
        <v/>
      </c>
      <c r="T948" s="10" t="str">
        <f aca="false">IF($B948="","",IFERROR(INDEX(Drinks!$D$4:$D$53,MATCH($B948,Drinks!$A$4:$A$53,0)),0))</f>
        <v/>
      </c>
    </row>
    <row r="949" customFormat="false" ht="15" hidden="false" customHeight="false" outlineLevel="0" collapsed="false">
      <c r="A949" s="22"/>
      <c r="B949" s="9"/>
      <c r="C949" s="9"/>
      <c r="D949" s="9"/>
      <c r="E949" s="9"/>
      <c r="F949" s="10" t="str">
        <f aca="false">IF($B949="","",$C949+$D949-$E949)</f>
        <v/>
      </c>
      <c r="G949" s="10" t="str">
        <f aca="false">IF($B949="","",IFERROR(INDEX(Drinks!$C$4:$C$53,MATCH($B949,Drinks!$A$4:$A$53,0)),0))</f>
        <v/>
      </c>
      <c r="H949" s="10" t="str">
        <f aca="false">IF($B949="","",$D949*$G949)</f>
        <v/>
      </c>
      <c r="I949" s="10" t="str">
        <f aca="false">IF($B949="","",$F949*$G949)</f>
        <v/>
      </c>
      <c r="J949" s="9"/>
      <c r="K949" s="10" t="str">
        <f aca="false">IF($B949="","",$E949*IFERROR(INDEX(Drinks!$B$4:$B$53,MATCH($B949,Drinks!$A$4:$A$53,0)),0))</f>
        <v/>
      </c>
      <c r="L949" s="10" t="str">
        <f aca="false">IF($B949="","",$J949+$K949)</f>
        <v/>
      </c>
      <c r="M949" s="9"/>
      <c r="N949" s="10" t="str">
        <f aca="false">IF($B949="","",$L949-$M949)</f>
        <v/>
      </c>
      <c r="O949" s="10" t="str">
        <f aca="false">IF($B949="","",IFERROR(INDEX(Drinks!$E$4:$E$53,MATCH($B949,Drinks!$A$4:$A$53,0)),0))</f>
        <v/>
      </c>
      <c r="P949" s="10" t="str">
        <f aca="false">IF($B949="","",$N949*$O949)</f>
        <v/>
      </c>
      <c r="Q949" s="10" t="str">
        <f aca="false">IF($B949="","",$N949*IFERROR(INDEX(Drinks!$D$4:$D$53,MATCH($B949,Drinks!$A$4:$A$53,0)),0))</f>
        <v/>
      </c>
      <c r="R949" s="10" t="str">
        <f aca="false">IF($B949="","",$P949-$Q949)</f>
        <v/>
      </c>
      <c r="S949" s="23" t="str">
        <f aca="false">IF($B949="","",IF(COUNTIFS($A$4:$A$2003,$A949-1,$B$4:$B$2003,$B949)=0,"first day",IF(SUMIFS($M$4:$M$2003,$A$4:$A$2003,$A949-1,$B$4:$B$2003,$B949)=$J949,"OK","CHECK")))</f>
        <v/>
      </c>
      <c r="T949" s="10" t="str">
        <f aca="false">IF($B949="","",IFERROR(INDEX(Drinks!$D$4:$D$53,MATCH($B949,Drinks!$A$4:$A$53,0)),0))</f>
        <v/>
      </c>
    </row>
    <row r="950" customFormat="false" ht="15" hidden="false" customHeight="false" outlineLevel="0" collapsed="false">
      <c r="A950" s="22"/>
      <c r="B950" s="9"/>
      <c r="C950" s="9"/>
      <c r="D950" s="9"/>
      <c r="E950" s="9"/>
      <c r="F950" s="10" t="str">
        <f aca="false">IF($B950="","",$C950+$D950-$E950)</f>
        <v/>
      </c>
      <c r="G950" s="10" t="str">
        <f aca="false">IF($B950="","",IFERROR(INDEX(Drinks!$C$4:$C$53,MATCH($B950,Drinks!$A$4:$A$53,0)),0))</f>
        <v/>
      </c>
      <c r="H950" s="10" t="str">
        <f aca="false">IF($B950="","",$D950*$G950)</f>
        <v/>
      </c>
      <c r="I950" s="10" t="str">
        <f aca="false">IF($B950="","",$F950*$G950)</f>
        <v/>
      </c>
      <c r="J950" s="9"/>
      <c r="K950" s="10" t="str">
        <f aca="false">IF($B950="","",$E950*IFERROR(INDEX(Drinks!$B$4:$B$53,MATCH($B950,Drinks!$A$4:$A$53,0)),0))</f>
        <v/>
      </c>
      <c r="L950" s="10" t="str">
        <f aca="false">IF($B950="","",$J950+$K950)</f>
        <v/>
      </c>
      <c r="M950" s="9"/>
      <c r="N950" s="10" t="str">
        <f aca="false">IF($B950="","",$L950-$M950)</f>
        <v/>
      </c>
      <c r="O950" s="10" t="str">
        <f aca="false">IF($B950="","",IFERROR(INDEX(Drinks!$E$4:$E$53,MATCH($B950,Drinks!$A$4:$A$53,0)),0))</f>
        <v/>
      </c>
      <c r="P950" s="10" t="str">
        <f aca="false">IF($B950="","",$N950*$O950)</f>
        <v/>
      </c>
      <c r="Q950" s="10" t="str">
        <f aca="false">IF($B950="","",$N950*IFERROR(INDEX(Drinks!$D$4:$D$53,MATCH($B950,Drinks!$A$4:$A$53,0)),0))</f>
        <v/>
      </c>
      <c r="R950" s="10" t="str">
        <f aca="false">IF($B950="","",$P950-$Q950)</f>
        <v/>
      </c>
      <c r="S950" s="23" t="str">
        <f aca="false">IF($B950="","",IF(COUNTIFS($A$4:$A$2003,$A950-1,$B$4:$B$2003,$B950)=0,"first day",IF(SUMIFS($M$4:$M$2003,$A$4:$A$2003,$A950-1,$B$4:$B$2003,$B950)=$J950,"OK","CHECK")))</f>
        <v/>
      </c>
      <c r="T950" s="10" t="str">
        <f aca="false">IF($B950="","",IFERROR(INDEX(Drinks!$D$4:$D$53,MATCH($B950,Drinks!$A$4:$A$53,0)),0))</f>
        <v/>
      </c>
    </row>
    <row r="951" customFormat="false" ht="15" hidden="false" customHeight="false" outlineLevel="0" collapsed="false">
      <c r="A951" s="22"/>
      <c r="B951" s="9"/>
      <c r="C951" s="9"/>
      <c r="D951" s="9"/>
      <c r="E951" s="9"/>
      <c r="F951" s="10" t="str">
        <f aca="false">IF($B951="","",$C951+$D951-$E951)</f>
        <v/>
      </c>
      <c r="G951" s="10" t="str">
        <f aca="false">IF($B951="","",IFERROR(INDEX(Drinks!$C$4:$C$53,MATCH($B951,Drinks!$A$4:$A$53,0)),0))</f>
        <v/>
      </c>
      <c r="H951" s="10" t="str">
        <f aca="false">IF($B951="","",$D951*$G951)</f>
        <v/>
      </c>
      <c r="I951" s="10" t="str">
        <f aca="false">IF($B951="","",$F951*$G951)</f>
        <v/>
      </c>
      <c r="J951" s="9"/>
      <c r="K951" s="10" t="str">
        <f aca="false">IF($B951="","",$E951*IFERROR(INDEX(Drinks!$B$4:$B$53,MATCH($B951,Drinks!$A$4:$A$53,0)),0))</f>
        <v/>
      </c>
      <c r="L951" s="10" t="str">
        <f aca="false">IF($B951="","",$J951+$K951)</f>
        <v/>
      </c>
      <c r="M951" s="9"/>
      <c r="N951" s="10" t="str">
        <f aca="false">IF($B951="","",$L951-$M951)</f>
        <v/>
      </c>
      <c r="O951" s="10" t="str">
        <f aca="false">IF($B951="","",IFERROR(INDEX(Drinks!$E$4:$E$53,MATCH($B951,Drinks!$A$4:$A$53,0)),0))</f>
        <v/>
      </c>
      <c r="P951" s="10" t="str">
        <f aca="false">IF($B951="","",$N951*$O951)</f>
        <v/>
      </c>
      <c r="Q951" s="10" t="str">
        <f aca="false">IF($B951="","",$N951*IFERROR(INDEX(Drinks!$D$4:$D$53,MATCH($B951,Drinks!$A$4:$A$53,0)),0))</f>
        <v/>
      </c>
      <c r="R951" s="10" t="str">
        <f aca="false">IF($B951="","",$P951-$Q951)</f>
        <v/>
      </c>
      <c r="S951" s="23" t="str">
        <f aca="false">IF($B951="","",IF(COUNTIFS($A$4:$A$2003,$A951-1,$B$4:$B$2003,$B951)=0,"first day",IF(SUMIFS($M$4:$M$2003,$A$4:$A$2003,$A951-1,$B$4:$B$2003,$B951)=$J951,"OK","CHECK")))</f>
        <v/>
      </c>
      <c r="T951" s="10" t="str">
        <f aca="false">IF($B951="","",IFERROR(INDEX(Drinks!$D$4:$D$53,MATCH($B951,Drinks!$A$4:$A$53,0)),0))</f>
        <v/>
      </c>
    </row>
    <row r="952" customFormat="false" ht="15" hidden="false" customHeight="false" outlineLevel="0" collapsed="false">
      <c r="A952" s="22"/>
      <c r="B952" s="9"/>
      <c r="C952" s="9"/>
      <c r="D952" s="9"/>
      <c r="E952" s="9"/>
      <c r="F952" s="10" t="str">
        <f aca="false">IF($B952="","",$C952+$D952-$E952)</f>
        <v/>
      </c>
      <c r="G952" s="10" t="str">
        <f aca="false">IF($B952="","",IFERROR(INDEX(Drinks!$C$4:$C$53,MATCH($B952,Drinks!$A$4:$A$53,0)),0))</f>
        <v/>
      </c>
      <c r="H952" s="10" t="str">
        <f aca="false">IF($B952="","",$D952*$G952)</f>
        <v/>
      </c>
      <c r="I952" s="10" t="str">
        <f aca="false">IF($B952="","",$F952*$G952)</f>
        <v/>
      </c>
      <c r="J952" s="9"/>
      <c r="K952" s="10" t="str">
        <f aca="false">IF($B952="","",$E952*IFERROR(INDEX(Drinks!$B$4:$B$53,MATCH($B952,Drinks!$A$4:$A$53,0)),0))</f>
        <v/>
      </c>
      <c r="L952" s="10" t="str">
        <f aca="false">IF($B952="","",$J952+$K952)</f>
        <v/>
      </c>
      <c r="M952" s="9"/>
      <c r="N952" s="10" t="str">
        <f aca="false">IF($B952="","",$L952-$M952)</f>
        <v/>
      </c>
      <c r="O952" s="10" t="str">
        <f aca="false">IF($B952="","",IFERROR(INDEX(Drinks!$E$4:$E$53,MATCH($B952,Drinks!$A$4:$A$53,0)),0))</f>
        <v/>
      </c>
      <c r="P952" s="10" t="str">
        <f aca="false">IF($B952="","",$N952*$O952)</f>
        <v/>
      </c>
      <c r="Q952" s="10" t="str">
        <f aca="false">IF($B952="","",$N952*IFERROR(INDEX(Drinks!$D$4:$D$53,MATCH($B952,Drinks!$A$4:$A$53,0)),0))</f>
        <v/>
      </c>
      <c r="R952" s="10" t="str">
        <f aca="false">IF($B952="","",$P952-$Q952)</f>
        <v/>
      </c>
      <c r="S952" s="23" t="str">
        <f aca="false">IF($B952="","",IF(COUNTIFS($A$4:$A$2003,$A952-1,$B$4:$B$2003,$B952)=0,"first day",IF(SUMIFS($M$4:$M$2003,$A$4:$A$2003,$A952-1,$B$4:$B$2003,$B952)=$J952,"OK","CHECK")))</f>
        <v/>
      </c>
      <c r="T952" s="10" t="str">
        <f aca="false">IF($B952="","",IFERROR(INDEX(Drinks!$D$4:$D$53,MATCH($B952,Drinks!$A$4:$A$53,0)),0))</f>
        <v/>
      </c>
    </row>
    <row r="953" customFormat="false" ht="15" hidden="false" customHeight="false" outlineLevel="0" collapsed="false">
      <c r="A953" s="22"/>
      <c r="B953" s="9"/>
      <c r="C953" s="9"/>
      <c r="D953" s="9"/>
      <c r="E953" s="9"/>
      <c r="F953" s="10" t="str">
        <f aca="false">IF($B953="","",$C953+$D953-$E953)</f>
        <v/>
      </c>
      <c r="G953" s="10" t="str">
        <f aca="false">IF($B953="","",IFERROR(INDEX(Drinks!$C$4:$C$53,MATCH($B953,Drinks!$A$4:$A$53,0)),0))</f>
        <v/>
      </c>
      <c r="H953" s="10" t="str">
        <f aca="false">IF($B953="","",$D953*$G953)</f>
        <v/>
      </c>
      <c r="I953" s="10" t="str">
        <f aca="false">IF($B953="","",$F953*$G953)</f>
        <v/>
      </c>
      <c r="J953" s="9"/>
      <c r="K953" s="10" t="str">
        <f aca="false">IF($B953="","",$E953*IFERROR(INDEX(Drinks!$B$4:$B$53,MATCH($B953,Drinks!$A$4:$A$53,0)),0))</f>
        <v/>
      </c>
      <c r="L953" s="10" t="str">
        <f aca="false">IF($B953="","",$J953+$K953)</f>
        <v/>
      </c>
      <c r="M953" s="9"/>
      <c r="N953" s="10" t="str">
        <f aca="false">IF($B953="","",$L953-$M953)</f>
        <v/>
      </c>
      <c r="O953" s="10" t="str">
        <f aca="false">IF($B953="","",IFERROR(INDEX(Drinks!$E$4:$E$53,MATCH($B953,Drinks!$A$4:$A$53,0)),0))</f>
        <v/>
      </c>
      <c r="P953" s="10" t="str">
        <f aca="false">IF($B953="","",$N953*$O953)</f>
        <v/>
      </c>
      <c r="Q953" s="10" t="str">
        <f aca="false">IF($B953="","",$N953*IFERROR(INDEX(Drinks!$D$4:$D$53,MATCH($B953,Drinks!$A$4:$A$53,0)),0))</f>
        <v/>
      </c>
      <c r="R953" s="10" t="str">
        <f aca="false">IF($B953="","",$P953-$Q953)</f>
        <v/>
      </c>
      <c r="S953" s="23" t="str">
        <f aca="false">IF($B953="","",IF(COUNTIFS($A$4:$A$2003,$A953-1,$B$4:$B$2003,$B953)=0,"first day",IF(SUMIFS($M$4:$M$2003,$A$4:$A$2003,$A953-1,$B$4:$B$2003,$B953)=$J953,"OK","CHECK")))</f>
        <v/>
      </c>
      <c r="T953" s="10" t="str">
        <f aca="false">IF($B953="","",IFERROR(INDEX(Drinks!$D$4:$D$53,MATCH($B953,Drinks!$A$4:$A$53,0)),0))</f>
        <v/>
      </c>
    </row>
    <row r="954" customFormat="false" ht="15" hidden="false" customHeight="false" outlineLevel="0" collapsed="false">
      <c r="A954" s="22"/>
      <c r="B954" s="9"/>
      <c r="C954" s="9"/>
      <c r="D954" s="9"/>
      <c r="E954" s="9"/>
      <c r="F954" s="10" t="str">
        <f aca="false">IF($B954="","",$C954+$D954-$E954)</f>
        <v/>
      </c>
      <c r="G954" s="10" t="str">
        <f aca="false">IF($B954="","",IFERROR(INDEX(Drinks!$C$4:$C$53,MATCH($B954,Drinks!$A$4:$A$53,0)),0))</f>
        <v/>
      </c>
      <c r="H954" s="10" t="str">
        <f aca="false">IF($B954="","",$D954*$G954)</f>
        <v/>
      </c>
      <c r="I954" s="10" t="str">
        <f aca="false">IF($B954="","",$F954*$G954)</f>
        <v/>
      </c>
      <c r="J954" s="9"/>
      <c r="K954" s="10" t="str">
        <f aca="false">IF($B954="","",$E954*IFERROR(INDEX(Drinks!$B$4:$B$53,MATCH($B954,Drinks!$A$4:$A$53,0)),0))</f>
        <v/>
      </c>
      <c r="L954" s="10" t="str">
        <f aca="false">IF($B954="","",$J954+$K954)</f>
        <v/>
      </c>
      <c r="M954" s="9"/>
      <c r="N954" s="10" t="str">
        <f aca="false">IF($B954="","",$L954-$M954)</f>
        <v/>
      </c>
      <c r="O954" s="10" t="str">
        <f aca="false">IF($B954="","",IFERROR(INDEX(Drinks!$E$4:$E$53,MATCH($B954,Drinks!$A$4:$A$53,0)),0))</f>
        <v/>
      </c>
      <c r="P954" s="10" t="str">
        <f aca="false">IF($B954="","",$N954*$O954)</f>
        <v/>
      </c>
      <c r="Q954" s="10" t="str">
        <f aca="false">IF($B954="","",$N954*IFERROR(INDEX(Drinks!$D$4:$D$53,MATCH($B954,Drinks!$A$4:$A$53,0)),0))</f>
        <v/>
      </c>
      <c r="R954" s="10" t="str">
        <f aca="false">IF($B954="","",$P954-$Q954)</f>
        <v/>
      </c>
      <c r="S954" s="23" t="str">
        <f aca="false">IF($B954="","",IF(COUNTIFS($A$4:$A$2003,$A954-1,$B$4:$B$2003,$B954)=0,"first day",IF(SUMIFS($M$4:$M$2003,$A$4:$A$2003,$A954-1,$B$4:$B$2003,$B954)=$J954,"OK","CHECK")))</f>
        <v/>
      </c>
      <c r="T954" s="10" t="str">
        <f aca="false">IF($B954="","",IFERROR(INDEX(Drinks!$D$4:$D$53,MATCH($B954,Drinks!$A$4:$A$53,0)),0))</f>
        <v/>
      </c>
    </row>
    <row r="955" customFormat="false" ht="15" hidden="false" customHeight="false" outlineLevel="0" collapsed="false">
      <c r="A955" s="22"/>
      <c r="B955" s="9"/>
      <c r="C955" s="9"/>
      <c r="D955" s="9"/>
      <c r="E955" s="9"/>
      <c r="F955" s="10" t="str">
        <f aca="false">IF($B955="","",$C955+$D955-$E955)</f>
        <v/>
      </c>
      <c r="G955" s="10" t="str">
        <f aca="false">IF($B955="","",IFERROR(INDEX(Drinks!$C$4:$C$53,MATCH($B955,Drinks!$A$4:$A$53,0)),0))</f>
        <v/>
      </c>
      <c r="H955" s="10" t="str">
        <f aca="false">IF($B955="","",$D955*$G955)</f>
        <v/>
      </c>
      <c r="I955" s="10" t="str">
        <f aca="false">IF($B955="","",$F955*$G955)</f>
        <v/>
      </c>
      <c r="J955" s="9"/>
      <c r="K955" s="10" t="str">
        <f aca="false">IF($B955="","",$E955*IFERROR(INDEX(Drinks!$B$4:$B$53,MATCH($B955,Drinks!$A$4:$A$53,0)),0))</f>
        <v/>
      </c>
      <c r="L955" s="10" t="str">
        <f aca="false">IF($B955="","",$J955+$K955)</f>
        <v/>
      </c>
      <c r="M955" s="9"/>
      <c r="N955" s="10" t="str">
        <f aca="false">IF($B955="","",$L955-$M955)</f>
        <v/>
      </c>
      <c r="O955" s="10" t="str">
        <f aca="false">IF($B955="","",IFERROR(INDEX(Drinks!$E$4:$E$53,MATCH($B955,Drinks!$A$4:$A$53,0)),0))</f>
        <v/>
      </c>
      <c r="P955" s="10" t="str">
        <f aca="false">IF($B955="","",$N955*$O955)</f>
        <v/>
      </c>
      <c r="Q955" s="10" t="str">
        <f aca="false">IF($B955="","",$N955*IFERROR(INDEX(Drinks!$D$4:$D$53,MATCH($B955,Drinks!$A$4:$A$53,0)),0))</f>
        <v/>
      </c>
      <c r="R955" s="10" t="str">
        <f aca="false">IF($B955="","",$P955-$Q955)</f>
        <v/>
      </c>
      <c r="S955" s="23" t="str">
        <f aca="false">IF($B955="","",IF(COUNTIFS($A$4:$A$2003,$A955-1,$B$4:$B$2003,$B955)=0,"first day",IF(SUMIFS($M$4:$M$2003,$A$4:$A$2003,$A955-1,$B$4:$B$2003,$B955)=$J955,"OK","CHECK")))</f>
        <v/>
      </c>
      <c r="T955" s="10" t="str">
        <f aca="false">IF($B955="","",IFERROR(INDEX(Drinks!$D$4:$D$53,MATCH($B955,Drinks!$A$4:$A$53,0)),0))</f>
        <v/>
      </c>
    </row>
    <row r="956" customFormat="false" ht="15" hidden="false" customHeight="false" outlineLevel="0" collapsed="false">
      <c r="A956" s="22"/>
      <c r="B956" s="9"/>
      <c r="C956" s="9"/>
      <c r="D956" s="9"/>
      <c r="E956" s="9"/>
      <c r="F956" s="10" t="str">
        <f aca="false">IF($B956="","",$C956+$D956-$E956)</f>
        <v/>
      </c>
      <c r="G956" s="10" t="str">
        <f aca="false">IF($B956="","",IFERROR(INDEX(Drinks!$C$4:$C$53,MATCH($B956,Drinks!$A$4:$A$53,0)),0))</f>
        <v/>
      </c>
      <c r="H956" s="10" t="str">
        <f aca="false">IF($B956="","",$D956*$G956)</f>
        <v/>
      </c>
      <c r="I956" s="10" t="str">
        <f aca="false">IF($B956="","",$F956*$G956)</f>
        <v/>
      </c>
      <c r="J956" s="9"/>
      <c r="K956" s="10" t="str">
        <f aca="false">IF($B956="","",$E956*IFERROR(INDEX(Drinks!$B$4:$B$53,MATCH($B956,Drinks!$A$4:$A$53,0)),0))</f>
        <v/>
      </c>
      <c r="L956" s="10" t="str">
        <f aca="false">IF($B956="","",$J956+$K956)</f>
        <v/>
      </c>
      <c r="M956" s="9"/>
      <c r="N956" s="10" t="str">
        <f aca="false">IF($B956="","",$L956-$M956)</f>
        <v/>
      </c>
      <c r="O956" s="10" t="str">
        <f aca="false">IF($B956="","",IFERROR(INDEX(Drinks!$E$4:$E$53,MATCH($B956,Drinks!$A$4:$A$53,0)),0))</f>
        <v/>
      </c>
      <c r="P956" s="10" t="str">
        <f aca="false">IF($B956="","",$N956*$O956)</f>
        <v/>
      </c>
      <c r="Q956" s="10" t="str">
        <f aca="false">IF($B956="","",$N956*IFERROR(INDEX(Drinks!$D$4:$D$53,MATCH($B956,Drinks!$A$4:$A$53,0)),0))</f>
        <v/>
      </c>
      <c r="R956" s="10" t="str">
        <f aca="false">IF($B956="","",$P956-$Q956)</f>
        <v/>
      </c>
      <c r="S956" s="23" t="str">
        <f aca="false">IF($B956="","",IF(COUNTIFS($A$4:$A$2003,$A956-1,$B$4:$B$2003,$B956)=0,"first day",IF(SUMIFS($M$4:$M$2003,$A$4:$A$2003,$A956-1,$B$4:$B$2003,$B956)=$J956,"OK","CHECK")))</f>
        <v/>
      </c>
      <c r="T956" s="10" t="str">
        <f aca="false">IF($B956="","",IFERROR(INDEX(Drinks!$D$4:$D$53,MATCH($B956,Drinks!$A$4:$A$53,0)),0))</f>
        <v/>
      </c>
    </row>
    <row r="957" customFormat="false" ht="15" hidden="false" customHeight="false" outlineLevel="0" collapsed="false">
      <c r="A957" s="22"/>
      <c r="B957" s="9"/>
      <c r="C957" s="9"/>
      <c r="D957" s="9"/>
      <c r="E957" s="9"/>
      <c r="F957" s="10" t="str">
        <f aca="false">IF($B957="","",$C957+$D957-$E957)</f>
        <v/>
      </c>
      <c r="G957" s="10" t="str">
        <f aca="false">IF($B957="","",IFERROR(INDEX(Drinks!$C$4:$C$53,MATCH($B957,Drinks!$A$4:$A$53,0)),0))</f>
        <v/>
      </c>
      <c r="H957" s="10" t="str">
        <f aca="false">IF($B957="","",$D957*$G957)</f>
        <v/>
      </c>
      <c r="I957" s="10" t="str">
        <f aca="false">IF($B957="","",$F957*$G957)</f>
        <v/>
      </c>
      <c r="J957" s="9"/>
      <c r="K957" s="10" t="str">
        <f aca="false">IF($B957="","",$E957*IFERROR(INDEX(Drinks!$B$4:$B$53,MATCH($B957,Drinks!$A$4:$A$53,0)),0))</f>
        <v/>
      </c>
      <c r="L957" s="10" t="str">
        <f aca="false">IF($B957="","",$J957+$K957)</f>
        <v/>
      </c>
      <c r="M957" s="9"/>
      <c r="N957" s="10" t="str">
        <f aca="false">IF($B957="","",$L957-$M957)</f>
        <v/>
      </c>
      <c r="O957" s="10" t="str">
        <f aca="false">IF($B957="","",IFERROR(INDEX(Drinks!$E$4:$E$53,MATCH($B957,Drinks!$A$4:$A$53,0)),0))</f>
        <v/>
      </c>
      <c r="P957" s="10" t="str">
        <f aca="false">IF($B957="","",$N957*$O957)</f>
        <v/>
      </c>
      <c r="Q957" s="10" t="str">
        <f aca="false">IF($B957="","",$N957*IFERROR(INDEX(Drinks!$D$4:$D$53,MATCH($B957,Drinks!$A$4:$A$53,0)),0))</f>
        <v/>
      </c>
      <c r="R957" s="10" t="str">
        <f aca="false">IF($B957="","",$P957-$Q957)</f>
        <v/>
      </c>
      <c r="S957" s="23" t="str">
        <f aca="false">IF($B957="","",IF(COUNTIFS($A$4:$A$2003,$A957-1,$B$4:$B$2003,$B957)=0,"first day",IF(SUMIFS($M$4:$M$2003,$A$4:$A$2003,$A957-1,$B$4:$B$2003,$B957)=$J957,"OK","CHECK")))</f>
        <v/>
      </c>
      <c r="T957" s="10" t="str">
        <f aca="false">IF($B957="","",IFERROR(INDEX(Drinks!$D$4:$D$53,MATCH($B957,Drinks!$A$4:$A$53,0)),0))</f>
        <v/>
      </c>
    </row>
    <row r="958" customFormat="false" ht="15" hidden="false" customHeight="false" outlineLevel="0" collapsed="false">
      <c r="A958" s="22"/>
      <c r="B958" s="9"/>
      <c r="C958" s="9"/>
      <c r="D958" s="9"/>
      <c r="E958" s="9"/>
      <c r="F958" s="10" t="str">
        <f aca="false">IF($B958="","",$C958+$D958-$E958)</f>
        <v/>
      </c>
      <c r="G958" s="10" t="str">
        <f aca="false">IF($B958="","",IFERROR(INDEX(Drinks!$C$4:$C$53,MATCH($B958,Drinks!$A$4:$A$53,0)),0))</f>
        <v/>
      </c>
      <c r="H958" s="10" t="str">
        <f aca="false">IF($B958="","",$D958*$G958)</f>
        <v/>
      </c>
      <c r="I958" s="10" t="str">
        <f aca="false">IF($B958="","",$F958*$G958)</f>
        <v/>
      </c>
      <c r="J958" s="9"/>
      <c r="K958" s="10" t="str">
        <f aca="false">IF($B958="","",$E958*IFERROR(INDEX(Drinks!$B$4:$B$53,MATCH($B958,Drinks!$A$4:$A$53,0)),0))</f>
        <v/>
      </c>
      <c r="L958" s="10" t="str">
        <f aca="false">IF($B958="","",$J958+$K958)</f>
        <v/>
      </c>
      <c r="M958" s="9"/>
      <c r="N958" s="10" t="str">
        <f aca="false">IF($B958="","",$L958-$M958)</f>
        <v/>
      </c>
      <c r="O958" s="10" t="str">
        <f aca="false">IF($B958="","",IFERROR(INDEX(Drinks!$E$4:$E$53,MATCH($B958,Drinks!$A$4:$A$53,0)),0))</f>
        <v/>
      </c>
      <c r="P958" s="10" t="str">
        <f aca="false">IF($B958="","",$N958*$O958)</f>
        <v/>
      </c>
      <c r="Q958" s="10" t="str">
        <f aca="false">IF($B958="","",$N958*IFERROR(INDEX(Drinks!$D$4:$D$53,MATCH($B958,Drinks!$A$4:$A$53,0)),0))</f>
        <v/>
      </c>
      <c r="R958" s="10" t="str">
        <f aca="false">IF($B958="","",$P958-$Q958)</f>
        <v/>
      </c>
      <c r="S958" s="23" t="str">
        <f aca="false">IF($B958="","",IF(COUNTIFS($A$4:$A$2003,$A958-1,$B$4:$B$2003,$B958)=0,"first day",IF(SUMIFS($M$4:$M$2003,$A$4:$A$2003,$A958-1,$B$4:$B$2003,$B958)=$J958,"OK","CHECK")))</f>
        <v/>
      </c>
      <c r="T958" s="10" t="str">
        <f aca="false">IF($B958="","",IFERROR(INDEX(Drinks!$D$4:$D$53,MATCH($B958,Drinks!$A$4:$A$53,0)),0))</f>
        <v/>
      </c>
    </row>
    <row r="959" customFormat="false" ht="15" hidden="false" customHeight="false" outlineLevel="0" collapsed="false">
      <c r="A959" s="22"/>
      <c r="B959" s="9"/>
      <c r="C959" s="9"/>
      <c r="D959" s="9"/>
      <c r="E959" s="9"/>
      <c r="F959" s="10" t="str">
        <f aca="false">IF($B959="","",$C959+$D959-$E959)</f>
        <v/>
      </c>
      <c r="G959" s="10" t="str">
        <f aca="false">IF($B959="","",IFERROR(INDEX(Drinks!$C$4:$C$53,MATCH($B959,Drinks!$A$4:$A$53,0)),0))</f>
        <v/>
      </c>
      <c r="H959" s="10" t="str">
        <f aca="false">IF($B959="","",$D959*$G959)</f>
        <v/>
      </c>
      <c r="I959" s="10" t="str">
        <f aca="false">IF($B959="","",$F959*$G959)</f>
        <v/>
      </c>
      <c r="J959" s="9"/>
      <c r="K959" s="10" t="str">
        <f aca="false">IF($B959="","",$E959*IFERROR(INDEX(Drinks!$B$4:$B$53,MATCH($B959,Drinks!$A$4:$A$53,0)),0))</f>
        <v/>
      </c>
      <c r="L959" s="10" t="str">
        <f aca="false">IF($B959="","",$J959+$K959)</f>
        <v/>
      </c>
      <c r="M959" s="9"/>
      <c r="N959" s="10" t="str">
        <f aca="false">IF($B959="","",$L959-$M959)</f>
        <v/>
      </c>
      <c r="O959" s="10" t="str">
        <f aca="false">IF($B959="","",IFERROR(INDEX(Drinks!$E$4:$E$53,MATCH($B959,Drinks!$A$4:$A$53,0)),0))</f>
        <v/>
      </c>
      <c r="P959" s="10" t="str">
        <f aca="false">IF($B959="","",$N959*$O959)</f>
        <v/>
      </c>
      <c r="Q959" s="10" t="str">
        <f aca="false">IF($B959="","",$N959*IFERROR(INDEX(Drinks!$D$4:$D$53,MATCH($B959,Drinks!$A$4:$A$53,0)),0))</f>
        <v/>
      </c>
      <c r="R959" s="10" t="str">
        <f aca="false">IF($B959="","",$P959-$Q959)</f>
        <v/>
      </c>
      <c r="S959" s="23" t="str">
        <f aca="false">IF($B959="","",IF(COUNTIFS($A$4:$A$2003,$A959-1,$B$4:$B$2003,$B959)=0,"first day",IF(SUMIFS($M$4:$M$2003,$A$4:$A$2003,$A959-1,$B$4:$B$2003,$B959)=$J959,"OK","CHECK")))</f>
        <v/>
      </c>
      <c r="T959" s="10" t="str">
        <f aca="false">IF($B959="","",IFERROR(INDEX(Drinks!$D$4:$D$53,MATCH($B959,Drinks!$A$4:$A$53,0)),0))</f>
        <v/>
      </c>
    </row>
    <row r="960" customFormat="false" ht="15" hidden="false" customHeight="false" outlineLevel="0" collapsed="false">
      <c r="A960" s="22"/>
      <c r="B960" s="9"/>
      <c r="C960" s="9"/>
      <c r="D960" s="9"/>
      <c r="E960" s="9"/>
      <c r="F960" s="10" t="str">
        <f aca="false">IF($B960="","",$C960+$D960-$E960)</f>
        <v/>
      </c>
      <c r="G960" s="10" t="str">
        <f aca="false">IF($B960="","",IFERROR(INDEX(Drinks!$C$4:$C$53,MATCH($B960,Drinks!$A$4:$A$53,0)),0))</f>
        <v/>
      </c>
      <c r="H960" s="10" t="str">
        <f aca="false">IF($B960="","",$D960*$G960)</f>
        <v/>
      </c>
      <c r="I960" s="10" t="str">
        <f aca="false">IF($B960="","",$F960*$G960)</f>
        <v/>
      </c>
      <c r="J960" s="9"/>
      <c r="K960" s="10" t="str">
        <f aca="false">IF($B960="","",$E960*IFERROR(INDEX(Drinks!$B$4:$B$53,MATCH($B960,Drinks!$A$4:$A$53,0)),0))</f>
        <v/>
      </c>
      <c r="L960" s="10" t="str">
        <f aca="false">IF($B960="","",$J960+$K960)</f>
        <v/>
      </c>
      <c r="M960" s="9"/>
      <c r="N960" s="10" t="str">
        <f aca="false">IF($B960="","",$L960-$M960)</f>
        <v/>
      </c>
      <c r="O960" s="10" t="str">
        <f aca="false">IF($B960="","",IFERROR(INDEX(Drinks!$E$4:$E$53,MATCH($B960,Drinks!$A$4:$A$53,0)),0))</f>
        <v/>
      </c>
      <c r="P960" s="10" t="str">
        <f aca="false">IF($B960="","",$N960*$O960)</f>
        <v/>
      </c>
      <c r="Q960" s="10" t="str">
        <f aca="false">IF($B960="","",$N960*IFERROR(INDEX(Drinks!$D$4:$D$53,MATCH($B960,Drinks!$A$4:$A$53,0)),0))</f>
        <v/>
      </c>
      <c r="R960" s="10" t="str">
        <f aca="false">IF($B960="","",$P960-$Q960)</f>
        <v/>
      </c>
      <c r="S960" s="23" t="str">
        <f aca="false">IF($B960="","",IF(COUNTIFS($A$4:$A$2003,$A960-1,$B$4:$B$2003,$B960)=0,"first day",IF(SUMIFS($M$4:$M$2003,$A$4:$A$2003,$A960-1,$B$4:$B$2003,$B960)=$J960,"OK","CHECK")))</f>
        <v/>
      </c>
      <c r="T960" s="10" t="str">
        <f aca="false">IF($B960="","",IFERROR(INDEX(Drinks!$D$4:$D$53,MATCH($B960,Drinks!$A$4:$A$53,0)),0))</f>
        <v/>
      </c>
    </row>
    <row r="961" customFormat="false" ht="15" hidden="false" customHeight="false" outlineLevel="0" collapsed="false">
      <c r="A961" s="22"/>
      <c r="B961" s="9"/>
      <c r="C961" s="9"/>
      <c r="D961" s="9"/>
      <c r="E961" s="9"/>
      <c r="F961" s="10" t="str">
        <f aca="false">IF($B961="","",$C961+$D961-$E961)</f>
        <v/>
      </c>
      <c r="G961" s="10" t="str">
        <f aca="false">IF($B961="","",IFERROR(INDEX(Drinks!$C$4:$C$53,MATCH($B961,Drinks!$A$4:$A$53,0)),0))</f>
        <v/>
      </c>
      <c r="H961" s="10" t="str">
        <f aca="false">IF($B961="","",$D961*$G961)</f>
        <v/>
      </c>
      <c r="I961" s="10" t="str">
        <f aca="false">IF($B961="","",$F961*$G961)</f>
        <v/>
      </c>
      <c r="J961" s="9"/>
      <c r="K961" s="10" t="str">
        <f aca="false">IF($B961="","",$E961*IFERROR(INDEX(Drinks!$B$4:$B$53,MATCH($B961,Drinks!$A$4:$A$53,0)),0))</f>
        <v/>
      </c>
      <c r="L961" s="10" t="str">
        <f aca="false">IF($B961="","",$J961+$K961)</f>
        <v/>
      </c>
      <c r="M961" s="9"/>
      <c r="N961" s="10" t="str">
        <f aca="false">IF($B961="","",$L961-$M961)</f>
        <v/>
      </c>
      <c r="O961" s="10" t="str">
        <f aca="false">IF($B961="","",IFERROR(INDEX(Drinks!$E$4:$E$53,MATCH($B961,Drinks!$A$4:$A$53,0)),0))</f>
        <v/>
      </c>
      <c r="P961" s="10" t="str">
        <f aca="false">IF($B961="","",$N961*$O961)</f>
        <v/>
      </c>
      <c r="Q961" s="10" t="str">
        <f aca="false">IF($B961="","",$N961*IFERROR(INDEX(Drinks!$D$4:$D$53,MATCH($B961,Drinks!$A$4:$A$53,0)),0))</f>
        <v/>
      </c>
      <c r="R961" s="10" t="str">
        <f aca="false">IF($B961="","",$P961-$Q961)</f>
        <v/>
      </c>
      <c r="S961" s="23" t="str">
        <f aca="false">IF($B961="","",IF(COUNTIFS($A$4:$A$2003,$A961-1,$B$4:$B$2003,$B961)=0,"first day",IF(SUMIFS($M$4:$M$2003,$A$4:$A$2003,$A961-1,$B$4:$B$2003,$B961)=$J961,"OK","CHECK")))</f>
        <v/>
      </c>
      <c r="T961" s="10" t="str">
        <f aca="false">IF($B961="","",IFERROR(INDEX(Drinks!$D$4:$D$53,MATCH($B961,Drinks!$A$4:$A$53,0)),0))</f>
        <v/>
      </c>
    </row>
    <row r="962" customFormat="false" ht="15" hidden="false" customHeight="false" outlineLevel="0" collapsed="false">
      <c r="A962" s="22"/>
      <c r="B962" s="9"/>
      <c r="C962" s="9"/>
      <c r="D962" s="9"/>
      <c r="E962" s="9"/>
      <c r="F962" s="10" t="str">
        <f aca="false">IF($B962="","",$C962+$D962-$E962)</f>
        <v/>
      </c>
      <c r="G962" s="10" t="str">
        <f aca="false">IF($B962="","",IFERROR(INDEX(Drinks!$C$4:$C$53,MATCH($B962,Drinks!$A$4:$A$53,0)),0))</f>
        <v/>
      </c>
      <c r="H962" s="10" t="str">
        <f aca="false">IF($B962="","",$D962*$G962)</f>
        <v/>
      </c>
      <c r="I962" s="10" t="str">
        <f aca="false">IF($B962="","",$F962*$G962)</f>
        <v/>
      </c>
      <c r="J962" s="9"/>
      <c r="K962" s="10" t="str">
        <f aca="false">IF($B962="","",$E962*IFERROR(INDEX(Drinks!$B$4:$B$53,MATCH($B962,Drinks!$A$4:$A$53,0)),0))</f>
        <v/>
      </c>
      <c r="L962" s="10" t="str">
        <f aca="false">IF($B962="","",$J962+$K962)</f>
        <v/>
      </c>
      <c r="M962" s="9"/>
      <c r="N962" s="10" t="str">
        <f aca="false">IF($B962="","",$L962-$M962)</f>
        <v/>
      </c>
      <c r="O962" s="10" t="str">
        <f aca="false">IF($B962="","",IFERROR(INDEX(Drinks!$E$4:$E$53,MATCH($B962,Drinks!$A$4:$A$53,0)),0))</f>
        <v/>
      </c>
      <c r="P962" s="10" t="str">
        <f aca="false">IF($B962="","",$N962*$O962)</f>
        <v/>
      </c>
      <c r="Q962" s="10" t="str">
        <f aca="false">IF($B962="","",$N962*IFERROR(INDEX(Drinks!$D$4:$D$53,MATCH($B962,Drinks!$A$4:$A$53,0)),0))</f>
        <v/>
      </c>
      <c r="R962" s="10" t="str">
        <f aca="false">IF($B962="","",$P962-$Q962)</f>
        <v/>
      </c>
      <c r="S962" s="23" t="str">
        <f aca="false">IF($B962="","",IF(COUNTIFS($A$4:$A$2003,$A962-1,$B$4:$B$2003,$B962)=0,"first day",IF(SUMIFS($M$4:$M$2003,$A$4:$A$2003,$A962-1,$B$4:$B$2003,$B962)=$J962,"OK","CHECK")))</f>
        <v/>
      </c>
      <c r="T962" s="10" t="str">
        <f aca="false">IF($B962="","",IFERROR(INDEX(Drinks!$D$4:$D$53,MATCH($B962,Drinks!$A$4:$A$53,0)),0))</f>
        <v/>
      </c>
    </row>
    <row r="963" customFormat="false" ht="15" hidden="false" customHeight="false" outlineLevel="0" collapsed="false">
      <c r="A963" s="22"/>
      <c r="B963" s="9"/>
      <c r="C963" s="9"/>
      <c r="D963" s="9"/>
      <c r="E963" s="9"/>
      <c r="F963" s="10" t="str">
        <f aca="false">IF($B963="","",$C963+$D963-$E963)</f>
        <v/>
      </c>
      <c r="G963" s="10" t="str">
        <f aca="false">IF($B963="","",IFERROR(INDEX(Drinks!$C$4:$C$53,MATCH($B963,Drinks!$A$4:$A$53,0)),0))</f>
        <v/>
      </c>
      <c r="H963" s="10" t="str">
        <f aca="false">IF($B963="","",$D963*$G963)</f>
        <v/>
      </c>
      <c r="I963" s="10" t="str">
        <f aca="false">IF($B963="","",$F963*$G963)</f>
        <v/>
      </c>
      <c r="J963" s="9"/>
      <c r="K963" s="10" t="str">
        <f aca="false">IF($B963="","",$E963*IFERROR(INDEX(Drinks!$B$4:$B$53,MATCH($B963,Drinks!$A$4:$A$53,0)),0))</f>
        <v/>
      </c>
      <c r="L963" s="10" t="str">
        <f aca="false">IF($B963="","",$J963+$K963)</f>
        <v/>
      </c>
      <c r="M963" s="9"/>
      <c r="N963" s="10" t="str">
        <f aca="false">IF($B963="","",$L963-$M963)</f>
        <v/>
      </c>
      <c r="O963" s="10" t="str">
        <f aca="false">IF($B963="","",IFERROR(INDEX(Drinks!$E$4:$E$53,MATCH($B963,Drinks!$A$4:$A$53,0)),0))</f>
        <v/>
      </c>
      <c r="P963" s="10" t="str">
        <f aca="false">IF($B963="","",$N963*$O963)</f>
        <v/>
      </c>
      <c r="Q963" s="10" t="str">
        <f aca="false">IF($B963="","",$N963*IFERROR(INDEX(Drinks!$D$4:$D$53,MATCH($B963,Drinks!$A$4:$A$53,0)),0))</f>
        <v/>
      </c>
      <c r="R963" s="10" t="str">
        <f aca="false">IF($B963="","",$P963-$Q963)</f>
        <v/>
      </c>
      <c r="S963" s="23" t="str">
        <f aca="false">IF($B963="","",IF(COUNTIFS($A$4:$A$2003,$A963-1,$B$4:$B$2003,$B963)=0,"first day",IF(SUMIFS($M$4:$M$2003,$A$4:$A$2003,$A963-1,$B$4:$B$2003,$B963)=$J963,"OK","CHECK")))</f>
        <v/>
      </c>
      <c r="T963" s="10" t="str">
        <f aca="false">IF($B963="","",IFERROR(INDEX(Drinks!$D$4:$D$53,MATCH($B963,Drinks!$A$4:$A$53,0)),0))</f>
        <v/>
      </c>
    </row>
    <row r="964" customFormat="false" ht="15" hidden="false" customHeight="false" outlineLevel="0" collapsed="false">
      <c r="A964" s="22"/>
      <c r="B964" s="9"/>
      <c r="C964" s="9"/>
      <c r="D964" s="9"/>
      <c r="E964" s="9"/>
      <c r="F964" s="10" t="str">
        <f aca="false">IF($B964="","",$C964+$D964-$E964)</f>
        <v/>
      </c>
      <c r="G964" s="10" t="str">
        <f aca="false">IF($B964="","",IFERROR(INDEX(Drinks!$C$4:$C$53,MATCH($B964,Drinks!$A$4:$A$53,0)),0))</f>
        <v/>
      </c>
      <c r="H964" s="10" t="str">
        <f aca="false">IF($B964="","",$D964*$G964)</f>
        <v/>
      </c>
      <c r="I964" s="10" t="str">
        <f aca="false">IF($B964="","",$F964*$G964)</f>
        <v/>
      </c>
      <c r="J964" s="9"/>
      <c r="K964" s="10" t="str">
        <f aca="false">IF($B964="","",$E964*IFERROR(INDEX(Drinks!$B$4:$B$53,MATCH($B964,Drinks!$A$4:$A$53,0)),0))</f>
        <v/>
      </c>
      <c r="L964" s="10" t="str">
        <f aca="false">IF($B964="","",$J964+$K964)</f>
        <v/>
      </c>
      <c r="M964" s="9"/>
      <c r="N964" s="10" t="str">
        <f aca="false">IF($B964="","",$L964-$M964)</f>
        <v/>
      </c>
      <c r="O964" s="10" t="str">
        <f aca="false">IF($B964="","",IFERROR(INDEX(Drinks!$E$4:$E$53,MATCH($B964,Drinks!$A$4:$A$53,0)),0))</f>
        <v/>
      </c>
      <c r="P964" s="10" t="str">
        <f aca="false">IF($B964="","",$N964*$O964)</f>
        <v/>
      </c>
      <c r="Q964" s="10" t="str">
        <f aca="false">IF($B964="","",$N964*IFERROR(INDEX(Drinks!$D$4:$D$53,MATCH($B964,Drinks!$A$4:$A$53,0)),0))</f>
        <v/>
      </c>
      <c r="R964" s="10" t="str">
        <f aca="false">IF($B964="","",$P964-$Q964)</f>
        <v/>
      </c>
      <c r="S964" s="23" t="str">
        <f aca="false">IF($B964="","",IF(COUNTIFS($A$4:$A$2003,$A964-1,$B$4:$B$2003,$B964)=0,"first day",IF(SUMIFS($M$4:$M$2003,$A$4:$A$2003,$A964-1,$B$4:$B$2003,$B964)=$J964,"OK","CHECK")))</f>
        <v/>
      </c>
      <c r="T964" s="10" t="str">
        <f aca="false">IF($B964="","",IFERROR(INDEX(Drinks!$D$4:$D$53,MATCH($B964,Drinks!$A$4:$A$53,0)),0))</f>
        <v/>
      </c>
    </row>
    <row r="965" customFormat="false" ht="15" hidden="false" customHeight="false" outlineLevel="0" collapsed="false">
      <c r="A965" s="22"/>
      <c r="B965" s="9"/>
      <c r="C965" s="9"/>
      <c r="D965" s="9"/>
      <c r="E965" s="9"/>
      <c r="F965" s="10" t="str">
        <f aca="false">IF($B965="","",$C965+$D965-$E965)</f>
        <v/>
      </c>
      <c r="G965" s="10" t="str">
        <f aca="false">IF($B965="","",IFERROR(INDEX(Drinks!$C$4:$C$53,MATCH($B965,Drinks!$A$4:$A$53,0)),0))</f>
        <v/>
      </c>
      <c r="H965" s="10" t="str">
        <f aca="false">IF($B965="","",$D965*$G965)</f>
        <v/>
      </c>
      <c r="I965" s="10" t="str">
        <f aca="false">IF($B965="","",$F965*$G965)</f>
        <v/>
      </c>
      <c r="J965" s="9"/>
      <c r="K965" s="10" t="str">
        <f aca="false">IF($B965="","",$E965*IFERROR(INDEX(Drinks!$B$4:$B$53,MATCH($B965,Drinks!$A$4:$A$53,0)),0))</f>
        <v/>
      </c>
      <c r="L965" s="10" t="str">
        <f aca="false">IF($B965="","",$J965+$K965)</f>
        <v/>
      </c>
      <c r="M965" s="9"/>
      <c r="N965" s="10" t="str">
        <f aca="false">IF($B965="","",$L965-$M965)</f>
        <v/>
      </c>
      <c r="O965" s="10" t="str">
        <f aca="false">IF($B965="","",IFERROR(INDEX(Drinks!$E$4:$E$53,MATCH($B965,Drinks!$A$4:$A$53,0)),0))</f>
        <v/>
      </c>
      <c r="P965" s="10" t="str">
        <f aca="false">IF($B965="","",$N965*$O965)</f>
        <v/>
      </c>
      <c r="Q965" s="10" t="str">
        <f aca="false">IF($B965="","",$N965*IFERROR(INDEX(Drinks!$D$4:$D$53,MATCH($B965,Drinks!$A$4:$A$53,0)),0))</f>
        <v/>
      </c>
      <c r="R965" s="10" t="str">
        <f aca="false">IF($B965="","",$P965-$Q965)</f>
        <v/>
      </c>
      <c r="S965" s="23" t="str">
        <f aca="false">IF($B965="","",IF(COUNTIFS($A$4:$A$2003,$A965-1,$B$4:$B$2003,$B965)=0,"first day",IF(SUMIFS($M$4:$M$2003,$A$4:$A$2003,$A965-1,$B$4:$B$2003,$B965)=$J965,"OK","CHECK")))</f>
        <v/>
      </c>
      <c r="T965" s="10" t="str">
        <f aca="false">IF($B965="","",IFERROR(INDEX(Drinks!$D$4:$D$53,MATCH($B965,Drinks!$A$4:$A$53,0)),0))</f>
        <v/>
      </c>
    </row>
    <row r="966" customFormat="false" ht="15" hidden="false" customHeight="false" outlineLevel="0" collapsed="false">
      <c r="A966" s="22"/>
      <c r="B966" s="9"/>
      <c r="C966" s="9"/>
      <c r="D966" s="9"/>
      <c r="E966" s="9"/>
      <c r="F966" s="10" t="str">
        <f aca="false">IF($B966="","",$C966+$D966-$E966)</f>
        <v/>
      </c>
      <c r="G966" s="10" t="str">
        <f aca="false">IF($B966="","",IFERROR(INDEX(Drinks!$C$4:$C$53,MATCH($B966,Drinks!$A$4:$A$53,0)),0))</f>
        <v/>
      </c>
      <c r="H966" s="10" t="str">
        <f aca="false">IF($B966="","",$D966*$G966)</f>
        <v/>
      </c>
      <c r="I966" s="10" t="str">
        <f aca="false">IF($B966="","",$F966*$G966)</f>
        <v/>
      </c>
      <c r="J966" s="9"/>
      <c r="K966" s="10" t="str">
        <f aca="false">IF($B966="","",$E966*IFERROR(INDEX(Drinks!$B$4:$B$53,MATCH($B966,Drinks!$A$4:$A$53,0)),0))</f>
        <v/>
      </c>
      <c r="L966" s="10" t="str">
        <f aca="false">IF($B966="","",$J966+$K966)</f>
        <v/>
      </c>
      <c r="M966" s="9"/>
      <c r="N966" s="10" t="str">
        <f aca="false">IF($B966="","",$L966-$M966)</f>
        <v/>
      </c>
      <c r="O966" s="10" t="str">
        <f aca="false">IF($B966="","",IFERROR(INDEX(Drinks!$E$4:$E$53,MATCH($B966,Drinks!$A$4:$A$53,0)),0))</f>
        <v/>
      </c>
      <c r="P966" s="10" t="str">
        <f aca="false">IF($B966="","",$N966*$O966)</f>
        <v/>
      </c>
      <c r="Q966" s="10" t="str">
        <f aca="false">IF($B966="","",$N966*IFERROR(INDEX(Drinks!$D$4:$D$53,MATCH($B966,Drinks!$A$4:$A$53,0)),0))</f>
        <v/>
      </c>
      <c r="R966" s="10" t="str">
        <f aca="false">IF($B966="","",$P966-$Q966)</f>
        <v/>
      </c>
      <c r="S966" s="23" t="str">
        <f aca="false">IF($B966="","",IF(COUNTIFS($A$4:$A$2003,$A966-1,$B$4:$B$2003,$B966)=0,"first day",IF(SUMIFS($M$4:$M$2003,$A$4:$A$2003,$A966-1,$B$4:$B$2003,$B966)=$J966,"OK","CHECK")))</f>
        <v/>
      </c>
      <c r="T966" s="10" t="str">
        <f aca="false">IF($B966="","",IFERROR(INDEX(Drinks!$D$4:$D$53,MATCH($B966,Drinks!$A$4:$A$53,0)),0))</f>
        <v/>
      </c>
    </row>
    <row r="967" customFormat="false" ht="15" hidden="false" customHeight="false" outlineLevel="0" collapsed="false">
      <c r="A967" s="22"/>
      <c r="B967" s="9"/>
      <c r="C967" s="9"/>
      <c r="D967" s="9"/>
      <c r="E967" s="9"/>
      <c r="F967" s="10" t="str">
        <f aca="false">IF($B967="","",$C967+$D967-$E967)</f>
        <v/>
      </c>
      <c r="G967" s="10" t="str">
        <f aca="false">IF($B967="","",IFERROR(INDEX(Drinks!$C$4:$C$53,MATCH($B967,Drinks!$A$4:$A$53,0)),0))</f>
        <v/>
      </c>
      <c r="H967" s="10" t="str">
        <f aca="false">IF($B967="","",$D967*$G967)</f>
        <v/>
      </c>
      <c r="I967" s="10" t="str">
        <f aca="false">IF($B967="","",$F967*$G967)</f>
        <v/>
      </c>
      <c r="J967" s="9"/>
      <c r="K967" s="10" t="str">
        <f aca="false">IF($B967="","",$E967*IFERROR(INDEX(Drinks!$B$4:$B$53,MATCH($B967,Drinks!$A$4:$A$53,0)),0))</f>
        <v/>
      </c>
      <c r="L967" s="10" t="str">
        <f aca="false">IF($B967="","",$J967+$K967)</f>
        <v/>
      </c>
      <c r="M967" s="9"/>
      <c r="N967" s="10" t="str">
        <f aca="false">IF($B967="","",$L967-$M967)</f>
        <v/>
      </c>
      <c r="O967" s="10" t="str">
        <f aca="false">IF($B967="","",IFERROR(INDEX(Drinks!$E$4:$E$53,MATCH($B967,Drinks!$A$4:$A$53,0)),0))</f>
        <v/>
      </c>
      <c r="P967" s="10" t="str">
        <f aca="false">IF($B967="","",$N967*$O967)</f>
        <v/>
      </c>
      <c r="Q967" s="10" t="str">
        <f aca="false">IF($B967="","",$N967*IFERROR(INDEX(Drinks!$D$4:$D$53,MATCH($B967,Drinks!$A$4:$A$53,0)),0))</f>
        <v/>
      </c>
      <c r="R967" s="10" t="str">
        <f aca="false">IF($B967="","",$P967-$Q967)</f>
        <v/>
      </c>
      <c r="S967" s="23" t="str">
        <f aca="false">IF($B967="","",IF(COUNTIFS($A$4:$A$2003,$A967-1,$B$4:$B$2003,$B967)=0,"first day",IF(SUMIFS($M$4:$M$2003,$A$4:$A$2003,$A967-1,$B$4:$B$2003,$B967)=$J967,"OK","CHECK")))</f>
        <v/>
      </c>
      <c r="T967" s="10" t="str">
        <f aca="false">IF($B967="","",IFERROR(INDEX(Drinks!$D$4:$D$53,MATCH($B967,Drinks!$A$4:$A$53,0)),0))</f>
        <v/>
      </c>
    </row>
    <row r="968" customFormat="false" ht="15" hidden="false" customHeight="false" outlineLevel="0" collapsed="false">
      <c r="A968" s="22"/>
      <c r="B968" s="9"/>
      <c r="C968" s="9"/>
      <c r="D968" s="9"/>
      <c r="E968" s="9"/>
      <c r="F968" s="10" t="str">
        <f aca="false">IF($B968="","",$C968+$D968-$E968)</f>
        <v/>
      </c>
      <c r="G968" s="10" t="str">
        <f aca="false">IF($B968="","",IFERROR(INDEX(Drinks!$C$4:$C$53,MATCH($B968,Drinks!$A$4:$A$53,0)),0))</f>
        <v/>
      </c>
      <c r="H968" s="10" t="str">
        <f aca="false">IF($B968="","",$D968*$G968)</f>
        <v/>
      </c>
      <c r="I968" s="10" t="str">
        <f aca="false">IF($B968="","",$F968*$G968)</f>
        <v/>
      </c>
      <c r="J968" s="9"/>
      <c r="K968" s="10" t="str">
        <f aca="false">IF($B968="","",$E968*IFERROR(INDEX(Drinks!$B$4:$B$53,MATCH($B968,Drinks!$A$4:$A$53,0)),0))</f>
        <v/>
      </c>
      <c r="L968" s="10" t="str">
        <f aca="false">IF($B968="","",$J968+$K968)</f>
        <v/>
      </c>
      <c r="M968" s="9"/>
      <c r="N968" s="10" t="str">
        <f aca="false">IF($B968="","",$L968-$M968)</f>
        <v/>
      </c>
      <c r="O968" s="10" t="str">
        <f aca="false">IF($B968="","",IFERROR(INDEX(Drinks!$E$4:$E$53,MATCH($B968,Drinks!$A$4:$A$53,0)),0))</f>
        <v/>
      </c>
      <c r="P968" s="10" t="str">
        <f aca="false">IF($B968="","",$N968*$O968)</f>
        <v/>
      </c>
      <c r="Q968" s="10" t="str">
        <f aca="false">IF($B968="","",$N968*IFERROR(INDEX(Drinks!$D$4:$D$53,MATCH($B968,Drinks!$A$4:$A$53,0)),0))</f>
        <v/>
      </c>
      <c r="R968" s="10" t="str">
        <f aca="false">IF($B968="","",$P968-$Q968)</f>
        <v/>
      </c>
      <c r="S968" s="23" t="str">
        <f aca="false">IF($B968="","",IF(COUNTIFS($A$4:$A$2003,$A968-1,$B$4:$B$2003,$B968)=0,"first day",IF(SUMIFS($M$4:$M$2003,$A$4:$A$2003,$A968-1,$B$4:$B$2003,$B968)=$J968,"OK","CHECK")))</f>
        <v/>
      </c>
      <c r="T968" s="10" t="str">
        <f aca="false">IF($B968="","",IFERROR(INDEX(Drinks!$D$4:$D$53,MATCH($B968,Drinks!$A$4:$A$53,0)),0))</f>
        <v/>
      </c>
    </row>
    <row r="969" customFormat="false" ht="15" hidden="false" customHeight="false" outlineLevel="0" collapsed="false">
      <c r="A969" s="22"/>
      <c r="B969" s="9"/>
      <c r="C969" s="9"/>
      <c r="D969" s="9"/>
      <c r="E969" s="9"/>
      <c r="F969" s="10" t="str">
        <f aca="false">IF($B969="","",$C969+$D969-$E969)</f>
        <v/>
      </c>
      <c r="G969" s="10" t="str">
        <f aca="false">IF($B969="","",IFERROR(INDEX(Drinks!$C$4:$C$53,MATCH($B969,Drinks!$A$4:$A$53,0)),0))</f>
        <v/>
      </c>
      <c r="H969" s="10" t="str">
        <f aca="false">IF($B969="","",$D969*$G969)</f>
        <v/>
      </c>
      <c r="I969" s="10" t="str">
        <f aca="false">IF($B969="","",$F969*$G969)</f>
        <v/>
      </c>
      <c r="J969" s="9"/>
      <c r="K969" s="10" t="str">
        <f aca="false">IF($B969="","",$E969*IFERROR(INDEX(Drinks!$B$4:$B$53,MATCH($B969,Drinks!$A$4:$A$53,0)),0))</f>
        <v/>
      </c>
      <c r="L969" s="10" t="str">
        <f aca="false">IF($B969="","",$J969+$K969)</f>
        <v/>
      </c>
      <c r="M969" s="9"/>
      <c r="N969" s="10" t="str">
        <f aca="false">IF($B969="","",$L969-$M969)</f>
        <v/>
      </c>
      <c r="O969" s="10" t="str">
        <f aca="false">IF($B969="","",IFERROR(INDEX(Drinks!$E$4:$E$53,MATCH($B969,Drinks!$A$4:$A$53,0)),0))</f>
        <v/>
      </c>
      <c r="P969" s="10" t="str">
        <f aca="false">IF($B969="","",$N969*$O969)</f>
        <v/>
      </c>
      <c r="Q969" s="10" t="str">
        <f aca="false">IF($B969="","",$N969*IFERROR(INDEX(Drinks!$D$4:$D$53,MATCH($B969,Drinks!$A$4:$A$53,0)),0))</f>
        <v/>
      </c>
      <c r="R969" s="10" t="str">
        <f aca="false">IF($B969="","",$P969-$Q969)</f>
        <v/>
      </c>
      <c r="S969" s="23" t="str">
        <f aca="false">IF($B969="","",IF(COUNTIFS($A$4:$A$2003,$A969-1,$B$4:$B$2003,$B969)=0,"first day",IF(SUMIFS($M$4:$M$2003,$A$4:$A$2003,$A969-1,$B$4:$B$2003,$B969)=$J969,"OK","CHECK")))</f>
        <v/>
      </c>
      <c r="T969" s="10" t="str">
        <f aca="false">IF($B969="","",IFERROR(INDEX(Drinks!$D$4:$D$53,MATCH($B969,Drinks!$A$4:$A$53,0)),0))</f>
        <v/>
      </c>
    </row>
    <row r="970" customFormat="false" ht="15" hidden="false" customHeight="false" outlineLevel="0" collapsed="false">
      <c r="A970" s="22"/>
      <c r="B970" s="9"/>
      <c r="C970" s="9"/>
      <c r="D970" s="9"/>
      <c r="E970" s="9"/>
      <c r="F970" s="10" t="str">
        <f aca="false">IF($B970="","",$C970+$D970-$E970)</f>
        <v/>
      </c>
      <c r="G970" s="10" t="str">
        <f aca="false">IF($B970="","",IFERROR(INDEX(Drinks!$C$4:$C$53,MATCH($B970,Drinks!$A$4:$A$53,0)),0))</f>
        <v/>
      </c>
      <c r="H970" s="10" t="str">
        <f aca="false">IF($B970="","",$D970*$G970)</f>
        <v/>
      </c>
      <c r="I970" s="10" t="str">
        <f aca="false">IF($B970="","",$F970*$G970)</f>
        <v/>
      </c>
      <c r="J970" s="9"/>
      <c r="K970" s="10" t="str">
        <f aca="false">IF($B970="","",$E970*IFERROR(INDEX(Drinks!$B$4:$B$53,MATCH($B970,Drinks!$A$4:$A$53,0)),0))</f>
        <v/>
      </c>
      <c r="L970" s="10" t="str">
        <f aca="false">IF($B970="","",$J970+$K970)</f>
        <v/>
      </c>
      <c r="M970" s="9"/>
      <c r="N970" s="10" t="str">
        <f aca="false">IF($B970="","",$L970-$M970)</f>
        <v/>
      </c>
      <c r="O970" s="10" t="str">
        <f aca="false">IF($B970="","",IFERROR(INDEX(Drinks!$E$4:$E$53,MATCH($B970,Drinks!$A$4:$A$53,0)),0))</f>
        <v/>
      </c>
      <c r="P970" s="10" t="str">
        <f aca="false">IF($B970="","",$N970*$O970)</f>
        <v/>
      </c>
      <c r="Q970" s="10" t="str">
        <f aca="false">IF($B970="","",$N970*IFERROR(INDEX(Drinks!$D$4:$D$53,MATCH($B970,Drinks!$A$4:$A$53,0)),0))</f>
        <v/>
      </c>
      <c r="R970" s="10" t="str">
        <f aca="false">IF($B970="","",$P970-$Q970)</f>
        <v/>
      </c>
      <c r="S970" s="23" t="str">
        <f aca="false">IF($B970="","",IF(COUNTIFS($A$4:$A$2003,$A970-1,$B$4:$B$2003,$B970)=0,"first day",IF(SUMIFS($M$4:$M$2003,$A$4:$A$2003,$A970-1,$B$4:$B$2003,$B970)=$J970,"OK","CHECK")))</f>
        <v/>
      </c>
      <c r="T970" s="10" t="str">
        <f aca="false">IF($B970="","",IFERROR(INDEX(Drinks!$D$4:$D$53,MATCH($B970,Drinks!$A$4:$A$53,0)),0))</f>
        <v/>
      </c>
    </row>
    <row r="971" customFormat="false" ht="15" hidden="false" customHeight="false" outlineLevel="0" collapsed="false">
      <c r="A971" s="22"/>
      <c r="B971" s="9"/>
      <c r="C971" s="9"/>
      <c r="D971" s="9"/>
      <c r="E971" s="9"/>
      <c r="F971" s="10" t="str">
        <f aca="false">IF($B971="","",$C971+$D971-$E971)</f>
        <v/>
      </c>
      <c r="G971" s="10" t="str">
        <f aca="false">IF($B971="","",IFERROR(INDEX(Drinks!$C$4:$C$53,MATCH($B971,Drinks!$A$4:$A$53,0)),0))</f>
        <v/>
      </c>
      <c r="H971" s="10" t="str">
        <f aca="false">IF($B971="","",$D971*$G971)</f>
        <v/>
      </c>
      <c r="I971" s="10" t="str">
        <f aca="false">IF($B971="","",$F971*$G971)</f>
        <v/>
      </c>
      <c r="J971" s="9"/>
      <c r="K971" s="10" t="str">
        <f aca="false">IF($B971="","",$E971*IFERROR(INDEX(Drinks!$B$4:$B$53,MATCH($B971,Drinks!$A$4:$A$53,0)),0))</f>
        <v/>
      </c>
      <c r="L971" s="10" t="str">
        <f aca="false">IF($B971="","",$J971+$K971)</f>
        <v/>
      </c>
      <c r="M971" s="9"/>
      <c r="N971" s="10" t="str">
        <f aca="false">IF($B971="","",$L971-$M971)</f>
        <v/>
      </c>
      <c r="O971" s="10" t="str">
        <f aca="false">IF($B971="","",IFERROR(INDEX(Drinks!$E$4:$E$53,MATCH($B971,Drinks!$A$4:$A$53,0)),0))</f>
        <v/>
      </c>
      <c r="P971" s="10" t="str">
        <f aca="false">IF($B971="","",$N971*$O971)</f>
        <v/>
      </c>
      <c r="Q971" s="10" t="str">
        <f aca="false">IF($B971="","",$N971*IFERROR(INDEX(Drinks!$D$4:$D$53,MATCH($B971,Drinks!$A$4:$A$53,0)),0))</f>
        <v/>
      </c>
      <c r="R971" s="10" t="str">
        <f aca="false">IF($B971="","",$P971-$Q971)</f>
        <v/>
      </c>
      <c r="S971" s="23" t="str">
        <f aca="false">IF($B971="","",IF(COUNTIFS($A$4:$A$2003,$A971-1,$B$4:$B$2003,$B971)=0,"first day",IF(SUMIFS($M$4:$M$2003,$A$4:$A$2003,$A971-1,$B$4:$B$2003,$B971)=$J971,"OK","CHECK")))</f>
        <v/>
      </c>
      <c r="T971" s="10" t="str">
        <f aca="false">IF($B971="","",IFERROR(INDEX(Drinks!$D$4:$D$53,MATCH($B971,Drinks!$A$4:$A$53,0)),0))</f>
        <v/>
      </c>
    </row>
    <row r="972" customFormat="false" ht="15" hidden="false" customHeight="false" outlineLevel="0" collapsed="false">
      <c r="A972" s="22"/>
      <c r="B972" s="9"/>
      <c r="C972" s="9"/>
      <c r="D972" s="9"/>
      <c r="E972" s="9"/>
      <c r="F972" s="10" t="str">
        <f aca="false">IF($B972="","",$C972+$D972-$E972)</f>
        <v/>
      </c>
      <c r="G972" s="10" t="str">
        <f aca="false">IF($B972="","",IFERROR(INDEX(Drinks!$C$4:$C$53,MATCH($B972,Drinks!$A$4:$A$53,0)),0))</f>
        <v/>
      </c>
      <c r="H972" s="10" t="str">
        <f aca="false">IF($B972="","",$D972*$G972)</f>
        <v/>
      </c>
      <c r="I972" s="10" t="str">
        <f aca="false">IF($B972="","",$F972*$G972)</f>
        <v/>
      </c>
      <c r="J972" s="9"/>
      <c r="K972" s="10" t="str">
        <f aca="false">IF($B972="","",$E972*IFERROR(INDEX(Drinks!$B$4:$B$53,MATCH($B972,Drinks!$A$4:$A$53,0)),0))</f>
        <v/>
      </c>
      <c r="L972" s="10" t="str">
        <f aca="false">IF($B972="","",$J972+$K972)</f>
        <v/>
      </c>
      <c r="M972" s="9"/>
      <c r="N972" s="10" t="str">
        <f aca="false">IF($B972="","",$L972-$M972)</f>
        <v/>
      </c>
      <c r="O972" s="10" t="str">
        <f aca="false">IF($B972="","",IFERROR(INDEX(Drinks!$E$4:$E$53,MATCH($B972,Drinks!$A$4:$A$53,0)),0))</f>
        <v/>
      </c>
      <c r="P972" s="10" t="str">
        <f aca="false">IF($B972="","",$N972*$O972)</f>
        <v/>
      </c>
      <c r="Q972" s="10" t="str">
        <f aca="false">IF($B972="","",$N972*IFERROR(INDEX(Drinks!$D$4:$D$53,MATCH($B972,Drinks!$A$4:$A$53,0)),0))</f>
        <v/>
      </c>
      <c r="R972" s="10" t="str">
        <f aca="false">IF($B972="","",$P972-$Q972)</f>
        <v/>
      </c>
      <c r="S972" s="23" t="str">
        <f aca="false">IF($B972="","",IF(COUNTIFS($A$4:$A$2003,$A972-1,$B$4:$B$2003,$B972)=0,"first day",IF(SUMIFS($M$4:$M$2003,$A$4:$A$2003,$A972-1,$B$4:$B$2003,$B972)=$J972,"OK","CHECK")))</f>
        <v/>
      </c>
      <c r="T972" s="10" t="str">
        <f aca="false">IF($B972="","",IFERROR(INDEX(Drinks!$D$4:$D$53,MATCH($B972,Drinks!$A$4:$A$53,0)),0))</f>
        <v/>
      </c>
    </row>
    <row r="973" customFormat="false" ht="15" hidden="false" customHeight="false" outlineLevel="0" collapsed="false">
      <c r="A973" s="22"/>
      <c r="B973" s="9"/>
      <c r="C973" s="9"/>
      <c r="D973" s="9"/>
      <c r="E973" s="9"/>
      <c r="F973" s="10" t="str">
        <f aca="false">IF($B973="","",$C973+$D973-$E973)</f>
        <v/>
      </c>
      <c r="G973" s="10" t="str">
        <f aca="false">IF($B973="","",IFERROR(INDEX(Drinks!$C$4:$C$53,MATCH($B973,Drinks!$A$4:$A$53,0)),0))</f>
        <v/>
      </c>
      <c r="H973" s="10" t="str">
        <f aca="false">IF($B973="","",$D973*$G973)</f>
        <v/>
      </c>
      <c r="I973" s="10" t="str">
        <f aca="false">IF($B973="","",$F973*$G973)</f>
        <v/>
      </c>
      <c r="J973" s="9"/>
      <c r="K973" s="10" t="str">
        <f aca="false">IF($B973="","",$E973*IFERROR(INDEX(Drinks!$B$4:$B$53,MATCH($B973,Drinks!$A$4:$A$53,0)),0))</f>
        <v/>
      </c>
      <c r="L973" s="10" t="str">
        <f aca="false">IF($B973="","",$J973+$K973)</f>
        <v/>
      </c>
      <c r="M973" s="9"/>
      <c r="N973" s="10" t="str">
        <f aca="false">IF($B973="","",$L973-$M973)</f>
        <v/>
      </c>
      <c r="O973" s="10" t="str">
        <f aca="false">IF($B973="","",IFERROR(INDEX(Drinks!$E$4:$E$53,MATCH($B973,Drinks!$A$4:$A$53,0)),0))</f>
        <v/>
      </c>
      <c r="P973" s="10" t="str">
        <f aca="false">IF($B973="","",$N973*$O973)</f>
        <v/>
      </c>
      <c r="Q973" s="10" t="str">
        <f aca="false">IF($B973="","",$N973*IFERROR(INDEX(Drinks!$D$4:$D$53,MATCH($B973,Drinks!$A$4:$A$53,0)),0))</f>
        <v/>
      </c>
      <c r="R973" s="10" t="str">
        <f aca="false">IF($B973="","",$P973-$Q973)</f>
        <v/>
      </c>
      <c r="S973" s="23" t="str">
        <f aca="false">IF($B973="","",IF(COUNTIFS($A$4:$A$2003,$A973-1,$B$4:$B$2003,$B973)=0,"first day",IF(SUMIFS($M$4:$M$2003,$A$4:$A$2003,$A973-1,$B$4:$B$2003,$B973)=$J973,"OK","CHECK")))</f>
        <v/>
      </c>
      <c r="T973" s="10" t="str">
        <f aca="false">IF($B973="","",IFERROR(INDEX(Drinks!$D$4:$D$53,MATCH($B973,Drinks!$A$4:$A$53,0)),0))</f>
        <v/>
      </c>
    </row>
    <row r="974" customFormat="false" ht="15" hidden="false" customHeight="false" outlineLevel="0" collapsed="false">
      <c r="A974" s="22"/>
      <c r="B974" s="9"/>
      <c r="C974" s="9"/>
      <c r="D974" s="9"/>
      <c r="E974" s="9"/>
      <c r="F974" s="10" t="str">
        <f aca="false">IF($B974="","",$C974+$D974-$E974)</f>
        <v/>
      </c>
      <c r="G974" s="10" t="str">
        <f aca="false">IF($B974="","",IFERROR(INDEX(Drinks!$C$4:$C$53,MATCH($B974,Drinks!$A$4:$A$53,0)),0))</f>
        <v/>
      </c>
      <c r="H974" s="10" t="str">
        <f aca="false">IF($B974="","",$D974*$G974)</f>
        <v/>
      </c>
      <c r="I974" s="10" t="str">
        <f aca="false">IF($B974="","",$F974*$G974)</f>
        <v/>
      </c>
      <c r="J974" s="9"/>
      <c r="K974" s="10" t="str">
        <f aca="false">IF($B974="","",$E974*IFERROR(INDEX(Drinks!$B$4:$B$53,MATCH($B974,Drinks!$A$4:$A$53,0)),0))</f>
        <v/>
      </c>
      <c r="L974" s="10" t="str">
        <f aca="false">IF($B974="","",$J974+$K974)</f>
        <v/>
      </c>
      <c r="M974" s="9"/>
      <c r="N974" s="10" t="str">
        <f aca="false">IF($B974="","",$L974-$M974)</f>
        <v/>
      </c>
      <c r="O974" s="10" t="str">
        <f aca="false">IF($B974="","",IFERROR(INDEX(Drinks!$E$4:$E$53,MATCH($B974,Drinks!$A$4:$A$53,0)),0))</f>
        <v/>
      </c>
      <c r="P974" s="10" t="str">
        <f aca="false">IF($B974="","",$N974*$O974)</f>
        <v/>
      </c>
      <c r="Q974" s="10" t="str">
        <f aca="false">IF($B974="","",$N974*IFERROR(INDEX(Drinks!$D$4:$D$53,MATCH($B974,Drinks!$A$4:$A$53,0)),0))</f>
        <v/>
      </c>
      <c r="R974" s="10" t="str">
        <f aca="false">IF($B974="","",$P974-$Q974)</f>
        <v/>
      </c>
      <c r="S974" s="23" t="str">
        <f aca="false">IF($B974="","",IF(COUNTIFS($A$4:$A$2003,$A974-1,$B$4:$B$2003,$B974)=0,"first day",IF(SUMIFS($M$4:$M$2003,$A$4:$A$2003,$A974-1,$B$4:$B$2003,$B974)=$J974,"OK","CHECK")))</f>
        <v/>
      </c>
      <c r="T974" s="10" t="str">
        <f aca="false">IF($B974="","",IFERROR(INDEX(Drinks!$D$4:$D$53,MATCH($B974,Drinks!$A$4:$A$53,0)),0))</f>
        <v/>
      </c>
    </row>
    <row r="975" customFormat="false" ht="15" hidden="false" customHeight="false" outlineLevel="0" collapsed="false">
      <c r="A975" s="22"/>
      <c r="B975" s="9"/>
      <c r="C975" s="9"/>
      <c r="D975" s="9"/>
      <c r="E975" s="9"/>
      <c r="F975" s="10" t="str">
        <f aca="false">IF($B975="","",$C975+$D975-$E975)</f>
        <v/>
      </c>
      <c r="G975" s="10" t="str">
        <f aca="false">IF($B975="","",IFERROR(INDEX(Drinks!$C$4:$C$53,MATCH($B975,Drinks!$A$4:$A$53,0)),0))</f>
        <v/>
      </c>
      <c r="H975" s="10" t="str">
        <f aca="false">IF($B975="","",$D975*$G975)</f>
        <v/>
      </c>
      <c r="I975" s="10" t="str">
        <f aca="false">IF($B975="","",$F975*$G975)</f>
        <v/>
      </c>
      <c r="J975" s="9"/>
      <c r="K975" s="10" t="str">
        <f aca="false">IF($B975="","",$E975*IFERROR(INDEX(Drinks!$B$4:$B$53,MATCH($B975,Drinks!$A$4:$A$53,0)),0))</f>
        <v/>
      </c>
      <c r="L975" s="10" t="str">
        <f aca="false">IF($B975="","",$J975+$K975)</f>
        <v/>
      </c>
      <c r="M975" s="9"/>
      <c r="N975" s="10" t="str">
        <f aca="false">IF($B975="","",$L975-$M975)</f>
        <v/>
      </c>
      <c r="O975" s="10" t="str">
        <f aca="false">IF($B975="","",IFERROR(INDEX(Drinks!$E$4:$E$53,MATCH($B975,Drinks!$A$4:$A$53,0)),0))</f>
        <v/>
      </c>
      <c r="P975" s="10" t="str">
        <f aca="false">IF($B975="","",$N975*$O975)</f>
        <v/>
      </c>
      <c r="Q975" s="10" t="str">
        <f aca="false">IF($B975="","",$N975*IFERROR(INDEX(Drinks!$D$4:$D$53,MATCH($B975,Drinks!$A$4:$A$53,0)),0))</f>
        <v/>
      </c>
      <c r="R975" s="10" t="str">
        <f aca="false">IF($B975="","",$P975-$Q975)</f>
        <v/>
      </c>
      <c r="S975" s="23" t="str">
        <f aca="false">IF($B975="","",IF(COUNTIFS($A$4:$A$2003,$A975-1,$B$4:$B$2003,$B975)=0,"first day",IF(SUMIFS($M$4:$M$2003,$A$4:$A$2003,$A975-1,$B$4:$B$2003,$B975)=$J975,"OK","CHECK")))</f>
        <v/>
      </c>
      <c r="T975" s="10" t="str">
        <f aca="false">IF($B975="","",IFERROR(INDEX(Drinks!$D$4:$D$53,MATCH($B975,Drinks!$A$4:$A$53,0)),0))</f>
        <v/>
      </c>
    </row>
    <row r="976" customFormat="false" ht="15" hidden="false" customHeight="false" outlineLevel="0" collapsed="false">
      <c r="A976" s="22"/>
      <c r="B976" s="9"/>
      <c r="C976" s="9"/>
      <c r="D976" s="9"/>
      <c r="E976" s="9"/>
      <c r="F976" s="10" t="str">
        <f aca="false">IF($B976="","",$C976+$D976-$E976)</f>
        <v/>
      </c>
      <c r="G976" s="10" t="str">
        <f aca="false">IF($B976="","",IFERROR(INDEX(Drinks!$C$4:$C$53,MATCH($B976,Drinks!$A$4:$A$53,0)),0))</f>
        <v/>
      </c>
      <c r="H976" s="10" t="str">
        <f aca="false">IF($B976="","",$D976*$G976)</f>
        <v/>
      </c>
      <c r="I976" s="10" t="str">
        <f aca="false">IF($B976="","",$F976*$G976)</f>
        <v/>
      </c>
      <c r="J976" s="9"/>
      <c r="K976" s="10" t="str">
        <f aca="false">IF($B976="","",$E976*IFERROR(INDEX(Drinks!$B$4:$B$53,MATCH($B976,Drinks!$A$4:$A$53,0)),0))</f>
        <v/>
      </c>
      <c r="L976" s="10" t="str">
        <f aca="false">IF($B976="","",$J976+$K976)</f>
        <v/>
      </c>
      <c r="M976" s="9"/>
      <c r="N976" s="10" t="str">
        <f aca="false">IF($B976="","",$L976-$M976)</f>
        <v/>
      </c>
      <c r="O976" s="10" t="str">
        <f aca="false">IF($B976="","",IFERROR(INDEX(Drinks!$E$4:$E$53,MATCH($B976,Drinks!$A$4:$A$53,0)),0))</f>
        <v/>
      </c>
      <c r="P976" s="10" t="str">
        <f aca="false">IF($B976="","",$N976*$O976)</f>
        <v/>
      </c>
      <c r="Q976" s="10" t="str">
        <f aca="false">IF($B976="","",$N976*IFERROR(INDEX(Drinks!$D$4:$D$53,MATCH($B976,Drinks!$A$4:$A$53,0)),0))</f>
        <v/>
      </c>
      <c r="R976" s="10" t="str">
        <f aca="false">IF($B976="","",$P976-$Q976)</f>
        <v/>
      </c>
      <c r="S976" s="23" t="str">
        <f aca="false">IF($B976="","",IF(COUNTIFS($A$4:$A$2003,$A976-1,$B$4:$B$2003,$B976)=0,"first day",IF(SUMIFS($M$4:$M$2003,$A$4:$A$2003,$A976-1,$B$4:$B$2003,$B976)=$J976,"OK","CHECK")))</f>
        <v/>
      </c>
      <c r="T976" s="10" t="str">
        <f aca="false">IF($B976="","",IFERROR(INDEX(Drinks!$D$4:$D$53,MATCH($B976,Drinks!$A$4:$A$53,0)),0))</f>
        <v/>
      </c>
    </row>
    <row r="977" customFormat="false" ht="15" hidden="false" customHeight="false" outlineLevel="0" collapsed="false">
      <c r="A977" s="22"/>
      <c r="B977" s="9"/>
      <c r="C977" s="9"/>
      <c r="D977" s="9"/>
      <c r="E977" s="9"/>
      <c r="F977" s="10" t="str">
        <f aca="false">IF($B977="","",$C977+$D977-$E977)</f>
        <v/>
      </c>
      <c r="G977" s="10" t="str">
        <f aca="false">IF($B977="","",IFERROR(INDEX(Drinks!$C$4:$C$53,MATCH($B977,Drinks!$A$4:$A$53,0)),0))</f>
        <v/>
      </c>
      <c r="H977" s="10" t="str">
        <f aca="false">IF($B977="","",$D977*$G977)</f>
        <v/>
      </c>
      <c r="I977" s="10" t="str">
        <f aca="false">IF($B977="","",$F977*$G977)</f>
        <v/>
      </c>
      <c r="J977" s="9"/>
      <c r="K977" s="10" t="str">
        <f aca="false">IF($B977="","",$E977*IFERROR(INDEX(Drinks!$B$4:$B$53,MATCH($B977,Drinks!$A$4:$A$53,0)),0))</f>
        <v/>
      </c>
      <c r="L977" s="10" t="str">
        <f aca="false">IF($B977="","",$J977+$K977)</f>
        <v/>
      </c>
      <c r="M977" s="9"/>
      <c r="N977" s="10" t="str">
        <f aca="false">IF($B977="","",$L977-$M977)</f>
        <v/>
      </c>
      <c r="O977" s="10" t="str">
        <f aca="false">IF($B977="","",IFERROR(INDEX(Drinks!$E$4:$E$53,MATCH($B977,Drinks!$A$4:$A$53,0)),0))</f>
        <v/>
      </c>
      <c r="P977" s="10" t="str">
        <f aca="false">IF($B977="","",$N977*$O977)</f>
        <v/>
      </c>
      <c r="Q977" s="10" t="str">
        <f aca="false">IF($B977="","",$N977*IFERROR(INDEX(Drinks!$D$4:$D$53,MATCH($B977,Drinks!$A$4:$A$53,0)),0))</f>
        <v/>
      </c>
      <c r="R977" s="10" t="str">
        <f aca="false">IF($B977="","",$P977-$Q977)</f>
        <v/>
      </c>
      <c r="S977" s="23" t="str">
        <f aca="false">IF($B977="","",IF(COUNTIFS($A$4:$A$2003,$A977-1,$B$4:$B$2003,$B977)=0,"first day",IF(SUMIFS($M$4:$M$2003,$A$4:$A$2003,$A977-1,$B$4:$B$2003,$B977)=$J977,"OK","CHECK")))</f>
        <v/>
      </c>
      <c r="T977" s="10" t="str">
        <f aca="false">IF($B977="","",IFERROR(INDEX(Drinks!$D$4:$D$53,MATCH($B977,Drinks!$A$4:$A$53,0)),0))</f>
        <v/>
      </c>
    </row>
    <row r="978" customFormat="false" ht="15" hidden="false" customHeight="false" outlineLevel="0" collapsed="false">
      <c r="A978" s="22"/>
      <c r="B978" s="9"/>
      <c r="C978" s="9"/>
      <c r="D978" s="9"/>
      <c r="E978" s="9"/>
      <c r="F978" s="10" t="str">
        <f aca="false">IF($B978="","",$C978+$D978-$E978)</f>
        <v/>
      </c>
      <c r="G978" s="10" t="str">
        <f aca="false">IF($B978="","",IFERROR(INDEX(Drinks!$C$4:$C$53,MATCH($B978,Drinks!$A$4:$A$53,0)),0))</f>
        <v/>
      </c>
      <c r="H978" s="10" t="str">
        <f aca="false">IF($B978="","",$D978*$G978)</f>
        <v/>
      </c>
      <c r="I978" s="10" t="str">
        <f aca="false">IF($B978="","",$F978*$G978)</f>
        <v/>
      </c>
      <c r="J978" s="9"/>
      <c r="K978" s="10" t="str">
        <f aca="false">IF($B978="","",$E978*IFERROR(INDEX(Drinks!$B$4:$B$53,MATCH($B978,Drinks!$A$4:$A$53,0)),0))</f>
        <v/>
      </c>
      <c r="L978" s="10" t="str">
        <f aca="false">IF($B978="","",$J978+$K978)</f>
        <v/>
      </c>
      <c r="M978" s="9"/>
      <c r="N978" s="10" t="str">
        <f aca="false">IF($B978="","",$L978-$M978)</f>
        <v/>
      </c>
      <c r="O978" s="10" t="str">
        <f aca="false">IF($B978="","",IFERROR(INDEX(Drinks!$E$4:$E$53,MATCH($B978,Drinks!$A$4:$A$53,0)),0))</f>
        <v/>
      </c>
      <c r="P978" s="10" t="str">
        <f aca="false">IF($B978="","",$N978*$O978)</f>
        <v/>
      </c>
      <c r="Q978" s="10" t="str">
        <f aca="false">IF($B978="","",$N978*IFERROR(INDEX(Drinks!$D$4:$D$53,MATCH($B978,Drinks!$A$4:$A$53,0)),0))</f>
        <v/>
      </c>
      <c r="R978" s="10" t="str">
        <f aca="false">IF($B978="","",$P978-$Q978)</f>
        <v/>
      </c>
      <c r="S978" s="23" t="str">
        <f aca="false">IF($B978="","",IF(COUNTIFS($A$4:$A$2003,$A978-1,$B$4:$B$2003,$B978)=0,"first day",IF(SUMIFS($M$4:$M$2003,$A$4:$A$2003,$A978-1,$B$4:$B$2003,$B978)=$J978,"OK","CHECK")))</f>
        <v/>
      </c>
      <c r="T978" s="10" t="str">
        <f aca="false">IF($B978="","",IFERROR(INDEX(Drinks!$D$4:$D$53,MATCH($B978,Drinks!$A$4:$A$53,0)),0))</f>
        <v/>
      </c>
    </row>
    <row r="979" customFormat="false" ht="15" hidden="false" customHeight="false" outlineLevel="0" collapsed="false">
      <c r="A979" s="22"/>
      <c r="B979" s="9"/>
      <c r="C979" s="9"/>
      <c r="D979" s="9"/>
      <c r="E979" s="9"/>
      <c r="F979" s="10" t="str">
        <f aca="false">IF($B979="","",$C979+$D979-$E979)</f>
        <v/>
      </c>
      <c r="G979" s="10" t="str">
        <f aca="false">IF($B979="","",IFERROR(INDEX(Drinks!$C$4:$C$53,MATCH($B979,Drinks!$A$4:$A$53,0)),0))</f>
        <v/>
      </c>
      <c r="H979" s="10" t="str">
        <f aca="false">IF($B979="","",$D979*$G979)</f>
        <v/>
      </c>
      <c r="I979" s="10" t="str">
        <f aca="false">IF($B979="","",$F979*$G979)</f>
        <v/>
      </c>
      <c r="J979" s="9"/>
      <c r="K979" s="10" t="str">
        <f aca="false">IF($B979="","",$E979*IFERROR(INDEX(Drinks!$B$4:$B$53,MATCH($B979,Drinks!$A$4:$A$53,0)),0))</f>
        <v/>
      </c>
      <c r="L979" s="10" t="str">
        <f aca="false">IF($B979="","",$J979+$K979)</f>
        <v/>
      </c>
      <c r="M979" s="9"/>
      <c r="N979" s="10" t="str">
        <f aca="false">IF($B979="","",$L979-$M979)</f>
        <v/>
      </c>
      <c r="O979" s="10" t="str">
        <f aca="false">IF($B979="","",IFERROR(INDEX(Drinks!$E$4:$E$53,MATCH($B979,Drinks!$A$4:$A$53,0)),0))</f>
        <v/>
      </c>
      <c r="P979" s="10" t="str">
        <f aca="false">IF($B979="","",$N979*$O979)</f>
        <v/>
      </c>
      <c r="Q979" s="10" t="str">
        <f aca="false">IF($B979="","",$N979*IFERROR(INDEX(Drinks!$D$4:$D$53,MATCH($B979,Drinks!$A$4:$A$53,0)),0))</f>
        <v/>
      </c>
      <c r="R979" s="10" t="str">
        <f aca="false">IF($B979="","",$P979-$Q979)</f>
        <v/>
      </c>
      <c r="S979" s="23" t="str">
        <f aca="false">IF($B979="","",IF(COUNTIFS($A$4:$A$2003,$A979-1,$B$4:$B$2003,$B979)=0,"first day",IF(SUMIFS($M$4:$M$2003,$A$4:$A$2003,$A979-1,$B$4:$B$2003,$B979)=$J979,"OK","CHECK")))</f>
        <v/>
      </c>
      <c r="T979" s="10" t="str">
        <f aca="false">IF($B979="","",IFERROR(INDEX(Drinks!$D$4:$D$53,MATCH($B979,Drinks!$A$4:$A$53,0)),0))</f>
        <v/>
      </c>
    </row>
    <row r="980" customFormat="false" ht="15" hidden="false" customHeight="false" outlineLevel="0" collapsed="false">
      <c r="A980" s="22"/>
      <c r="B980" s="9"/>
      <c r="C980" s="9"/>
      <c r="D980" s="9"/>
      <c r="E980" s="9"/>
      <c r="F980" s="10" t="str">
        <f aca="false">IF($B980="","",$C980+$D980-$E980)</f>
        <v/>
      </c>
      <c r="G980" s="10" t="str">
        <f aca="false">IF($B980="","",IFERROR(INDEX(Drinks!$C$4:$C$53,MATCH($B980,Drinks!$A$4:$A$53,0)),0))</f>
        <v/>
      </c>
      <c r="H980" s="10" t="str">
        <f aca="false">IF($B980="","",$D980*$G980)</f>
        <v/>
      </c>
      <c r="I980" s="10" t="str">
        <f aca="false">IF($B980="","",$F980*$G980)</f>
        <v/>
      </c>
      <c r="J980" s="9"/>
      <c r="K980" s="10" t="str">
        <f aca="false">IF($B980="","",$E980*IFERROR(INDEX(Drinks!$B$4:$B$53,MATCH($B980,Drinks!$A$4:$A$53,0)),0))</f>
        <v/>
      </c>
      <c r="L980" s="10" t="str">
        <f aca="false">IF($B980="","",$J980+$K980)</f>
        <v/>
      </c>
      <c r="M980" s="9"/>
      <c r="N980" s="10" t="str">
        <f aca="false">IF($B980="","",$L980-$M980)</f>
        <v/>
      </c>
      <c r="O980" s="10" t="str">
        <f aca="false">IF($B980="","",IFERROR(INDEX(Drinks!$E$4:$E$53,MATCH($B980,Drinks!$A$4:$A$53,0)),0))</f>
        <v/>
      </c>
      <c r="P980" s="10" t="str">
        <f aca="false">IF($B980="","",$N980*$O980)</f>
        <v/>
      </c>
      <c r="Q980" s="10" t="str">
        <f aca="false">IF($B980="","",$N980*IFERROR(INDEX(Drinks!$D$4:$D$53,MATCH($B980,Drinks!$A$4:$A$53,0)),0))</f>
        <v/>
      </c>
      <c r="R980" s="10" t="str">
        <f aca="false">IF($B980="","",$P980-$Q980)</f>
        <v/>
      </c>
      <c r="S980" s="23" t="str">
        <f aca="false">IF($B980="","",IF(COUNTIFS($A$4:$A$2003,$A980-1,$B$4:$B$2003,$B980)=0,"first day",IF(SUMIFS($M$4:$M$2003,$A$4:$A$2003,$A980-1,$B$4:$B$2003,$B980)=$J980,"OK","CHECK")))</f>
        <v/>
      </c>
      <c r="T980" s="10" t="str">
        <f aca="false">IF($B980="","",IFERROR(INDEX(Drinks!$D$4:$D$53,MATCH($B980,Drinks!$A$4:$A$53,0)),0))</f>
        <v/>
      </c>
    </row>
    <row r="981" customFormat="false" ht="15" hidden="false" customHeight="false" outlineLevel="0" collapsed="false">
      <c r="A981" s="22"/>
      <c r="B981" s="9"/>
      <c r="C981" s="9"/>
      <c r="D981" s="9"/>
      <c r="E981" s="9"/>
      <c r="F981" s="10" t="str">
        <f aca="false">IF($B981="","",$C981+$D981-$E981)</f>
        <v/>
      </c>
      <c r="G981" s="10" t="str">
        <f aca="false">IF($B981="","",IFERROR(INDEX(Drinks!$C$4:$C$53,MATCH($B981,Drinks!$A$4:$A$53,0)),0))</f>
        <v/>
      </c>
      <c r="H981" s="10" t="str">
        <f aca="false">IF($B981="","",$D981*$G981)</f>
        <v/>
      </c>
      <c r="I981" s="10" t="str">
        <f aca="false">IF($B981="","",$F981*$G981)</f>
        <v/>
      </c>
      <c r="J981" s="9"/>
      <c r="K981" s="10" t="str">
        <f aca="false">IF($B981="","",$E981*IFERROR(INDEX(Drinks!$B$4:$B$53,MATCH($B981,Drinks!$A$4:$A$53,0)),0))</f>
        <v/>
      </c>
      <c r="L981" s="10" t="str">
        <f aca="false">IF($B981="","",$J981+$K981)</f>
        <v/>
      </c>
      <c r="M981" s="9"/>
      <c r="N981" s="10" t="str">
        <f aca="false">IF($B981="","",$L981-$M981)</f>
        <v/>
      </c>
      <c r="O981" s="10" t="str">
        <f aca="false">IF($B981="","",IFERROR(INDEX(Drinks!$E$4:$E$53,MATCH($B981,Drinks!$A$4:$A$53,0)),0))</f>
        <v/>
      </c>
      <c r="P981" s="10" t="str">
        <f aca="false">IF($B981="","",$N981*$O981)</f>
        <v/>
      </c>
      <c r="Q981" s="10" t="str">
        <f aca="false">IF($B981="","",$N981*IFERROR(INDEX(Drinks!$D$4:$D$53,MATCH($B981,Drinks!$A$4:$A$53,0)),0))</f>
        <v/>
      </c>
      <c r="R981" s="10" t="str">
        <f aca="false">IF($B981="","",$P981-$Q981)</f>
        <v/>
      </c>
      <c r="S981" s="23" t="str">
        <f aca="false">IF($B981="","",IF(COUNTIFS($A$4:$A$2003,$A981-1,$B$4:$B$2003,$B981)=0,"first day",IF(SUMIFS($M$4:$M$2003,$A$4:$A$2003,$A981-1,$B$4:$B$2003,$B981)=$J981,"OK","CHECK")))</f>
        <v/>
      </c>
      <c r="T981" s="10" t="str">
        <f aca="false">IF($B981="","",IFERROR(INDEX(Drinks!$D$4:$D$53,MATCH($B981,Drinks!$A$4:$A$53,0)),0))</f>
        <v/>
      </c>
    </row>
    <row r="982" customFormat="false" ht="15" hidden="false" customHeight="false" outlineLevel="0" collapsed="false">
      <c r="A982" s="22"/>
      <c r="B982" s="9"/>
      <c r="C982" s="9"/>
      <c r="D982" s="9"/>
      <c r="E982" s="9"/>
      <c r="F982" s="10" t="str">
        <f aca="false">IF($B982="","",$C982+$D982-$E982)</f>
        <v/>
      </c>
      <c r="G982" s="10" t="str">
        <f aca="false">IF($B982="","",IFERROR(INDEX(Drinks!$C$4:$C$53,MATCH($B982,Drinks!$A$4:$A$53,0)),0))</f>
        <v/>
      </c>
      <c r="H982" s="10" t="str">
        <f aca="false">IF($B982="","",$D982*$G982)</f>
        <v/>
      </c>
      <c r="I982" s="10" t="str">
        <f aca="false">IF($B982="","",$F982*$G982)</f>
        <v/>
      </c>
      <c r="J982" s="9"/>
      <c r="K982" s="10" t="str">
        <f aca="false">IF($B982="","",$E982*IFERROR(INDEX(Drinks!$B$4:$B$53,MATCH($B982,Drinks!$A$4:$A$53,0)),0))</f>
        <v/>
      </c>
      <c r="L982" s="10" t="str">
        <f aca="false">IF($B982="","",$J982+$K982)</f>
        <v/>
      </c>
      <c r="M982" s="9"/>
      <c r="N982" s="10" t="str">
        <f aca="false">IF($B982="","",$L982-$M982)</f>
        <v/>
      </c>
      <c r="O982" s="10" t="str">
        <f aca="false">IF($B982="","",IFERROR(INDEX(Drinks!$E$4:$E$53,MATCH($B982,Drinks!$A$4:$A$53,0)),0))</f>
        <v/>
      </c>
      <c r="P982" s="10" t="str">
        <f aca="false">IF($B982="","",$N982*$O982)</f>
        <v/>
      </c>
      <c r="Q982" s="10" t="str">
        <f aca="false">IF($B982="","",$N982*IFERROR(INDEX(Drinks!$D$4:$D$53,MATCH($B982,Drinks!$A$4:$A$53,0)),0))</f>
        <v/>
      </c>
      <c r="R982" s="10" t="str">
        <f aca="false">IF($B982="","",$P982-$Q982)</f>
        <v/>
      </c>
      <c r="S982" s="23" t="str">
        <f aca="false">IF($B982="","",IF(COUNTIFS($A$4:$A$2003,$A982-1,$B$4:$B$2003,$B982)=0,"first day",IF(SUMIFS($M$4:$M$2003,$A$4:$A$2003,$A982-1,$B$4:$B$2003,$B982)=$J982,"OK","CHECK")))</f>
        <v/>
      </c>
      <c r="T982" s="10" t="str">
        <f aca="false">IF($B982="","",IFERROR(INDEX(Drinks!$D$4:$D$53,MATCH($B982,Drinks!$A$4:$A$53,0)),0))</f>
        <v/>
      </c>
    </row>
    <row r="983" customFormat="false" ht="15" hidden="false" customHeight="false" outlineLevel="0" collapsed="false">
      <c r="A983" s="22"/>
      <c r="B983" s="9"/>
      <c r="C983" s="9"/>
      <c r="D983" s="9"/>
      <c r="E983" s="9"/>
      <c r="F983" s="10" t="str">
        <f aca="false">IF($B983="","",$C983+$D983-$E983)</f>
        <v/>
      </c>
      <c r="G983" s="10" t="str">
        <f aca="false">IF($B983="","",IFERROR(INDEX(Drinks!$C$4:$C$53,MATCH($B983,Drinks!$A$4:$A$53,0)),0))</f>
        <v/>
      </c>
      <c r="H983" s="10" t="str">
        <f aca="false">IF($B983="","",$D983*$G983)</f>
        <v/>
      </c>
      <c r="I983" s="10" t="str">
        <f aca="false">IF($B983="","",$F983*$G983)</f>
        <v/>
      </c>
      <c r="J983" s="9"/>
      <c r="K983" s="10" t="str">
        <f aca="false">IF($B983="","",$E983*IFERROR(INDEX(Drinks!$B$4:$B$53,MATCH($B983,Drinks!$A$4:$A$53,0)),0))</f>
        <v/>
      </c>
      <c r="L983" s="10" t="str">
        <f aca="false">IF($B983="","",$J983+$K983)</f>
        <v/>
      </c>
      <c r="M983" s="9"/>
      <c r="N983" s="10" t="str">
        <f aca="false">IF($B983="","",$L983-$M983)</f>
        <v/>
      </c>
      <c r="O983" s="10" t="str">
        <f aca="false">IF($B983="","",IFERROR(INDEX(Drinks!$E$4:$E$53,MATCH($B983,Drinks!$A$4:$A$53,0)),0))</f>
        <v/>
      </c>
      <c r="P983" s="10" t="str">
        <f aca="false">IF($B983="","",$N983*$O983)</f>
        <v/>
      </c>
      <c r="Q983" s="10" t="str">
        <f aca="false">IF($B983="","",$N983*IFERROR(INDEX(Drinks!$D$4:$D$53,MATCH($B983,Drinks!$A$4:$A$53,0)),0))</f>
        <v/>
      </c>
      <c r="R983" s="10" t="str">
        <f aca="false">IF($B983="","",$P983-$Q983)</f>
        <v/>
      </c>
      <c r="S983" s="23" t="str">
        <f aca="false">IF($B983="","",IF(COUNTIFS($A$4:$A$2003,$A983-1,$B$4:$B$2003,$B983)=0,"first day",IF(SUMIFS($M$4:$M$2003,$A$4:$A$2003,$A983-1,$B$4:$B$2003,$B983)=$J983,"OK","CHECK")))</f>
        <v/>
      </c>
      <c r="T983" s="10" t="str">
        <f aca="false">IF($B983="","",IFERROR(INDEX(Drinks!$D$4:$D$53,MATCH($B983,Drinks!$A$4:$A$53,0)),0))</f>
        <v/>
      </c>
    </row>
    <row r="984" customFormat="false" ht="15" hidden="false" customHeight="false" outlineLevel="0" collapsed="false">
      <c r="A984" s="22"/>
      <c r="B984" s="9"/>
      <c r="C984" s="9"/>
      <c r="D984" s="9"/>
      <c r="E984" s="9"/>
      <c r="F984" s="10" t="str">
        <f aca="false">IF($B984="","",$C984+$D984-$E984)</f>
        <v/>
      </c>
      <c r="G984" s="10" t="str">
        <f aca="false">IF($B984="","",IFERROR(INDEX(Drinks!$C$4:$C$53,MATCH($B984,Drinks!$A$4:$A$53,0)),0))</f>
        <v/>
      </c>
      <c r="H984" s="10" t="str">
        <f aca="false">IF($B984="","",$D984*$G984)</f>
        <v/>
      </c>
      <c r="I984" s="10" t="str">
        <f aca="false">IF($B984="","",$F984*$G984)</f>
        <v/>
      </c>
      <c r="J984" s="9"/>
      <c r="K984" s="10" t="str">
        <f aca="false">IF($B984="","",$E984*IFERROR(INDEX(Drinks!$B$4:$B$53,MATCH($B984,Drinks!$A$4:$A$53,0)),0))</f>
        <v/>
      </c>
      <c r="L984" s="10" t="str">
        <f aca="false">IF($B984="","",$J984+$K984)</f>
        <v/>
      </c>
      <c r="M984" s="9"/>
      <c r="N984" s="10" t="str">
        <f aca="false">IF($B984="","",$L984-$M984)</f>
        <v/>
      </c>
      <c r="O984" s="10" t="str">
        <f aca="false">IF($B984="","",IFERROR(INDEX(Drinks!$E$4:$E$53,MATCH($B984,Drinks!$A$4:$A$53,0)),0))</f>
        <v/>
      </c>
      <c r="P984" s="10" t="str">
        <f aca="false">IF($B984="","",$N984*$O984)</f>
        <v/>
      </c>
      <c r="Q984" s="10" t="str">
        <f aca="false">IF($B984="","",$N984*IFERROR(INDEX(Drinks!$D$4:$D$53,MATCH($B984,Drinks!$A$4:$A$53,0)),0))</f>
        <v/>
      </c>
      <c r="R984" s="10" t="str">
        <f aca="false">IF($B984="","",$P984-$Q984)</f>
        <v/>
      </c>
      <c r="S984" s="23" t="str">
        <f aca="false">IF($B984="","",IF(COUNTIFS($A$4:$A$2003,$A984-1,$B$4:$B$2003,$B984)=0,"first day",IF(SUMIFS($M$4:$M$2003,$A$4:$A$2003,$A984-1,$B$4:$B$2003,$B984)=$J984,"OK","CHECK")))</f>
        <v/>
      </c>
      <c r="T984" s="10" t="str">
        <f aca="false">IF($B984="","",IFERROR(INDEX(Drinks!$D$4:$D$53,MATCH($B984,Drinks!$A$4:$A$53,0)),0))</f>
        <v/>
      </c>
    </row>
    <row r="985" customFormat="false" ht="15" hidden="false" customHeight="false" outlineLevel="0" collapsed="false">
      <c r="A985" s="22"/>
      <c r="B985" s="9"/>
      <c r="C985" s="9"/>
      <c r="D985" s="9"/>
      <c r="E985" s="9"/>
      <c r="F985" s="10" t="str">
        <f aca="false">IF($B985="","",$C985+$D985-$E985)</f>
        <v/>
      </c>
      <c r="G985" s="10" t="str">
        <f aca="false">IF($B985="","",IFERROR(INDEX(Drinks!$C$4:$C$53,MATCH($B985,Drinks!$A$4:$A$53,0)),0))</f>
        <v/>
      </c>
      <c r="H985" s="10" t="str">
        <f aca="false">IF($B985="","",$D985*$G985)</f>
        <v/>
      </c>
      <c r="I985" s="10" t="str">
        <f aca="false">IF($B985="","",$F985*$G985)</f>
        <v/>
      </c>
      <c r="J985" s="9"/>
      <c r="K985" s="10" t="str">
        <f aca="false">IF($B985="","",$E985*IFERROR(INDEX(Drinks!$B$4:$B$53,MATCH($B985,Drinks!$A$4:$A$53,0)),0))</f>
        <v/>
      </c>
      <c r="L985" s="10" t="str">
        <f aca="false">IF($B985="","",$J985+$K985)</f>
        <v/>
      </c>
      <c r="M985" s="9"/>
      <c r="N985" s="10" t="str">
        <f aca="false">IF($B985="","",$L985-$M985)</f>
        <v/>
      </c>
      <c r="O985" s="10" t="str">
        <f aca="false">IF($B985="","",IFERROR(INDEX(Drinks!$E$4:$E$53,MATCH($B985,Drinks!$A$4:$A$53,0)),0))</f>
        <v/>
      </c>
      <c r="P985" s="10" t="str">
        <f aca="false">IF($B985="","",$N985*$O985)</f>
        <v/>
      </c>
      <c r="Q985" s="10" t="str">
        <f aca="false">IF($B985="","",$N985*IFERROR(INDEX(Drinks!$D$4:$D$53,MATCH($B985,Drinks!$A$4:$A$53,0)),0))</f>
        <v/>
      </c>
      <c r="R985" s="10" t="str">
        <f aca="false">IF($B985="","",$P985-$Q985)</f>
        <v/>
      </c>
      <c r="S985" s="23" t="str">
        <f aca="false">IF($B985="","",IF(COUNTIFS($A$4:$A$2003,$A985-1,$B$4:$B$2003,$B985)=0,"first day",IF(SUMIFS($M$4:$M$2003,$A$4:$A$2003,$A985-1,$B$4:$B$2003,$B985)=$J985,"OK","CHECK")))</f>
        <v/>
      </c>
      <c r="T985" s="10" t="str">
        <f aca="false">IF($B985="","",IFERROR(INDEX(Drinks!$D$4:$D$53,MATCH($B985,Drinks!$A$4:$A$53,0)),0))</f>
        <v/>
      </c>
    </row>
    <row r="986" customFormat="false" ht="15" hidden="false" customHeight="false" outlineLevel="0" collapsed="false">
      <c r="A986" s="22"/>
      <c r="B986" s="9"/>
      <c r="C986" s="9"/>
      <c r="D986" s="9"/>
      <c r="E986" s="9"/>
      <c r="F986" s="10" t="str">
        <f aca="false">IF($B986="","",$C986+$D986-$E986)</f>
        <v/>
      </c>
      <c r="G986" s="10" t="str">
        <f aca="false">IF($B986="","",IFERROR(INDEX(Drinks!$C$4:$C$53,MATCH($B986,Drinks!$A$4:$A$53,0)),0))</f>
        <v/>
      </c>
      <c r="H986" s="10" t="str">
        <f aca="false">IF($B986="","",$D986*$G986)</f>
        <v/>
      </c>
      <c r="I986" s="10" t="str">
        <f aca="false">IF($B986="","",$F986*$G986)</f>
        <v/>
      </c>
      <c r="J986" s="9"/>
      <c r="K986" s="10" t="str">
        <f aca="false">IF($B986="","",$E986*IFERROR(INDEX(Drinks!$B$4:$B$53,MATCH($B986,Drinks!$A$4:$A$53,0)),0))</f>
        <v/>
      </c>
      <c r="L986" s="10" t="str">
        <f aca="false">IF($B986="","",$J986+$K986)</f>
        <v/>
      </c>
      <c r="M986" s="9"/>
      <c r="N986" s="10" t="str">
        <f aca="false">IF($B986="","",$L986-$M986)</f>
        <v/>
      </c>
      <c r="O986" s="10" t="str">
        <f aca="false">IF($B986="","",IFERROR(INDEX(Drinks!$E$4:$E$53,MATCH($B986,Drinks!$A$4:$A$53,0)),0))</f>
        <v/>
      </c>
      <c r="P986" s="10" t="str">
        <f aca="false">IF($B986="","",$N986*$O986)</f>
        <v/>
      </c>
      <c r="Q986" s="10" t="str">
        <f aca="false">IF($B986="","",$N986*IFERROR(INDEX(Drinks!$D$4:$D$53,MATCH($B986,Drinks!$A$4:$A$53,0)),0))</f>
        <v/>
      </c>
      <c r="R986" s="10" t="str">
        <f aca="false">IF($B986="","",$P986-$Q986)</f>
        <v/>
      </c>
      <c r="S986" s="23" t="str">
        <f aca="false">IF($B986="","",IF(COUNTIFS($A$4:$A$2003,$A986-1,$B$4:$B$2003,$B986)=0,"first day",IF(SUMIFS($M$4:$M$2003,$A$4:$A$2003,$A986-1,$B$4:$B$2003,$B986)=$J986,"OK","CHECK")))</f>
        <v/>
      </c>
      <c r="T986" s="10" t="str">
        <f aca="false">IF($B986="","",IFERROR(INDEX(Drinks!$D$4:$D$53,MATCH($B986,Drinks!$A$4:$A$53,0)),0))</f>
        <v/>
      </c>
    </row>
    <row r="987" customFormat="false" ht="15" hidden="false" customHeight="false" outlineLevel="0" collapsed="false">
      <c r="A987" s="22"/>
      <c r="B987" s="9"/>
      <c r="C987" s="9"/>
      <c r="D987" s="9"/>
      <c r="E987" s="9"/>
      <c r="F987" s="10" t="str">
        <f aca="false">IF($B987="","",$C987+$D987-$E987)</f>
        <v/>
      </c>
      <c r="G987" s="10" t="str">
        <f aca="false">IF($B987="","",IFERROR(INDEX(Drinks!$C$4:$C$53,MATCH($B987,Drinks!$A$4:$A$53,0)),0))</f>
        <v/>
      </c>
      <c r="H987" s="10" t="str">
        <f aca="false">IF($B987="","",$D987*$G987)</f>
        <v/>
      </c>
      <c r="I987" s="10" t="str">
        <f aca="false">IF($B987="","",$F987*$G987)</f>
        <v/>
      </c>
      <c r="J987" s="9"/>
      <c r="K987" s="10" t="str">
        <f aca="false">IF($B987="","",$E987*IFERROR(INDEX(Drinks!$B$4:$B$53,MATCH($B987,Drinks!$A$4:$A$53,0)),0))</f>
        <v/>
      </c>
      <c r="L987" s="10" t="str">
        <f aca="false">IF($B987="","",$J987+$K987)</f>
        <v/>
      </c>
      <c r="M987" s="9"/>
      <c r="N987" s="10" t="str">
        <f aca="false">IF($B987="","",$L987-$M987)</f>
        <v/>
      </c>
      <c r="O987" s="10" t="str">
        <f aca="false">IF($B987="","",IFERROR(INDEX(Drinks!$E$4:$E$53,MATCH($B987,Drinks!$A$4:$A$53,0)),0))</f>
        <v/>
      </c>
      <c r="P987" s="10" t="str">
        <f aca="false">IF($B987="","",$N987*$O987)</f>
        <v/>
      </c>
      <c r="Q987" s="10" t="str">
        <f aca="false">IF($B987="","",$N987*IFERROR(INDEX(Drinks!$D$4:$D$53,MATCH($B987,Drinks!$A$4:$A$53,0)),0))</f>
        <v/>
      </c>
      <c r="R987" s="10" t="str">
        <f aca="false">IF($B987="","",$P987-$Q987)</f>
        <v/>
      </c>
      <c r="S987" s="23" t="str">
        <f aca="false">IF($B987="","",IF(COUNTIFS($A$4:$A$2003,$A987-1,$B$4:$B$2003,$B987)=0,"first day",IF(SUMIFS($M$4:$M$2003,$A$4:$A$2003,$A987-1,$B$4:$B$2003,$B987)=$J987,"OK","CHECK")))</f>
        <v/>
      </c>
      <c r="T987" s="10" t="str">
        <f aca="false">IF($B987="","",IFERROR(INDEX(Drinks!$D$4:$D$53,MATCH($B987,Drinks!$A$4:$A$53,0)),0))</f>
        <v/>
      </c>
    </row>
    <row r="988" customFormat="false" ht="15" hidden="false" customHeight="false" outlineLevel="0" collapsed="false">
      <c r="A988" s="22"/>
      <c r="B988" s="9"/>
      <c r="C988" s="9"/>
      <c r="D988" s="9"/>
      <c r="E988" s="9"/>
      <c r="F988" s="10" t="str">
        <f aca="false">IF($B988="","",$C988+$D988-$E988)</f>
        <v/>
      </c>
      <c r="G988" s="10" t="str">
        <f aca="false">IF($B988="","",IFERROR(INDEX(Drinks!$C$4:$C$53,MATCH($B988,Drinks!$A$4:$A$53,0)),0))</f>
        <v/>
      </c>
      <c r="H988" s="10" t="str">
        <f aca="false">IF($B988="","",$D988*$G988)</f>
        <v/>
      </c>
      <c r="I988" s="10" t="str">
        <f aca="false">IF($B988="","",$F988*$G988)</f>
        <v/>
      </c>
      <c r="J988" s="9"/>
      <c r="K988" s="10" t="str">
        <f aca="false">IF($B988="","",$E988*IFERROR(INDEX(Drinks!$B$4:$B$53,MATCH($B988,Drinks!$A$4:$A$53,0)),0))</f>
        <v/>
      </c>
      <c r="L988" s="10" t="str">
        <f aca="false">IF($B988="","",$J988+$K988)</f>
        <v/>
      </c>
      <c r="M988" s="9"/>
      <c r="N988" s="10" t="str">
        <f aca="false">IF($B988="","",$L988-$M988)</f>
        <v/>
      </c>
      <c r="O988" s="10" t="str">
        <f aca="false">IF($B988="","",IFERROR(INDEX(Drinks!$E$4:$E$53,MATCH($B988,Drinks!$A$4:$A$53,0)),0))</f>
        <v/>
      </c>
      <c r="P988" s="10" t="str">
        <f aca="false">IF($B988="","",$N988*$O988)</f>
        <v/>
      </c>
      <c r="Q988" s="10" t="str">
        <f aca="false">IF($B988="","",$N988*IFERROR(INDEX(Drinks!$D$4:$D$53,MATCH($B988,Drinks!$A$4:$A$53,0)),0))</f>
        <v/>
      </c>
      <c r="R988" s="10" t="str">
        <f aca="false">IF($B988="","",$P988-$Q988)</f>
        <v/>
      </c>
      <c r="S988" s="23" t="str">
        <f aca="false">IF($B988="","",IF(COUNTIFS($A$4:$A$2003,$A988-1,$B$4:$B$2003,$B988)=0,"first day",IF(SUMIFS($M$4:$M$2003,$A$4:$A$2003,$A988-1,$B$4:$B$2003,$B988)=$J988,"OK","CHECK")))</f>
        <v/>
      </c>
      <c r="T988" s="10" t="str">
        <f aca="false">IF($B988="","",IFERROR(INDEX(Drinks!$D$4:$D$53,MATCH($B988,Drinks!$A$4:$A$53,0)),0))</f>
        <v/>
      </c>
    </row>
    <row r="989" customFormat="false" ht="15" hidden="false" customHeight="false" outlineLevel="0" collapsed="false">
      <c r="A989" s="22"/>
      <c r="B989" s="9"/>
      <c r="C989" s="9"/>
      <c r="D989" s="9"/>
      <c r="E989" s="9"/>
      <c r="F989" s="10" t="str">
        <f aca="false">IF($B989="","",$C989+$D989-$E989)</f>
        <v/>
      </c>
      <c r="G989" s="10" t="str">
        <f aca="false">IF($B989="","",IFERROR(INDEX(Drinks!$C$4:$C$53,MATCH($B989,Drinks!$A$4:$A$53,0)),0))</f>
        <v/>
      </c>
      <c r="H989" s="10" t="str">
        <f aca="false">IF($B989="","",$D989*$G989)</f>
        <v/>
      </c>
      <c r="I989" s="10" t="str">
        <f aca="false">IF($B989="","",$F989*$G989)</f>
        <v/>
      </c>
      <c r="J989" s="9"/>
      <c r="K989" s="10" t="str">
        <f aca="false">IF($B989="","",$E989*IFERROR(INDEX(Drinks!$B$4:$B$53,MATCH($B989,Drinks!$A$4:$A$53,0)),0))</f>
        <v/>
      </c>
      <c r="L989" s="10" t="str">
        <f aca="false">IF($B989="","",$J989+$K989)</f>
        <v/>
      </c>
      <c r="M989" s="9"/>
      <c r="N989" s="10" t="str">
        <f aca="false">IF($B989="","",$L989-$M989)</f>
        <v/>
      </c>
      <c r="O989" s="10" t="str">
        <f aca="false">IF($B989="","",IFERROR(INDEX(Drinks!$E$4:$E$53,MATCH($B989,Drinks!$A$4:$A$53,0)),0))</f>
        <v/>
      </c>
      <c r="P989" s="10" t="str">
        <f aca="false">IF($B989="","",$N989*$O989)</f>
        <v/>
      </c>
      <c r="Q989" s="10" t="str">
        <f aca="false">IF($B989="","",$N989*IFERROR(INDEX(Drinks!$D$4:$D$53,MATCH($B989,Drinks!$A$4:$A$53,0)),0))</f>
        <v/>
      </c>
      <c r="R989" s="10" t="str">
        <f aca="false">IF($B989="","",$P989-$Q989)</f>
        <v/>
      </c>
      <c r="S989" s="23" t="str">
        <f aca="false">IF($B989="","",IF(COUNTIFS($A$4:$A$2003,$A989-1,$B$4:$B$2003,$B989)=0,"first day",IF(SUMIFS($M$4:$M$2003,$A$4:$A$2003,$A989-1,$B$4:$B$2003,$B989)=$J989,"OK","CHECK")))</f>
        <v/>
      </c>
      <c r="T989" s="10" t="str">
        <f aca="false">IF($B989="","",IFERROR(INDEX(Drinks!$D$4:$D$53,MATCH($B989,Drinks!$A$4:$A$53,0)),0))</f>
        <v/>
      </c>
    </row>
    <row r="990" customFormat="false" ht="15" hidden="false" customHeight="false" outlineLevel="0" collapsed="false">
      <c r="A990" s="22"/>
      <c r="B990" s="9"/>
      <c r="C990" s="9"/>
      <c r="D990" s="9"/>
      <c r="E990" s="9"/>
      <c r="F990" s="10" t="str">
        <f aca="false">IF($B990="","",$C990+$D990-$E990)</f>
        <v/>
      </c>
      <c r="G990" s="10" t="str">
        <f aca="false">IF($B990="","",IFERROR(INDEX(Drinks!$C$4:$C$53,MATCH($B990,Drinks!$A$4:$A$53,0)),0))</f>
        <v/>
      </c>
      <c r="H990" s="10" t="str">
        <f aca="false">IF($B990="","",$D990*$G990)</f>
        <v/>
      </c>
      <c r="I990" s="10" t="str">
        <f aca="false">IF($B990="","",$F990*$G990)</f>
        <v/>
      </c>
      <c r="J990" s="9"/>
      <c r="K990" s="10" t="str">
        <f aca="false">IF($B990="","",$E990*IFERROR(INDEX(Drinks!$B$4:$B$53,MATCH($B990,Drinks!$A$4:$A$53,0)),0))</f>
        <v/>
      </c>
      <c r="L990" s="10" t="str">
        <f aca="false">IF($B990="","",$J990+$K990)</f>
        <v/>
      </c>
      <c r="M990" s="9"/>
      <c r="N990" s="10" t="str">
        <f aca="false">IF($B990="","",$L990-$M990)</f>
        <v/>
      </c>
      <c r="O990" s="10" t="str">
        <f aca="false">IF($B990="","",IFERROR(INDEX(Drinks!$E$4:$E$53,MATCH($B990,Drinks!$A$4:$A$53,0)),0))</f>
        <v/>
      </c>
      <c r="P990" s="10" t="str">
        <f aca="false">IF($B990="","",$N990*$O990)</f>
        <v/>
      </c>
      <c r="Q990" s="10" t="str">
        <f aca="false">IF($B990="","",$N990*IFERROR(INDEX(Drinks!$D$4:$D$53,MATCH($B990,Drinks!$A$4:$A$53,0)),0))</f>
        <v/>
      </c>
      <c r="R990" s="10" t="str">
        <f aca="false">IF($B990="","",$P990-$Q990)</f>
        <v/>
      </c>
      <c r="S990" s="23" t="str">
        <f aca="false">IF($B990="","",IF(COUNTIFS($A$4:$A$2003,$A990-1,$B$4:$B$2003,$B990)=0,"first day",IF(SUMIFS($M$4:$M$2003,$A$4:$A$2003,$A990-1,$B$4:$B$2003,$B990)=$J990,"OK","CHECK")))</f>
        <v/>
      </c>
      <c r="T990" s="10" t="str">
        <f aca="false">IF($B990="","",IFERROR(INDEX(Drinks!$D$4:$D$53,MATCH($B990,Drinks!$A$4:$A$53,0)),0))</f>
        <v/>
      </c>
    </row>
    <row r="991" customFormat="false" ht="15" hidden="false" customHeight="false" outlineLevel="0" collapsed="false">
      <c r="A991" s="22"/>
      <c r="B991" s="9"/>
      <c r="C991" s="9"/>
      <c r="D991" s="9"/>
      <c r="E991" s="9"/>
      <c r="F991" s="10" t="str">
        <f aca="false">IF($B991="","",$C991+$D991-$E991)</f>
        <v/>
      </c>
      <c r="G991" s="10" t="str">
        <f aca="false">IF($B991="","",IFERROR(INDEX(Drinks!$C$4:$C$53,MATCH($B991,Drinks!$A$4:$A$53,0)),0))</f>
        <v/>
      </c>
      <c r="H991" s="10" t="str">
        <f aca="false">IF($B991="","",$D991*$G991)</f>
        <v/>
      </c>
      <c r="I991" s="10" t="str">
        <f aca="false">IF($B991="","",$F991*$G991)</f>
        <v/>
      </c>
      <c r="J991" s="9"/>
      <c r="K991" s="10" t="str">
        <f aca="false">IF($B991="","",$E991*IFERROR(INDEX(Drinks!$B$4:$B$53,MATCH($B991,Drinks!$A$4:$A$53,0)),0))</f>
        <v/>
      </c>
      <c r="L991" s="10" t="str">
        <f aca="false">IF($B991="","",$J991+$K991)</f>
        <v/>
      </c>
      <c r="M991" s="9"/>
      <c r="N991" s="10" t="str">
        <f aca="false">IF($B991="","",$L991-$M991)</f>
        <v/>
      </c>
      <c r="O991" s="10" t="str">
        <f aca="false">IF($B991="","",IFERROR(INDEX(Drinks!$E$4:$E$53,MATCH($B991,Drinks!$A$4:$A$53,0)),0))</f>
        <v/>
      </c>
      <c r="P991" s="10" t="str">
        <f aca="false">IF($B991="","",$N991*$O991)</f>
        <v/>
      </c>
      <c r="Q991" s="10" t="str">
        <f aca="false">IF($B991="","",$N991*IFERROR(INDEX(Drinks!$D$4:$D$53,MATCH($B991,Drinks!$A$4:$A$53,0)),0))</f>
        <v/>
      </c>
      <c r="R991" s="10" t="str">
        <f aca="false">IF($B991="","",$P991-$Q991)</f>
        <v/>
      </c>
      <c r="S991" s="23" t="str">
        <f aca="false">IF($B991="","",IF(COUNTIFS($A$4:$A$2003,$A991-1,$B$4:$B$2003,$B991)=0,"first day",IF(SUMIFS($M$4:$M$2003,$A$4:$A$2003,$A991-1,$B$4:$B$2003,$B991)=$J991,"OK","CHECK")))</f>
        <v/>
      </c>
      <c r="T991" s="10" t="str">
        <f aca="false">IF($B991="","",IFERROR(INDEX(Drinks!$D$4:$D$53,MATCH($B991,Drinks!$A$4:$A$53,0)),0))</f>
        <v/>
      </c>
    </row>
    <row r="992" customFormat="false" ht="15" hidden="false" customHeight="false" outlineLevel="0" collapsed="false">
      <c r="A992" s="22"/>
      <c r="B992" s="9"/>
      <c r="C992" s="9"/>
      <c r="D992" s="9"/>
      <c r="E992" s="9"/>
      <c r="F992" s="10" t="str">
        <f aca="false">IF($B992="","",$C992+$D992-$E992)</f>
        <v/>
      </c>
      <c r="G992" s="10" t="str">
        <f aca="false">IF($B992="","",IFERROR(INDEX(Drinks!$C$4:$C$53,MATCH($B992,Drinks!$A$4:$A$53,0)),0))</f>
        <v/>
      </c>
      <c r="H992" s="10" t="str">
        <f aca="false">IF($B992="","",$D992*$G992)</f>
        <v/>
      </c>
      <c r="I992" s="10" t="str">
        <f aca="false">IF($B992="","",$F992*$G992)</f>
        <v/>
      </c>
      <c r="J992" s="9"/>
      <c r="K992" s="10" t="str">
        <f aca="false">IF($B992="","",$E992*IFERROR(INDEX(Drinks!$B$4:$B$53,MATCH($B992,Drinks!$A$4:$A$53,0)),0))</f>
        <v/>
      </c>
      <c r="L992" s="10" t="str">
        <f aca="false">IF($B992="","",$J992+$K992)</f>
        <v/>
      </c>
      <c r="M992" s="9"/>
      <c r="N992" s="10" t="str">
        <f aca="false">IF($B992="","",$L992-$M992)</f>
        <v/>
      </c>
      <c r="O992" s="10" t="str">
        <f aca="false">IF($B992="","",IFERROR(INDEX(Drinks!$E$4:$E$53,MATCH($B992,Drinks!$A$4:$A$53,0)),0))</f>
        <v/>
      </c>
      <c r="P992" s="10" t="str">
        <f aca="false">IF($B992="","",$N992*$O992)</f>
        <v/>
      </c>
      <c r="Q992" s="10" t="str">
        <f aca="false">IF($B992="","",$N992*IFERROR(INDEX(Drinks!$D$4:$D$53,MATCH($B992,Drinks!$A$4:$A$53,0)),0))</f>
        <v/>
      </c>
      <c r="R992" s="10" t="str">
        <f aca="false">IF($B992="","",$P992-$Q992)</f>
        <v/>
      </c>
      <c r="S992" s="23" t="str">
        <f aca="false">IF($B992="","",IF(COUNTIFS($A$4:$A$2003,$A992-1,$B$4:$B$2003,$B992)=0,"first day",IF(SUMIFS($M$4:$M$2003,$A$4:$A$2003,$A992-1,$B$4:$B$2003,$B992)=$J992,"OK","CHECK")))</f>
        <v/>
      </c>
      <c r="T992" s="10" t="str">
        <f aca="false">IF($B992="","",IFERROR(INDEX(Drinks!$D$4:$D$53,MATCH($B992,Drinks!$A$4:$A$53,0)),0))</f>
        <v/>
      </c>
    </row>
    <row r="993" customFormat="false" ht="15" hidden="false" customHeight="false" outlineLevel="0" collapsed="false">
      <c r="A993" s="22"/>
      <c r="B993" s="9"/>
      <c r="C993" s="9"/>
      <c r="D993" s="9"/>
      <c r="E993" s="9"/>
      <c r="F993" s="10" t="str">
        <f aca="false">IF($B993="","",$C993+$D993-$E993)</f>
        <v/>
      </c>
      <c r="G993" s="10" t="str">
        <f aca="false">IF($B993="","",IFERROR(INDEX(Drinks!$C$4:$C$53,MATCH($B993,Drinks!$A$4:$A$53,0)),0))</f>
        <v/>
      </c>
      <c r="H993" s="10" t="str">
        <f aca="false">IF($B993="","",$D993*$G993)</f>
        <v/>
      </c>
      <c r="I993" s="10" t="str">
        <f aca="false">IF($B993="","",$F993*$G993)</f>
        <v/>
      </c>
      <c r="J993" s="9"/>
      <c r="K993" s="10" t="str">
        <f aca="false">IF($B993="","",$E993*IFERROR(INDEX(Drinks!$B$4:$B$53,MATCH($B993,Drinks!$A$4:$A$53,0)),0))</f>
        <v/>
      </c>
      <c r="L993" s="10" t="str">
        <f aca="false">IF($B993="","",$J993+$K993)</f>
        <v/>
      </c>
      <c r="M993" s="9"/>
      <c r="N993" s="10" t="str">
        <f aca="false">IF($B993="","",$L993-$M993)</f>
        <v/>
      </c>
      <c r="O993" s="10" t="str">
        <f aca="false">IF($B993="","",IFERROR(INDEX(Drinks!$E$4:$E$53,MATCH($B993,Drinks!$A$4:$A$53,0)),0))</f>
        <v/>
      </c>
      <c r="P993" s="10" t="str">
        <f aca="false">IF($B993="","",$N993*$O993)</f>
        <v/>
      </c>
      <c r="Q993" s="10" t="str">
        <f aca="false">IF($B993="","",$N993*IFERROR(INDEX(Drinks!$D$4:$D$53,MATCH($B993,Drinks!$A$4:$A$53,0)),0))</f>
        <v/>
      </c>
      <c r="R993" s="10" t="str">
        <f aca="false">IF($B993="","",$P993-$Q993)</f>
        <v/>
      </c>
      <c r="S993" s="23" t="str">
        <f aca="false">IF($B993="","",IF(COUNTIFS($A$4:$A$2003,$A993-1,$B$4:$B$2003,$B993)=0,"first day",IF(SUMIFS($M$4:$M$2003,$A$4:$A$2003,$A993-1,$B$4:$B$2003,$B993)=$J993,"OK","CHECK")))</f>
        <v/>
      </c>
      <c r="T993" s="10" t="str">
        <f aca="false">IF($B993="","",IFERROR(INDEX(Drinks!$D$4:$D$53,MATCH($B993,Drinks!$A$4:$A$53,0)),0))</f>
        <v/>
      </c>
    </row>
    <row r="994" customFormat="false" ht="15" hidden="false" customHeight="false" outlineLevel="0" collapsed="false">
      <c r="A994" s="22"/>
      <c r="B994" s="9"/>
      <c r="C994" s="9"/>
      <c r="D994" s="9"/>
      <c r="E994" s="9"/>
      <c r="F994" s="10" t="str">
        <f aca="false">IF($B994="","",$C994+$D994-$E994)</f>
        <v/>
      </c>
      <c r="G994" s="10" t="str">
        <f aca="false">IF($B994="","",IFERROR(INDEX(Drinks!$C$4:$C$53,MATCH($B994,Drinks!$A$4:$A$53,0)),0))</f>
        <v/>
      </c>
      <c r="H994" s="10" t="str">
        <f aca="false">IF($B994="","",$D994*$G994)</f>
        <v/>
      </c>
      <c r="I994" s="10" t="str">
        <f aca="false">IF($B994="","",$F994*$G994)</f>
        <v/>
      </c>
      <c r="J994" s="9"/>
      <c r="K994" s="10" t="str">
        <f aca="false">IF($B994="","",$E994*IFERROR(INDEX(Drinks!$B$4:$B$53,MATCH($B994,Drinks!$A$4:$A$53,0)),0))</f>
        <v/>
      </c>
      <c r="L994" s="10" t="str">
        <f aca="false">IF($B994="","",$J994+$K994)</f>
        <v/>
      </c>
      <c r="M994" s="9"/>
      <c r="N994" s="10" t="str">
        <f aca="false">IF($B994="","",$L994-$M994)</f>
        <v/>
      </c>
      <c r="O994" s="10" t="str">
        <f aca="false">IF($B994="","",IFERROR(INDEX(Drinks!$E$4:$E$53,MATCH($B994,Drinks!$A$4:$A$53,0)),0))</f>
        <v/>
      </c>
      <c r="P994" s="10" t="str">
        <f aca="false">IF($B994="","",$N994*$O994)</f>
        <v/>
      </c>
      <c r="Q994" s="10" t="str">
        <f aca="false">IF($B994="","",$N994*IFERROR(INDEX(Drinks!$D$4:$D$53,MATCH($B994,Drinks!$A$4:$A$53,0)),0))</f>
        <v/>
      </c>
      <c r="R994" s="10" t="str">
        <f aca="false">IF($B994="","",$P994-$Q994)</f>
        <v/>
      </c>
      <c r="S994" s="23" t="str">
        <f aca="false">IF($B994="","",IF(COUNTIFS($A$4:$A$2003,$A994-1,$B$4:$B$2003,$B994)=0,"first day",IF(SUMIFS($M$4:$M$2003,$A$4:$A$2003,$A994-1,$B$4:$B$2003,$B994)=$J994,"OK","CHECK")))</f>
        <v/>
      </c>
      <c r="T994" s="10" t="str">
        <f aca="false">IF($B994="","",IFERROR(INDEX(Drinks!$D$4:$D$53,MATCH($B994,Drinks!$A$4:$A$53,0)),0))</f>
        <v/>
      </c>
    </row>
    <row r="995" customFormat="false" ht="15" hidden="false" customHeight="false" outlineLevel="0" collapsed="false">
      <c r="A995" s="22"/>
      <c r="B995" s="9"/>
      <c r="C995" s="9"/>
      <c r="D995" s="9"/>
      <c r="E995" s="9"/>
      <c r="F995" s="10" t="str">
        <f aca="false">IF($B995="","",$C995+$D995-$E995)</f>
        <v/>
      </c>
      <c r="G995" s="10" t="str">
        <f aca="false">IF($B995="","",IFERROR(INDEX(Drinks!$C$4:$C$53,MATCH($B995,Drinks!$A$4:$A$53,0)),0))</f>
        <v/>
      </c>
      <c r="H995" s="10" t="str">
        <f aca="false">IF($B995="","",$D995*$G995)</f>
        <v/>
      </c>
      <c r="I995" s="10" t="str">
        <f aca="false">IF($B995="","",$F995*$G995)</f>
        <v/>
      </c>
      <c r="J995" s="9"/>
      <c r="K995" s="10" t="str">
        <f aca="false">IF($B995="","",$E995*IFERROR(INDEX(Drinks!$B$4:$B$53,MATCH($B995,Drinks!$A$4:$A$53,0)),0))</f>
        <v/>
      </c>
      <c r="L995" s="10" t="str">
        <f aca="false">IF($B995="","",$J995+$K995)</f>
        <v/>
      </c>
      <c r="M995" s="9"/>
      <c r="N995" s="10" t="str">
        <f aca="false">IF($B995="","",$L995-$M995)</f>
        <v/>
      </c>
      <c r="O995" s="10" t="str">
        <f aca="false">IF($B995="","",IFERROR(INDEX(Drinks!$E$4:$E$53,MATCH($B995,Drinks!$A$4:$A$53,0)),0))</f>
        <v/>
      </c>
      <c r="P995" s="10" t="str">
        <f aca="false">IF($B995="","",$N995*$O995)</f>
        <v/>
      </c>
      <c r="Q995" s="10" t="str">
        <f aca="false">IF($B995="","",$N995*IFERROR(INDEX(Drinks!$D$4:$D$53,MATCH($B995,Drinks!$A$4:$A$53,0)),0))</f>
        <v/>
      </c>
      <c r="R995" s="10" t="str">
        <f aca="false">IF($B995="","",$P995-$Q995)</f>
        <v/>
      </c>
      <c r="S995" s="23" t="str">
        <f aca="false">IF($B995="","",IF(COUNTIFS($A$4:$A$2003,$A995-1,$B$4:$B$2003,$B995)=0,"first day",IF(SUMIFS($M$4:$M$2003,$A$4:$A$2003,$A995-1,$B$4:$B$2003,$B995)=$J995,"OK","CHECK")))</f>
        <v/>
      </c>
      <c r="T995" s="10" t="str">
        <f aca="false">IF($B995="","",IFERROR(INDEX(Drinks!$D$4:$D$53,MATCH($B995,Drinks!$A$4:$A$53,0)),0))</f>
        <v/>
      </c>
    </row>
    <row r="996" customFormat="false" ht="15" hidden="false" customHeight="false" outlineLevel="0" collapsed="false">
      <c r="A996" s="22"/>
      <c r="B996" s="9"/>
      <c r="C996" s="9"/>
      <c r="D996" s="9"/>
      <c r="E996" s="9"/>
      <c r="F996" s="10" t="str">
        <f aca="false">IF($B996="","",$C996+$D996-$E996)</f>
        <v/>
      </c>
      <c r="G996" s="10" t="str">
        <f aca="false">IF($B996="","",IFERROR(INDEX(Drinks!$C$4:$C$53,MATCH($B996,Drinks!$A$4:$A$53,0)),0))</f>
        <v/>
      </c>
      <c r="H996" s="10" t="str">
        <f aca="false">IF($B996="","",$D996*$G996)</f>
        <v/>
      </c>
      <c r="I996" s="10" t="str">
        <f aca="false">IF($B996="","",$F996*$G996)</f>
        <v/>
      </c>
      <c r="J996" s="9"/>
      <c r="K996" s="10" t="str">
        <f aca="false">IF($B996="","",$E996*IFERROR(INDEX(Drinks!$B$4:$B$53,MATCH($B996,Drinks!$A$4:$A$53,0)),0))</f>
        <v/>
      </c>
      <c r="L996" s="10" t="str">
        <f aca="false">IF($B996="","",$J996+$K996)</f>
        <v/>
      </c>
      <c r="M996" s="9"/>
      <c r="N996" s="10" t="str">
        <f aca="false">IF($B996="","",$L996-$M996)</f>
        <v/>
      </c>
      <c r="O996" s="10" t="str">
        <f aca="false">IF($B996="","",IFERROR(INDEX(Drinks!$E$4:$E$53,MATCH($B996,Drinks!$A$4:$A$53,0)),0))</f>
        <v/>
      </c>
      <c r="P996" s="10" t="str">
        <f aca="false">IF($B996="","",$N996*$O996)</f>
        <v/>
      </c>
      <c r="Q996" s="10" t="str">
        <f aca="false">IF($B996="","",$N996*IFERROR(INDEX(Drinks!$D$4:$D$53,MATCH($B996,Drinks!$A$4:$A$53,0)),0))</f>
        <v/>
      </c>
      <c r="R996" s="10" t="str">
        <f aca="false">IF($B996="","",$P996-$Q996)</f>
        <v/>
      </c>
      <c r="S996" s="23" t="str">
        <f aca="false">IF($B996="","",IF(COUNTIFS($A$4:$A$2003,$A996-1,$B$4:$B$2003,$B996)=0,"first day",IF(SUMIFS($M$4:$M$2003,$A$4:$A$2003,$A996-1,$B$4:$B$2003,$B996)=$J996,"OK","CHECK")))</f>
        <v/>
      </c>
      <c r="T996" s="10" t="str">
        <f aca="false">IF($B996="","",IFERROR(INDEX(Drinks!$D$4:$D$53,MATCH($B996,Drinks!$A$4:$A$53,0)),0))</f>
        <v/>
      </c>
    </row>
    <row r="997" customFormat="false" ht="15" hidden="false" customHeight="false" outlineLevel="0" collapsed="false">
      <c r="A997" s="22"/>
      <c r="B997" s="9"/>
      <c r="C997" s="9"/>
      <c r="D997" s="9"/>
      <c r="E997" s="9"/>
      <c r="F997" s="10" t="str">
        <f aca="false">IF($B997="","",$C997+$D997-$E997)</f>
        <v/>
      </c>
      <c r="G997" s="10" t="str">
        <f aca="false">IF($B997="","",IFERROR(INDEX(Drinks!$C$4:$C$53,MATCH($B997,Drinks!$A$4:$A$53,0)),0))</f>
        <v/>
      </c>
      <c r="H997" s="10" t="str">
        <f aca="false">IF($B997="","",$D997*$G997)</f>
        <v/>
      </c>
      <c r="I997" s="10" t="str">
        <f aca="false">IF($B997="","",$F997*$G997)</f>
        <v/>
      </c>
      <c r="J997" s="9"/>
      <c r="K997" s="10" t="str">
        <f aca="false">IF($B997="","",$E997*IFERROR(INDEX(Drinks!$B$4:$B$53,MATCH($B997,Drinks!$A$4:$A$53,0)),0))</f>
        <v/>
      </c>
      <c r="L997" s="10" t="str">
        <f aca="false">IF($B997="","",$J997+$K997)</f>
        <v/>
      </c>
      <c r="M997" s="9"/>
      <c r="N997" s="10" t="str">
        <f aca="false">IF($B997="","",$L997-$M997)</f>
        <v/>
      </c>
      <c r="O997" s="10" t="str">
        <f aca="false">IF($B997="","",IFERROR(INDEX(Drinks!$E$4:$E$53,MATCH($B997,Drinks!$A$4:$A$53,0)),0))</f>
        <v/>
      </c>
      <c r="P997" s="10" t="str">
        <f aca="false">IF($B997="","",$N997*$O997)</f>
        <v/>
      </c>
      <c r="Q997" s="10" t="str">
        <f aca="false">IF($B997="","",$N997*IFERROR(INDEX(Drinks!$D$4:$D$53,MATCH($B997,Drinks!$A$4:$A$53,0)),0))</f>
        <v/>
      </c>
      <c r="R997" s="10" t="str">
        <f aca="false">IF($B997="","",$P997-$Q997)</f>
        <v/>
      </c>
      <c r="S997" s="23" t="str">
        <f aca="false">IF($B997="","",IF(COUNTIFS($A$4:$A$2003,$A997-1,$B$4:$B$2003,$B997)=0,"first day",IF(SUMIFS($M$4:$M$2003,$A$4:$A$2003,$A997-1,$B$4:$B$2003,$B997)=$J997,"OK","CHECK")))</f>
        <v/>
      </c>
      <c r="T997" s="10" t="str">
        <f aca="false">IF($B997="","",IFERROR(INDEX(Drinks!$D$4:$D$53,MATCH($B997,Drinks!$A$4:$A$53,0)),0))</f>
        <v/>
      </c>
    </row>
    <row r="998" customFormat="false" ht="15" hidden="false" customHeight="false" outlineLevel="0" collapsed="false">
      <c r="A998" s="22"/>
      <c r="B998" s="9"/>
      <c r="C998" s="9"/>
      <c r="D998" s="9"/>
      <c r="E998" s="9"/>
      <c r="F998" s="10" t="str">
        <f aca="false">IF($B998="","",$C998+$D998-$E998)</f>
        <v/>
      </c>
      <c r="G998" s="10" t="str">
        <f aca="false">IF($B998="","",IFERROR(INDEX(Drinks!$C$4:$C$53,MATCH($B998,Drinks!$A$4:$A$53,0)),0))</f>
        <v/>
      </c>
      <c r="H998" s="10" t="str">
        <f aca="false">IF($B998="","",$D998*$G998)</f>
        <v/>
      </c>
      <c r="I998" s="10" t="str">
        <f aca="false">IF($B998="","",$F998*$G998)</f>
        <v/>
      </c>
      <c r="J998" s="9"/>
      <c r="K998" s="10" t="str">
        <f aca="false">IF($B998="","",$E998*IFERROR(INDEX(Drinks!$B$4:$B$53,MATCH($B998,Drinks!$A$4:$A$53,0)),0))</f>
        <v/>
      </c>
      <c r="L998" s="10" t="str">
        <f aca="false">IF($B998="","",$J998+$K998)</f>
        <v/>
      </c>
      <c r="M998" s="9"/>
      <c r="N998" s="10" t="str">
        <f aca="false">IF($B998="","",$L998-$M998)</f>
        <v/>
      </c>
      <c r="O998" s="10" t="str">
        <f aca="false">IF($B998="","",IFERROR(INDEX(Drinks!$E$4:$E$53,MATCH($B998,Drinks!$A$4:$A$53,0)),0))</f>
        <v/>
      </c>
      <c r="P998" s="10" t="str">
        <f aca="false">IF($B998="","",$N998*$O998)</f>
        <v/>
      </c>
      <c r="Q998" s="10" t="str">
        <f aca="false">IF($B998="","",$N998*IFERROR(INDEX(Drinks!$D$4:$D$53,MATCH($B998,Drinks!$A$4:$A$53,0)),0))</f>
        <v/>
      </c>
      <c r="R998" s="10" t="str">
        <f aca="false">IF($B998="","",$P998-$Q998)</f>
        <v/>
      </c>
      <c r="S998" s="23" t="str">
        <f aca="false">IF($B998="","",IF(COUNTIFS($A$4:$A$2003,$A998-1,$B$4:$B$2003,$B998)=0,"first day",IF(SUMIFS($M$4:$M$2003,$A$4:$A$2003,$A998-1,$B$4:$B$2003,$B998)=$J998,"OK","CHECK")))</f>
        <v/>
      </c>
      <c r="T998" s="10" t="str">
        <f aca="false">IF($B998="","",IFERROR(INDEX(Drinks!$D$4:$D$53,MATCH($B998,Drinks!$A$4:$A$53,0)),0))</f>
        <v/>
      </c>
    </row>
    <row r="999" customFormat="false" ht="15" hidden="false" customHeight="false" outlineLevel="0" collapsed="false">
      <c r="A999" s="22"/>
      <c r="B999" s="9"/>
      <c r="C999" s="9"/>
      <c r="D999" s="9"/>
      <c r="E999" s="9"/>
      <c r="F999" s="10" t="str">
        <f aca="false">IF($B999="","",$C999+$D999-$E999)</f>
        <v/>
      </c>
      <c r="G999" s="10" t="str">
        <f aca="false">IF($B999="","",IFERROR(INDEX(Drinks!$C$4:$C$53,MATCH($B999,Drinks!$A$4:$A$53,0)),0))</f>
        <v/>
      </c>
      <c r="H999" s="10" t="str">
        <f aca="false">IF($B999="","",$D999*$G999)</f>
        <v/>
      </c>
      <c r="I999" s="10" t="str">
        <f aca="false">IF($B999="","",$F999*$G999)</f>
        <v/>
      </c>
      <c r="J999" s="9"/>
      <c r="K999" s="10" t="str">
        <f aca="false">IF($B999="","",$E999*IFERROR(INDEX(Drinks!$B$4:$B$53,MATCH($B999,Drinks!$A$4:$A$53,0)),0))</f>
        <v/>
      </c>
      <c r="L999" s="10" t="str">
        <f aca="false">IF($B999="","",$J999+$K999)</f>
        <v/>
      </c>
      <c r="M999" s="9"/>
      <c r="N999" s="10" t="str">
        <f aca="false">IF($B999="","",$L999-$M999)</f>
        <v/>
      </c>
      <c r="O999" s="10" t="str">
        <f aca="false">IF($B999="","",IFERROR(INDEX(Drinks!$E$4:$E$53,MATCH($B999,Drinks!$A$4:$A$53,0)),0))</f>
        <v/>
      </c>
      <c r="P999" s="10" t="str">
        <f aca="false">IF($B999="","",$N999*$O999)</f>
        <v/>
      </c>
      <c r="Q999" s="10" t="str">
        <f aca="false">IF($B999="","",$N999*IFERROR(INDEX(Drinks!$D$4:$D$53,MATCH($B999,Drinks!$A$4:$A$53,0)),0))</f>
        <v/>
      </c>
      <c r="R999" s="10" t="str">
        <f aca="false">IF($B999="","",$P999-$Q999)</f>
        <v/>
      </c>
      <c r="S999" s="23" t="str">
        <f aca="false">IF($B999="","",IF(COUNTIFS($A$4:$A$2003,$A999-1,$B$4:$B$2003,$B999)=0,"first day",IF(SUMIFS($M$4:$M$2003,$A$4:$A$2003,$A999-1,$B$4:$B$2003,$B999)=$J999,"OK","CHECK")))</f>
        <v/>
      </c>
      <c r="T999" s="10" t="str">
        <f aca="false">IF($B999="","",IFERROR(INDEX(Drinks!$D$4:$D$53,MATCH($B999,Drinks!$A$4:$A$53,0)),0))</f>
        <v/>
      </c>
    </row>
    <row r="1000" customFormat="false" ht="15" hidden="false" customHeight="false" outlineLevel="0" collapsed="false">
      <c r="A1000" s="22"/>
      <c r="B1000" s="9"/>
      <c r="C1000" s="9"/>
      <c r="D1000" s="9"/>
      <c r="E1000" s="9"/>
      <c r="F1000" s="10" t="str">
        <f aca="false">IF($B1000="","",$C1000+$D1000-$E1000)</f>
        <v/>
      </c>
      <c r="G1000" s="10" t="str">
        <f aca="false">IF($B1000="","",IFERROR(INDEX(Drinks!$C$4:$C$53,MATCH($B1000,Drinks!$A$4:$A$53,0)),0))</f>
        <v/>
      </c>
      <c r="H1000" s="10" t="str">
        <f aca="false">IF($B1000="","",$D1000*$G1000)</f>
        <v/>
      </c>
      <c r="I1000" s="10" t="str">
        <f aca="false">IF($B1000="","",$F1000*$G1000)</f>
        <v/>
      </c>
      <c r="J1000" s="9"/>
      <c r="K1000" s="10" t="str">
        <f aca="false">IF($B1000="","",$E1000*IFERROR(INDEX(Drinks!$B$4:$B$53,MATCH($B1000,Drinks!$A$4:$A$53,0)),0))</f>
        <v/>
      </c>
      <c r="L1000" s="10" t="str">
        <f aca="false">IF($B1000="","",$J1000+$K1000)</f>
        <v/>
      </c>
      <c r="M1000" s="9"/>
      <c r="N1000" s="10" t="str">
        <f aca="false">IF($B1000="","",$L1000-$M1000)</f>
        <v/>
      </c>
      <c r="O1000" s="10" t="str">
        <f aca="false">IF($B1000="","",IFERROR(INDEX(Drinks!$E$4:$E$53,MATCH($B1000,Drinks!$A$4:$A$53,0)),0))</f>
        <v/>
      </c>
      <c r="P1000" s="10" t="str">
        <f aca="false">IF($B1000="","",$N1000*$O1000)</f>
        <v/>
      </c>
      <c r="Q1000" s="10" t="str">
        <f aca="false">IF($B1000="","",$N1000*IFERROR(INDEX(Drinks!$D$4:$D$53,MATCH($B1000,Drinks!$A$4:$A$53,0)),0))</f>
        <v/>
      </c>
      <c r="R1000" s="10" t="str">
        <f aca="false">IF($B1000="","",$P1000-$Q1000)</f>
        <v/>
      </c>
      <c r="S1000" s="23" t="str">
        <f aca="false">IF($B1000="","",IF(COUNTIFS($A$4:$A$2003,$A1000-1,$B$4:$B$2003,$B1000)=0,"first day",IF(SUMIFS($M$4:$M$2003,$A$4:$A$2003,$A1000-1,$B$4:$B$2003,$B1000)=$J1000,"OK","CHECK")))</f>
        <v/>
      </c>
      <c r="T1000" s="10" t="str">
        <f aca="false">IF($B1000="","",IFERROR(INDEX(Drinks!$D$4:$D$53,MATCH($B1000,Drinks!$A$4:$A$53,0)),0))</f>
        <v/>
      </c>
    </row>
    <row r="1001" customFormat="false" ht="15" hidden="false" customHeight="false" outlineLevel="0" collapsed="false">
      <c r="A1001" s="22"/>
      <c r="B1001" s="9"/>
      <c r="C1001" s="9"/>
      <c r="D1001" s="9"/>
      <c r="E1001" s="9"/>
      <c r="F1001" s="10" t="str">
        <f aca="false">IF($B1001="","",$C1001+$D1001-$E1001)</f>
        <v/>
      </c>
      <c r="G1001" s="10" t="str">
        <f aca="false">IF($B1001="","",IFERROR(INDEX(Drinks!$C$4:$C$53,MATCH($B1001,Drinks!$A$4:$A$53,0)),0))</f>
        <v/>
      </c>
      <c r="H1001" s="10" t="str">
        <f aca="false">IF($B1001="","",$D1001*$G1001)</f>
        <v/>
      </c>
      <c r="I1001" s="10" t="str">
        <f aca="false">IF($B1001="","",$F1001*$G1001)</f>
        <v/>
      </c>
      <c r="J1001" s="9"/>
      <c r="K1001" s="10" t="str">
        <f aca="false">IF($B1001="","",$E1001*IFERROR(INDEX(Drinks!$B$4:$B$53,MATCH($B1001,Drinks!$A$4:$A$53,0)),0))</f>
        <v/>
      </c>
      <c r="L1001" s="10" t="str">
        <f aca="false">IF($B1001="","",$J1001+$K1001)</f>
        <v/>
      </c>
      <c r="M1001" s="9"/>
      <c r="N1001" s="10" t="str">
        <f aca="false">IF($B1001="","",$L1001-$M1001)</f>
        <v/>
      </c>
      <c r="O1001" s="10" t="str">
        <f aca="false">IF($B1001="","",IFERROR(INDEX(Drinks!$E$4:$E$53,MATCH($B1001,Drinks!$A$4:$A$53,0)),0))</f>
        <v/>
      </c>
      <c r="P1001" s="10" t="str">
        <f aca="false">IF($B1001="","",$N1001*$O1001)</f>
        <v/>
      </c>
      <c r="Q1001" s="10" t="str">
        <f aca="false">IF($B1001="","",$N1001*IFERROR(INDEX(Drinks!$D$4:$D$53,MATCH($B1001,Drinks!$A$4:$A$53,0)),0))</f>
        <v/>
      </c>
      <c r="R1001" s="10" t="str">
        <f aca="false">IF($B1001="","",$P1001-$Q1001)</f>
        <v/>
      </c>
      <c r="S1001" s="23" t="str">
        <f aca="false">IF($B1001="","",IF(COUNTIFS($A$4:$A$2003,$A1001-1,$B$4:$B$2003,$B1001)=0,"first day",IF(SUMIFS($M$4:$M$2003,$A$4:$A$2003,$A1001-1,$B$4:$B$2003,$B1001)=$J1001,"OK","CHECK")))</f>
        <v/>
      </c>
      <c r="T1001" s="10" t="str">
        <f aca="false">IF($B1001="","",IFERROR(INDEX(Drinks!$D$4:$D$53,MATCH($B1001,Drinks!$A$4:$A$53,0)),0))</f>
        <v/>
      </c>
    </row>
    <row r="1002" customFormat="false" ht="15" hidden="false" customHeight="false" outlineLevel="0" collapsed="false">
      <c r="A1002" s="22"/>
      <c r="B1002" s="9"/>
      <c r="C1002" s="9"/>
      <c r="D1002" s="9"/>
      <c r="E1002" s="9"/>
      <c r="F1002" s="10" t="str">
        <f aca="false">IF($B1002="","",$C1002+$D1002-$E1002)</f>
        <v/>
      </c>
      <c r="G1002" s="10" t="str">
        <f aca="false">IF($B1002="","",IFERROR(INDEX(Drinks!$C$4:$C$53,MATCH($B1002,Drinks!$A$4:$A$53,0)),0))</f>
        <v/>
      </c>
      <c r="H1002" s="10" t="str">
        <f aca="false">IF($B1002="","",$D1002*$G1002)</f>
        <v/>
      </c>
      <c r="I1002" s="10" t="str">
        <f aca="false">IF($B1002="","",$F1002*$G1002)</f>
        <v/>
      </c>
      <c r="J1002" s="9"/>
      <c r="K1002" s="10" t="str">
        <f aca="false">IF($B1002="","",$E1002*IFERROR(INDEX(Drinks!$B$4:$B$53,MATCH($B1002,Drinks!$A$4:$A$53,0)),0))</f>
        <v/>
      </c>
      <c r="L1002" s="10" t="str">
        <f aca="false">IF($B1002="","",$J1002+$K1002)</f>
        <v/>
      </c>
      <c r="M1002" s="9"/>
      <c r="N1002" s="10" t="str">
        <f aca="false">IF($B1002="","",$L1002-$M1002)</f>
        <v/>
      </c>
      <c r="O1002" s="10" t="str">
        <f aca="false">IF($B1002="","",IFERROR(INDEX(Drinks!$E$4:$E$53,MATCH($B1002,Drinks!$A$4:$A$53,0)),0))</f>
        <v/>
      </c>
      <c r="P1002" s="10" t="str">
        <f aca="false">IF($B1002="","",$N1002*$O1002)</f>
        <v/>
      </c>
      <c r="Q1002" s="10" t="str">
        <f aca="false">IF($B1002="","",$N1002*IFERROR(INDEX(Drinks!$D$4:$D$53,MATCH($B1002,Drinks!$A$4:$A$53,0)),0))</f>
        <v/>
      </c>
      <c r="R1002" s="10" t="str">
        <f aca="false">IF($B1002="","",$P1002-$Q1002)</f>
        <v/>
      </c>
      <c r="S1002" s="23" t="str">
        <f aca="false">IF($B1002="","",IF(COUNTIFS($A$4:$A$2003,$A1002-1,$B$4:$B$2003,$B1002)=0,"first day",IF(SUMIFS($M$4:$M$2003,$A$4:$A$2003,$A1002-1,$B$4:$B$2003,$B1002)=$J1002,"OK","CHECK")))</f>
        <v/>
      </c>
      <c r="T1002" s="10" t="str">
        <f aca="false">IF($B1002="","",IFERROR(INDEX(Drinks!$D$4:$D$53,MATCH($B1002,Drinks!$A$4:$A$53,0)),0))</f>
        <v/>
      </c>
    </row>
    <row r="1003" customFormat="false" ht="15" hidden="false" customHeight="false" outlineLevel="0" collapsed="false">
      <c r="A1003" s="22"/>
      <c r="B1003" s="9"/>
      <c r="C1003" s="9"/>
      <c r="D1003" s="9"/>
      <c r="E1003" s="9"/>
      <c r="F1003" s="10" t="str">
        <f aca="false">IF($B1003="","",$C1003+$D1003-$E1003)</f>
        <v/>
      </c>
      <c r="G1003" s="10" t="str">
        <f aca="false">IF($B1003="","",IFERROR(INDEX(Drinks!$C$4:$C$53,MATCH($B1003,Drinks!$A$4:$A$53,0)),0))</f>
        <v/>
      </c>
      <c r="H1003" s="10" t="str">
        <f aca="false">IF($B1003="","",$D1003*$G1003)</f>
        <v/>
      </c>
      <c r="I1003" s="10" t="str">
        <f aca="false">IF($B1003="","",$F1003*$G1003)</f>
        <v/>
      </c>
      <c r="J1003" s="9"/>
      <c r="K1003" s="10" t="str">
        <f aca="false">IF($B1003="","",$E1003*IFERROR(INDEX(Drinks!$B$4:$B$53,MATCH($B1003,Drinks!$A$4:$A$53,0)),0))</f>
        <v/>
      </c>
      <c r="L1003" s="10" t="str">
        <f aca="false">IF($B1003="","",$J1003+$K1003)</f>
        <v/>
      </c>
      <c r="M1003" s="9"/>
      <c r="N1003" s="10" t="str">
        <f aca="false">IF($B1003="","",$L1003-$M1003)</f>
        <v/>
      </c>
      <c r="O1003" s="10" t="str">
        <f aca="false">IF($B1003="","",IFERROR(INDEX(Drinks!$E$4:$E$53,MATCH($B1003,Drinks!$A$4:$A$53,0)),0))</f>
        <v/>
      </c>
      <c r="P1003" s="10" t="str">
        <f aca="false">IF($B1003="","",$N1003*$O1003)</f>
        <v/>
      </c>
      <c r="Q1003" s="10" t="str">
        <f aca="false">IF($B1003="","",$N1003*IFERROR(INDEX(Drinks!$D$4:$D$53,MATCH($B1003,Drinks!$A$4:$A$53,0)),0))</f>
        <v/>
      </c>
      <c r="R1003" s="10" t="str">
        <f aca="false">IF($B1003="","",$P1003-$Q1003)</f>
        <v/>
      </c>
      <c r="S1003" s="23" t="str">
        <f aca="false">IF($B1003="","",IF(COUNTIFS($A$4:$A$2003,$A1003-1,$B$4:$B$2003,$B1003)=0,"first day",IF(SUMIFS($M$4:$M$2003,$A$4:$A$2003,$A1003-1,$B$4:$B$2003,$B1003)=$J1003,"OK","CHECK")))</f>
        <v/>
      </c>
      <c r="T1003" s="10" t="str">
        <f aca="false">IF($B1003="","",IFERROR(INDEX(Drinks!$D$4:$D$53,MATCH($B1003,Drinks!$A$4:$A$53,0)),0))</f>
        <v/>
      </c>
    </row>
    <row r="1004" customFormat="false" ht="15" hidden="false" customHeight="false" outlineLevel="0" collapsed="false">
      <c r="A1004" s="22"/>
      <c r="B1004" s="9"/>
      <c r="C1004" s="9"/>
      <c r="D1004" s="9"/>
      <c r="E1004" s="9"/>
      <c r="F1004" s="10" t="str">
        <f aca="false">IF($B1004="","",$C1004+$D1004-$E1004)</f>
        <v/>
      </c>
      <c r="G1004" s="10" t="str">
        <f aca="false">IF($B1004="","",IFERROR(INDEX(Drinks!$C$4:$C$53,MATCH($B1004,Drinks!$A$4:$A$53,0)),0))</f>
        <v/>
      </c>
      <c r="H1004" s="10" t="str">
        <f aca="false">IF($B1004="","",$D1004*$G1004)</f>
        <v/>
      </c>
      <c r="I1004" s="10" t="str">
        <f aca="false">IF($B1004="","",$F1004*$G1004)</f>
        <v/>
      </c>
      <c r="J1004" s="9"/>
      <c r="K1004" s="10" t="str">
        <f aca="false">IF($B1004="","",$E1004*IFERROR(INDEX(Drinks!$B$4:$B$53,MATCH($B1004,Drinks!$A$4:$A$53,0)),0))</f>
        <v/>
      </c>
      <c r="L1004" s="10" t="str">
        <f aca="false">IF($B1004="","",$J1004+$K1004)</f>
        <v/>
      </c>
      <c r="M1004" s="9"/>
      <c r="N1004" s="10" t="str">
        <f aca="false">IF($B1004="","",$L1004-$M1004)</f>
        <v/>
      </c>
      <c r="O1004" s="10" t="str">
        <f aca="false">IF($B1004="","",IFERROR(INDEX(Drinks!$E$4:$E$53,MATCH($B1004,Drinks!$A$4:$A$53,0)),0))</f>
        <v/>
      </c>
      <c r="P1004" s="10" t="str">
        <f aca="false">IF($B1004="","",$N1004*$O1004)</f>
        <v/>
      </c>
      <c r="Q1004" s="10" t="str">
        <f aca="false">IF($B1004="","",$N1004*IFERROR(INDEX(Drinks!$D$4:$D$53,MATCH($B1004,Drinks!$A$4:$A$53,0)),0))</f>
        <v/>
      </c>
      <c r="R1004" s="10" t="str">
        <f aca="false">IF($B1004="","",$P1004-$Q1004)</f>
        <v/>
      </c>
      <c r="S1004" s="23" t="str">
        <f aca="false">IF($B1004="","",IF(COUNTIFS($A$4:$A$2003,$A1004-1,$B$4:$B$2003,$B1004)=0,"first day",IF(SUMIFS($M$4:$M$2003,$A$4:$A$2003,$A1004-1,$B$4:$B$2003,$B1004)=$J1004,"OK","CHECK")))</f>
        <v/>
      </c>
      <c r="T1004" s="10" t="str">
        <f aca="false">IF($B1004="","",IFERROR(INDEX(Drinks!$D$4:$D$53,MATCH($B1004,Drinks!$A$4:$A$53,0)),0))</f>
        <v/>
      </c>
    </row>
    <row r="1005" customFormat="false" ht="15" hidden="false" customHeight="false" outlineLevel="0" collapsed="false">
      <c r="A1005" s="22"/>
      <c r="B1005" s="9"/>
      <c r="C1005" s="9"/>
      <c r="D1005" s="9"/>
      <c r="E1005" s="9"/>
      <c r="F1005" s="10" t="str">
        <f aca="false">IF($B1005="","",$C1005+$D1005-$E1005)</f>
        <v/>
      </c>
      <c r="G1005" s="10" t="str">
        <f aca="false">IF($B1005="","",IFERROR(INDEX(Drinks!$C$4:$C$53,MATCH($B1005,Drinks!$A$4:$A$53,0)),0))</f>
        <v/>
      </c>
      <c r="H1005" s="10" t="str">
        <f aca="false">IF($B1005="","",$D1005*$G1005)</f>
        <v/>
      </c>
      <c r="I1005" s="10" t="str">
        <f aca="false">IF($B1005="","",$F1005*$G1005)</f>
        <v/>
      </c>
      <c r="J1005" s="9"/>
      <c r="K1005" s="10" t="str">
        <f aca="false">IF($B1005="","",$E1005*IFERROR(INDEX(Drinks!$B$4:$B$53,MATCH($B1005,Drinks!$A$4:$A$53,0)),0))</f>
        <v/>
      </c>
      <c r="L1005" s="10" t="str">
        <f aca="false">IF($B1005="","",$J1005+$K1005)</f>
        <v/>
      </c>
      <c r="M1005" s="9"/>
      <c r="N1005" s="10" t="str">
        <f aca="false">IF($B1005="","",$L1005-$M1005)</f>
        <v/>
      </c>
      <c r="O1005" s="10" t="str">
        <f aca="false">IF($B1005="","",IFERROR(INDEX(Drinks!$E$4:$E$53,MATCH($B1005,Drinks!$A$4:$A$53,0)),0))</f>
        <v/>
      </c>
      <c r="P1005" s="10" t="str">
        <f aca="false">IF($B1005="","",$N1005*$O1005)</f>
        <v/>
      </c>
      <c r="Q1005" s="10" t="str">
        <f aca="false">IF($B1005="","",$N1005*IFERROR(INDEX(Drinks!$D$4:$D$53,MATCH($B1005,Drinks!$A$4:$A$53,0)),0))</f>
        <v/>
      </c>
      <c r="R1005" s="10" t="str">
        <f aca="false">IF($B1005="","",$P1005-$Q1005)</f>
        <v/>
      </c>
      <c r="S1005" s="23" t="str">
        <f aca="false">IF($B1005="","",IF(COUNTIFS($A$4:$A$2003,$A1005-1,$B$4:$B$2003,$B1005)=0,"first day",IF(SUMIFS($M$4:$M$2003,$A$4:$A$2003,$A1005-1,$B$4:$B$2003,$B1005)=$J1005,"OK","CHECK")))</f>
        <v/>
      </c>
      <c r="T1005" s="10" t="str">
        <f aca="false">IF($B1005="","",IFERROR(INDEX(Drinks!$D$4:$D$53,MATCH($B1005,Drinks!$A$4:$A$53,0)),0))</f>
        <v/>
      </c>
    </row>
    <row r="1006" customFormat="false" ht="15" hidden="false" customHeight="false" outlineLevel="0" collapsed="false">
      <c r="A1006" s="22"/>
      <c r="B1006" s="9"/>
      <c r="C1006" s="9"/>
      <c r="D1006" s="9"/>
      <c r="E1006" s="9"/>
      <c r="F1006" s="10" t="str">
        <f aca="false">IF($B1006="","",$C1006+$D1006-$E1006)</f>
        <v/>
      </c>
      <c r="G1006" s="10" t="str">
        <f aca="false">IF($B1006="","",IFERROR(INDEX(Drinks!$C$4:$C$53,MATCH($B1006,Drinks!$A$4:$A$53,0)),0))</f>
        <v/>
      </c>
      <c r="H1006" s="10" t="str">
        <f aca="false">IF($B1006="","",$D1006*$G1006)</f>
        <v/>
      </c>
      <c r="I1006" s="10" t="str">
        <f aca="false">IF($B1006="","",$F1006*$G1006)</f>
        <v/>
      </c>
      <c r="J1006" s="9"/>
      <c r="K1006" s="10" t="str">
        <f aca="false">IF($B1006="","",$E1006*IFERROR(INDEX(Drinks!$B$4:$B$53,MATCH($B1006,Drinks!$A$4:$A$53,0)),0))</f>
        <v/>
      </c>
      <c r="L1006" s="10" t="str">
        <f aca="false">IF($B1006="","",$J1006+$K1006)</f>
        <v/>
      </c>
      <c r="M1006" s="9"/>
      <c r="N1006" s="10" t="str">
        <f aca="false">IF($B1006="","",$L1006-$M1006)</f>
        <v/>
      </c>
      <c r="O1006" s="10" t="str">
        <f aca="false">IF($B1006="","",IFERROR(INDEX(Drinks!$E$4:$E$53,MATCH($B1006,Drinks!$A$4:$A$53,0)),0))</f>
        <v/>
      </c>
      <c r="P1006" s="10" t="str">
        <f aca="false">IF($B1006="","",$N1006*$O1006)</f>
        <v/>
      </c>
      <c r="Q1006" s="10" t="str">
        <f aca="false">IF($B1006="","",$N1006*IFERROR(INDEX(Drinks!$D$4:$D$53,MATCH($B1006,Drinks!$A$4:$A$53,0)),0))</f>
        <v/>
      </c>
      <c r="R1006" s="10" t="str">
        <f aca="false">IF($B1006="","",$P1006-$Q1006)</f>
        <v/>
      </c>
      <c r="S1006" s="23" t="str">
        <f aca="false">IF($B1006="","",IF(COUNTIFS($A$4:$A$2003,$A1006-1,$B$4:$B$2003,$B1006)=0,"first day",IF(SUMIFS($M$4:$M$2003,$A$4:$A$2003,$A1006-1,$B$4:$B$2003,$B1006)=$J1006,"OK","CHECK")))</f>
        <v/>
      </c>
      <c r="T1006" s="10" t="str">
        <f aca="false">IF($B1006="","",IFERROR(INDEX(Drinks!$D$4:$D$53,MATCH($B1006,Drinks!$A$4:$A$53,0)),0))</f>
        <v/>
      </c>
    </row>
    <row r="1007" customFormat="false" ht="15" hidden="false" customHeight="false" outlineLevel="0" collapsed="false">
      <c r="A1007" s="22"/>
      <c r="B1007" s="9"/>
      <c r="C1007" s="9"/>
      <c r="D1007" s="9"/>
      <c r="E1007" s="9"/>
      <c r="F1007" s="10" t="str">
        <f aca="false">IF($B1007="","",$C1007+$D1007-$E1007)</f>
        <v/>
      </c>
      <c r="G1007" s="10" t="str">
        <f aca="false">IF($B1007="","",IFERROR(INDEX(Drinks!$C$4:$C$53,MATCH($B1007,Drinks!$A$4:$A$53,0)),0))</f>
        <v/>
      </c>
      <c r="H1007" s="10" t="str">
        <f aca="false">IF($B1007="","",$D1007*$G1007)</f>
        <v/>
      </c>
      <c r="I1007" s="10" t="str">
        <f aca="false">IF($B1007="","",$F1007*$G1007)</f>
        <v/>
      </c>
      <c r="J1007" s="9"/>
      <c r="K1007" s="10" t="str">
        <f aca="false">IF($B1007="","",$E1007*IFERROR(INDEX(Drinks!$B$4:$B$53,MATCH($B1007,Drinks!$A$4:$A$53,0)),0))</f>
        <v/>
      </c>
      <c r="L1007" s="10" t="str">
        <f aca="false">IF($B1007="","",$J1007+$K1007)</f>
        <v/>
      </c>
      <c r="M1007" s="9"/>
      <c r="N1007" s="10" t="str">
        <f aca="false">IF($B1007="","",$L1007-$M1007)</f>
        <v/>
      </c>
      <c r="O1007" s="10" t="str">
        <f aca="false">IF($B1007="","",IFERROR(INDEX(Drinks!$E$4:$E$53,MATCH($B1007,Drinks!$A$4:$A$53,0)),0))</f>
        <v/>
      </c>
      <c r="P1007" s="10" t="str">
        <f aca="false">IF($B1007="","",$N1007*$O1007)</f>
        <v/>
      </c>
      <c r="Q1007" s="10" t="str">
        <f aca="false">IF($B1007="","",$N1007*IFERROR(INDEX(Drinks!$D$4:$D$53,MATCH($B1007,Drinks!$A$4:$A$53,0)),0))</f>
        <v/>
      </c>
      <c r="R1007" s="10" t="str">
        <f aca="false">IF($B1007="","",$P1007-$Q1007)</f>
        <v/>
      </c>
      <c r="S1007" s="23" t="str">
        <f aca="false">IF($B1007="","",IF(COUNTIFS($A$4:$A$2003,$A1007-1,$B$4:$B$2003,$B1007)=0,"first day",IF(SUMIFS($M$4:$M$2003,$A$4:$A$2003,$A1007-1,$B$4:$B$2003,$B1007)=$J1007,"OK","CHECK")))</f>
        <v/>
      </c>
      <c r="T1007" s="10" t="str">
        <f aca="false">IF($B1007="","",IFERROR(INDEX(Drinks!$D$4:$D$53,MATCH($B1007,Drinks!$A$4:$A$53,0)),0))</f>
        <v/>
      </c>
    </row>
    <row r="1008" customFormat="false" ht="15" hidden="false" customHeight="false" outlineLevel="0" collapsed="false">
      <c r="A1008" s="22"/>
      <c r="B1008" s="9"/>
      <c r="C1008" s="9"/>
      <c r="D1008" s="9"/>
      <c r="E1008" s="9"/>
      <c r="F1008" s="10" t="str">
        <f aca="false">IF($B1008="","",$C1008+$D1008-$E1008)</f>
        <v/>
      </c>
      <c r="G1008" s="10" t="str">
        <f aca="false">IF($B1008="","",IFERROR(INDEX(Drinks!$C$4:$C$53,MATCH($B1008,Drinks!$A$4:$A$53,0)),0))</f>
        <v/>
      </c>
      <c r="H1008" s="10" t="str">
        <f aca="false">IF($B1008="","",$D1008*$G1008)</f>
        <v/>
      </c>
      <c r="I1008" s="10" t="str">
        <f aca="false">IF($B1008="","",$F1008*$G1008)</f>
        <v/>
      </c>
      <c r="J1008" s="9"/>
      <c r="K1008" s="10" t="str">
        <f aca="false">IF($B1008="","",$E1008*IFERROR(INDEX(Drinks!$B$4:$B$53,MATCH($B1008,Drinks!$A$4:$A$53,0)),0))</f>
        <v/>
      </c>
      <c r="L1008" s="10" t="str">
        <f aca="false">IF($B1008="","",$J1008+$K1008)</f>
        <v/>
      </c>
      <c r="M1008" s="9"/>
      <c r="N1008" s="10" t="str">
        <f aca="false">IF($B1008="","",$L1008-$M1008)</f>
        <v/>
      </c>
      <c r="O1008" s="10" t="str">
        <f aca="false">IF($B1008="","",IFERROR(INDEX(Drinks!$E$4:$E$53,MATCH($B1008,Drinks!$A$4:$A$53,0)),0))</f>
        <v/>
      </c>
      <c r="P1008" s="10" t="str">
        <f aca="false">IF($B1008="","",$N1008*$O1008)</f>
        <v/>
      </c>
      <c r="Q1008" s="10" t="str">
        <f aca="false">IF($B1008="","",$N1008*IFERROR(INDEX(Drinks!$D$4:$D$53,MATCH($B1008,Drinks!$A$4:$A$53,0)),0))</f>
        <v/>
      </c>
      <c r="R1008" s="10" t="str">
        <f aca="false">IF($B1008="","",$P1008-$Q1008)</f>
        <v/>
      </c>
      <c r="S1008" s="23" t="str">
        <f aca="false">IF($B1008="","",IF(COUNTIFS($A$4:$A$2003,$A1008-1,$B$4:$B$2003,$B1008)=0,"first day",IF(SUMIFS($M$4:$M$2003,$A$4:$A$2003,$A1008-1,$B$4:$B$2003,$B1008)=$J1008,"OK","CHECK")))</f>
        <v/>
      </c>
      <c r="T1008" s="10" t="str">
        <f aca="false">IF($B1008="","",IFERROR(INDEX(Drinks!$D$4:$D$53,MATCH($B1008,Drinks!$A$4:$A$53,0)),0))</f>
        <v/>
      </c>
    </row>
    <row r="1009" customFormat="false" ht="15" hidden="false" customHeight="false" outlineLevel="0" collapsed="false">
      <c r="A1009" s="22"/>
      <c r="B1009" s="9"/>
      <c r="C1009" s="9"/>
      <c r="D1009" s="9"/>
      <c r="E1009" s="9"/>
      <c r="F1009" s="10" t="str">
        <f aca="false">IF($B1009="","",$C1009+$D1009-$E1009)</f>
        <v/>
      </c>
      <c r="G1009" s="10" t="str">
        <f aca="false">IF($B1009="","",IFERROR(INDEX(Drinks!$C$4:$C$53,MATCH($B1009,Drinks!$A$4:$A$53,0)),0))</f>
        <v/>
      </c>
      <c r="H1009" s="10" t="str">
        <f aca="false">IF($B1009="","",$D1009*$G1009)</f>
        <v/>
      </c>
      <c r="I1009" s="10" t="str">
        <f aca="false">IF($B1009="","",$F1009*$G1009)</f>
        <v/>
      </c>
      <c r="J1009" s="9"/>
      <c r="K1009" s="10" t="str">
        <f aca="false">IF($B1009="","",$E1009*IFERROR(INDEX(Drinks!$B$4:$B$53,MATCH($B1009,Drinks!$A$4:$A$53,0)),0))</f>
        <v/>
      </c>
      <c r="L1009" s="10" t="str">
        <f aca="false">IF($B1009="","",$J1009+$K1009)</f>
        <v/>
      </c>
      <c r="M1009" s="9"/>
      <c r="N1009" s="10" t="str">
        <f aca="false">IF($B1009="","",$L1009-$M1009)</f>
        <v/>
      </c>
      <c r="O1009" s="10" t="str">
        <f aca="false">IF($B1009="","",IFERROR(INDEX(Drinks!$E$4:$E$53,MATCH($B1009,Drinks!$A$4:$A$53,0)),0))</f>
        <v/>
      </c>
      <c r="P1009" s="10" t="str">
        <f aca="false">IF($B1009="","",$N1009*$O1009)</f>
        <v/>
      </c>
      <c r="Q1009" s="10" t="str">
        <f aca="false">IF($B1009="","",$N1009*IFERROR(INDEX(Drinks!$D$4:$D$53,MATCH($B1009,Drinks!$A$4:$A$53,0)),0))</f>
        <v/>
      </c>
      <c r="R1009" s="10" t="str">
        <f aca="false">IF($B1009="","",$P1009-$Q1009)</f>
        <v/>
      </c>
      <c r="S1009" s="23" t="str">
        <f aca="false">IF($B1009="","",IF(COUNTIFS($A$4:$A$2003,$A1009-1,$B$4:$B$2003,$B1009)=0,"first day",IF(SUMIFS($M$4:$M$2003,$A$4:$A$2003,$A1009-1,$B$4:$B$2003,$B1009)=$J1009,"OK","CHECK")))</f>
        <v/>
      </c>
      <c r="T1009" s="10" t="str">
        <f aca="false">IF($B1009="","",IFERROR(INDEX(Drinks!$D$4:$D$53,MATCH($B1009,Drinks!$A$4:$A$53,0)),0))</f>
        <v/>
      </c>
    </row>
    <row r="1010" customFormat="false" ht="15" hidden="false" customHeight="false" outlineLevel="0" collapsed="false">
      <c r="A1010" s="22"/>
      <c r="B1010" s="9"/>
      <c r="C1010" s="9"/>
      <c r="D1010" s="9"/>
      <c r="E1010" s="9"/>
      <c r="F1010" s="10" t="str">
        <f aca="false">IF($B1010="","",$C1010+$D1010-$E1010)</f>
        <v/>
      </c>
      <c r="G1010" s="10" t="str">
        <f aca="false">IF($B1010="","",IFERROR(INDEX(Drinks!$C$4:$C$53,MATCH($B1010,Drinks!$A$4:$A$53,0)),0))</f>
        <v/>
      </c>
      <c r="H1010" s="10" t="str">
        <f aca="false">IF($B1010="","",$D1010*$G1010)</f>
        <v/>
      </c>
      <c r="I1010" s="10" t="str">
        <f aca="false">IF($B1010="","",$F1010*$G1010)</f>
        <v/>
      </c>
      <c r="J1010" s="9"/>
      <c r="K1010" s="10" t="str">
        <f aca="false">IF($B1010="","",$E1010*IFERROR(INDEX(Drinks!$B$4:$B$53,MATCH($B1010,Drinks!$A$4:$A$53,0)),0))</f>
        <v/>
      </c>
      <c r="L1010" s="10" t="str">
        <f aca="false">IF($B1010="","",$J1010+$K1010)</f>
        <v/>
      </c>
      <c r="M1010" s="9"/>
      <c r="N1010" s="10" t="str">
        <f aca="false">IF($B1010="","",$L1010-$M1010)</f>
        <v/>
      </c>
      <c r="O1010" s="10" t="str">
        <f aca="false">IF($B1010="","",IFERROR(INDEX(Drinks!$E$4:$E$53,MATCH($B1010,Drinks!$A$4:$A$53,0)),0))</f>
        <v/>
      </c>
      <c r="P1010" s="10" t="str">
        <f aca="false">IF($B1010="","",$N1010*$O1010)</f>
        <v/>
      </c>
      <c r="Q1010" s="10" t="str">
        <f aca="false">IF($B1010="","",$N1010*IFERROR(INDEX(Drinks!$D$4:$D$53,MATCH($B1010,Drinks!$A$4:$A$53,0)),0))</f>
        <v/>
      </c>
      <c r="R1010" s="10" t="str">
        <f aca="false">IF($B1010="","",$P1010-$Q1010)</f>
        <v/>
      </c>
      <c r="S1010" s="23" t="str">
        <f aca="false">IF($B1010="","",IF(COUNTIFS($A$4:$A$2003,$A1010-1,$B$4:$B$2003,$B1010)=0,"first day",IF(SUMIFS($M$4:$M$2003,$A$4:$A$2003,$A1010-1,$B$4:$B$2003,$B1010)=$J1010,"OK","CHECK")))</f>
        <v/>
      </c>
      <c r="T1010" s="10" t="str">
        <f aca="false">IF($B1010="","",IFERROR(INDEX(Drinks!$D$4:$D$53,MATCH($B1010,Drinks!$A$4:$A$53,0)),0))</f>
        <v/>
      </c>
    </row>
    <row r="1011" customFormat="false" ht="15" hidden="false" customHeight="false" outlineLevel="0" collapsed="false">
      <c r="A1011" s="22"/>
      <c r="B1011" s="9"/>
      <c r="C1011" s="9"/>
      <c r="D1011" s="9"/>
      <c r="E1011" s="9"/>
      <c r="F1011" s="10" t="str">
        <f aca="false">IF($B1011="","",$C1011+$D1011-$E1011)</f>
        <v/>
      </c>
      <c r="G1011" s="10" t="str">
        <f aca="false">IF($B1011="","",IFERROR(INDEX(Drinks!$C$4:$C$53,MATCH($B1011,Drinks!$A$4:$A$53,0)),0))</f>
        <v/>
      </c>
      <c r="H1011" s="10" t="str">
        <f aca="false">IF($B1011="","",$D1011*$G1011)</f>
        <v/>
      </c>
      <c r="I1011" s="10" t="str">
        <f aca="false">IF($B1011="","",$F1011*$G1011)</f>
        <v/>
      </c>
      <c r="J1011" s="9"/>
      <c r="K1011" s="10" t="str">
        <f aca="false">IF($B1011="","",$E1011*IFERROR(INDEX(Drinks!$B$4:$B$53,MATCH($B1011,Drinks!$A$4:$A$53,0)),0))</f>
        <v/>
      </c>
      <c r="L1011" s="10" t="str">
        <f aca="false">IF($B1011="","",$J1011+$K1011)</f>
        <v/>
      </c>
      <c r="M1011" s="9"/>
      <c r="N1011" s="10" t="str">
        <f aca="false">IF($B1011="","",$L1011-$M1011)</f>
        <v/>
      </c>
      <c r="O1011" s="10" t="str">
        <f aca="false">IF($B1011="","",IFERROR(INDEX(Drinks!$E$4:$E$53,MATCH($B1011,Drinks!$A$4:$A$53,0)),0))</f>
        <v/>
      </c>
      <c r="P1011" s="10" t="str">
        <f aca="false">IF($B1011="","",$N1011*$O1011)</f>
        <v/>
      </c>
      <c r="Q1011" s="10" t="str">
        <f aca="false">IF($B1011="","",$N1011*IFERROR(INDEX(Drinks!$D$4:$D$53,MATCH($B1011,Drinks!$A$4:$A$53,0)),0))</f>
        <v/>
      </c>
      <c r="R1011" s="10" t="str">
        <f aca="false">IF($B1011="","",$P1011-$Q1011)</f>
        <v/>
      </c>
      <c r="S1011" s="23" t="str">
        <f aca="false">IF($B1011="","",IF(COUNTIFS($A$4:$A$2003,$A1011-1,$B$4:$B$2003,$B1011)=0,"first day",IF(SUMIFS($M$4:$M$2003,$A$4:$A$2003,$A1011-1,$B$4:$B$2003,$B1011)=$J1011,"OK","CHECK")))</f>
        <v/>
      </c>
      <c r="T1011" s="10" t="str">
        <f aca="false">IF($B1011="","",IFERROR(INDEX(Drinks!$D$4:$D$53,MATCH($B1011,Drinks!$A$4:$A$53,0)),0))</f>
        <v/>
      </c>
    </row>
    <row r="1012" customFormat="false" ht="15" hidden="false" customHeight="false" outlineLevel="0" collapsed="false">
      <c r="A1012" s="22"/>
      <c r="B1012" s="9"/>
      <c r="C1012" s="9"/>
      <c r="D1012" s="9"/>
      <c r="E1012" s="9"/>
      <c r="F1012" s="10" t="str">
        <f aca="false">IF($B1012="","",$C1012+$D1012-$E1012)</f>
        <v/>
      </c>
      <c r="G1012" s="10" t="str">
        <f aca="false">IF($B1012="","",IFERROR(INDEX(Drinks!$C$4:$C$53,MATCH($B1012,Drinks!$A$4:$A$53,0)),0))</f>
        <v/>
      </c>
      <c r="H1012" s="10" t="str">
        <f aca="false">IF($B1012="","",$D1012*$G1012)</f>
        <v/>
      </c>
      <c r="I1012" s="10" t="str">
        <f aca="false">IF($B1012="","",$F1012*$G1012)</f>
        <v/>
      </c>
      <c r="J1012" s="9"/>
      <c r="K1012" s="10" t="str">
        <f aca="false">IF($B1012="","",$E1012*IFERROR(INDEX(Drinks!$B$4:$B$53,MATCH($B1012,Drinks!$A$4:$A$53,0)),0))</f>
        <v/>
      </c>
      <c r="L1012" s="10" t="str">
        <f aca="false">IF($B1012="","",$J1012+$K1012)</f>
        <v/>
      </c>
      <c r="M1012" s="9"/>
      <c r="N1012" s="10" t="str">
        <f aca="false">IF($B1012="","",$L1012-$M1012)</f>
        <v/>
      </c>
      <c r="O1012" s="10" t="str">
        <f aca="false">IF($B1012="","",IFERROR(INDEX(Drinks!$E$4:$E$53,MATCH($B1012,Drinks!$A$4:$A$53,0)),0))</f>
        <v/>
      </c>
      <c r="P1012" s="10" t="str">
        <f aca="false">IF($B1012="","",$N1012*$O1012)</f>
        <v/>
      </c>
      <c r="Q1012" s="10" t="str">
        <f aca="false">IF($B1012="","",$N1012*IFERROR(INDEX(Drinks!$D$4:$D$53,MATCH($B1012,Drinks!$A$4:$A$53,0)),0))</f>
        <v/>
      </c>
      <c r="R1012" s="10" t="str">
        <f aca="false">IF($B1012="","",$P1012-$Q1012)</f>
        <v/>
      </c>
      <c r="S1012" s="23" t="str">
        <f aca="false">IF($B1012="","",IF(COUNTIFS($A$4:$A$2003,$A1012-1,$B$4:$B$2003,$B1012)=0,"first day",IF(SUMIFS($M$4:$M$2003,$A$4:$A$2003,$A1012-1,$B$4:$B$2003,$B1012)=$J1012,"OK","CHECK")))</f>
        <v/>
      </c>
      <c r="T1012" s="10" t="str">
        <f aca="false">IF($B1012="","",IFERROR(INDEX(Drinks!$D$4:$D$53,MATCH($B1012,Drinks!$A$4:$A$53,0)),0))</f>
        <v/>
      </c>
    </row>
    <row r="1013" customFormat="false" ht="15" hidden="false" customHeight="false" outlineLevel="0" collapsed="false">
      <c r="A1013" s="22"/>
      <c r="B1013" s="9"/>
      <c r="C1013" s="9"/>
      <c r="D1013" s="9"/>
      <c r="E1013" s="9"/>
      <c r="F1013" s="10" t="str">
        <f aca="false">IF($B1013="","",$C1013+$D1013-$E1013)</f>
        <v/>
      </c>
      <c r="G1013" s="10" t="str">
        <f aca="false">IF($B1013="","",IFERROR(INDEX(Drinks!$C$4:$C$53,MATCH($B1013,Drinks!$A$4:$A$53,0)),0))</f>
        <v/>
      </c>
      <c r="H1013" s="10" t="str">
        <f aca="false">IF($B1013="","",$D1013*$G1013)</f>
        <v/>
      </c>
      <c r="I1013" s="10" t="str">
        <f aca="false">IF($B1013="","",$F1013*$G1013)</f>
        <v/>
      </c>
      <c r="J1013" s="9"/>
      <c r="K1013" s="10" t="str">
        <f aca="false">IF($B1013="","",$E1013*IFERROR(INDEX(Drinks!$B$4:$B$53,MATCH($B1013,Drinks!$A$4:$A$53,0)),0))</f>
        <v/>
      </c>
      <c r="L1013" s="10" t="str">
        <f aca="false">IF($B1013="","",$J1013+$K1013)</f>
        <v/>
      </c>
      <c r="M1013" s="9"/>
      <c r="N1013" s="10" t="str">
        <f aca="false">IF($B1013="","",$L1013-$M1013)</f>
        <v/>
      </c>
      <c r="O1013" s="10" t="str">
        <f aca="false">IF($B1013="","",IFERROR(INDEX(Drinks!$E$4:$E$53,MATCH($B1013,Drinks!$A$4:$A$53,0)),0))</f>
        <v/>
      </c>
      <c r="P1013" s="10" t="str">
        <f aca="false">IF($B1013="","",$N1013*$O1013)</f>
        <v/>
      </c>
      <c r="Q1013" s="10" t="str">
        <f aca="false">IF($B1013="","",$N1013*IFERROR(INDEX(Drinks!$D$4:$D$53,MATCH($B1013,Drinks!$A$4:$A$53,0)),0))</f>
        <v/>
      </c>
      <c r="R1013" s="10" t="str">
        <f aca="false">IF($B1013="","",$P1013-$Q1013)</f>
        <v/>
      </c>
      <c r="S1013" s="23" t="str">
        <f aca="false">IF($B1013="","",IF(COUNTIFS($A$4:$A$2003,$A1013-1,$B$4:$B$2003,$B1013)=0,"first day",IF(SUMIFS($M$4:$M$2003,$A$4:$A$2003,$A1013-1,$B$4:$B$2003,$B1013)=$J1013,"OK","CHECK")))</f>
        <v/>
      </c>
      <c r="T1013" s="10" t="str">
        <f aca="false">IF($B1013="","",IFERROR(INDEX(Drinks!$D$4:$D$53,MATCH($B1013,Drinks!$A$4:$A$53,0)),0))</f>
        <v/>
      </c>
    </row>
    <row r="1014" customFormat="false" ht="15" hidden="false" customHeight="false" outlineLevel="0" collapsed="false">
      <c r="A1014" s="22"/>
      <c r="B1014" s="9"/>
      <c r="C1014" s="9"/>
      <c r="D1014" s="9"/>
      <c r="E1014" s="9"/>
      <c r="F1014" s="10" t="str">
        <f aca="false">IF($B1014="","",$C1014+$D1014-$E1014)</f>
        <v/>
      </c>
      <c r="G1014" s="10" t="str">
        <f aca="false">IF($B1014="","",IFERROR(INDEX(Drinks!$C$4:$C$53,MATCH($B1014,Drinks!$A$4:$A$53,0)),0))</f>
        <v/>
      </c>
      <c r="H1014" s="10" t="str">
        <f aca="false">IF($B1014="","",$D1014*$G1014)</f>
        <v/>
      </c>
      <c r="I1014" s="10" t="str">
        <f aca="false">IF($B1014="","",$F1014*$G1014)</f>
        <v/>
      </c>
      <c r="J1014" s="9"/>
      <c r="K1014" s="10" t="str">
        <f aca="false">IF($B1014="","",$E1014*IFERROR(INDEX(Drinks!$B$4:$B$53,MATCH($B1014,Drinks!$A$4:$A$53,0)),0))</f>
        <v/>
      </c>
      <c r="L1014" s="10" t="str">
        <f aca="false">IF($B1014="","",$J1014+$K1014)</f>
        <v/>
      </c>
      <c r="M1014" s="9"/>
      <c r="N1014" s="10" t="str">
        <f aca="false">IF($B1014="","",$L1014-$M1014)</f>
        <v/>
      </c>
      <c r="O1014" s="10" t="str">
        <f aca="false">IF($B1014="","",IFERROR(INDEX(Drinks!$E$4:$E$53,MATCH($B1014,Drinks!$A$4:$A$53,0)),0))</f>
        <v/>
      </c>
      <c r="P1014" s="10" t="str">
        <f aca="false">IF($B1014="","",$N1014*$O1014)</f>
        <v/>
      </c>
      <c r="Q1014" s="10" t="str">
        <f aca="false">IF($B1014="","",$N1014*IFERROR(INDEX(Drinks!$D$4:$D$53,MATCH($B1014,Drinks!$A$4:$A$53,0)),0))</f>
        <v/>
      </c>
      <c r="R1014" s="10" t="str">
        <f aca="false">IF($B1014="","",$P1014-$Q1014)</f>
        <v/>
      </c>
      <c r="S1014" s="23" t="str">
        <f aca="false">IF($B1014="","",IF(COUNTIFS($A$4:$A$2003,$A1014-1,$B$4:$B$2003,$B1014)=0,"first day",IF(SUMIFS($M$4:$M$2003,$A$4:$A$2003,$A1014-1,$B$4:$B$2003,$B1014)=$J1014,"OK","CHECK")))</f>
        <v/>
      </c>
      <c r="T1014" s="10" t="str">
        <f aca="false">IF($B1014="","",IFERROR(INDEX(Drinks!$D$4:$D$53,MATCH($B1014,Drinks!$A$4:$A$53,0)),0))</f>
        <v/>
      </c>
    </row>
    <row r="1015" customFormat="false" ht="15" hidden="false" customHeight="false" outlineLevel="0" collapsed="false">
      <c r="A1015" s="22"/>
      <c r="B1015" s="9"/>
      <c r="C1015" s="9"/>
      <c r="D1015" s="9"/>
      <c r="E1015" s="9"/>
      <c r="F1015" s="10" t="str">
        <f aca="false">IF($B1015="","",$C1015+$D1015-$E1015)</f>
        <v/>
      </c>
      <c r="G1015" s="10" t="str">
        <f aca="false">IF($B1015="","",IFERROR(INDEX(Drinks!$C$4:$C$53,MATCH($B1015,Drinks!$A$4:$A$53,0)),0))</f>
        <v/>
      </c>
      <c r="H1015" s="10" t="str">
        <f aca="false">IF($B1015="","",$D1015*$G1015)</f>
        <v/>
      </c>
      <c r="I1015" s="10" t="str">
        <f aca="false">IF($B1015="","",$F1015*$G1015)</f>
        <v/>
      </c>
      <c r="J1015" s="9"/>
      <c r="K1015" s="10" t="str">
        <f aca="false">IF($B1015="","",$E1015*IFERROR(INDEX(Drinks!$B$4:$B$53,MATCH($B1015,Drinks!$A$4:$A$53,0)),0))</f>
        <v/>
      </c>
      <c r="L1015" s="10" t="str">
        <f aca="false">IF($B1015="","",$J1015+$K1015)</f>
        <v/>
      </c>
      <c r="M1015" s="9"/>
      <c r="N1015" s="10" t="str">
        <f aca="false">IF($B1015="","",$L1015-$M1015)</f>
        <v/>
      </c>
      <c r="O1015" s="10" t="str">
        <f aca="false">IF($B1015="","",IFERROR(INDEX(Drinks!$E$4:$E$53,MATCH($B1015,Drinks!$A$4:$A$53,0)),0))</f>
        <v/>
      </c>
      <c r="P1015" s="10" t="str">
        <f aca="false">IF($B1015="","",$N1015*$O1015)</f>
        <v/>
      </c>
      <c r="Q1015" s="10" t="str">
        <f aca="false">IF($B1015="","",$N1015*IFERROR(INDEX(Drinks!$D$4:$D$53,MATCH($B1015,Drinks!$A$4:$A$53,0)),0))</f>
        <v/>
      </c>
      <c r="R1015" s="10" t="str">
        <f aca="false">IF($B1015="","",$P1015-$Q1015)</f>
        <v/>
      </c>
      <c r="S1015" s="23" t="str">
        <f aca="false">IF($B1015="","",IF(COUNTIFS($A$4:$A$2003,$A1015-1,$B$4:$B$2003,$B1015)=0,"first day",IF(SUMIFS($M$4:$M$2003,$A$4:$A$2003,$A1015-1,$B$4:$B$2003,$B1015)=$J1015,"OK","CHECK")))</f>
        <v/>
      </c>
      <c r="T1015" s="10" t="str">
        <f aca="false">IF($B1015="","",IFERROR(INDEX(Drinks!$D$4:$D$53,MATCH($B1015,Drinks!$A$4:$A$53,0)),0))</f>
        <v/>
      </c>
    </row>
    <row r="1016" customFormat="false" ht="15" hidden="false" customHeight="false" outlineLevel="0" collapsed="false">
      <c r="A1016" s="22"/>
      <c r="B1016" s="9"/>
      <c r="C1016" s="9"/>
      <c r="D1016" s="9"/>
      <c r="E1016" s="9"/>
      <c r="F1016" s="10" t="str">
        <f aca="false">IF($B1016="","",$C1016+$D1016-$E1016)</f>
        <v/>
      </c>
      <c r="G1016" s="10" t="str">
        <f aca="false">IF($B1016="","",IFERROR(INDEX(Drinks!$C$4:$C$53,MATCH($B1016,Drinks!$A$4:$A$53,0)),0))</f>
        <v/>
      </c>
      <c r="H1016" s="10" t="str">
        <f aca="false">IF($B1016="","",$D1016*$G1016)</f>
        <v/>
      </c>
      <c r="I1016" s="10" t="str">
        <f aca="false">IF($B1016="","",$F1016*$G1016)</f>
        <v/>
      </c>
      <c r="J1016" s="9"/>
      <c r="K1016" s="10" t="str">
        <f aca="false">IF($B1016="","",$E1016*IFERROR(INDEX(Drinks!$B$4:$B$53,MATCH($B1016,Drinks!$A$4:$A$53,0)),0))</f>
        <v/>
      </c>
      <c r="L1016" s="10" t="str">
        <f aca="false">IF($B1016="","",$J1016+$K1016)</f>
        <v/>
      </c>
      <c r="M1016" s="9"/>
      <c r="N1016" s="10" t="str">
        <f aca="false">IF($B1016="","",$L1016-$M1016)</f>
        <v/>
      </c>
      <c r="O1016" s="10" t="str">
        <f aca="false">IF($B1016="","",IFERROR(INDEX(Drinks!$E$4:$E$53,MATCH($B1016,Drinks!$A$4:$A$53,0)),0))</f>
        <v/>
      </c>
      <c r="P1016" s="10" t="str">
        <f aca="false">IF($B1016="","",$N1016*$O1016)</f>
        <v/>
      </c>
      <c r="Q1016" s="10" t="str">
        <f aca="false">IF($B1016="","",$N1016*IFERROR(INDEX(Drinks!$D$4:$D$53,MATCH($B1016,Drinks!$A$4:$A$53,0)),0))</f>
        <v/>
      </c>
      <c r="R1016" s="10" t="str">
        <f aca="false">IF($B1016="","",$P1016-$Q1016)</f>
        <v/>
      </c>
      <c r="S1016" s="23" t="str">
        <f aca="false">IF($B1016="","",IF(COUNTIFS($A$4:$A$2003,$A1016-1,$B$4:$B$2003,$B1016)=0,"first day",IF(SUMIFS($M$4:$M$2003,$A$4:$A$2003,$A1016-1,$B$4:$B$2003,$B1016)=$J1016,"OK","CHECK")))</f>
        <v/>
      </c>
      <c r="T1016" s="10" t="str">
        <f aca="false">IF($B1016="","",IFERROR(INDEX(Drinks!$D$4:$D$53,MATCH($B1016,Drinks!$A$4:$A$53,0)),0))</f>
        <v/>
      </c>
    </row>
    <row r="1017" customFormat="false" ht="15" hidden="false" customHeight="false" outlineLevel="0" collapsed="false">
      <c r="A1017" s="22"/>
      <c r="B1017" s="9"/>
      <c r="C1017" s="9"/>
      <c r="D1017" s="9"/>
      <c r="E1017" s="9"/>
      <c r="F1017" s="10" t="str">
        <f aca="false">IF($B1017="","",$C1017+$D1017-$E1017)</f>
        <v/>
      </c>
      <c r="G1017" s="10" t="str">
        <f aca="false">IF($B1017="","",IFERROR(INDEX(Drinks!$C$4:$C$53,MATCH($B1017,Drinks!$A$4:$A$53,0)),0))</f>
        <v/>
      </c>
      <c r="H1017" s="10" t="str">
        <f aca="false">IF($B1017="","",$D1017*$G1017)</f>
        <v/>
      </c>
      <c r="I1017" s="10" t="str">
        <f aca="false">IF($B1017="","",$F1017*$G1017)</f>
        <v/>
      </c>
      <c r="J1017" s="9"/>
      <c r="K1017" s="10" t="str">
        <f aca="false">IF($B1017="","",$E1017*IFERROR(INDEX(Drinks!$B$4:$B$53,MATCH($B1017,Drinks!$A$4:$A$53,0)),0))</f>
        <v/>
      </c>
      <c r="L1017" s="10" t="str">
        <f aca="false">IF($B1017="","",$J1017+$K1017)</f>
        <v/>
      </c>
      <c r="M1017" s="9"/>
      <c r="N1017" s="10" t="str">
        <f aca="false">IF($B1017="","",$L1017-$M1017)</f>
        <v/>
      </c>
      <c r="O1017" s="10" t="str">
        <f aca="false">IF($B1017="","",IFERROR(INDEX(Drinks!$E$4:$E$53,MATCH($B1017,Drinks!$A$4:$A$53,0)),0))</f>
        <v/>
      </c>
      <c r="P1017" s="10" t="str">
        <f aca="false">IF($B1017="","",$N1017*$O1017)</f>
        <v/>
      </c>
      <c r="Q1017" s="10" t="str">
        <f aca="false">IF($B1017="","",$N1017*IFERROR(INDEX(Drinks!$D$4:$D$53,MATCH($B1017,Drinks!$A$4:$A$53,0)),0))</f>
        <v/>
      </c>
      <c r="R1017" s="10" t="str">
        <f aca="false">IF($B1017="","",$P1017-$Q1017)</f>
        <v/>
      </c>
      <c r="S1017" s="23" t="str">
        <f aca="false">IF($B1017="","",IF(COUNTIFS($A$4:$A$2003,$A1017-1,$B$4:$B$2003,$B1017)=0,"first day",IF(SUMIFS($M$4:$M$2003,$A$4:$A$2003,$A1017-1,$B$4:$B$2003,$B1017)=$J1017,"OK","CHECK")))</f>
        <v/>
      </c>
      <c r="T1017" s="10" t="str">
        <f aca="false">IF($B1017="","",IFERROR(INDEX(Drinks!$D$4:$D$53,MATCH($B1017,Drinks!$A$4:$A$53,0)),0))</f>
        <v/>
      </c>
    </row>
    <row r="1018" customFormat="false" ht="15" hidden="false" customHeight="false" outlineLevel="0" collapsed="false">
      <c r="A1018" s="22"/>
      <c r="B1018" s="9"/>
      <c r="C1018" s="9"/>
      <c r="D1018" s="9"/>
      <c r="E1018" s="9"/>
      <c r="F1018" s="10" t="str">
        <f aca="false">IF($B1018="","",$C1018+$D1018-$E1018)</f>
        <v/>
      </c>
      <c r="G1018" s="10" t="str">
        <f aca="false">IF($B1018="","",IFERROR(INDEX(Drinks!$C$4:$C$53,MATCH($B1018,Drinks!$A$4:$A$53,0)),0))</f>
        <v/>
      </c>
      <c r="H1018" s="10" t="str">
        <f aca="false">IF($B1018="","",$D1018*$G1018)</f>
        <v/>
      </c>
      <c r="I1018" s="10" t="str">
        <f aca="false">IF($B1018="","",$F1018*$G1018)</f>
        <v/>
      </c>
      <c r="J1018" s="9"/>
      <c r="K1018" s="10" t="str">
        <f aca="false">IF($B1018="","",$E1018*IFERROR(INDEX(Drinks!$B$4:$B$53,MATCH($B1018,Drinks!$A$4:$A$53,0)),0))</f>
        <v/>
      </c>
      <c r="L1018" s="10" t="str">
        <f aca="false">IF($B1018="","",$J1018+$K1018)</f>
        <v/>
      </c>
      <c r="M1018" s="9"/>
      <c r="N1018" s="10" t="str">
        <f aca="false">IF($B1018="","",$L1018-$M1018)</f>
        <v/>
      </c>
      <c r="O1018" s="10" t="str">
        <f aca="false">IF($B1018="","",IFERROR(INDEX(Drinks!$E$4:$E$53,MATCH($B1018,Drinks!$A$4:$A$53,0)),0))</f>
        <v/>
      </c>
      <c r="P1018" s="10" t="str">
        <f aca="false">IF($B1018="","",$N1018*$O1018)</f>
        <v/>
      </c>
      <c r="Q1018" s="10" t="str">
        <f aca="false">IF($B1018="","",$N1018*IFERROR(INDEX(Drinks!$D$4:$D$53,MATCH($B1018,Drinks!$A$4:$A$53,0)),0))</f>
        <v/>
      </c>
      <c r="R1018" s="10" t="str">
        <f aca="false">IF($B1018="","",$P1018-$Q1018)</f>
        <v/>
      </c>
      <c r="S1018" s="23" t="str">
        <f aca="false">IF($B1018="","",IF(COUNTIFS($A$4:$A$2003,$A1018-1,$B$4:$B$2003,$B1018)=0,"first day",IF(SUMIFS($M$4:$M$2003,$A$4:$A$2003,$A1018-1,$B$4:$B$2003,$B1018)=$J1018,"OK","CHECK")))</f>
        <v/>
      </c>
      <c r="T1018" s="10" t="str">
        <f aca="false">IF($B1018="","",IFERROR(INDEX(Drinks!$D$4:$D$53,MATCH($B1018,Drinks!$A$4:$A$53,0)),0))</f>
        <v/>
      </c>
    </row>
    <row r="1019" customFormat="false" ht="15" hidden="false" customHeight="false" outlineLevel="0" collapsed="false">
      <c r="A1019" s="22"/>
      <c r="B1019" s="9"/>
      <c r="C1019" s="9"/>
      <c r="D1019" s="9"/>
      <c r="E1019" s="9"/>
      <c r="F1019" s="10" t="str">
        <f aca="false">IF($B1019="","",$C1019+$D1019-$E1019)</f>
        <v/>
      </c>
      <c r="G1019" s="10" t="str">
        <f aca="false">IF($B1019="","",IFERROR(INDEX(Drinks!$C$4:$C$53,MATCH($B1019,Drinks!$A$4:$A$53,0)),0))</f>
        <v/>
      </c>
      <c r="H1019" s="10" t="str">
        <f aca="false">IF($B1019="","",$D1019*$G1019)</f>
        <v/>
      </c>
      <c r="I1019" s="10" t="str">
        <f aca="false">IF($B1019="","",$F1019*$G1019)</f>
        <v/>
      </c>
      <c r="J1019" s="9"/>
      <c r="K1019" s="10" t="str">
        <f aca="false">IF($B1019="","",$E1019*IFERROR(INDEX(Drinks!$B$4:$B$53,MATCH($B1019,Drinks!$A$4:$A$53,0)),0))</f>
        <v/>
      </c>
      <c r="L1019" s="10" t="str">
        <f aca="false">IF($B1019="","",$J1019+$K1019)</f>
        <v/>
      </c>
      <c r="M1019" s="9"/>
      <c r="N1019" s="10" t="str">
        <f aca="false">IF($B1019="","",$L1019-$M1019)</f>
        <v/>
      </c>
      <c r="O1019" s="10" t="str">
        <f aca="false">IF($B1019="","",IFERROR(INDEX(Drinks!$E$4:$E$53,MATCH($B1019,Drinks!$A$4:$A$53,0)),0))</f>
        <v/>
      </c>
      <c r="P1019" s="10" t="str">
        <f aca="false">IF($B1019="","",$N1019*$O1019)</f>
        <v/>
      </c>
      <c r="Q1019" s="10" t="str">
        <f aca="false">IF($B1019="","",$N1019*IFERROR(INDEX(Drinks!$D$4:$D$53,MATCH($B1019,Drinks!$A$4:$A$53,0)),0))</f>
        <v/>
      </c>
      <c r="R1019" s="10" t="str">
        <f aca="false">IF($B1019="","",$P1019-$Q1019)</f>
        <v/>
      </c>
      <c r="S1019" s="23" t="str">
        <f aca="false">IF($B1019="","",IF(COUNTIFS($A$4:$A$2003,$A1019-1,$B$4:$B$2003,$B1019)=0,"first day",IF(SUMIFS($M$4:$M$2003,$A$4:$A$2003,$A1019-1,$B$4:$B$2003,$B1019)=$J1019,"OK","CHECK")))</f>
        <v/>
      </c>
      <c r="T1019" s="10" t="str">
        <f aca="false">IF($B1019="","",IFERROR(INDEX(Drinks!$D$4:$D$53,MATCH($B1019,Drinks!$A$4:$A$53,0)),0))</f>
        <v/>
      </c>
    </row>
    <row r="1020" customFormat="false" ht="15" hidden="false" customHeight="false" outlineLevel="0" collapsed="false">
      <c r="A1020" s="22"/>
      <c r="B1020" s="9"/>
      <c r="C1020" s="9"/>
      <c r="D1020" s="9"/>
      <c r="E1020" s="9"/>
      <c r="F1020" s="10" t="str">
        <f aca="false">IF($B1020="","",$C1020+$D1020-$E1020)</f>
        <v/>
      </c>
      <c r="G1020" s="10" t="str">
        <f aca="false">IF($B1020="","",IFERROR(INDEX(Drinks!$C$4:$C$53,MATCH($B1020,Drinks!$A$4:$A$53,0)),0))</f>
        <v/>
      </c>
      <c r="H1020" s="10" t="str">
        <f aca="false">IF($B1020="","",$D1020*$G1020)</f>
        <v/>
      </c>
      <c r="I1020" s="10" t="str">
        <f aca="false">IF($B1020="","",$F1020*$G1020)</f>
        <v/>
      </c>
      <c r="J1020" s="9"/>
      <c r="K1020" s="10" t="str">
        <f aca="false">IF($B1020="","",$E1020*IFERROR(INDEX(Drinks!$B$4:$B$53,MATCH($B1020,Drinks!$A$4:$A$53,0)),0))</f>
        <v/>
      </c>
      <c r="L1020" s="10" t="str">
        <f aca="false">IF($B1020="","",$J1020+$K1020)</f>
        <v/>
      </c>
      <c r="M1020" s="9"/>
      <c r="N1020" s="10" t="str">
        <f aca="false">IF($B1020="","",$L1020-$M1020)</f>
        <v/>
      </c>
      <c r="O1020" s="10" t="str">
        <f aca="false">IF($B1020="","",IFERROR(INDEX(Drinks!$E$4:$E$53,MATCH($B1020,Drinks!$A$4:$A$53,0)),0))</f>
        <v/>
      </c>
      <c r="P1020" s="10" t="str">
        <f aca="false">IF($B1020="","",$N1020*$O1020)</f>
        <v/>
      </c>
      <c r="Q1020" s="10" t="str">
        <f aca="false">IF($B1020="","",$N1020*IFERROR(INDEX(Drinks!$D$4:$D$53,MATCH($B1020,Drinks!$A$4:$A$53,0)),0))</f>
        <v/>
      </c>
      <c r="R1020" s="10" t="str">
        <f aca="false">IF($B1020="","",$P1020-$Q1020)</f>
        <v/>
      </c>
      <c r="S1020" s="23" t="str">
        <f aca="false">IF($B1020="","",IF(COUNTIFS($A$4:$A$2003,$A1020-1,$B$4:$B$2003,$B1020)=0,"first day",IF(SUMIFS($M$4:$M$2003,$A$4:$A$2003,$A1020-1,$B$4:$B$2003,$B1020)=$J1020,"OK","CHECK")))</f>
        <v/>
      </c>
      <c r="T1020" s="10" t="str">
        <f aca="false">IF($B1020="","",IFERROR(INDEX(Drinks!$D$4:$D$53,MATCH($B1020,Drinks!$A$4:$A$53,0)),0))</f>
        <v/>
      </c>
    </row>
    <row r="1021" customFormat="false" ht="15" hidden="false" customHeight="false" outlineLevel="0" collapsed="false">
      <c r="A1021" s="22"/>
      <c r="B1021" s="9"/>
      <c r="C1021" s="9"/>
      <c r="D1021" s="9"/>
      <c r="E1021" s="9"/>
      <c r="F1021" s="10" t="str">
        <f aca="false">IF($B1021="","",$C1021+$D1021-$E1021)</f>
        <v/>
      </c>
      <c r="G1021" s="10" t="str">
        <f aca="false">IF($B1021="","",IFERROR(INDEX(Drinks!$C$4:$C$53,MATCH($B1021,Drinks!$A$4:$A$53,0)),0))</f>
        <v/>
      </c>
      <c r="H1021" s="10" t="str">
        <f aca="false">IF($B1021="","",$D1021*$G1021)</f>
        <v/>
      </c>
      <c r="I1021" s="10" t="str">
        <f aca="false">IF($B1021="","",$F1021*$G1021)</f>
        <v/>
      </c>
      <c r="J1021" s="9"/>
      <c r="K1021" s="10" t="str">
        <f aca="false">IF($B1021="","",$E1021*IFERROR(INDEX(Drinks!$B$4:$B$53,MATCH($B1021,Drinks!$A$4:$A$53,0)),0))</f>
        <v/>
      </c>
      <c r="L1021" s="10" t="str">
        <f aca="false">IF($B1021="","",$J1021+$K1021)</f>
        <v/>
      </c>
      <c r="M1021" s="9"/>
      <c r="N1021" s="10" t="str">
        <f aca="false">IF($B1021="","",$L1021-$M1021)</f>
        <v/>
      </c>
      <c r="O1021" s="10" t="str">
        <f aca="false">IF($B1021="","",IFERROR(INDEX(Drinks!$E$4:$E$53,MATCH($B1021,Drinks!$A$4:$A$53,0)),0))</f>
        <v/>
      </c>
      <c r="P1021" s="10" t="str">
        <f aca="false">IF($B1021="","",$N1021*$O1021)</f>
        <v/>
      </c>
      <c r="Q1021" s="10" t="str">
        <f aca="false">IF($B1021="","",$N1021*IFERROR(INDEX(Drinks!$D$4:$D$53,MATCH($B1021,Drinks!$A$4:$A$53,0)),0))</f>
        <v/>
      </c>
      <c r="R1021" s="10" t="str">
        <f aca="false">IF($B1021="","",$P1021-$Q1021)</f>
        <v/>
      </c>
      <c r="S1021" s="23" t="str">
        <f aca="false">IF($B1021="","",IF(COUNTIFS($A$4:$A$2003,$A1021-1,$B$4:$B$2003,$B1021)=0,"first day",IF(SUMIFS($M$4:$M$2003,$A$4:$A$2003,$A1021-1,$B$4:$B$2003,$B1021)=$J1021,"OK","CHECK")))</f>
        <v/>
      </c>
      <c r="T1021" s="10" t="str">
        <f aca="false">IF($B1021="","",IFERROR(INDEX(Drinks!$D$4:$D$53,MATCH($B1021,Drinks!$A$4:$A$53,0)),0))</f>
        <v/>
      </c>
    </row>
    <row r="1022" customFormat="false" ht="15" hidden="false" customHeight="false" outlineLevel="0" collapsed="false">
      <c r="A1022" s="22"/>
      <c r="B1022" s="9"/>
      <c r="C1022" s="9"/>
      <c r="D1022" s="9"/>
      <c r="E1022" s="9"/>
      <c r="F1022" s="10" t="str">
        <f aca="false">IF($B1022="","",$C1022+$D1022-$E1022)</f>
        <v/>
      </c>
      <c r="G1022" s="10" t="str">
        <f aca="false">IF($B1022="","",IFERROR(INDEX(Drinks!$C$4:$C$53,MATCH($B1022,Drinks!$A$4:$A$53,0)),0))</f>
        <v/>
      </c>
      <c r="H1022" s="10" t="str">
        <f aca="false">IF($B1022="","",$D1022*$G1022)</f>
        <v/>
      </c>
      <c r="I1022" s="10" t="str">
        <f aca="false">IF($B1022="","",$F1022*$G1022)</f>
        <v/>
      </c>
      <c r="J1022" s="9"/>
      <c r="K1022" s="10" t="str">
        <f aca="false">IF($B1022="","",$E1022*IFERROR(INDEX(Drinks!$B$4:$B$53,MATCH($B1022,Drinks!$A$4:$A$53,0)),0))</f>
        <v/>
      </c>
      <c r="L1022" s="10" t="str">
        <f aca="false">IF($B1022="","",$J1022+$K1022)</f>
        <v/>
      </c>
      <c r="M1022" s="9"/>
      <c r="N1022" s="10" t="str">
        <f aca="false">IF($B1022="","",$L1022-$M1022)</f>
        <v/>
      </c>
      <c r="O1022" s="10" t="str">
        <f aca="false">IF($B1022="","",IFERROR(INDEX(Drinks!$E$4:$E$53,MATCH($B1022,Drinks!$A$4:$A$53,0)),0))</f>
        <v/>
      </c>
      <c r="P1022" s="10" t="str">
        <f aca="false">IF($B1022="","",$N1022*$O1022)</f>
        <v/>
      </c>
      <c r="Q1022" s="10" t="str">
        <f aca="false">IF($B1022="","",$N1022*IFERROR(INDEX(Drinks!$D$4:$D$53,MATCH($B1022,Drinks!$A$4:$A$53,0)),0))</f>
        <v/>
      </c>
      <c r="R1022" s="10" t="str">
        <f aca="false">IF($B1022="","",$P1022-$Q1022)</f>
        <v/>
      </c>
      <c r="S1022" s="23" t="str">
        <f aca="false">IF($B1022="","",IF(COUNTIFS($A$4:$A$2003,$A1022-1,$B$4:$B$2003,$B1022)=0,"first day",IF(SUMIFS($M$4:$M$2003,$A$4:$A$2003,$A1022-1,$B$4:$B$2003,$B1022)=$J1022,"OK","CHECK")))</f>
        <v/>
      </c>
      <c r="T1022" s="10" t="str">
        <f aca="false">IF($B1022="","",IFERROR(INDEX(Drinks!$D$4:$D$53,MATCH($B1022,Drinks!$A$4:$A$53,0)),0))</f>
        <v/>
      </c>
    </row>
    <row r="1023" customFormat="false" ht="15" hidden="false" customHeight="false" outlineLevel="0" collapsed="false">
      <c r="A1023" s="22"/>
      <c r="B1023" s="9"/>
      <c r="C1023" s="9"/>
      <c r="D1023" s="9"/>
      <c r="E1023" s="9"/>
      <c r="F1023" s="10" t="str">
        <f aca="false">IF($B1023="","",$C1023+$D1023-$E1023)</f>
        <v/>
      </c>
      <c r="G1023" s="10" t="str">
        <f aca="false">IF($B1023="","",IFERROR(INDEX(Drinks!$C$4:$C$53,MATCH($B1023,Drinks!$A$4:$A$53,0)),0))</f>
        <v/>
      </c>
      <c r="H1023" s="10" t="str">
        <f aca="false">IF($B1023="","",$D1023*$G1023)</f>
        <v/>
      </c>
      <c r="I1023" s="10" t="str">
        <f aca="false">IF($B1023="","",$F1023*$G1023)</f>
        <v/>
      </c>
      <c r="J1023" s="9"/>
      <c r="K1023" s="10" t="str">
        <f aca="false">IF($B1023="","",$E1023*IFERROR(INDEX(Drinks!$B$4:$B$53,MATCH($B1023,Drinks!$A$4:$A$53,0)),0))</f>
        <v/>
      </c>
      <c r="L1023" s="10" t="str">
        <f aca="false">IF($B1023="","",$J1023+$K1023)</f>
        <v/>
      </c>
      <c r="M1023" s="9"/>
      <c r="N1023" s="10" t="str">
        <f aca="false">IF($B1023="","",$L1023-$M1023)</f>
        <v/>
      </c>
      <c r="O1023" s="10" t="str">
        <f aca="false">IF($B1023="","",IFERROR(INDEX(Drinks!$E$4:$E$53,MATCH($B1023,Drinks!$A$4:$A$53,0)),0))</f>
        <v/>
      </c>
      <c r="P1023" s="10" t="str">
        <f aca="false">IF($B1023="","",$N1023*$O1023)</f>
        <v/>
      </c>
      <c r="Q1023" s="10" t="str">
        <f aca="false">IF($B1023="","",$N1023*IFERROR(INDEX(Drinks!$D$4:$D$53,MATCH($B1023,Drinks!$A$4:$A$53,0)),0))</f>
        <v/>
      </c>
      <c r="R1023" s="10" t="str">
        <f aca="false">IF($B1023="","",$P1023-$Q1023)</f>
        <v/>
      </c>
      <c r="S1023" s="23" t="str">
        <f aca="false">IF($B1023="","",IF(COUNTIFS($A$4:$A$2003,$A1023-1,$B$4:$B$2003,$B1023)=0,"first day",IF(SUMIFS($M$4:$M$2003,$A$4:$A$2003,$A1023-1,$B$4:$B$2003,$B1023)=$J1023,"OK","CHECK")))</f>
        <v/>
      </c>
      <c r="T1023" s="10" t="str">
        <f aca="false">IF($B1023="","",IFERROR(INDEX(Drinks!$D$4:$D$53,MATCH($B1023,Drinks!$A$4:$A$53,0)),0))</f>
        <v/>
      </c>
    </row>
    <row r="1024" customFormat="false" ht="15" hidden="false" customHeight="false" outlineLevel="0" collapsed="false">
      <c r="A1024" s="22"/>
      <c r="B1024" s="9"/>
      <c r="C1024" s="9"/>
      <c r="D1024" s="9"/>
      <c r="E1024" s="9"/>
      <c r="F1024" s="10" t="str">
        <f aca="false">IF($B1024="","",$C1024+$D1024-$E1024)</f>
        <v/>
      </c>
      <c r="G1024" s="10" t="str">
        <f aca="false">IF($B1024="","",IFERROR(INDEX(Drinks!$C$4:$C$53,MATCH($B1024,Drinks!$A$4:$A$53,0)),0))</f>
        <v/>
      </c>
      <c r="H1024" s="10" t="str">
        <f aca="false">IF($B1024="","",$D1024*$G1024)</f>
        <v/>
      </c>
      <c r="I1024" s="10" t="str">
        <f aca="false">IF($B1024="","",$F1024*$G1024)</f>
        <v/>
      </c>
      <c r="J1024" s="9"/>
      <c r="K1024" s="10" t="str">
        <f aca="false">IF($B1024="","",$E1024*IFERROR(INDEX(Drinks!$B$4:$B$53,MATCH($B1024,Drinks!$A$4:$A$53,0)),0))</f>
        <v/>
      </c>
      <c r="L1024" s="10" t="str">
        <f aca="false">IF($B1024="","",$J1024+$K1024)</f>
        <v/>
      </c>
      <c r="M1024" s="9"/>
      <c r="N1024" s="10" t="str">
        <f aca="false">IF($B1024="","",$L1024-$M1024)</f>
        <v/>
      </c>
      <c r="O1024" s="10" t="str">
        <f aca="false">IF($B1024="","",IFERROR(INDEX(Drinks!$E$4:$E$53,MATCH($B1024,Drinks!$A$4:$A$53,0)),0))</f>
        <v/>
      </c>
      <c r="P1024" s="10" t="str">
        <f aca="false">IF($B1024="","",$N1024*$O1024)</f>
        <v/>
      </c>
      <c r="Q1024" s="10" t="str">
        <f aca="false">IF($B1024="","",$N1024*IFERROR(INDEX(Drinks!$D$4:$D$53,MATCH($B1024,Drinks!$A$4:$A$53,0)),0))</f>
        <v/>
      </c>
      <c r="R1024" s="10" t="str">
        <f aca="false">IF($B1024="","",$P1024-$Q1024)</f>
        <v/>
      </c>
      <c r="S1024" s="23" t="str">
        <f aca="false">IF($B1024="","",IF(COUNTIFS($A$4:$A$2003,$A1024-1,$B$4:$B$2003,$B1024)=0,"first day",IF(SUMIFS($M$4:$M$2003,$A$4:$A$2003,$A1024-1,$B$4:$B$2003,$B1024)=$J1024,"OK","CHECK")))</f>
        <v/>
      </c>
      <c r="T1024" s="10" t="str">
        <f aca="false">IF($B1024="","",IFERROR(INDEX(Drinks!$D$4:$D$53,MATCH($B1024,Drinks!$A$4:$A$53,0)),0))</f>
        <v/>
      </c>
    </row>
    <row r="1025" customFormat="false" ht="15" hidden="false" customHeight="false" outlineLevel="0" collapsed="false">
      <c r="A1025" s="22"/>
      <c r="B1025" s="9"/>
      <c r="C1025" s="9"/>
      <c r="D1025" s="9"/>
      <c r="E1025" s="9"/>
      <c r="F1025" s="10" t="str">
        <f aca="false">IF($B1025="","",$C1025+$D1025-$E1025)</f>
        <v/>
      </c>
      <c r="G1025" s="10" t="str">
        <f aca="false">IF($B1025="","",IFERROR(INDEX(Drinks!$C$4:$C$53,MATCH($B1025,Drinks!$A$4:$A$53,0)),0))</f>
        <v/>
      </c>
      <c r="H1025" s="10" t="str">
        <f aca="false">IF($B1025="","",$D1025*$G1025)</f>
        <v/>
      </c>
      <c r="I1025" s="10" t="str">
        <f aca="false">IF($B1025="","",$F1025*$G1025)</f>
        <v/>
      </c>
      <c r="J1025" s="9"/>
      <c r="K1025" s="10" t="str">
        <f aca="false">IF($B1025="","",$E1025*IFERROR(INDEX(Drinks!$B$4:$B$53,MATCH($B1025,Drinks!$A$4:$A$53,0)),0))</f>
        <v/>
      </c>
      <c r="L1025" s="10" t="str">
        <f aca="false">IF($B1025="","",$J1025+$K1025)</f>
        <v/>
      </c>
      <c r="M1025" s="9"/>
      <c r="N1025" s="10" t="str">
        <f aca="false">IF($B1025="","",$L1025-$M1025)</f>
        <v/>
      </c>
      <c r="O1025" s="10" t="str">
        <f aca="false">IF($B1025="","",IFERROR(INDEX(Drinks!$E$4:$E$53,MATCH($B1025,Drinks!$A$4:$A$53,0)),0))</f>
        <v/>
      </c>
      <c r="P1025" s="10" t="str">
        <f aca="false">IF($B1025="","",$N1025*$O1025)</f>
        <v/>
      </c>
      <c r="Q1025" s="10" t="str">
        <f aca="false">IF($B1025="","",$N1025*IFERROR(INDEX(Drinks!$D$4:$D$53,MATCH($B1025,Drinks!$A$4:$A$53,0)),0))</f>
        <v/>
      </c>
      <c r="R1025" s="10" t="str">
        <f aca="false">IF($B1025="","",$P1025-$Q1025)</f>
        <v/>
      </c>
      <c r="S1025" s="23" t="str">
        <f aca="false">IF($B1025="","",IF(COUNTIFS($A$4:$A$2003,$A1025-1,$B$4:$B$2003,$B1025)=0,"first day",IF(SUMIFS($M$4:$M$2003,$A$4:$A$2003,$A1025-1,$B$4:$B$2003,$B1025)=$J1025,"OK","CHECK")))</f>
        <v/>
      </c>
      <c r="T1025" s="10" t="str">
        <f aca="false">IF($B1025="","",IFERROR(INDEX(Drinks!$D$4:$D$53,MATCH($B1025,Drinks!$A$4:$A$53,0)),0))</f>
        <v/>
      </c>
    </row>
    <row r="1026" customFormat="false" ht="15" hidden="false" customHeight="false" outlineLevel="0" collapsed="false">
      <c r="A1026" s="22"/>
      <c r="B1026" s="9"/>
      <c r="C1026" s="9"/>
      <c r="D1026" s="9"/>
      <c r="E1026" s="9"/>
      <c r="F1026" s="10" t="str">
        <f aca="false">IF($B1026="","",$C1026+$D1026-$E1026)</f>
        <v/>
      </c>
      <c r="G1026" s="10" t="str">
        <f aca="false">IF($B1026="","",IFERROR(INDEX(Drinks!$C$4:$C$53,MATCH($B1026,Drinks!$A$4:$A$53,0)),0))</f>
        <v/>
      </c>
      <c r="H1026" s="10" t="str">
        <f aca="false">IF($B1026="","",$D1026*$G1026)</f>
        <v/>
      </c>
      <c r="I1026" s="10" t="str">
        <f aca="false">IF($B1026="","",$F1026*$G1026)</f>
        <v/>
      </c>
      <c r="J1026" s="9"/>
      <c r="K1026" s="10" t="str">
        <f aca="false">IF($B1026="","",$E1026*IFERROR(INDEX(Drinks!$B$4:$B$53,MATCH($B1026,Drinks!$A$4:$A$53,0)),0))</f>
        <v/>
      </c>
      <c r="L1026" s="10" t="str">
        <f aca="false">IF($B1026="","",$J1026+$K1026)</f>
        <v/>
      </c>
      <c r="M1026" s="9"/>
      <c r="N1026" s="10" t="str">
        <f aca="false">IF($B1026="","",$L1026-$M1026)</f>
        <v/>
      </c>
      <c r="O1026" s="10" t="str">
        <f aca="false">IF($B1026="","",IFERROR(INDEX(Drinks!$E$4:$E$53,MATCH($B1026,Drinks!$A$4:$A$53,0)),0))</f>
        <v/>
      </c>
      <c r="P1026" s="10" t="str">
        <f aca="false">IF($B1026="","",$N1026*$O1026)</f>
        <v/>
      </c>
      <c r="Q1026" s="10" t="str">
        <f aca="false">IF($B1026="","",$N1026*IFERROR(INDEX(Drinks!$D$4:$D$53,MATCH($B1026,Drinks!$A$4:$A$53,0)),0))</f>
        <v/>
      </c>
      <c r="R1026" s="10" t="str">
        <f aca="false">IF($B1026="","",$P1026-$Q1026)</f>
        <v/>
      </c>
      <c r="S1026" s="23" t="str">
        <f aca="false">IF($B1026="","",IF(COUNTIFS($A$4:$A$2003,$A1026-1,$B$4:$B$2003,$B1026)=0,"first day",IF(SUMIFS($M$4:$M$2003,$A$4:$A$2003,$A1026-1,$B$4:$B$2003,$B1026)=$J1026,"OK","CHECK")))</f>
        <v/>
      </c>
      <c r="T1026" s="10" t="str">
        <f aca="false">IF($B1026="","",IFERROR(INDEX(Drinks!$D$4:$D$53,MATCH($B1026,Drinks!$A$4:$A$53,0)),0))</f>
        <v/>
      </c>
    </row>
    <row r="1027" customFormat="false" ht="15" hidden="false" customHeight="false" outlineLevel="0" collapsed="false">
      <c r="A1027" s="22"/>
      <c r="B1027" s="9"/>
      <c r="C1027" s="9"/>
      <c r="D1027" s="9"/>
      <c r="E1027" s="9"/>
      <c r="F1027" s="10" t="str">
        <f aca="false">IF($B1027="","",$C1027+$D1027-$E1027)</f>
        <v/>
      </c>
      <c r="G1027" s="10" t="str">
        <f aca="false">IF($B1027="","",IFERROR(INDEX(Drinks!$C$4:$C$53,MATCH($B1027,Drinks!$A$4:$A$53,0)),0))</f>
        <v/>
      </c>
      <c r="H1027" s="10" t="str">
        <f aca="false">IF($B1027="","",$D1027*$G1027)</f>
        <v/>
      </c>
      <c r="I1027" s="10" t="str">
        <f aca="false">IF($B1027="","",$F1027*$G1027)</f>
        <v/>
      </c>
      <c r="J1027" s="9"/>
      <c r="K1027" s="10" t="str">
        <f aca="false">IF($B1027="","",$E1027*IFERROR(INDEX(Drinks!$B$4:$B$53,MATCH($B1027,Drinks!$A$4:$A$53,0)),0))</f>
        <v/>
      </c>
      <c r="L1027" s="10" t="str">
        <f aca="false">IF($B1027="","",$J1027+$K1027)</f>
        <v/>
      </c>
      <c r="M1027" s="9"/>
      <c r="N1027" s="10" t="str">
        <f aca="false">IF($B1027="","",$L1027-$M1027)</f>
        <v/>
      </c>
      <c r="O1027" s="10" t="str">
        <f aca="false">IF($B1027="","",IFERROR(INDEX(Drinks!$E$4:$E$53,MATCH($B1027,Drinks!$A$4:$A$53,0)),0))</f>
        <v/>
      </c>
      <c r="P1027" s="10" t="str">
        <f aca="false">IF($B1027="","",$N1027*$O1027)</f>
        <v/>
      </c>
      <c r="Q1027" s="10" t="str">
        <f aca="false">IF($B1027="","",$N1027*IFERROR(INDEX(Drinks!$D$4:$D$53,MATCH($B1027,Drinks!$A$4:$A$53,0)),0))</f>
        <v/>
      </c>
      <c r="R1027" s="10" t="str">
        <f aca="false">IF($B1027="","",$P1027-$Q1027)</f>
        <v/>
      </c>
      <c r="S1027" s="23" t="str">
        <f aca="false">IF($B1027="","",IF(COUNTIFS($A$4:$A$2003,$A1027-1,$B$4:$B$2003,$B1027)=0,"first day",IF(SUMIFS($M$4:$M$2003,$A$4:$A$2003,$A1027-1,$B$4:$B$2003,$B1027)=$J1027,"OK","CHECK")))</f>
        <v/>
      </c>
      <c r="T1027" s="10" t="str">
        <f aca="false">IF($B1027="","",IFERROR(INDEX(Drinks!$D$4:$D$53,MATCH($B1027,Drinks!$A$4:$A$53,0)),0))</f>
        <v/>
      </c>
    </row>
    <row r="1028" customFormat="false" ht="15" hidden="false" customHeight="false" outlineLevel="0" collapsed="false">
      <c r="A1028" s="22"/>
      <c r="B1028" s="9"/>
      <c r="C1028" s="9"/>
      <c r="D1028" s="9"/>
      <c r="E1028" s="9"/>
      <c r="F1028" s="10" t="str">
        <f aca="false">IF($B1028="","",$C1028+$D1028-$E1028)</f>
        <v/>
      </c>
      <c r="G1028" s="10" t="str">
        <f aca="false">IF($B1028="","",IFERROR(INDEX(Drinks!$C$4:$C$53,MATCH($B1028,Drinks!$A$4:$A$53,0)),0))</f>
        <v/>
      </c>
      <c r="H1028" s="10" t="str">
        <f aca="false">IF($B1028="","",$D1028*$G1028)</f>
        <v/>
      </c>
      <c r="I1028" s="10" t="str">
        <f aca="false">IF($B1028="","",$F1028*$G1028)</f>
        <v/>
      </c>
      <c r="J1028" s="9"/>
      <c r="K1028" s="10" t="str">
        <f aca="false">IF($B1028="","",$E1028*IFERROR(INDEX(Drinks!$B$4:$B$53,MATCH($B1028,Drinks!$A$4:$A$53,0)),0))</f>
        <v/>
      </c>
      <c r="L1028" s="10" t="str">
        <f aca="false">IF($B1028="","",$J1028+$K1028)</f>
        <v/>
      </c>
      <c r="M1028" s="9"/>
      <c r="N1028" s="10" t="str">
        <f aca="false">IF($B1028="","",$L1028-$M1028)</f>
        <v/>
      </c>
      <c r="O1028" s="10" t="str">
        <f aca="false">IF($B1028="","",IFERROR(INDEX(Drinks!$E$4:$E$53,MATCH($B1028,Drinks!$A$4:$A$53,0)),0))</f>
        <v/>
      </c>
      <c r="P1028" s="10" t="str">
        <f aca="false">IF($B1028="","",$N1028*$O1028)</f>
        <v/>
      </c>
      <c r="Q1028" s="10" t="str">
        <f aca="false">IF($B1028="","",$N1028*IFERROR(INDEX(Drinks!$D$4:$D$53,MATCH($B1028,Drinks!$A$4:$A$53,0)),0))</f>
        <v/>
      </c>
      <c r="R1028" s="10" t="str">
        <f aca="false">IF($B1028="","",$P1028-$Q1028)</f>
        <v/>
      </c>
      <c r="S1028" s="23" t="str">
        <f aca="false">IF($B1028="","",IF(COUNTIFS($A$4:$A$2003,$A1028-1,$B$4:$B$2003,$B1028)=0,"first day",IF(SUMIFS($M$4:$M$2003,$A$4:$A$2003,$A1028-1,$B$4:$B$2003,$B1028)=$J1028,"OK","CHECK")))</f>
        <v/>
      </c>
      <c r="T1028" s="10" t="str">
        <f aca="false">IF($B1028="","",IFERROR(INDEX(Drinks!$D$4:$D$53,MATCH($B1028,Drinks!$A$4:$A$53,0)),0))</f>
        <v/>
      </c>
    </row>
    <row r="1029" customFormat="false" ht="15" hidden="false" customHeight="false" outlineLevel="0" collapsed="false">
      <c r="A1029" s="22"/>
      <c r="B1029" s="9"/>
      <c r="C1029" s="9"/>
      <c r="D1029" s="9"/>
      <c r="E1029" s="9"/>
      <c r="F1029" s="10" t="str">
        <f aca="false">IF($B1029="","",$C1029+$D1029-$E1029)</f>
        <v/>
      </c>
      <c r="G1029" s="10" t="str">
        <f aca="false">IF($B1029="","",IFERROR(INDEX(Drinks!$C$4:$C$53,MATCH($B1029,Drinks!$A$4:$A$53,0)),0))</f>
        <v/>
      </c>
      <c r="H1029" s="10" t="str">
        <f aca="false">IF($B1029="","",$D1029*$G1029)</f>
        <v/>
      </c>
      <c r="I1029" s="10" t="str">
        <f aca="false">IF($B1029="","",$F1029*$G1029)</f>
        <v/>
      </c>
      <c r="J1029" s="9"/>
      <c r="K1029" s="10" t="str">
        <f aca="false">IF($B1029="","",$E1029*IFERROR(INDEX(Drinks!$B$4:$B$53,MATCH($B1029,Drinks!$A$4:$A$53,0)),0))</f>
        <v/>
      </c>
      <c r="L1029" s="10" t="str">
        <f aca="false">IF($B1029="","",$J1029+$K1029)</f>
        <v/>
      </c>
      <c r="M1029" s="9"/>
      <c r="N1029" s="10" t="str">
        <f aca="false">IF($B1029="","",$L1029-$M1029)</f>
        <v/>
      </c>
      <c r="O1029" s="10" t="str">
        <f aca="false">IF($B1029="","",IFERROR(INDEX(Drinks!$E$4:$E$53,MATCH($B1029,Drinks!$A$4:$A$53,0)),0))</f>
        <v/>
      </c>
      <c r="P1029" s="10" t="str">
        <f aca="false">IF($B1029="","",$N1029*$O1029)</f>
        <v/>
      </c>
      <c r="Q1029" s="10" t="str">
        <f aca="false">IF($B1029="","",$N1029*IFERROR(INDEX(Drinks!$D$4:$D$53,MATCH($B1029,Drinks!$A$4:$A$53,0)),0))</f>
        <v/>
      </c>
      <c r="R1029" s="10" t="str">
        <f aca="false">IF($B1029="","",$P1029-$Q1029)</f>
        <v/>
      </c>
      <c r="S1029" s="23" t="str">
        <f aca="false">IF($B1029="","",IF(COUNTIFS($A$4:$A$2003,$A1029-1,$B$4:$B$2003,$B1029)=0,"first day",IF(SUMIFS($M$4:$M$2003,$A$4:$A$2003,$A1029-1,$B$4:$B$2003,$B1029)=$J1029,"OK","CHECK")))</f>
        <v/>
      </c>
      <c r="T1029" s="10" t="str">
        <f aca="false">IF($B1029="","",IFERROR(INDEX(Drinks!$D$4:$D$53,MATCH($B1029,Drinks!$A$4:$A$53,0)),0))</f>
        <v/>
      </c>
    </row>
    <row r="1030" customFormat="false" ht="15" hidden="false" customHeight="false" outlineLevel="0" collapsed="false">
      <c r="A1030" s="22"/>
      <c r="B1030" s="9"/>
      <c r="C1030" s="9"/>
      <c r="D1030" s="9"/>
      <c r="E1030" s="9"/>
      <c r="F1030" s="10" t="str">
        <f aca="false">IF($B1030="","",$C1030+$D1030-$E1030)</f>
        <v/>
      </c>
      <c r="G1030" s="10" t="str">
        <f aca="false">IF($B1030="","",IFERROR(INDEX(Drinks!$C$4:$C$53,MATCH($B1030,Drinks!$A$4:$A$53,0)),0))</f>
        <v/>
      </c>
      <c r="H1030" s="10" t="str">
        <f aca="false">IF($B1030="","",$D1030*$G1030)</f>
        <v/>
      </c>
      <c r="I1030" s="10" t="str">
        <f aca="false">IF($B1030="","",$F1030*$G1030)</f>
        <v/>
      </c>
      <c r="J1030" s="9"/>
      <c r="K1030" s="10" t="str">
        <f aca="false">IF($B1030="","",$E1030*IFERROR(INDEX(Drinks!$B$4:$B$53,MATCH($B1030,Drinks!$A$4:$A$53,0)),0))</f>
        <v/>
      </c>
      <c r="L1030" s="10" t="str">
        <f aca="false">IF($B1030="","",$J1030+$K1030)</f>
        <v/>
      </c>
      <c r="M1030" s="9"/>
      <c r="N1030" s="10" t="str">
        <f aca="false">IF($B1030="","",$L1030-$M1030)</f>
        <v/>
      </c>
      <c r="O1030" s="10" t="str">
        <f aca="false">IF($B1030="","",IFERROR(INDEX(Drinks!$E$4:$E$53,MATCH($B1030,Drinks!$A$4:$A$53,0)),0))</f>
        <v/>
      </c>
      <c r="P1030" s="10" t="str">
        <f aca="false">IF($B1030="","",$N1030*$O1030)</f>
        <v/>
      </c>
      <c r="Q1030" s="10" t="str">
        <f aca="false">IF($B1030="","",$N1030*IFERROR(INDEX(Drinks!$D$4:$D$53,MATCH($B1030,Drinks!$A$4:$A$53,0)),0))</f>
        <v/>
      </c>
      <c r="R1030" s="10" t="str">
        <f aca="false">IF($B1030="","",$P1030-$Q1030)</f>
        <v/>
      </c>
      <c r="S1030" s="23" t="str">
        <f aca="false">IF($B1030="","",IF(COUNTIFS($A$4:$A$2003,$A1030-1,$B$4:$B$2003,$B1030)=0,"first day",IF(SUMIFS($M$4:$M$2003,$A$4:$A$2003,$A1030-1,$B$4:$B$2003,$B1030)=$J1030,"OK","CHECK")))</f>
        <v/>
      </c>
      <c r="T1030" s="10" t="str">
        <f aca="false">IF($B1030="","",IFERROR(INDEX(Drinks!$D$4:$D$53,MATCH($B1030,Drinks!$A$4:$A$53,0)),0))</f>
        <v/>
      </c>
    </row>
    <row r="1031" customFormat="false" ht="15" hidden="false" customHeight="false" outlineLevel="0" collapsed="false">
      <c r="A1031" s="22"/>
      <c r="B1031" s="9"/>
      <c r="C1031" s="9"/>
      <c r="D1031" s="9"/>
      <c r="E1031" s="9"/>
      <c r="F1031" s="10" t="str">
        <f aca="false">IF($B1031="","",$C1031+$D1031-$E1031)</f>
        <v/>
      </c>
      <c r="G1031" s="10" t="str">
        <f aca="false">IF($B1031="","",IFERROR(INDEX(Drinks!$C$4:$C$53,MATCH($B1031,Drinks!$A$4:$A$53,0)),0))</f>
        <v/>
      </c>
      <c r="H1031" s="10" t="str">
        <f aca="false">IF($B1031="","",$D1031*$G1031)</f>
        <v/>
      </c>
      <c r="I1031" s="10" t="str">
        <f aca="false">IF($B1031="","",$F1031*$G1031)</f>
        <v/>
      </c>
      <c r="J1031" s="9"/>
      <c r="K1031" s="10" t="str">
        <f aca="false">IF($B1031="","",$E1031*IFERROR(INDEX(Drinks!$B$4:$B$53,MATCH($B1031,Drinks!$A$4:$A$53,0)),0))</f>
        <v/>
      </c>
      <c r="L1031" s="10" t="str">
        <f aca="false">IF($B1031="","",$J1031+$K1031)</f>
        <v/>
      </c>
      <c r="M1031" s="9"/>
      <c r="N1031" s="10" t="str">
        <f aca="false">IF($B1031="","",$L1031-$M1031)</f>
        <v/>
      </c>
      <c r="O1031" s="10" t="str">
        <f aca="false">IF($B1031="","",IFERROR(INDEX(Drinks!$E$4:$E$53,MATCH($B1031,Drinks!$A$4:$A$53,0)),0))</f>
        <v/>
      </c>
      <c r="P1031" s="10" t="str">
        <f aca="false">IF($B1031="","",$N1031*$O1031)</f>
        <v/>
      </c>
      <c r="Q1031" s="10" t="str">
        <f aca="false">IF($B1031="","",$N1031*IFERROR(INDEX(Drinks!$D$4:$D$53,MATCH($B1031,Drinks!$A$4:$A$53,0)),0))</f>
        <v/>
      </c>
      <c r="R1031" s="10" t="str">
        <f aca="false">IF($B1031="","",$P1031-$Q1031)</f>
        <v/>
      </c>
      <c r="S1031" s="23" t="str">
        <f aca="false">IF($B1031="","",IF(COUNTIFS($A$4:$A$2003,$A1031-1,$B$4:$B$2003,$B1031)=0,"first day",IF(SUMIFS($M$4:$M$2003,$A$4:$A$2003,$A1031-1,$B$4:$B$2003,$B1031)=$J1031,"OK","CHECK")))</f>
        <v/>
      </c>
      <c r="T1031" s="10" t="str">
        <f aca="false">IF($B1031="","",IFERROR(INDEX(Drinks!$D$4:$D$53,MATCH($B1031,Drinks!$A$4:$A$53,0)),0))</f>
        <v/>
      </c>
    </row>
    <row r="1032" customFormat="false" ht="15" hidden="false" customHeight="false" outlineLevel="0" collapsed="false">
      <c r="A1032" s="22"/>
      <c r="B1032" s="9"/>
      <c r="C1032" s="9"/>
      <c r="D1032" s="9"/>
      <c r="E1032" s="9"/>
      <c r="F1032" s="10" t="str">
        <f aca="false">IF($B1032="","",$C1032+$D1032-$E1032)</f>
        <v/>
      </c>
      <c r="G1032" s="10" t="str">
        <f aca="false">IF($B1032="","",IFERROR(INDEX(Drinks!$C$4:$C$53,MATCH($B1032,Drinks!$A$4:$A$53,0)),0))</f>
        <v/>
      </c>
      <c r="H1032" s="10" t="str">
        <f aca="false">IF($B1032="","",$D1032*$G1032)</f>
        <v/>
      </c>
      <c r="I1032" s="10" t="str">
        <f aca="false">IF($B1032="","",$F1032*$G1032)</f>
        <v/>
      </c>
      <c r="J1032" s="9"/>
      <c r="K1032" s="10" t="str">
        <f aca="false">IF($B1032="","",$E1032*IFERROR(INDEX(Drinks!$B$4:$B$53,MATCH($B1032,Drinks!$A$4:$A$53,0)),0))</f>
        <v/>
      </c>
      <c r="L1032" s="10" t="str">
        <f aca="false">IF($B1032="","",$J1032+$K1032)</f>
        <v/>
      </c>
      <c r="M1032" s="9"/>
      <c r="N1032" s="10" t="str">
        <f aca="false">IF($B1032="","",$L1032-$M1032)</f>
        <v/>
      </c>
      <c r="O1032" s="10" t="str">
        <f aca="false">IF($B1032="","",IFERROR(INDEX(Drinks!$E$4:$E$53,MATCH($B1032,Drinks!$A$4:$A$53,0)),0))</f>
        <v/>
      </c>
      <c r="P1032" s="10" t="str">
        <f aca="false">IF($B1032="","",$N1032*$O1032)</f>
        <v/>
      </c>
      <c r="Q1032" s="10" t="str">
        <f aca="false">IF($B1032="","",$N1032*IFERROR(INDEX(Drinks!$D$4:$D$53,MATCH($B1032,Drinks!$A$4:$A$53,0)),0))</f>
        <v/>
      </c>
      <c r="R1032" s="10" t="str">
        <f aca="false">IF($B1032="","",$P1032-$Q1032)</f>
        <v/>
      </c>
      <c r="S1032" s="23" t="str">
        <f aca="false">IF($B1032="","",IF(COUNTIFS($A$4:$A$2003,$A1032-1,$B$4:$B$2003,$B1032)=0,"first day",IF(SUMIFS($M$4:$M$2003,$A$4:$A$2003,$A1032-1,$B$4:$B$2003,$B1032)=$J1032,"OK","CHECK")))</f>
        <v/>
      </c>
      <c r="T1032" s="10" t="str">
        <f aca="false">IF($B1032="","",IFERROR(INDEX(Drinks!$D$4:$D$53,MATCH($B1032,Drinks!$A$4:$A$53,0)),0))</f>
        <v/>
      </c>
    </row>
    <row r="1033" customFormat="false" ht="15" hidden="false" customHeight="false" outlineLevel="0" collapsed="false">
      <c r="A1033" s="22"/>
      <c r="B1033" s="9"/>
      <c r="C1033" s="9"/>
      <c r="D1033" s="9"/>
      <c r="E1033" s="9"/>
      <c r="F1033" s="10" t="str">
        <f aca="false">IF($B1033="","",$C1033+$D1033-$E1033)</f>
        <v/>
      </c>
      <c r="G1033" s="10" t="str">
        <f aca="false">IF($B1033="","",IFERROR(INDEX(Drinks!$C$4:$C$53,MATCH($B1033,Drinks!$A$4:$A$53,0)),0))</f>
        <v/>
      </c>
      <c r="H1033" s="10" t="str">
        <f aca="false">IF($B1033="","",$D1033*$G1033)</f>
        <v/>
      </c>
      <c r="I1033" s="10" t="str">
        <f aca="false">IF($B1033="","",$F1033*$G1033)</f>
        <v/>
      </c>
      <c r="J1033" s="9"/>
      <c r="K1033" s="10" t="str">
        <f aca="false">IF($B1033="","",$E1033*IFERROR(INDEX(Drinks!$B$4:$B$53,MATCH($B1033,Drinks!$A$4:$A$53,0)),0))</f>
        <v/>
      </c>
      <c r="L1033" s="10" t="str">
        <f aca="false">IF($B1033="","",$J1033+$K1033)</f>
        <v/>
      </c>
      <c r="M1033" s="9"/>
      <c r="N1033" s="10" t="str">
        <f aca="false">IF($B1033="","",$L1033-$M1033)</f>
        <v/>
      </c>
      <c r="O1033" s="10" t="str">
        <f aca="false">IF($B1033="","",IFERROR(INDEX(Drinks!$E$4:$E$53,MATCH($B1033,Drinks!$A$4:$A$53,0)),0))</f>
        <v/>
      </c>
      <c r="P1033" s="10" t="str">
        <f aca="false">IF($B1033="","",$N1033*$O1033)</f>
        <v/>
      </c>
      <c r="Q1033" s="10" t="str">
        <f aca="false">IF($B1033="","",$N1033*IFERROR(INDEX(Drinks!$D$4:$D$53,MATCH($B1033,Drinks!$A$4:$A$53,0)),0))</f>
        <v/>
      </c>
      <c r="R1033" s="10" t="str">
        <f aca="false">IF($B1033="","",$P1033-$Q1033)</f>
        <v/>
      </c>
      <c r="S1033" s="23" t="str">
        <f aca="false">IF($B1033="","",IF(COUNTIFS($A$4:$A$2003,$A1033-1,$B$4:$B$2003,$B1033)=0,"first day",IF(SUMIFS($M$4:$M$2003,$A$4:$A$2003,$A1033-1,$B$4:$B$2003,$B1033)=$J1033,"OK","CHECK")))</f>
        <v/>
      </c>
      <c r="T1033" s="10" t="str">
        <f aca="false">IF($B1033="","",IFERROR(INDEX(Drinks!$D$4:$D$53,MATCH($B1033,Drinks!$A$4:$A$53,0)),0))</f>
        <v/>
      </c>
    </row>
    <row r="1034" customFormat="false" ht="15" hidden="false" customHeight="false" outlineLevel="0" collapsed="false">
      <c r="A1034" s="22"/>
      <c r="B1034" s="9"/>
      <c r="C1034" s="9"/>
      <c r="D1034" s="9"/>
      <c r="E1034" s="9"/>
      <c r="F1034" s="10" t="str">
        <f aca="false">IF($B1034="","",$C1034+$D1034-$E1034)</f>
        <v/>
      </c>
      <c r="G1034" s="10" t="str">
        <f aca="false">IF($B1034="","",IFERROR(INDEX(Drinks!$C$4:$C$53,MATCH($B1034,Drinks!$A$4:$A$53,0)),0))</f>
        <v/>
      </c>
      <c r="H1034" s="10" t="str">
        <f aca="false">IF($B1034="","",$D1034*$G1034)</f>
        <v/>
      </c>
      <c r="I1034" s="10" t="str">
        <f aca="false">IF($B1034="","",$F1034*$G1034)</f>
        <v/>
      </c>
      <c r="J1034" s="9"/>
      <c r="K1034" s="10" t="str">
        <f aca="false">IF($B1034="","",$E1034*IFERROR(INDEX(Drinks!$B$4:$B$53,MATCH($B1034,Drinks!$A$4:$A$53,0)),0))</f>
        <v/>
      </c>
      <c r="L1034" s="10" t="str">
        <f aca="false">IF($B1034="","",$J1034+$K1034)</f>
        <v/>
      </c>
      <c r="M1034" s="9"/>
      <c r="N1034" s="10" t="str">
        <f aca="false">IF($B1034="","",$L1034-$M1034)</f>
        <v/>
      </c>
      <c r="O1034" s="10" t="str">
        <f aca="false">IF($B1034="","",IFERROR(INDEX(Drinks!$E$4:$E$53,MATCH($B1034,Drinks!$A$4:$A$53,0)),0))</f>
        <v/>
      </c>
      <c r="P1034" s="10" t="str">
        <f aca="false">IF($B1034="","",$N1034*$O1034)</f>
        <v/>
      </c>
      <c r="Q1034" s="10" t="str">
        <f aca="false">IF($B1034="","",$N1034*IFERROR(INDEX(Drinks!$D$4:$D$53,MATCH($B1034,Drinks!$A$4:$A$53,0)),0))</f>
        <v/>
      </c>
      <c r="R1034" s="10" t="str">
        <f aca="false">IF($B1034="","",$P1034-$Q1034)</f>
        <v/>
      </c>
      <c r="S1034" s="23" t="str">
        <f aca="false">IF($B1034="","",IF(COUNTIFS($A$4:$A$2003,$A1034-1,$B$4:$B$2003,$B1034)=0,"first day",IF(SUMIFS($M$4:$M$2003,$A$4:$A$2003,$A1034-1,$B$4:$B$2003,$B1034)=$J1034,"OK","CHECK")))</f>
        <v/>
      </c>
      <c r="T1034" s="10" t="str">
        <f aca="false">IF($B1034="","",IFERROR(INDEX(Drinks!$D$4:$D$53,MATCH($B1034,Drinks!$A$4:$A$53,0)),0))</f>
        <v/>
      </c>
    </row>
    <row r="1035" customFormat="false" ht="15" hidden="false" customHeight="false" outlineLevel="0" collapsed="false">
      <c r="A1035" s="22"/>
      <c r="B1035" s="9"/>
      <c r="C1035" s="9"/>
      <c r="D1035" s="9"/>
      <c r="E1035" s="9"/>
      <c r="F1035" s="10" t="str">
        <f aca="false">IF($B1035="","",$C1035+$D1035-$E1035)</f>
        <v/>
      </c>
      <c r="G1035" s="10" t="str">
        <f aca="false">IF($B1035="","",IFERROR(INDEX(Drinks!$C$4:$C$53,MATCH($B1035,Drinks!$A$4:$A$53,0)),0))</f>
        <v/>
      </c>
      <c r="H1035" s="10" t="str">
        <f aca="false">IF($B1035="","",$D1035*$G1035)</f>
        <v/>
      </c>
      <c r="I1035" s="10" t="str">
        <f aca="false">IF($B1035="","",$F1035*$G1035)</f>
        <v/>
      </c>
      <c r="J1035" s="9"/>
      <c r="K1035" s="10" t="str">
        <f aca="false">IF($B1035="","",$E1035*IFERROR(INDEX(Drinks!$B$4:$B$53,MATCH($B1035,Drinks!$A$4:$A$53,0)),0))</f>
        <v/>
      </c>
      <c r="L1035" s="10" t="str">
        <f aca="false">IF($B1035="","",$J1035+$K1035)</f>
        <v/>
      </c>
      <c r="M1035" s="9"/>
      <c r="N1035" s="10" t="str">
        <f aca="false">IF($B1035="","",$L1035-$M1035)</f>
        <v/>
      </c>
      <c r="O1035" s="10" t="str">
        <f aca="false">IF($B1035="","",IFERROR(INDEX(Drinks!$E$4:$E$53,MATCH($B1035,Drinks!$A$4:$A$53,0)),0))</f>
        <v/>
      </c>
      <c r="P1035" s="10" t="str">
        <f aca="false">IF($B1035="","",$N1035*$O1035)</f>
        <v/>
      </c>
      <c r="Q1035" s="10" t="str">
        <f aca="false">IF($B1035="","",$N1035*IFERROR(INDEX(Drinks!$D$4:$D$53,MATCH($B1035,Drinks!$A$4:$A$53,0)),0))</f>
        <v/>
      </c>
      <c r="R1035" s="10" t="str">
        <f aca="false">IF($B1035="","",$P1035-$Q1035)</f>
        <v/>
      </c>
      <c r="S1035" s="23" t="str">
        <f aca="false">IF($B1035="","",IF(COUNTIFS($A$4:$A$2003,$A1035-1,$B$4:$B$2003,$B1035)=0,"first day",IF(SUMIFS($M$4:$M$2003,$A$4:$A$2003,$A1035-1,$B$4:$B$2003,$B1035)=$J1035,"OK","CHECK")))</f>
        <v/>
      </c>
      <c r="T1035" s="10" t="str">
        <f aca="false">IF($B1035="","",IFERROR(INDEX(Drinks!$D$4:$D$53,MATCH($B1035,Drinks!$A$4:$A$53,0)),0))</f>
        <v/>
      </c>
    </row>
    <row r="1036" customFormat="false" ht="15" hidden="false" customHeight="false" outlineLevel="0" collapsed="false">
      <c r="A1036" s="22"/>
      <c r="B1036" s="9"/>
      <c r="C1036" s="9"/>
      <c r="D1036" s="9"/>
      <c r="E1036" s="9"/>
      <c r="F1036" s="10" t="str">
        <f aca="false">IF($B1036="","",$C1036+$D1036-$E1036)</f>
        <v/>
      </c>
      <c r="G1036" s="10" t="str">
        <f aca="false">IF($B1036="","",IFERROR(INDEX(Drinks!$C$4:$C$53,MATCH($B1036,Drinks!$A$4:$A$53,0)),0))</f>
        <v/>
      </c>
      <c r="H1036" s="10" t="str">
        <f aca="false">IF($B1036="","",$D1036*$G1036)</f>
        <v/>
      </c>
      <c r="I1036" s="10" t="str">
        <f aca="false">IF($B1036="","",$F1036*$G1036)</f>
        <v/>
      </c>
      <c r="J1036" s="9"/>
      <c r="K1036" s="10" t="str">
        <f aca="false">IF($B1036="","",$E1036*IFERROR(INDEX(Drinks!$B$4:$B$53,MATCH($B1036,Drinks!$A$4:$A$53,0)),0))</f>
        <v/>
      </c>
      <c r="L1036" s="10" t="str">
        <f aca="false">IF($B1036="","",$J1036+$K1036)</f>
        <v/>
      </c>
      <c r="M1036" s="9"/>
      <c r="N1036" s="10" t="str">
        <f aca="false">IF($B1036="","",$L1036-$M1036)</f>
        <v/>
      </c>
      <c r="O1036" s="10" t="str">
        <f aca="false">IF($B1036="","",IFERROR(INDEX(Drinks!$E$4:$E$53,MATCH($B1036,Drinks!$A$4:$A$53,0)),0))</f>
        <v/>
      </c>
      <c r="P1036" s="10" t="str">
        <f aca="false">IF($B1036="","",$N1036*$O1036)</f>
        <v/>
      </c>
      <c r="Q1036" s="10" t="str">
        <f aca="false">IF($B1036="","",$N1036*IFERROR(INDEX(Drinks!$D$4:$D$53,MATCH($B1036,Drinks!$A$4:$A$53,0)),0))</f>
        <v/>
      </c>
      <c r="R1036" s="10" t="str">
        <f aca="false">IF($B1036="","",$P1036-$Q1036)</f>
        <v/>
      </c>
      <c r="S1036" s="23" t="str">
        <f aca="false">IF($B1036="","",IF(COUNTIFS($A$4:$A$2003,$A1036-1,$B$4:$B$2003,$B1036)=0,"first day",IF(SUMIFS($M$4:$M$2003,$A$4:$A$2003,$A1036-1,$B$4:$B$2003,$B1036)=$J1036,"OK","CHECK")))</f>
        <v/>
      </c>
      <c r="T1036" s="10" t="str">
        <f aca="false">IF($B1036="","",IFERROR(INDEX(Drinks!$D$4:$D$53,MATCH($B1036,Drinks!$A$4:$A$53,0)),0))</f>
        <v/>
      </c>
    </row>
    <row r="1037" customFormat="false" ht="15" hidden="false" customHeight="false" outlineLevel="0" collapsed="false">
      <c r="A1037" s="22"/>
      <c r="B1037" s="9"/>
      <c r="C1037" s="9"/>
      <c r="D1037" s="9"/>
      <c r="E1037" s="9"/>
      <c r="F1037" s="10" t="str">
        <f aca="false">IF($B1037="","",$C1037+$D1037-$E1037)</f>
        <v/>
      </c>
      <c r="G1037" s="10" t="str">
        <f aca="false">IF($B1037="","",IFERROR(INDEX(Drinks!$C$4:$C$53,MATCH($B1037,Drinks!$A$4:$A$53,0)),0))</f>
        <v/>
      </c>
      <c r="H1037" s="10" t="str">
        <f aca="false">IF($B1037="","",$D1037*$G1037)</f>
        <v/>
      </c>
      <c r="I1037" s="10" t="str">
        <f aca="false">IF($B1037="","",$F1037*$G1037)</f>
        <v/>
      </c>
      <c r="J1037" s="9"/>
      <c r="K1037" s="10" t="str">
        <f aca="false">IF($B1037="","",$E1037*IFERROR(INDEX(Drinks!$B$4:$B$53,MATCH($B1037,Drinks!$A$4:$A$53,0)),0))</f>
        <v/>
      </c>
      <c r="L1037" s="10" t="str">
        <f aca="false">IF($B1037="","",$J1037+$K1037)</f>
        <v/>
      </c>
      <c r="M1037" s="9"/>
      <c r="N1037" s="10" t="str">
        <f aca="false">IF($B1037="","",$L1037-$M1037)</f>
        <v/>
      </c>
      <c r="O1037" s="10" t="str">
        <f aca="false">IF($B1037="","",IFERROR(INDEX(Drinks!$E$4:$E$53,MATCH($B1037,Drinks!$A$4:$A$53,0)),0))</f>
        <v/>
      </c>
      <c r="P1037" s="10" t="str">
        <f aca="false">IF($B1037="","",$N1037*$O1037)</f>
        <v/>
      </c>
      <c r="Q1037" s="10" t="str">
        <f aca="false">IF($B1037="","",$N1037*IFERROR(INDEX(Drinks!$D$4:$D$53,MATCH($B1037,Drinks!$A$4:$A$53,0)),0))</f>
        <v/>
      </c>
      <c r="R1037" s="10" t="str">
        <f aca="false">IF($B1037="","",$P1037-$Q1037)</f>
        <v/>
      </c>
      <c r="S1037" s="23" t="str">
        <f aca="false">IF($B1037="","",IF(COUNTIFS($A$4:$A$2003,$A1037-1,$B$4:$B$2003,$B1037)=0,"first day",IF(SUMIFS($M$4:$M$2003,$A$4:$A$2003,$A1037-1,$B$4:$B$2003,$B1037)=$J1037,"OK","CHECK")))</f>
        <v/>
      </c>
      <c r="T1037" s="10" t="str">
        <f aca="false">IF($B1037="","",IFERROR(INDEX(Drinks!$D$4:$D$53,MATCH($B1037,Drinks!$A$4:$A$53,0)),0))</f>
        <v/>
      </c>
    </row>
    <row r="1038" customFormat="false" ht="15" hidden="false" customHeight="false" outlineLevel="0" collapsed="false">
      <c r="A1038" s="22"/>
      <c r="B1038" s="9"/>
      <c r="C1038" s="9"/>
      <c r="D1038" s="9"/>
      <c r="E1038" s="9"/>
      <c r="F1038" s="10" t="str">
        <f aca="false">IF($B1038="","",$C1038+$D1038-$E1038)</f>
        <v/>
      </c>
      <c r="G1038" s="10" t="str">
        <f aca="false">IF($B1038="","",IFERROR(INDEX(Drinks!$C$4:$C$53,MATCH($B1038,Drinks!$A$4:$A$53,0)),0))</f>
        <v/>
      </c>
      <c r="H1038" s="10" t="str">
        <f aca="false">IF($B1038="","",$D1038*$G1038)</f>
        <v/>
      </c>
      <c r="I1038" s="10" t="str">
        <f aca="false">IF($B1038="","",$F1038*$G1038)</f>
        <v/>
      </c>
      <c r="J1038" s="9"/>
      <c r="K1038" s="10" t="str">
        <f aca="false">IF($B1038="","",$E1038*IFERROR(INDEX(Drinks!$B$4:$B$53,MATCH($B1038,Drinks!$A$4:$A$53,0)),0))</f>
        <v/>
      </c>
      <c r="L1038" s="10" t="str">
        <f aca="false">IF($B1038="","",$J1038+$K1038)</f>
        <v/>
      </c>
      <c r="M1038" s="9"/>
      <c r="N1038" s="10" t="str">
        <f aca="false">IF($B1038="","",$L1038-$M1038)</f>
        <v/>
      </c>
      <c r="O1038" s="10" t="str">
        <f aca="false">IF($B1038="","",IFERROR(INDEX(Drinks!$E$4:$E$53,MATCH($B1038,Drinks!$A$4:$A$53,0)),0))</f>
        <v/>
      </c>
      <c r="P1038" s="10" t="str">
        <f aca="false">IF($B1038="","",$N1038*$O1038)</f>
        <v/>
      </c>
      <c r="Q1038" s="10" t="str">
        <f aca="false">IF($B1038="","",$N1038*IFERROR(INDEX(Drinks!$D$4:$D$53,MATCH($B1038,Drinks!$A$4:$A$53,0)),0))</f>
        <v/>
      </c>
      <c r="R1038" s="10" t="str">
        <f aca="false">IF($B1038="","",$P1038-$Q1038)</f>
        <v/>
      </c>
      <c r="S1038" s="23" t="str">
        <f aca="false">IF($B1038="","",IF(COUNTIFS($A$4:$A$2003,$A1038-1,$B$4:$B$2003,$B1038)=0,"first day",IF(SUMIFS($M$4:$M$2003,$A$4:$A$2003,$A1038-1,$B$4:$B$2003,$B1038)=$J1038,"OK","CHECK")))</f>
        <v/>
      </c>
      <c r="T1038" s="10" t="str">
        <f aca="false">IF($B1038="","",IFERROR(INDEX(Drinks!$D$4:$D$53,MATCH($B1038,Drinks!$A$4:$A$53,0)),0))</f>
        <v/>
      </c>
    </row>
    <row r="1039" customFormat="false" ht="15" hidden="false" customHeight="false" outlineLevel="0" collapsed="false">
      <c r="A1039" s="22"/>
      <c r="B1039" s="9"/>
      <c r="C1039" s="9"/>
      <c r="D1039" s="9"/>
      <c r="E1039" s="9"/>
      <c r="F1039" s="10" t="str">
        <f aca="false">IF($B1039="","",$C1039+$D1039-$E1039)</f>
        <v/>
      </c>
      <c r="G1039" s="10" t="str">
        <f aca="false">IF($B1039="","",IFERROR(INDEX(Drinks!$C$4:$C$53,MATCH($B1039,Drinks!$A$4:$A$53,0)),0))</f>
        <v/>
      </c>
      <c r="H1039" s="10" t="str">
        <f aca="false">IF($B1039="","",$D1039*$G1039)</f>
        <v/>
      </c>
      <c r="I1039" s="10" t="str">
        <f aca="false">IF($B1039="","",$F1039*$G1039)</f>
        <v/>
      </c>
      <c r="J1039" s="9"/>
      <c r="K1039" s="10" t="str">
        <f aca="false">IF($B1039="","",$E1039*IFERROR(INDEX(Drinks!$B$4:$B$53,MATCH($B1039,Drinks!$A$4:$A$53,0)),0))</f>
        <v/>
      </c>
      <c r="L1039" s="10" t="str">
        <f aca="false">IF($B1039="","",$J1039+$K1039)</f>
        <v/>
      </c>
      <c r="M1039" s="9"/>
      <c r="N1039" s="10" t="str">
        <f aca="false">IF($B1039="","",$L1039-$M1039)</f>
        <v/>
      </c>
      <c r="O1039" s="10" t="str">
        <f aca="false">IF($B1039="","",IFERROR(INDEX(Drinks!$E$4:$E$53,MATCH($B1039,Drinks!$A$4:$A$53,0)),0))</f>
        <v/>
      </c>
      <c r="P1039" s="10" t="str">
        <f aca="false">IF($B1039="","",$N1039*$O1039)</f>
        <v/>
      </c>
      <c r="Q1039" s="10" t="str">
        <f aca="false">IF($B1039="","",$N1039*IFERROR(INDEX(Drinks!$D$4:$D$53,MATCH($B1039,Drinks!$A$4:$A$53,0)),0))</f>
        <v/>
      </c>
      <c r="R1039" s="10" t="str">
        <f aca="false">IF($B1039="","",$P1039-$Q1039)</f>
        <v/>
      </c>
      <c r="S1039" s="23" t="str">
        <f aca="false">IF($B1039="","",IF(COUNTIFS($A$4:$A$2003,$A1039-1,$B$4:$B$2003,$B1039)=0,"first day",IF(SUMIFS($M$4:$M$2003,$A$4:$A$2003,$A1039-1,$B$4:$B$2003,$B1039)=$J1039,"OK","CHECK")))</f>
        <v/>
      </c>
      <c r="T1039" s="10" t="str">
        <f aca="false">IF($B1039="","",IFERROR(INDEX(Drinks!$D$4:$D$53,MATCH($B1039,Drinks!$A$4:$A$53,0)),0))</f>
        <v/>
      </c>
    </row>
    <row r="1040" customFormat="false" ht="15" hidden="false" customHeight="false" outlineLevel="0" collapsed="false">
      <c r="A1040" s="22"/>
      <c r="B1040" s="9"/>
      <c r="C1040" s="9"/>
      <c r="D1040" s="9"/>
      <c r="E1040" s="9"/>
      <c r="F1040" s="10" t="str">
        <f aca="false">IF($B1040="","",$C1040+$D1040-$E1040)</f>
        <v/>
      </c>
      <c r="G1040" s="10" t="str">
        <f aca="false">IF($B1040="","",IFERROR(INDEX(Drinks!$C$4:$C$53,MATCH($B1040,Drinks!$A$4:$A$53,0)),0))</f>
        <v/>
      </c>
      <c r="H1040" s="10" t="str">
        <f aca="false">IF($B1040="","",$D1040*$G1040)</f>
        <v/>
      </c>
      <c r="I1040" s="10" t="str">
        <f aca="false">IF($B1040="","",$F1040*$G1040)</f>
        <v/>
      </c>
      <c r="J1040" s="9"/>
      <c r="K1040" s="10" t="str">
        <f aca="false">IF($B1040="","",$E1040*IFERROR(INDEX(Drinks!$B$4:$B$53,MATCH($B1040,Drinks!$A$4:$A$53,0)),0))</f>
        <v/>
      </c>
      <c r="L1040" s="10" t="str">
        <f aca="false">IF($B1040="","",$J1040+$K1040)</f>
        <v/>
      </c>
      <c r="M1040" s="9"/>
      <c r="N1040" s="10" t="str">
        <f aca="false">IF($B1040="","",$L1040-$M1040)</f>
        <v/>
      </c>
      <c r="O1040" s="10" t="str">
        <f aca="false">IF($B1040="","",IFERROR(INDEX(Drinks!$E$4:$E$53,MATCH($B1040,Drinks!$A$4:$A$53,0)),0))</f>
        <v/>
      </c>
      <c r="P1040" s="10" t="str">
        <f aca="false">IF($B1040="","",$N1040*$O1040)</f>
        <v/>
      </c>
      <c r="Q1040" s="10" t="str">
        <f aca="false">IF($B1040="","",$N1040*IFERROR(INDEX(Drinks!$D$4:$D$53,MATCH($B1040,Drinks!$A$4:$A$53,0)),0))</f>
        <v/>
      </c>
      <c r="R1040" s="10" t="str">
        <f aca="false">IF($B1040="","",$P1040-$Q1040)</f>
        <v/>
      </c>
      <c r="S1040" s="23" t="str">
        <f aca="false">IF($B1040="","",IF(COUNTIFS($A$4:$A$2003,$A1040-1,$B$4:$B$2003,$B1040)=0,"first day",IF(SUMIFS($M$4:$M$2003,$A$4:$A$2003,$A1040-1,$B$4:$B$2003,$B1040)=$J1040,"OK","CHECK")))</f>
        <v/>
      </c>
      <c r="T1040" s="10" t="str">
        <f aca="false">IF($B1040="","",IFERROR(INDEX(Drinks!$D$4:$D$53,MATCH($B1040,Drinks!$A$4:$A$53,0)),0))</f>
        <v/>
      </c>
    </row>
    <row r="1041" customFormat="false" ht="15" hidden="false" customHeight="false" outlineLevel="0" collapsed="false">
      <c r="A1041" s="22"/>
      <c r="B1041" s="9"/>
      <c r="C1041" s="9"/>
      <c r="D1041" s="9"/>
      <c r="E1041" s="9"/>
      <c r="F1041" s="10" t="str">
        <f aca="false">IF($B1041="","",$C1041+$D1041-$E1041)</f>
        <v/>
      </c>
      <c r="G1041" s="10" t="str">
        <f aca="false">IF($B1041="","",IFERROR(INDEX(Drinks!$C$4:$C$53,MATCH($B1041,Drinks!$A$4:$A$53,0)),0))</f>
        <v/>
      </c>
      <c r="H1041" s="10" t="str">
        <f aca="false">IF($B1041="","",$D1041*$G1041)</f>
        <v/>
      </c>
      <c r="I1041" s="10" t="str">
        <f aca="false">IF($B1041="","",$F1041*$G1041)</f>
        <v/>
      </c>
      <c r="J1041" s="9"/>
      <c r="K1041" s="10" t="str">
        <f aca="false">IF($B1041="","",$E1041*IFERROR(INDEX(Drinks!$B$4:$B$53,MATCH($B1041,Drinks!$A$4:$A$53,0)),0))</f>
        <v/>
      </c>
      <c r="L1041" s="10" t="str">
        <f aca="false">IF($B1041="","",$J1041+$K1041)</f>
        <v/>
      </c>
      <c r="M1041" s="9"/>
      <c r="N1041" s="10" t="str">
        <f aca="false">IF($B1041="","",$L1041-$M1041)</f>
        <v/>
      </c>
      <c r="O1041" s="10" t="str">
        <f aca="false">IF($B1041="","",IFERROR(INDEX(Drinks!$E$4:$E$53,MATCH($B1041,Drinks!$A$4:$A$53,0)),0))</f>
        <v/>
      </c>
      <c r="P1041" s="10" t="str">
        <f aca="false">IF($B1041="","",$N1041*$O1041)</f>
        <v/>
      </c>
      <c r="Q1041" s="10" t="str">
        <f aca="false">IF($B1041="","",$N1041*IFERROR(INDEX(Drinks!$D$4:$D$53,MATCH($B1041,Drinks!$A$4:$A$53,0)),0))</f>
        <v/>
      </c>
      <c r="R1041" s="10" t="str">
        <f aca="false">IF($B1041="","",$P1041-$Q1041)</f>
        <v/>
      </c>
      <c r="S1041" s="23" t="str">
        <f aca="false">IF($B1041="","",IF(COUNTIFS($A$4:$A$2003,$A1041-1,$B$4:$B$2003,$B1041)=0,"first day",IF(SUMIFS($M$4:$M$2003,$A$4:$A$2003,$A1041-1,$B$4:$B$2003,$B1041)=$J1041,"OK","CHECK")))</f>
        <v/>
      </c>
      <c r="T1041" s="10" t="str">
        <f aca="false">IF($B1041="","",IFERROR(INDEX(Drinks!$D$4:$D$53,MATCH($B1041,Drinks!$A$4:$A$53,0)),0))</f>
        <v/>
      </c>
    </row>
    <row r="1042" customFormat="false" ht="15" hidden="false" customHeight="false" outlineLevel="0" collapsed="false">
      <c r="A1042" s="22"/>
      <c r="B1042" s="9"/>
      <c r="C1042" s="9"/>
      <c r="D1042" s="9"/>
      <c r="E1042" s="9"/>
      <c r="F1042" s="10" t="str">
        <f aca="false">IF($B1042="","",$C1042+$D1042-$E1042)</f>
        <v/>
      </c>
      <c r="G1042" s="10" t="str">
        <f aca="false">IF($B1042="","",IFERROR(INDEX(Drinks!$C$4:$C$53,MATCH($B1042,Drinks!$A$4:$A$53,0)),0))</f>
        <v/>
      </c>
      <c r="H1042" s="10" t="str">
        <f aca="false">IF($B1042="","",$D1042*$G1042)</f>
        <v/>
      </c>
      <c r="I1042" s="10" t="str">
        <f aca="false">IF($B1042="","",$F1042*$G1042)</f>
        <v/>
      </c>
      <c r="J1042" s="9"/>
      <c r="K1042" s="10" t="str">
        <f aca="false">IF($B1042="","",$E1042*IFERROR(INDEX(Drinks!$B$4:$B$53,MATCH($B1042,Drinks!$A$4:$A$53,0)),0))</f>
        <v/>
      </c>
      <c r="L1042" s="10" t="str">
        <f aca="false">IF($B1042="","",$J1042+$K1042)</f>
        <v/>
      </c>
      <c r="M1042" s="9"/>
      <c r="N1042" s="10" t="str">
        <f aca="false">IF($B1042="","",$L1042-$M1042)</f>
        <v/>
      </c>
      <c r="O1042" s="10" t="str">
        <f aca="false">IF($B1042="","",IFERROR(INDEX(Drinks!$E$4:$E$53,MATCH($B1042,Drinks!$A$4:$A$53,0)),0))</f>
        <v/>
      </c>
      <c r="P1042" s="10" t="str">
        <f aca="false">IF($B1042="","",$N1042*$O1042)</f>
        <v/>
      </c>
      <c r="Q1042" s="10" t="str">
        <f aca="false">IF($B1042="","",$N1042*IFERROR(INDEX(Drinks!$D$4:$D$53,MATCH($B1042,Drinks!$A$4:$A$53,0)),0))</f>
        <v/>
      </c>
      <c r="R1042" s="10" t="str">
        <f aca="false">IF($B1042="","",$P1042-$Q1042)</f>
        <v/>
      </c>
      <c r="S1042" s="23" t="str">
        <f aca="false">IF($B1042="","",IF(COUNTIFS($A$4:$A$2003,$A1042-1,$B$4:$B$2003,$B1042)=0,"first day",IF(SUMIFS($M$4:$M$2003,$A$4:$A$2003,$A1042-1,$B$4:$B$2003,$B1042)=$J1042,"OK","CHECK")))</f>
        <v/>
      </c>
      <c r="T1042" s="10" t="str">
        <f aca="false">IF($B1042="","",IFERROR(INDEX(Drinks!$D$4:$D$53,MATCH($B1042,Drinks!$A$4:$A$53,0)),0))</f>
        <v/>
      </c>
    </row>
    <row r="1043" customFormat="false" ht="15" hidden="false" customHeight="false" outlineLevel="0" collapsed="false">
      <c r="A1043" s="22"/>
      <c r="B1043" s="9"/>
      <c r="C1043" s="9"/>
      <c r="D1043" s="9"/>
      <c r="E1043" s="9"/>
      <c r="F1043" s="10" t="str">
        <f aca="false">IF($B1043="","",$C1043+$D1043-$E1043)</f>
        <v/>
      </c>
      <c r="G1043" s="10" t="str">
        <f aca="false">IF($B1043="","",IFERROR(INDEX(Drinks!$C$4:$C$53,MATCH($B1043,Drinks!$A$4:$A$53,0)),0))</f>
        <v/>
      </c>
      <c r="H1043" s="10" t="str">
        <f aca="false">IF($B1043="","",$D1043*$G1043)</f>
        <v/>
      </c>
      <c r="I1043" s="10" t="str">
        <f aca="false">IF($B1043="","",$F1043*$G1043)</f>
        <v/>
      </c>
      <c r="J1043" s="9"/>
      <c r="K1043" s="10" t="str">
        <f aca="false">IF($B1043="","",$E1043*IFERROR(INDEX(Drinks!$B$4:$B$53,MATCH($B1043,Drinks!$A$4:$A$53,0)),0))</f>
        <v/>
      </c>
      <c r="L1043" s="10" t="str">
        <f aca="false">IF($B1043="","",$J1043+$K1043)</f>
        <v/>
      </c>
      <c r="M1043" s="9"/>
      <c r="N1043" s="10" t="str">
        <f aca="false">IF($B1043="","",$L1043-$M1043)</f>
        <v/>
      </c>
      <c r="O1043" s="10" t="str">
        <f aca="false">IF($B1043="","",IFERROR(INDEX(Drinks!$E$4:$E$53,MATCH($B1043,Drinks!$A$4:$A$53,0)),0))</f>
        <v/>
      </c>
      <c r="P1043" s="10" t="str">
        <f aca="false">IF($B1043="","",$N1043*$O1043)</f>
        <v/>
      </c>
      <c r="Q1043" s="10" t="str">
        <f aca="false">IF($B1043="","",$N1043*IFERROR(INDEX(Drinks!$D$4:$D$53,MATCH($B1043,Drinks!$A$4:$A$53,0)),0))</f>
        <v/>
      </c>
      <c r="R1043" s="10" t="str">
        <f aca="false">IF($B1043="","",$P1043-$Q1043)</f>
        <v/>
      </c>
      <c r="S1043" s="23" t="str">
        <f aca="false">IF($B1043="","",IF(COUNTIFS($A$4:$A$2003,$A1043-1,$B$4:$B$2003,$B1043)=0,"first day",IF(SUMIFS($M$4:$M$2003,$A$4:$A$2003,$A1043-1,$B$4:$B$2003,$B1043)=$J1043,"OK","CHECK")))</f>
        <v/>
      </c>
      <c r="T1043" s="10" t="str">
        <f aca="false">IF($B1043="","",IFERROR(INDEX(Drinks!$D$4:$D$53,MATCH($B1043,Drinks!$A$4:$A$53,0)),0))</f>
        <v/>
      </c>
    </row>
    <row r="1044" customFormat="false" ht="15" hidden="false" customHeight="false" outlineLevel="0" collapsed="false">
      <c r="A1044" s="22"/>
      <c r="B1044" s="9"/>
      <c r="C1044" s="9"/>
      <c r="D1044" s="9"/>
      <c r="E1044" s="9"/>
      <c r="F1044" s="10" t="str">
        <f aca="false">IF($B1044="","",$C1044+$D1044-$E1044)</f>
        <v/>
      </c>
      <c r="G1044" s="10" t="str">
        <f aca="false">IF($B1044="","",IFERROR(INDEX(Drinks!$C$4:$C$53,MATCH($B1044,Drinks!$A$4:$A$53,0)),0))</f>
        <v/>
      </c>
      <c r="H1044" s="10" t="str">
        <f aca="false">IF($B1044="","",$D1044*$G1044)</f>
        <v/>
      </c>
      <c r="I1044" s="10" t="str">
        <f aca="false">IF($B1044="","",$F1044*$G1044)</f>
        <v/>
      </c>
      <c r="J1044" s="9"/>
      <c r="K1044" s="10" t="str">
        <f aca="false">IF($B1044="","",$E1044*IFERROR(INDEX(Drinks!$B$4:$B$53,MATCH($B1044,Drinks!$A$4:$A$53,0)),0))</f>
        <v/>
      </c>
      <c r="L1044" s="10" t="str">
        <f aca="false">IF($B1044="","",$J1044+$K1044)</f>
        <v/>
      </c>
      <c r="M1044" s="9"/>
      <c r="N1044" s="10" t="str">
        <f aca="false">IF($B1044="","",$L1044-$M1044)</f>
        <v/>
      </c>
      <c r="O1044" s="10" t="str">
        <f aca="false">IF($B1044="","",IFERROR(INDEX(Drinks!$E$4:$E$53,MATCH($B1044,Drinks!$A$4:$A$53,0)),0))</f>
        <v/>
      </c>
      <c r="P1044" s="10" t="str">
        <f aca="false">IF($B1044="","",$N1044*$O1044)</f>
        <v/>
      </c>
      <c r="Q1044" s="10" t="str">
        <f aca="false">IF($B1044="","",$N1044*IFERROR(INDEX(Drinks!$D$4:$D$53,MATCH($B1044,Drinks!$A$4:$A$53,0)),0))</f>
        <v/>
      </c>
      <c r="R1044" s="10" t="str">
        <f aca="false">IF($B1044="","",$P1044-$Q1044)</f>
        <v/>
      </c>
      <c r="S1044" s="23" t="str">
        <f aca="false">IF($B1044="","",IF(COUNTIFS($A$4:$A$2003,$A1044-1,$B$4:$B$2003,$B1044)=0,"first day",IF(SUMIFS($M$4:$M$2003,$A$4:$A$2003,$A1044-1,$B$4:$B$2003,$B1044)=$J1044,"OK","CHECK")))</f>
        <v/>
      </c>
      <c r="T1044" s="10" t="str">
        <f aca="false">IF($B1044="","",IFERROR(INDEX(Drinks!$D$4:$D$53,MATCH($B1044,Drinks!$A$4:$A$53,0)),0))</f>
        <v/>
      </c>
    </row>
    <row r="1045" customFormat="false" ht="15" hidden="false" customHeight="false" outlineLevel="0" collapsed="false">
      <c r="A1045" s="22"/>
      <c r="B1045" s="9"/>
      <c r="C1045" s="9"/>
      <c r="D1045" s="9"/>
      <c r="E1045" s="9"/>
      <c r="F1045" s="10" t="str">
        <f aca="false">IF($B1045="","",$C1045+$D1045-$E1045)</f>
        <v/>
      </c>
      <c r="G1045" s="10" t="str">
        <f aca="false">IF($B1045="","",IFERROR(INDEX(Drinks!$C$4:$C$53,MATCH($B1045,Drinks!$A$4:$A$53,0)),0))</f>
        <v/>
      </c>
      <c r="H1045" s="10" t="str">
        <f aca="false">IF($B1045="","",$D1045*$G1045)</f>
        <v/>
      </c>
      <c r="I1045" s="10" t="str">
        <f aca="false">IF($B1045="","",$F1045*$G1045)</f>
        <v/>
      </c>
      <c r="J1045" s="9"/>
      <c r="K1045" s="10" t="str">
        <f aca="false">IF($B1045="","",$E1045*IFERROR(INDEX(Drinks!$B$4:$B$53,MATCH($B1045,Drinks!$A$4:$A$53,0)),0))</f>
        <v/>
      </c>
      <c r="L1045" s="10" t="str">
        <f aca="false">IF($B1045="","",$J1045+$K1045)</f>
        <v/>
      </c>
      <c r="M1045" s="9"/>
      <c r="N1045" s="10" t="str">
        <f aca="false">IF($B1045="","",$L1045-$M1045)</f>
        <v/>
      </c>
      <c r="O1045" s="10" t="str">
        <f aca="false">IF($B1045="","",IFERROR(INDEX(Drinks!$E$4:$E$53,MATCH($B1045,Drinks!$A$4:$A$53,0)),0))</f>
        <v/>
      </c>
      <c r="P1045" s="10" t="str">
        <f aca="false">IF($B1045="","",$N1045*$O1045)</f>
        <v/>
      </c>
      <c r="Q1045" s="10" t="str">
        <f aca="false">IF($B1045="","",$N1045*IFERROR(INDEX(Drinks!$D$4:$D$53,MATCH($B1045,Drinks!$A$4:$A$53,0)),0))</f>
        <v/>
      </c>
      <c r="R1045" s="10" t="str">
        <f aca="false">IF($B1045="","",$P1045-$Q1045)</f>
        <v/>
      </c>
      <c r="S1045" s="23" t="str">
        <f aca="false">IF($B1045="","",IF(COUNTIFS($A$4:$A$2003,$A1045-1,$B$4:$B$2003,$B1045)=0,"first day",IF(SUMIFS($M$4:$M$2003,$A$4:$A$2003,$A1045-1,$B$4:$B$2003,$B1045)=$J1045,"OK","CHECK")))</f>
        <v/>
      </c>
      <c r="T1045" s="10" t="str">
        <f aca="false">IF($B1045="","",IFERROR(INDEX(Drinks!$D$4:$D$53,MATCH($B1045,Drinks!$A$4:$A$53,0)),0))</f>
        <v/>
      </c>
    </row>
    <row r="1046" customFormat="false" ht="15" hidden="false" customHeight="false" outlineLevel="0" collapsed="false">
      <c r="A1046" s="22"/>
      <c r="B1046" s="9"/>
      <c r="C1046" s="9"/>
      <c r="D1046" s="9"/>
      <c r="E1046" s="9"/>
      <c r="F1046" s="10" t="str">
        <f aca="false">IF($B1046="","",$C1046+$D1046-$E1046)</f>
        <v/>
      </c>
      <c r="G1046" s="10" t="str">
        <f aca="false">IF($B1046="","",IFERROR(INDEX(Drinks!$C$4:$C$53,MATCH($B1046,Drinks!$A$4:$A$53,0)),0))</f>
        <v/>
      </c>
      <c r="H1046" s="10" t="str">
        <f aca="false">IF($B1046="","",$D1046*$G1046)</f>
        <v/>
      </c>
      <c r="I1046" s="10" t="str">
        <f aca="false">IF($B1046="","",$F1046*$G1046)</f>
        <v/>
      </c>
      <c r="J1046" s="9"/>
      <c r="K1046" s="10" t="str">
        <f aca="false">IF($B1046="","",$E1046*IFERROR(INDEX(Drinks!$B$4:$B$53,MATCH($B1046,Drinks!$A$4:$A$53,0)),0))</f>
        <v/>
      </c>
      <c r="L1046" s="10" t="str">
        <f aca="false">IF($B1046="","",$J1046+$K1046)</f>
        <v/>
      </c>
      <c r="M1046" s="9"/>
      <c r="N1046" s="10" t="str">
        <f aca="false">IF($B1046="","",$L1046-$M1046)</f>
        <v/>
      </c>
      <c r="O1046" s="10" t="str">
        <f aca="false">IF($B1046="","",IFERROR(INDEX(Drinks!$E$4:$E$53,MATCH($B1046,Drinks!$A$4:$A$53,0)),0))</f>
        <v/>
      </c>
      <c r="P1046" s="10" t="str">
        <f aca="false">IF($B1046="","",$N1046*$O1046)</f>
        <v/>
      </c>
      <c r="Q1046" s="10" t="str">
        <f aca="false">IF($B1046="","",$N1046*IFERROR(INDEX(Drinks!$D$4:$D$53,MATCH($B1046,Drinks!$A$4:$A$53,0)),0))</f>
        <v/>
      </c>
      <c r="R1046" s="10" t="str">
        <f aca="false">IF($B1046="","",$P1046-$Q1046)</f>
        <v/>
      </c>
      <c r="S1046" s="23" t="str">
        <f aca="false">IF($B1046="","",IF(COUNTIFS($A$4:$A$2003,$A1046-1,$B$4:$B$2003,$B1046)=0,"first day",IF(SUMIFS($M$4:$M$2003,$A$4:$A$2003,$A1046-1,$B$4:$B$2003,$B1046)=$J1046,"OK","CHECK")))</f>
        <v/>
      </c>
      <c r="T1046" s="10" t="str">
        <f aca="false">IF($B1046="","",IFERROR(INDEX(Drinks!$D$4:$D$53,MATCH($B1046,Drinks!$A$4:$A$53,0)),0))</f>
        <v/>
      </c>
    </row>
    <row r="1047" customFormat="false" ht="15" hidden="false" customHeight="false" outlineLevel="0" collapsed="false">
      <c r="A1047" s="22"/>
      <c r="B1047" s="9"/>
      <c r="C1047" s="9"/>
      <c r="D1047" s="9"/>
      <c r="E1047" s="9"/>
      <c r="F1047" s="10" t="str">
        <f aca="false">IF($B1047="","",$C1047+$D1047-$E1047)</f>
        <v/>
      </c>
      <c r="G1047" s="10" t="str">
        <f aca="false">IF($B1047="","",IFERROR(INDEX(Drinks!$C$4:$C$53,MATCH($B1047,Drinks!$A$4:$A$53,0)),0))</f>
        <v/>
      </c>
      <c r="H1047" s="10" t="str">
        <f aca="false">IF($B1047="","",$D1047*$G1047)</f>
        <v/>
      </c>
      <c r="I1047" s="10" t="str">
        <f aca="false">IF($B1047="","",$F1047*$G1047)</f>
        <v/>
      </c>
      <c r="J1047" s="9"/>
      <c r="K1047" s="10" t="str">
        <f aca="false">IF($B1047="","",$E1047*IFERROR(INDEX(Drinks!$B$4:$B$53,MATCH($B1047,Drinks!$A$4:$A$53,0)),0))</f>
        <v/>
      </c>
      <c r="L1047" s="10" t="str">
        <f aca="false">IF($B1047="","",$J1047+$K1047)</f>
        <v/>
      </c>
      <c r="M1047" s="9"/>
      <c r="N1047" s="10" t="str">
        <f aca="false">IF($B1047="","",$L1047-$M1047)</f>
        <v/>
      </c>
      <c r="O1047" s="10" t="str">
        <f aca="false">IF($B1047="","",IFERROR(INDEX(Drinks!$E$4:$E$53,MATCH($B1047,Drinks!$A$4:$A$53,0)),0))</f>
        <v/>
      </c>
      <c r="P1047" s="10" t="str">
        <f aca="false">IF($B1047="","",$N1047*$O1047)</f>
        <v/>
      </c>
      <c r="Q1047" s="10" t="str">
        <f aca="false">IF($B1047="","",$N1047*IFERROR(INDEX(Drinks!$D$4:$D$53,MATCH($B1047,Drinks!$A$4:$A$53,0)),0))</f>
        <v/>
      </c>
      <c r="R1047" s="10" t="str">
        <f aca="false">IF($B1047="","",$P1047-$Q1047)</f>
        <v/>
      </c>
      <c r="S1047" s="23" t="str">
        <f aca="false">IF($B1047="","",IF(COUNTIFS($A$4:$A$2003,$A1047-1,$B$4:$B$2003,$B1047)=0,"first day",IF(SUMIFS($M$4:$M$2003,$A$4:$A$2003,$A1047-1,$B$4:$B$2003,$B1047)=$J1047,"OK","CHECK")))</f>
        <v/>
      </c>
      <c r="T1047" s="10" t="str">
        <f aca="false">IF($B1047="","",IFERROR(INDEX(Drinks!$D$4:$D$53,MATCH($B1047,Drinks!$A$4:$A$53,0)),0))</f>
        <v/>
      </c>
    </row>
    <row r="1048" customFormat="false" ht="15" hidden="false" customHeight="false" outlineLevel="0" collapsed="false">
      <c r="A1048" s="22"/>
      <c r="B1048" s="9"/>
      <c r="C1048" s="9"/>
      <c r="D1048" s="9"/>
      <c r="E1048" s="9"/>
      <c r="F1048" s="10" t="str">
        <f aca="false">IF($B1048="","",$C1048+$D1048-$E1048)</f>
        <v/>
      </c>
      <c r="G1048" s="10" t="str">
        <f aca="false">IF($B1048="","",IFERROR(INDEX(Drinks!$C$4:$C$53,MATCH($B1048,Drinks!$A$4:$A$53,0)),0))</f>
        <v/>
      </c>
      <c r="H1048" s="10" t="str">
        <f aca="false">IF($B1048="","",$D1048*$G1048)</f>
        <v/>
      </c>
      <c r="I1048" s="10" t="str">
        <f aca="false">IF($B1048="","",$F1048*$G1048)</f>
        <v/>
      </c>
      <c r="J1048" s="9"/>
      <c r="K1048" s="10" t="str">
        <f aca="false">IF($B1048="","",$E1048*IFERROR(INDEX(Drinks!$B$4:$B$53,MATCH($B1048,Drinks!$A$4:$A$53,0)),0))</f>
        <v/>
      </c>
      <c r="L1048" s="10" t="str">
        <f aca="false">IF($B1048="","",$J1048+$K1048)</f>
        <v/>
      </c>
      <c r="M1048" s="9"/>
      <c r="N1048" s="10" t="str">
        <f aca="false">IF($B1048="","",$L1048-$M1048)</f>
        <v/>
      </c>
      <c r="O1048" s="10" t="str">
        <f aca="false">IF($B1048="","",IFERROR(INDEX(Drinks!$E$4:$E$53,MATCH($B1048,Drinks!$A$4:$A$53,0)),0))</f>
        <v/>
      </c>
      <c r="P1048" s="10" t="str">
        <f aca="false">IF($B1048="","",$N1048*$O1048)</f>
        <v/>
      </c>
      <c r="Q1048" s="10" t="str">
        <f aca="false">IF($B1048="","",$N1048*IFERROR(INDEX(Drinks!$D$4:$D$53,MATCH($B1048,Drinks!$A$4:$A$53,0)),0))</f>
        <v/>
      </c>
      <c r="R1048" s="10" t="str">
        <f aca="false">IF($B1048="","",$P1048-$Q1048)</f>
        <v/>
      </c>
      <c r="S1048" s="23" t="str">
        <f aca="false">IF($B1048="","",IF(COUNTIFS($A$4:$A$2003,$A1048-1,$B$4:$B$2003,$B1048)=0,"first day",IF(SUMIFS($M$4:$M$2003,$A$4:$A$2003,$A1048-1,$B$4:$B$2003,$B1048)=$J1048,"OK","CHECK")))</f>
        <v/>
      </c>
      <c r="T1048" s="10" t="str">
        <f aca="false">IF($B1048="","",IFERROR(INDEX(Drinks!$D$4:$D$53,MATCH($B1048,Drinks!$A$4:$A$53,0)),0))</f>
        <v/>
      </c>
    </row>
    <row r="1049" customFormat="false" ht="15" hidden="false" customHeight="false" outlineLevel="0" collapsed="false">
      <c r="A1049" s="22"/>
      <c r="B1049" s="9"/>
      <c r="C1049" s="9"/>
      <c r="D1049" s="9"/>
      <c r="E1049" s="9"/>
      <c r="F1049" s="10" t="str">
        <f aca="false">IF($B1049="","",$C1049+$D1049-$E1049)</f>
        <v/>
      </c>
      <c r="G1049" s="10" t="str">
        <f aca="false">IF($B1049="","",IFERROR(INDEX(Drinks!$C$4:$C$53,MATCH($B1049,Drinks!$A$4:$A$53,0)),0))</f>
        <v/>
      </c>
      <c r="H1049" s="10" t="str">
        <f aca="false">IF($B1049="","",$D1049*$G1049)</f>
        <v/>
      </c>
      <c r="I1049" s="10" t="str">
        <f aca="false">IF($B1049="","",$F1049*$G1049)</f>
        <v/>
      </c>
      <c r="J1049" s="9"/>
      <c r="K1049" s="10" t="str">
        <f aca="false">IF($B1049="","",$E1049*IFERROR(INDEX(Drinks!$B$4:$B$53,MATCH($B1049,Drinks!$A$4:$A$53,0)),0))</f>
        <v/>
      </c>
      <c r="L1049" s="10" t="str">
        <f aca="false">IF($B1049="","",$J1049+$K1049)</f>
        <v/>
      </c>
      <c r="M1049" s="9"/>
      <c r="N1049" s="10" t="str">
        <f aca="false">IF($B1049="","",$L1049-$M1049)</f>
        <v/>
      </c>
      <c r="O1049" s="10" t="str">
        <f aca="false">IF($B1049="","",IFERROR(INDEX(Drinks!$E$4:$E$53,MATCH($B1049,Drinks!$A$4:$A$53,0)),0))</f>
        <v/>
      </c>
      <c r="P1049" s="10" t="str">
        <f aca="false">IF($B1049="","",$N1049*$O1049)</f>
        <v/>
      </c>
      <c r="Q1049" s="10" t="str">
        <f aca="false">IF($B1049="","",$N1049*IFERROR(INDEX(Drinks!$D$4:$D$53,MATCH($B1049,Drinks!$A$4:$A$53,0)),0))</f>
        <v/>
      </c>
      <c r="R1049" s="10" t="str">
        <f aca="false">IF($B1049="","",$P1049-$Q1049)</f>
        <v/>
      </c>
      <c r="S1049" s="23" t="str">
        <f aca="false">IF($B1049="","",IF(COUNTIFS($A$4:$A$2003,$A1049-1,$B$4:$B$2003,$B1049)=0,"first day",IF(SUMIFS($M$4:$M$2003,$A$4:$A$2003,$A1049-1,$B$4:$B$2003,$B1049)=$J1049,"OK","CHECK")))</f>
        <v/>
      </c>
      <c r="T1049" s="10" t="str">
        <f aca="false">IF($B1049="","",IFERROR(INDEX(Drinks!$D$4:$D$53,MATCH($B1049,Drinks!$A$4:$A$53,0)),0))</f>
        <v/>
      </c>
    </row>
    <row r="1050" customFormat="false" ht="15" hidden="false" customHeight="false" outlineLevel="0" collapsed="false">
      <c r="A1050" s="22"/>
      <c r="B1050" s="9"/>
      <c r="C1050" s="9"/>
      <c r="D1050" s="9"/>
      <c r="E1050" s="9"/>
      <c r="F1050" s="10" t="str">
        <f aca="false">IF($B1050="","",$C1050+$D1050-$E1050)</f>
        <v/>
      </c>
      <c r="G1050" s="10" t="str">
        <f aca="false">IF($B1050="","",IFERROR(INDEX(Drinks!$C$4:$C$53,MATCH($B1050,Drinks!$A$4:$A$53,0)),0))</f>
        <v/>
      </c>
      <c r="H1050" s="10" t="str">
        <f aca="false">IF($B1050="","",$D1050*$G1050)</f>
        <v/>
      </c>
      <c r="I1050" s="10" t="str">
        <f aca="false">IF($B1050="","",$F1050*$G1050)</f>
        <v/>
      </c>
      <c r="J1050" s="9"/>
      <c r="K1050" s="10" t="str">
        <f aca="false">IF($B1050="","",$E1050*IFERROR(INDEX(Drinks!$B$4:$B$53,MATCH($B1050,Drinks!$A$4:$A$53,0)),0))</f>
        <v/>
      </c>
      <c r="L1050" s="10" t="str">
        <f aca="false">IF($B1050="","",$J1050+$K1050)</f>
        <v/>
      </c>
      <c r="M1050" s="9"/>
      <c r="N1050" s="10" t="str">
        <f aca="false">IF($B1050="","",$L1050-$M1050)</f>
        <v/>
      </c>
      <c r="O1050" s="10" t="str">
        <f aca="false">IF($B1050="","",IFERROR(INDEX(Drinks!$E$4:$E$53,MATCH($B1050,Drinks!$A$4:$A$53,0)),0))</f>
        <v/>
      </c>
      <c r="P1050" s="10" t="str">
        <f aca="false">IF($B1050="","",$N1050*$O1050)</f>
        <v/>
      </c>
      <c r="Q1050" s="10" t="str">
        <f aca="false">IF($B1050="","",$N1050*IFERROR(INDEX(Drinks!$D$4:$D$53,MATCH($B1050,Drinks!$A$4:$A$53,0)),0))</f>
        <v/>
      </c>
      <c r="R1050" s="10" t="str">
        <f aca="false">IF($B1050="","",$P1050-$Q1050)</f>
        <v/>
      </c>
      <c r="S1050" s="23" t="str">
        <f aca="false">IF($B1050="","",IF(COUNTIFS($A$4:$A$2003,$A1050-1,$B$4:$B$2003,$B1050)=0,"first day",IF(SUMIFS($M$4:$M$2003,$A$4:$A$2003,$A1050-1,$B$4:$B$2003,$B1050)=$J1050,"OK","CHECK")))</f>
        <v/>
      </c>
      <c r="T1050" s="10" t="str">
        <f aca="false">IF($B1050="","",IFERROR(INDEX(Drinks!$D$4:$D$53,MATCH($B1050,Drinks!$A$4:$A$53,0)),0))</f>
        <v/>
      </c>
    </row>
    <row r="1051" customFormat="false" ht="15" hidden="false" customHeight="false" outlineLevel="0" collapsed="false">
      <c r="A1051" s="22"/>
      <c r="B1051" s="9"/>
      <c r="C1051" s="9"/>
      <c r="D1051" s="9"/>
      <c r="E1051" s="9"/>
      <c r="F1051" s="10" t="str">
        <f aca="false">IF($B1051="","",$C1051+$D1051-$E1051)</f>
        <v/>
      </c>
      <c r="G1051" s="10" t="str">
        <f aca="false">IF($B1051="","",IFERROR(INDEX(Drinks!$C$4:$C$53,MATCH($B1051,Drinks!$A$4:$A$53,0)),0))</f>
        <v/>
      </c>
      <c r="H1051" s="10" t="str">
        <f aca="false">IF($B1051="","",$D1051*$G1051)</f>
        <v/>
      </c>
      <c r="I1051" s="10" t="str">
        <f aca="false">IF($B1051="","",$F1051*$G1051)</f>
        <v/>
      </c>
      <c r="J1051" s="9"/>
      <c r="K1051" s="10" t="str">
        <f aca="false">IF($B1051="","",$E1051*IFERROR(INDEX(Drinks!$B$4:$B$53,MATCH($B1051,Drinks!$A$4:$A$53,0)),0))</f>
        <v/>
      </c>
      <c r="L1051" s="10" t="str">
        <f aca="false">IF($B1051="","",$J1051+$K1051)</f>
        <v/>
      </c>
      <c r="M1051" s="9"/>
      <c r="N1051" s="10" t="str">
        <f aca="false">IF($B1051="","",$L1051-$M1051)</f>
        <v/>
      </c>
      <c r="O1051" s="10" t="str">
        <f aca="false">IF($B1051="","",IFERROR(INDEX(Drinks!$E$4:$E$53,MATCH($B1051,Drinks!$A$4:$A$53,0)),0))</f>
        <v/>
      </c>
      <c r="P1051" s="10" t="str">
        <f aca="false">IF($B1051="","",$N1051*$O1051)</f>
        <v/>
      </c>
      <c r="Q1051" s="10" t="str">
        <f aca="false">IF($B1051="","",$N1051*IFERROR(INDEX(Drinks!$D$4:$D$53,MATCH($B1051,Drinks!$A$4:$A$53,0)),0))</f>
        <v/>
      </c>
      <c r="R1051" s="10" t="str">
        <f aca="false">IF($B1051="","",$P1051-$Q1051)</f>
        <v/>
      </c>
      <c r="S1051" s="23" t="str">
        <f aca="false">IF($B1051="","",IF(COUNTIFS($A$4:$A$2003,$A1051-1,$B$4:$B$2003,$B1051)=0,"first day",IF(SUMIFS($M$4:$M$2003,$A$4:$A$2003,$A1051-1,$B$4:$B$2003,$B1051)=$J1051,"OK","CHECK")))</f>
        <v/>
      </c>
      <c r="T1051" s="10" t="str">
        <f aca="false">IF($B1051="","",IFERROR(INDEX(Drinks!$D$4:$D$53,MATCH($B1051,Drinks!$A$4:$A$53,0)),0))</f>
        <v/>
      </c>
    </row>
    <row r="1052" customFormat="false" ht="15" hidden="false" customHeight="false" outlineLevel="0" collapsed="false">
      <c r="A1052" s="22"/>
      <c r="B1052" s="9"/>
      <c r="C1052" s="9"/>
      <c r="D1052" s="9"/>
      <c r="E1052" s="9"/>
      <c r="F1052" s="10" t="str">
        <f aca="false">IF($B1052="","",$C1052+$D1052-$E1052)</f>
        <v/>
      </c>
      <c r="G1052" s="10" t="str">
        <f aca="false">IF($B1052="","",IFERROR(INDEX(Drinks!$C$4:$C$53,MATCH($B1052,Drinks!$A$4:$A$53,0)),0))</f>
        <v/>
      </c>
      <c r="H1052" s="10" t="str">
        <f aca="false">IF($B1052="","",$D1052*$G1052)</f>
        <v/>
      </c>
      <c r="I1052" s="10" t="str">
        <f aca="false">IF($B1052="","",$F1052*$G1052)</f>
        <v/>
      </c>
      <c r="J1052" s="9"/>
      <c r="K1052" s="10" t="str">
        <f aca="false">IF($B1052="","",$E1052*IFERROR(INDEX(Drinks!$B$4:$B$53,MATCH($B1052,Drinks!$A$4:$A$53,0)),0))</f>
        <v/>
      </c>
      <c r="L1052" s="10" t="str">
        <f aca="false">IF($B1052="","",$J1052+$K1052)</f>
        <v/>
      </c>
      <c r="M1052" s="9"/>
      <c r="N1052" s="10" t="str">
        <f aca="false">IF($B1052="","",$L1052-$M1052)</f>
        <v/>
      </c>
      <c r="O1052" s="10" t="str">
        <f aca="false">IF($B1052="","",IFERROR(INDEX(Drinks!$E$4:$E$53,MATCH($B1052,Drinks!$A$4:$A$53,0)),0))</f>
        <v/>
      </c>
      <c r="P1052" s="10" t="str">
        <f aca="false">IF($B1052="","",$N1052*$O1052)</f>
        <v/>
      </c>
      <c r="Q1052" s="10" t="str">
        <f aca="false">IF($B1052="","",$N1052*IFERROR(INDEX(Drinks!$D$4:$D$53,MATCH($B1052,Drinks!$A$4:$A$53,0)),0))</f>
        <v/>
      </c>
      <c r="R1052" s="10" t="str">
        <f aca="false">IF($B1052="","",$P1052-$Q1052)</f>
        <v/>
      </c>
      <c r="S1052" s="23" t="str">
        <f aca="false">IF($B1052="","",IF(COUNTIFS($A$4:$A$2003,$A1052-1,$B$4:$B$2003,$B1052)=0,"first day",IF(SUMIFS($M$4:$M$2003,$A$4:$A$2003,$A1052-1,$B$4:$B$2003,$B1052)=$J1052,"OK","CHECK")))</f>
        <v/>
      </c>
      <c r="T1052" s="10" t="str">
        <f aca="false">IF($B1052="","",IFERROR(INDEX(Drinks!$D$4:$D$53,MATCH($B1052,Drinks!$A$4:$A$53,0)),0))</f>
        <v/>
      </c>
    </row>
    <row r="1053" customFormat="false" ht="15" hidden="false" customHeight="false" outlineLevel="0" collapsed="false">
      <c r="A1053" s="22"/>
      <c r="B1053" s="9"/>
      <c r="C1053" s="9"/>
      <c r="D1053" s="9"/>
      <c r="E1053" s="9"/>
      <c r="F1053" s="10" t="str">
        <f aca="false">IF($B1053="","",$C1053+$D1053-$E1053)</f>
        <v/>
      </c>
      <c r="G1053" s="10" t="str">
        <f aca="false">IF($B1053="","",IFERROR(INDEX(Drinks!$C$4:$C$53,MATCH($B1053,Drinks!$A$4:$A$53,0)),0))</f>
        <v/>
      </c>
      <c r="H1053" s="10" t="str">
        <f aca="false">IF($B1053="","",$D1053*$G1053)</f>
        <v/>
      </c>
      <c r="I1053" s="10" t="str">
        <f aca="false">IF($B1053="","",$F1053*$G1053)</f>
        <v/>
      </c>
      <c r="J1053" s="9"/>
      <c r="K1053" s="10" t="str">
        <f aca="false">IF($B1053="","",$E1053*IFERROR(INDEX(Drinks!$B$4:$B$53,MATCH($B1053,Drinks!$A$4:$A$53,0)),0))</f>
        <v/>
      </c>
      <c r="L1053" s="10" t="str">
        <f aca="false">IF($B1053="","",$J1053+$K1053)</f>
        <v/>
      </c>
      <c r="M1053" s="9"/>
      <c r="N1053" s="10" t="str">
        <f aca="false">IF($B1053="","",$L1053-$M1053)</f>
        <v/>
      </c>
      <c r="O1053" s="10" t="str">
        <f aca="false">IF($B1053="","",IFERROR(INDEX(Drinks!$E$4:$E$53,MATCH($B1053,Drinks!$A$4:$A$53,0)),0))</f>
        <v/>
      </c>
      <c r="P1053" s="10" t="str">
        <f aca="false">IF($B1053="","",$N1053*$O1053)</f>
        <v/>
      </c>
      <c r="Q1053" s="10" t="str">
        <f aca="false">IF($B1053="","",$N1053*IFERROR(INDEX(Drinks!$D$4:$D$53,MATCH($B1053,Drinks!$A$4:$A$53,0)),0))</f>
        <v/>
      </c>
      <c r="R1053" s="10" t="str">
        <f aca="false">IF($B1053="","",$P1053-$Q1053)</f>
        <v/>
      </c>
      <c r="S1053" s="23" t="str">
        <f aca="false">IF($B1053="","",IF(COUNTIFS($A$4:$A$2003,$A1053-1,$B$4:$B$2003,$B1053)=0,"first day",IF(SUMIFS($M$4:$M$2003,$A$4:$A$2003,$A1053-1,$B$4:$B$2003,$B1053)=$J1053,"OK","CHECK")))</f>
        <v/>
      </c>
      <c r="T1053" s="10" t="str">
        <f aca="false">IF($B1053="","",IFERROR(INDEX(Drinks!$D$4:$D$53,MATCH($B1053,Drinks!$A$4:$A$53,0)),0))</f>
        <v/>
      </c>
    </row>
    <row r="1054" customFormat="false" ht="15" hidden="false" customHeight="false" outlineLevel="0" collapsed="false">
      <c r="A1054" s="22"/>
      <c r="B1054" s="9"/>
      <c r="C1054" s="9"/>
      <c r="D1054" s="9"/>
      <c r="E1054" s="9"/>
      <c r="F1054" s="10" t="str">
        <f aca="false">IF($B1054="","",$C1054+$D1054-$E1054)</f>
        <v/>
      </c>
      <c r="G1054" s="10" t="str">
        <f aca="false">IF($B1054="","",IFERROR(INDEX(Drinks!$C$4:$C$53,MATCH($B1054,Drinks!$A$4:$A$53,0)),0))</f>
        <v/>
      </c>
      <c r="H1054" s="10" t="str">
        <f aca="false">IF($B1054="","",$D1054*$G1054)</f>
        <v/>
      </c>
      <c r="I1054" s="10" t="str">
        <f aca="false">IF($B1054="","",$F1054*$G1054)</f>
        <v/>
      </c>
      <c r="J1054" s="9"/>
      <c r="K1054" s="10" t="str">
        <f aca="false">IF($B1054="","",$E1054*IFERROR(INDEX(Drinks!$B$4:$B$53,MATCH($B1054,Drinks!$A$4:$A$53,0)),0))</f>
        <v/>
      </c>
      <c r="L1054" s="10" t="str">
        <f aca="false">IF($B1054="","",$J1054+$K1054)</f>
        <v/>
      </c>
      <c r="M1054" s="9"/>
      <c r="N1054" s="10" t="str">
        <f aca="false">IF($B1054="","",$L1054-$M1054)</f>
        <v/>
      </c>
      <c r="O1054" s="10" t="str">
        <f aca="false">IF($B1054="","",IFERROR(INDEX(Drinks!$E$4:$E$53,MATCH($B1054,Drinks!$A$4:$A$53,0)),0))</f>
        <v/>
      </c>
      <c r="P1054" s="10" t="str">
        <f aca="false">IF($B1054="","",$N1054*$O1054)</f>
        <v/>
      </c>
      <c r="Q1054" s="10" t="str">
        <f aca="false">IF($B1054="","",$N1054*IFERROR(INDEX(Drinks!$D$4:$D$53,MATCH($B1054,Drinks!$A$4:$A$53,0)),0))</f>
        <v/>
      </c>
      <c r="R1054" s="10" t="str">
        <f aca="false">IF($B1054="","",$P1054-$Q1054)</f>
        <v/>
      </c>
      <c r="S1054" s="23" t="str">
        <f aca="false">IF($B1054="","",IF(COUNTIFS($A$4:$A$2003,$A1054-1,$B$4:$B$2003,$B1054)=0,"first day",IF(SUMIFS($M$4:$M$2003,$A$4:$A$2003,$A1054-1,$B$4:$B$2003,$B1054)=$J1054,"OK","CHECK")))</f>
        <v/>
      </c>
      <c r="T1054" s="10" t="str">
        <f aca="false">IF($B1054="","",IFERROR(INDEX(Drinks!$D$4:$D$53,MATCH($B1054,Drinks!$A$4:$A$53,0)),0))</f>
        <v/>
      </c>
    </row>
    <row r="1055" customFormat="false" ht="15" hidden="false" customHeight="false" outlineLevel="0" collapsed="false">
      <c r="A1055" s="22"/>
      <c r="B1055" s="9"/>
      <c r="C1055" s="9"/>
      <c r="D1055" s="9"/>
      <c r="E1055" s="9"/>
      <c r="F1055" s="10" t="str">
        <f aca="false">IF($B1055="","",$C1055+$D1055-$E1055)</f>
        <v/>
      </c>
      <c r="G1055" s="10" t="str">
        <f aca="false">IF($B1055="","",IFERROR(INDEX(Drinks!$C$4:$C$53,MATCH($B1055,Drinks!$A$4:$A$53,0)),0))</f>
        <v/>
      </c>
      <c r="H1055" s="10" t="str">
        <f aca="false">IF($B1055="","",$D1055*$G1055)</f>
        <v/>
      </c>
      <c r="I1055" s="10" t="str">
        <f aca="false">IF($B1055="","",$F1055*$G1055)</f>
        <v/>
      </c>
      <c r="J1055" s="9"/>
      <c r="K1055" s="10" t="str">
        <f aca="false">IF($B1055="","",$E1055*IFERROR(INDEX(Drinks!$B$4:$B$53,MATCH($B1055,Drinks!$A$4:$A$53,0)),0))</f>
        <v/>
      </c>
      <c r="L1055" s="10" t="str">
        <f aca="false">IF($B1055="","",$J1055+$K1055)</f>
        <v/>
      </c>
      <c r="M1055" s="9"/>
      <c r="N1055" s="10" t="str">
        <f aca="false">IF($B1055="","",$L1055-$M1055)</f>
        <v/>
      </c>
      <c r="O1055" s="10" t="str">
        <f aca="false">IF($B1055="","",IFERROR(INDEX(Drinks!$E$4:$E$53,MATCH($B1055,Drinks!$A$4:$A$53,0)),0))</f>
        <v/>
      </c>
      <c r="P1055" s="10" t="str">
        <f aca="false">IF($B1055="","",$N1055*$O1055)</f>
        <v/>
      </c>
      <c r="Q1055" s="10" t="str">
        <f aca="false">IF($B1055="","",$N1055*IFERROR(INDEX(Drinks!$D$4:$D$53,MATCH($B1055,Drinks!$A$4:$A$53,0)),0))</f>
        <v/>
      </c>
      <c r="R1055" s="10" t="str">
        <f aca="false">IF($B1055="","",$P1055-$Q1055)</f>
        <v/>
      </c>
      <c r="S1055" s="23" t="str">
        <f aca="false">IF($B1055="","",IF(COUNTIFS($A$4:$A$2003,$A1055-1,$B$4:$B$2003,$B1055)=0,"first day",IF(SUMIFS($M$4:$M$2003,$A$4:$A$2003,$A1055-1,$B$4:$B$2003,$B1055)=$J1055,"OK","CHECK")))</f>
        <v/>
      </c>
      <c r="T1055" s="10" t="str">
        <f aca="false">IF($B1055="","",IFERROR(INDEX(Drinks!$D$4:$D$53,MATCH($B1055,Drinks!$A$4:$A$53,0)),0))</f>
        <v/>
      </c>
    </row>
    <row r="1056" customFormat="false" ht="15" hidden="false" customHeight="false" outlineLevel="0" collapsed="false">
      <c r="A1056" s="22"/>
      <c r="B1056" s="9"/>
      <c r="C1056" s="9"/>
      <c r="D1056" s="9"/>
      <c r="E1056" s="9"/>
      <c r="F1056" s="10" t="str">
        <f aca="false">IF($B1056="","",$C1056+$D1056-$E1056)</f>
        <v/>
      </c>
      <c r="G1056" s="10" t="str">
        <f aca="false">IF($B1056="","",IFERROR(INDEX(Drinks!$C$4:$C$53,MATCH($B1056,Drinks!$A$4:$A$53,0)),0))</f>
        <v/>
      </c>
      <c r="H1056" s="10" t="str">
        <f aca="false">IF($B1056="","",$D1056*$G1056)</f>
        <v/>
      </c>
      <c r="I1056" s="10" t="str">
        <f aca="false">IF($B1056="","",$F1056*$G1056)</f>
        <v/>
      </c>
      <c r="J1056" s="9"/>
      <c r="K1056" s="10" t="str">
        <f aca="false">IF($B1056="","",$E1056*IFERROR(INDEX(Drinks!$B$4:$B$53,MATCH($B1056,Drinks!$A$4:$A$53,0)),0))</f>
        <v/>
      </c>
      <c r="L1056" s="10" t="str">
        <f aca="false">IF($B1056="","",$J1056+$K1056)</f>
        <v/>
      </c>
      <c r="M1056" s="9"/>
      <c r="N1056" s="10" t="str">
        <f aca="false">IF($B1056="","",$L1056-$M1056)</f>
        <v/>
      </c>
      <c r="O1056" s="10" t="str">
        <f aca="false">IF($B1056="","",IFERROR(INDEX(Drinks!$E$4:$E$53,MATCH($B1056,Drinks!$A$4:$A$53,0)),0))</f>
        <v/>
      </c>
      <c r="P1056" s="10" t="str">
        <f aca="false">IF($B1056="","",$N1056*$O1056)</f>
        <v/>
      </c>
      <c r="Q1056" s="10" t="str">
        <f aca="false">IF($B1056="","",$N1056*IFERROR(INDEX(Drinks!$D$4:$D$53,MATCH($B1056,Drinks!$A$4:$A$53,0)),0))</f>
        <v/>
      </c>
      <c r="R1056" s="10" t="str">
        <f aca="false">IF($B1056="","",$P1056-$Q1056)</f>
        <v/>
      </c>
      <c r="S1056" s="23" t="str">
        <f aca="false">IF($B1056="","",IF(COUNTIFS($A$4:$A$2003,$A1056-1,$B$4:$B$2003,$B1056)=0,"first day",IF(SUMIFS($M$4:$M$2003,$A$4:$A$2003,$A1056-1,$B$4:$B$2003,$B1056)=$J1056,"OK","CHECK")))</f>
        <v/>
      </c>
      <c r="T1056" s="10" t="str">
        <f aca="false">IF($B1056="","",IFERROR(INDEX(Drinks!$D$4:$D$53,MATCH($B1056,Drinks!$A$4:$A$53,0)),0))</f>
        <v/>
      </c>
    </row>
    <row r="1057" customFormat="false" ht="15" hidden="false" customHeight="false" outlineLevel="0" collapsed="false">
      <c r="A1057" s="22"/>
      <c r="B1057" s="9"/>
      <c r="C1057" s="9"/>
      <c r="D1057" s="9"/>
      <c r="E1057" s="9"/>
      <c r="F1057" s="10" t="str">
        <f aca="false">IF($B1057="","",$C1057+$D1057-$E1057)</f>
        <v/>
      </c>
      <c r="G1057" s="10" t="str">
        <f aca="false">IF($B1057="","",IFERROR(INDEX(Drinks!$C$4:$C$53,MATCH($B1057,Drinks!$A$4:$A$53,0)),0))</f>
        <v/>
      </c>
      <c r="H1057" s="10" t="str">
        <f aca="false">IF($B1057="","",$D1057*$G1057)</f>
        <v/>
      </c>
      <c r="I1057" s="10" t="str">
        <f aca="false">IF($B1057="","",$F1057*$G1057)</f>
        <v/>
      </c>
      <c r="J1057" s="9"/>
      <c r="K1057" s="10" t="str">
        <f aca="false">IF($B1057="","",$E1057*IFERROR(INDEX(Drinks!$B$4:$B$53,MATCH($B1057,Drinks!$A$4:$A$53,0)),0))</f>
        <v/>
      </c>
      <c r="L1057" s="10" t="str">
        <f aca="false">IF($B1057="","",$J1057+$K1057)</f>
        <v/>
      </c>
      <c r="M1057" s="9"/>
      <c r="N1057" s="10" t="str">
        <f aca="false">IF($B1057="","",$L1057-$M1057)</f>
        <v/>
      </c>
      <c r="O1057" s="10" t="str">
        <f aca="false">IF($B1057="","",IFERROR(INDEX(Drinks!$E$4:$E$53,MATCH($B1057,Drinks!$A$4:$A$53,0)),0))</f>
        <v/>
      </c>
      <c r="P1057" s="10" t="str">
        <f aca="false">IF($B1057="","",$N1057*$O1057)</f>
        <v/>
      </c>
      <c r="Q1057" s="10" t="str">
        <f aca="false">IF($B1057="","",$N1057*IFERROR(INDEX(Drinks!$D$4:$D$53,MATCH($B1057,Drinks!$A$4:$A$53,0)),0))</f>
        <v/>
      </c>
      <c r="R1057" s="10" t="str">
        <f aca="false">IF($B1057="","",$P1057-$Q1057)</f>
        <v/>
      </c>
      <c r="S1057" s="23" t="str">
        <f aca="false">IF($B1057="","",IF(COUNTIFS($A$4:$A$2003,$A1057-1,$B$4:$B$2003,$B1057)=0,"first day",IF(SUMIFS($M$4:$M$2003,$A$4:$A$2003,$A1057-1,$B$4:$B$2003,$B1057)=$J1057,"OK","CHECK")))</f>
        <v/>
      </c>
      <c r="T1057" s="10" t="str">
        <f aca="false">IF($B1057="","",IFERROR(INDEX(Drinks!$D$4:$D$53,MATCH($B1057,Drinks!$A$4:$A$53,0)),0))</f>
        <v/>
      </c>
    </row>
    <row r="1058" customFormat="false" ht="15" hidden="false" customHeight="false" outlineLevel="0" collapsed="false">
      <c r="A1058" s="22"/>
      <c r="B1058" s="9"/>
      <c r="C1058" s="9"/>
      <c r="D1058" s="9"/>
      <c r="E1058" s="9"/>
      <c r="F1058" s="10" t="str">
        <f aca="false">IF($B1058="","",$C1058+$D1058-$E1058)</f>
        <v/>
      </c>
      <c r="G1058" s="10" t="str">
        <f aca="false">IF($B1058="","",IFERROR(INDEX(Drinks!$C$4:$C$53,MATCH($B1058,Drinks!$A$4:$A$53,0)),0))</f>
        <v/>
      </c>
      <c r="H1058" s="10" t="str">
        <f aca="false">IF($B1058="","",$D1058*$G1058)</f>
        <v/>
      </c>
      <c r="I1058" s="10" t="str">
        <f aca="false">IF($B1058="","",$F1058*$G1058)</f>
        <v/>
      </c>
      <c r="J1058" s="9"/>
      <c r="K1058" s="10" t="str">
        <f aca="false">IF($B1058="","",$E1058*IFERROR(INDEX(Drinks!$B$4:$B$53,MATCH($B1058,Drinks!$A$4:$A$53,0)),0))</f>
        <v/>
      </c>
      <c r="L1058" s="10" t="str">
        <f aca="false">IF($B1058="","",$J1058+$K1058)</f>
        <v/>
      </c>
      <c r="M1058" s="9"/>
      <c r="N1058" s="10" t="str">
        <f aca="false">IF($B1058="","",$L1058-$M1058)</f>
        <v/>
      </c>
      <c r="O1058" s="10" t="str">
        <f aca="false">IF($B1058="","",IFERROR(INDEX(Drinks!$E$4:$E$53,MATCH($B1058,Drinks!$A$4:$A$53,0)),0))</f>
        <v/>
      </c>
      <c r="P1058" s="10" t="str">
        <f aca="false">IF($B1058="","",$N1058*$O1058)</f>
        <v/>
      </c>
      <c r="Q1058" s="10" t="str">
        <f aca="false">IF($B1058="","",$N1058*IFERROR(INDEX(Drinks!$D$4:$D$53,MATCH($B1058,Drinks!$A$4:$A$53,0)),0))</f>
        <v/>
      </c>
      <c r="R1058" s="10" t="str">
        <f aca="false">IF($B1058="","",$P1058-$Q1058)</f>
        <v/>
      </c>
      <c r="S1058" s="23" t="str">
        <f aca="false">IF($B1058="","",IF(COUNTIFS($A$4:$A$2003,$A1058-1,$B$4:$B$2003,$B1058)=0,"first day",IF(SUMIFS($M$4:$M$2003,$A$4:$A$2003,$A1058-1,$B$4:$B$2003,$B1058)=$J1058,"OK","CHECK")))</f>
        <v/>
      </c>
      <c r="T1058" s="10" t="str">
        <f aca="false">IF($B1058="","",IFERROR(INDEX(Drinks!$D$4:$D$53,MATCH($B1058,Drinks!$A$4:$A$53,0)),0))</f>
        <v/>
      </c>
    </row>
    <row r="1059" customFormat="false" ht="15" hidden="false" customHeight="false" outlineLevel="0" collapsed="false">
      <c r="A1059" s="22"/>
      <c r="B1059" s="9"/>
      <c r="C1059" s="9"/>
      <c r="D1059" s="9"/>
      <c r="E1059" s="9"/>
      <c r="F1059" s="10" t="str">
        <f aca="false">IF($B1059="","",$C1059+$D1059-$E1059)</f>
        <v/>
      </c>
      <c r="G1059" s="10" t="str">
        <f aca="false">IF($B1059="","",IFERROR(INDEX(Drinks!$C$4:$C$53,MATCH($B1059,Drinks!$A$4:$A$53,0)),0))</f>
        <v/>
      </c>
      <c r="H1059" s="10" t="str">
        <f aca="false">IF($B1059="","",$D1059*$G1059)</f>
        <v/>
      </c>
      <c r="I1059" s="10" t="str">
        <f aca="false">IF($B1059="","",$F1059*$G1059)</f>
        <v/>
      </c>
      <c r="J1059" s="9"/>
      <c r="K1059" s="10" t="str">
        <f aca="false">IF($B1059="","",$E1059*IFERROR(INDEX(Drinks!$B$4:$B$53,MATCH($B1059,Drinks!$A$4:$A$53,0)),0))</f>
        <v/>
      </c>
      <c r="L1059" s="10" t="str">
        <f aca="false">IF($B1059="","",$J1059+$K1059)</f>
        <v/>
      </c>
      <c r="M1059" s="9"/>
      <c r="N1059" s="10" t="str">
        <f aca="false">IF($B1059="","",$L1059-$M1059)</f>
        <v/>
      </c>
      <c r="O1059" s="10" t="str">
        <f aca="false">IF($B1059="","",IFERROR(INDEX(Drinks!$E$4:$E$53,MATCH($B1059,Drinks!$A$4:$A$53,0)),0))</f>
        <v/>
      </c>
      <c r="P1059" s="10" t="str">
        <f aca="false">IF($B1059="","",$N1059*$O1059)</f>
        <v/>
      </c>
      <c r="Q1059" s="10" t="str">
        <f aca="false">IF($B1059="","",$N1059*IFERROR(INDEX(Drinks!$D$4:$D$53,MATCH($B1059,Drinks!$A$4:$A$53,0)),0))</f>
        <v/>
      </c>
      <c r="R1059" s="10" t="str">
        <f aca="false">IF($B1059="","",$P1059-$Q1059)</f>
        <v/>
      </c>
      <c r="S1059" s="23" t="str">
        <f aca="false">IF($B1059="","",IF(COUNTIFS($A$4:$A$2003,$A1059-1,$B$4:$B$2003,$B1059)=0,"first day",IF(SUMIFS($M$4:$M$2003,$A$4:$A$2003,$A1059-1,$B$4:$B$2003,$B1059)=$J1059,"OK","CHECK")))</f>
        <v/>
      </c>
      <c r="T1059" s="10" t="str">
        <f aca="false">IF($B1059="","",IFERROR(INDEX(Drinks!$D$4:$D$53,MATCH($B1059,Drinks!$A$4:$A$53,0)),0))</f>
        <v/>
      </c>
    </row>
    <row r="1060" customFormat="false" ht="15" hidden="false" customHeight="false" outlineLevel="0" collapsed="false">
      <c r="A1060" s="22"/>
      <c r="B1060" s="9"/>
      <c r="C1060" s="9"/>
      <c r="D1060" s="9"/>
      <c r="E1060" s="9"/>
      <c r="F1060" s="10" t="str">
        <f aca="false">IF($B1060="","",$C1060+$D1060-$E1060)</f>
        <v/>
      </c>
      <c r="G1060" s="10" t="str">
        <f aca="false">IF($B1060="","",IFERROR(INDEX(Drinks!$C$4:$C$53,MATCH($B1060,Drinks!$A$4:$A$53,0)),0))</f>
        <v/>
      </c>
      <c r="H1060" s="10" t="str">
        <f aca="false">IF($B1060="","",$D1060*$G1060)</f>
        <v/>
      </c>
      <c r="I1060" s="10" t="str">
        <f aca="false">IF($B1060="","",$F1060*$G1060)</f>
        <v/>
      </c>
      <c r="J1060" s="9"/>
      <c r="K1060" s="10" t="str">
        <f aca="false">IF($B1060="","",$E1060*IFERROR(INDEX(Drinks!$B$4:$B$53,MATCH($B1060,Drinks!$A$4:$A$53,0)),0))</f>
        <v/>
      </c>
      <c r="L1060" s="10" t="str">
        <f aca="false">IF($B1060="","",$J1060+$K1060)</f>
        <v/>
      </c>
      <c r="M1060" s="9"/>
      <c r="N1060" s="10" t="str">
        <f aca="false">IF($B1060="","",$L1060-$M1060)</f>
        <v/>
      </c>
      <c r="O1060" s="10" t="str">
        <f aca="false">IF($B1060="","",IFERROR(INDEX(Drinks!$E$4:$E$53,MATCH($B1060,Drinks!$A$4:$A$53,0)),0))</f>
        <v/>
      </c>
      <c r="P1060" s="10" t="str">
        <f aca="false">IF($B1060="","",$N1060*$O1060)</f>
        <v/>
      </c>
      <c r="Q1060" s="10" t="str">
        <f aca="false">IF($B1060="","",$N1060*IFERROR(INDEX(Drinks!$D$4:$D$53,MATCH($B1060,Drinks!$A$4:$A$53,0)),0))</f>
        <v/>
      </c>
      <c r="R1060" s="10" t="str">
        <f aca="false">IF($B1060="","",$P1060-$Q1060)</f>
        <v/>
      </c>
      <c r="S1060" s="23" t="str">
        <f aca="false">IF($B1060="","",IF(COUNTIFS($A$4:$A$2003,$A1060-1,$B$4:$B$2003,$B1060)=0,"first day",IF(SUMIFS($M$4:$M$2003,$A$4:$A$2003,$A1060-1,$B$4:$B$2003,$B1060)=$J1060,"OK","CHECK")))</f>
        <v/>
      </c>
      <c r="T1060" s="10" t="str">
        <f aca="false">IF($B1060="","",IFERROR(INDEX(Drinks!$D$4:$D$53,MATCH($B1060,Drinks!$A$4:$A$53,0)),0))</f>
        <v/>
      </c>
    </row>
    <row r="1061" customFormat="false" ht="15" hidden="false" customHeight="false" outlineLevel="0" collapsed="false">
      <c r="A1061" s="22"/>
      <c r="B1061" s="9"/>
      <c r="C1061" s="9"/>
      <c r="D1061" s="9"/>
      <c r="E1061" s="9"/>
      <c r="F1061" s="10" t="str">
        <f aca="false">IF($B1061="","",$C1061+$D1061-$E1061)</f>
        <v/>
      </c>
      <c r="G1061" s="10" t="str">
        <f aca="false">IF($B1061="","",IFERROR(INDEX(Drinks!$C$4:$C$53,MATCH($B1061,Drinks!$A$4:$A$53,0)),0))</f>
        <v/>
      </c>
      <c r="H1061" s="10" t="str">
        <f aca="false">IF($B1061="","",$D1061*$G1061)</f>
        <v/>
      </c>
      <c r="I1061" s="10" t="str">
        <f aca="false">IF($B1061="","",$F1061*$G1061)</f>
        <v/>
      </c>
      <c r="J1061" s="9"/>
      <c r="K1061" s="10" t="str">
        <f aca="false">IF($B1061="","",$E1061*IFERROR(INDEX(Drinks!$B$4:$B$53,MATCH($B1061,Drinks!$A$4:$A$53,0)),0))</f>
        <v/>
      </c>
      <c r="L1061" s="10" t="str">
        <f aca="false">IF($B1061="","",$J1061+$K1061)</f>
        <v/>
      </c>
      <c r="M1061" s="9"/>
      <c r="N1061" s="10" t="str">
        <f aca="false">IF($B1061="","",$L1061-$M1061)</f>
        <v/>
      </c>
      <c r="O1061" s="10" t="str">
        <f aca="false">IF($B1061="","",IFERROR(INDEX(Drinks!$E$4:$E$53,MATCH($B1061,Drinks!$A$4:$A$53,0)),0))</f>
        <v/>
      </c>
      <c r="P1061" s="10" t="str">
        <f aca="false">IF($B1061="","",$N1061*$O1061)</f>
        <v/>
      </c>
      <c r="Q1061" s="10" t="str">
        <f aca="false">IF($B1061="","",$N1061*IFERROR(INDEX(Drinks!$D$4:$D$53,MATCH($B1061,Drinks!$A$4:$A$53,0)),0))</f>
        <v/>
      </c>
      <c r="R1061" s="10" t="str">
        <f aca="false">IF($B1061="","",$P1061-$Q1061)</f>
        <v/>
      </c>
      <c r="S1061" s="23" t="str">
        <f aca="false">IF($B1061="","",IF(COUNTIFS($A$4:$A$2003,$A1061-1,$B$4:$B$2003,$B1061)=0,"first day",IF(SUMIFS($M$4:$M$2003,$A$4:$A$2003,$A1061-1,$B$4:$B$2003,$B1061)=$J1061,"OK","CHECK")))</f>
        <v/>
      </c>
      <c r="T1061" s="10" t="str">
        <f aca="false">IF($B1061="","",IFERROR(INDEX(Drinks!$D$4:$D$53,MATCH($B1061,Drinks!$A$4:$A$53,0)),0))</f>
        <v/>
      </c>
    </row>
    <row r="1062" customFormat="false" ht="15" hidden="false" customHeight="false" outlineLevel="0" collapsed="false">
      <c r="A1062" s="22"/>
      <c r="B1062" s="9"/>
      <c r="C1062" s="9"/>
      <c r="D1062" s="9"/>
      <c r="E1062" s="9"/>
      <c r="F1062" s="10" t="str">
        <f aca="false">IF($B1062="","",$C1062+$D1062-$E1062)</f>
        <v/>
      </c>
      <c r="G1062" s="10" t="str">
        <f aca="false">IF($B1062="","",IFERROR(INDEX(Drinks!$C$4:$C$53,MATCH($B1062,Drinks!$A$4:$A$53,0)),0))</f>
        <v/>
      </c>
      <c r="H1062" s="10" t="str">
        <f aca="false">IF($B1062="","",$D1062*$G1062)</f>
        <v/>
      </c>
      <c r="I1062" s="10" t="str">
        <f aca="false">IF($B1062="","",$F1062*$G1062)</f>
        <v/>
      </c>
      <c r="J1062" s="9"/>
      <c r="K1062" s="10" t="str">
        <f aca="false">IF($B1062="","",$E1062*IFERROR(INDEX(Drinks!$B$4:$B$53,MATCH($B1062,Drinks!$A$4:$A$53,0)),0))</f>
        <v/>
      </c>
      <c r="L1062" s="10" t="str">
        <f aca="false">IF($B1062="","",$J1062+$K1062)</f>
        <v/>
      </c>
      <c r="M1062" s="9"/>
      <c r="N1062" s="10" t="str">
        <f aca="false">IF($B1062="","",$L1062-$M1062)</f>
        <v/>
      </c>
      <c r="O1062" s="10" t="str">
        <f aca="false">IF($B1062="","",IFERROR(INDEX(Drinks!$E$4:$E$53,MATCH($B1062,Drinks!$A$4:$A$53,0)),0))</f>
        <v/>
      </c>
      <c r="P1062" s="10" t="str">
        <f aca="false">IF($B1062="","",$N1062*$O1062)</f>
        <v/>
      </c>
      <c r="Q1062" s="10" t="str">
        <f aca="false">IF($B1062="","",$N1062*IFERROR(INDEX(Drinks!$D$4:$D$53,MATCH($B1062,Drinks!$A$4:$A$53,0)),0))</f>
        <v/>
      </c>
      <c r="R1062" s="10" t="str">
        <f aca="false">IF($B1062="","",$P1062-$Q1062)</f>
        <v/>
      </c>
      <c r="S1062" s="23" t="str">
        <f aca="false">IF($B1062="","",IF(COUNTIFS($A$4:$A$2003,$A1062-1,$B$4:$B$2003,$B1062)=0,"first day",IF(SUMIFS($M$4:$M$2003,$A$4:$A$2003,$A1062-1,$B$4:$B$2003,$B1062)=$J1062,"OK","CHECK")))</f>
        <v/>
      </c>
      <c r="T1062" s="10" t="str">
        <f aca="false">IF($B1062="","",IFERROR(INDEX(Drinks!$D$4:$D$53,MATCH($B1062,Drinks!$A$4:$A$53,0)),0))</f>
        <v/>
      </c>
    </row>
    <row r="1063" customFormat="false" ht="15" hidden="false" customHeight="false" outlineLevel="0" collapsed="false">
      <c r="A1063" s="22"/>
      <c r="B1063" s="9"/>
      <c r="C1063" s="9"/>
      <c r="D1063" s="9"/>
      <c r="E1063" s="9"/>
      <c r="F1063" s="10" t="str">
        <f aca="false">IF($B1063="","",$C1063+$D1063-$E1063)</f>
        <v/>
      </c>
      <c r="G1063" s="10" t="str">
        <f aca="false">IF($B1063="","",IFERROR(INDEX(Drinks!$C$4:$C$53,MATCH($B1063,Drinks!$A$4:$A$53,0)),0))</f>
        <v/>
      </c>
      <c r="H1063" s="10" t="str">
        <f aca="false">IF($B1063="","",$D1063*$G1063)</f>
        <v/>
      </c>
      <c r="I1063" s="10" t="str">
        <f aca="false">IF($B1063="","",$F1063*$G1063)</f>
        <v/>
      </c>
      <c r="J1063" s="9"/>
      <c r="K1063" s="10" t="str">
        <f aca="false">IF($B1063="","",$E1063*IFERROR(INDEX(Drinks!$B$4:$B$53,MATCH($B1063,Drinks!$A$4:$A$53,0)),0))</f>
        <v/>
      </c>
      <c r="L1063" s="10" t="str">
        <f aca="false">IF($B1063="","",$J1063+$K1063)</f>
        <v/>
      </c>
      <c r="M1063" s="9"/>
      <c r="N1063" s="10" t="str">
        <f aca="false">IF($B1063="","",$L1063-$M1063)</f>
        <v/>
      </c>
      <c r="O1063" s="10" t="str">
        <f aca="false">IF($B1063="","",IFERROR(INDEX(Drinks!$E$4:$E$53,MATCH($B1063,Drinks!$A$4:$A$53,0)),0))</f>
        <v/>
      </c>
      <c r="P1063" s="10" t="str">
        <f aca="false">IF($B1063="","",$N1063*$O1063)</f>
        <v/>
      </c>
      <c r="Q1063" s="10" t="str">
        <f aca="false">IF($B1063="","",$N1063*IFERROR(INDEX(Drinks!$D$4:$D$53,MATCH($B1063,Drinks!$A$4:$A$53,0)),0))</f>
        <v/>
      </c>
      <c r="R1063" s="10" t="str">
        <f aca="false">IF($B1063="","",$P1063-$Q1063)</f>
        <v/>
      </c>
      <c r="S1063" s="23" t="str">
        <f aca="false">IF($B1063="","",IF(COUNTIFS($A$4:$A$2003,$A1063-1,$B$4:$B$2003,$B1063)=0,"first day",IF(SUMIFS($M$4:$M$2003,$A$4:$A$2003,$A1063-1,$B$4:$B$2003,$B1063)=$J1063,"OK","CHECK")))</f>
        <v/>
      </c>
      <c r="T1063" s="10" t="str">
        <f aca="false">IF($B1063="","",IFERROR(INDEX(Drinks!$D$4:$D$53,MATCH($B1063,Drinks!$A$4:$A$53,0)),0))</f>
        <v/>
      </c>
    </row>
    <row r="1064" customFormat="false" ht="15" hidden="false" customHeight="false" outlineLevel="0" collapsed="false">
      <c r="A1064" s="22"/>
      <c r="B1064" s="9"/>
      <c r="C1064" s="9"/>
      <c r="D1064" s="9"/>
      <c r="E1064" s="9"/>
      <c r="F1064" s="10" t="str">
        <f aca="false">IF($B1064="","",$C1064+$D1064-$E1064)</f>
        <v/>
      </c>
      <c r="G1064" s="10" t="str">
        <f aca="false">IF($B1064="","",IFERROR(INDEX(Drinks!$C$4:$C$53,MATCH($B1064,Drinks!$A$4:$A$53,0)),0))</f>
        <v/>
      </c>
      <c r="H1064" s="10" t="str">
        <f aca="false">IF($B1064="","",$D1064*$G1064)</f>
        <v/>
      </c>
      <c r="I1064" s="10" t="str">
        <f aca="false">IF($B1064="","",$F1064*$G1064)</f>
        <v/>
      </c>
      <c r="J1064" s="9"/>
      <c r="K1064" s="10" t="str">
        <f aca="false">IF($B1064="","",$E1064*IFERROR(INDEX(Drinks!$B$4:$B$53,MATCH($B1064,Drinks!$A$4:$A$53,0)),0))</f>
        <v/>
      </c>
      <c r="L1064" s="10" t="str">
        <f aca="false">IF($B1064="","",$J1064+$K1064)</f>
        <v/>
      </c>
      <c r="M1064" s="9"/>
      <c r="N1064" s="10" t="str">
        <f aca="false">IF($B1064="","",$L1064-$M1064)</f>
        <v/>
      </c>
      <c r="O1064" s="10" t="str">
        <f aca="false">IF($B1064="","",IFERROR(INDEX(Drinks!$E$4:$E$53,MATCH($B1064,Drinks!$A$4:$A$53,0)),0))</f>
        <v/>
      </c>
      <c r="P1064" s="10" t="str">
        <f aca="false">IF($B1064="","",$N1064*$O1064)</f>
        <v/>
      </c>
      <c r="Q1064" s="10" t="str">
        <f aca="false">IF($B1064="","",$N1064*IFERROR(INDEX(Drinks!$D$4:$D$53,MATCH($B1064,Drinks!$A$4:$A$53,0)),0))</f>
        <v/>
      </c>
      <c r="R1064" s="10" t="str">
        <f aca="false">IF($B1064="","",$P1064-$Q1064)</f>
        <v/>
      </c>
      <c r="S1064" s="23" t="str">
        <f aca="false">IF($B1064="","",IF(COUNTIFS($A$4:$A$2003,$A1064-1,$B$4:$B$2003,$B1064)=0,"first day",IF(SUMIFS($M$4:$M$2003,$A$4:$A$2003,$A1064-1,$B$4:$B$2003,$B1064)=$J1064,"OK","CHECK")))</f>
        <v/>
      </c>
      <c r="T1064" s="10" t="str">
        <f aca="false">IF($B1064="","",IFERROR(INDEX(Drinks!$D$4:$D$53,MATCH($B1064,Drinks!$A$4:$A$53,0)),0))</f>
        <v/>
      </c>
    </row>
    <row r="1065" customFormat="false" ht="15" hidden="false" customHeight="false" outlineLevel="0" collapsed="false">
      <c r="A1065" s="22"/>
      <c r="B1065" s="9"/>
      <c r="C1065" s="9"/>
      <c r="D1065" s="9"/>
      <c r="E1065" s="9"/>
      <c r="F1065" s="10" t="str">
        <f aca="false">IF($B1065="","",$C1065+$D1065-$E1065)</f>
        <v/>
      </c>
      <c r="G1065" s="10" t="str">
        <f aca="false">IF($B1065="","",IFERROR(INDEX(Drinks!$C$4:$C$53,MATCH($B1065,Drinks!$A$4:$A$53,0)),0))</f>
        <v/>
      </c>
      <c r="H1065" s="10" t="str">
        <f aca="false">IF($B1065="","",$D1065*$G1065)</f>
        <v/>
      </c>
      <c r="I1065" s="10" t="str">
        <f aca="false">IF($B1065="","",$F1065*$G1065)</f>
        <v/>
      </c>
      <c r="J1065" s="9"/>
      <c r="K1065" s="10" t="str">
        <f aca="false">IF($B1065="","",$E1065*IFERROR(INDEX(Drinks!$B$4:$B$53,MATCH($B1065,Drinks!$A$4:$A$53,0)),0))</f>
        <v/>
      </c>
      <c r="L1065" s="10" t="str">
        <f aca="false">IF($B1065="","",$J1065+$K1065)</f>
        <v/>
      </c>
      <c r="M1065" s="9"/>
      <c r="N1065" s="10" t="str">
        <f aca="false">IF($B1065="","",$L1065-$M1065)</f>
        <v/>
      </c>
      <c r="O1065" s="10" t="str">
        <f aca="false">IF($B1065="","",IFERROR(INDEX(Drinks!$E$4:$E$53,MATCH($B1065,Drinks!$A$4:$A$53,0)),0))</f>
        <v/>
      </c>
      <c r="P1065" s="10" t="str">
        <f aca="false">IF($B1065="","",$N1065*$O1065)</f>
        <v/>
      </c>
      <c r="Q1065" s="10" t="str">
        <f aca="false">IF($B1065="","",$N1065*IFERROR(INDEX(Drinks!$D$4:$D$53,MATCH($B1065,Drinks!$A$4:$A$53,0)),0))</f>
        <v/>
      </c>
      <c r="R1065" s="10" t="str">
        <f aca="false">IF($B1065="","",$P1065-$Q1065)</f>
        <v/>
      </c>
      <c r="S1065" s="23" t="str">
        <f aca="false">IF($B1065="","",IF(COUNTIFS($A$4:$A$2003,$A1065-1,$B$4:$B$2003,$B1065)=0,"first day",IF(SUMIFS($M$4:$M$2003,$A$4:$A$2003,$A1065-1,$B$4:$B$2003,$B1065)=$J1065,"OK","CHECK")))</f>
        <v/>
      </c>
      <c r="T1065" s="10" t="str">
        <f aca="false">IF($B1065="","",IFERROR(INDEX(Drinks!$D$4:$D$53,MATCH($B1065,Drinks!$A$4:$A$53,0)),0))</f>
        <v/>
      </c>
    </row>
    <row r="1066" customFormat="false" ht="15" hidden="false" customHeight="false" outlineLevel="0" collapsed="false">
      <c r="A1066" s="22"/>
      <c r="B1066" s="9"/>
      <c r="C1066" s="9"/>
      <c r="D1066" s="9"/>
      <c r="E1066" s="9"/>
      <c r="F1066" s="10" t="str">
        <f aca="false">IF($B1066="","",$C1066+$D1066-$E1066)</f>
        <v/>
      </c>
      <c r="G1066" s="10" t="str">
        <f aca="false">IF($B1066="","",IFERROR(INDEX(Drinks!$C$4:$C$53,MATCH($B1066,Drinks!$A$4:$A$53,0)),0))</f>
        <v/>
      </c>
      <c r="H1066" s="10" t="str">
        <f aca="false">IF($B1066="","",$D1066*$G1066)</f>
        <v/>
      </c>
      <c r="I1066" s="10" t="str">
        <f aca="false">IF($B1066="","",$F1066*$G1066)</f>
        <v/>
      </c>
      <c r="J1066" s="9"/>
      <c r="K1066" s="10" t="str">
        <f aca="false">IF($B1066="","",$E1066*IFERROR(INDEX(Drinks!$B$4:$B$53,MATCH($B1066,Drinks!$A$4:$A$53,0)),0))</f>
        <v/>
      </c>
      <c r="L1066" s="10" t="str">
        <f aca="false">IF($B1066="","",$J1066+$K1066)</f>
        <v/>
      </c>
      <c r="M1066" s="9"/>
      <c r="N1066" s="10" t="str">
        <f aca="false">IF($B1066="","",$L1066-$M1066)</f>
        <v/>
      </c>
      <c r="O1066" s="10" t="str">
        <f aca="false">IF($B1066="","",IFERROR(INDEX(Drinks!$E$4:$E$53,MATCH($B1066,Drinks!$A$4:$A$53,0)),0))</f>
        <v/>
      </c>
      <c r="P1066" s="10" t="str">
        <f aca="false">IF($B1066="","",$N1066*$O1066)</f>
        <v/>
      </c>
      <c r="Q1066" s="10" t="str">
        <f aca="false">IF($B1066="","",$N1066*IFERROR(INDEX(Drinks!$D$4:$D$53,MATCH($B1066,Drinks!$A$4:$A$53,0)),0))</f>
        <v/>
      </c>
      <c r="R1066" s="10" t="str">
        <f aca="false">IF($B1066="","",$P1066-$Q1066)</f>
        <v/>
      </c>
      <c r="S1066" s="23" t="str">
        <f aca="false">IF($B1066="","",IF(COUNTIFS($A$4:$A$2003,$A1066-1,$B$4:$B$2003,$B1066)=0,"first day",IF(SUMIFS($M$4:$M$2003,$A$4:$A$2003,$A1066-1,$B$4:$B$2003,$B1066)=$J1066,"OK","CHECK")))</f>
        <v/>
      </c>
      <c r="T1066" s="10" t="str">
        <f aca="false">IF($B1066="","",IFERROR(INDEX(Drinks!$D$4:$D$53,MATCH($B1066,Drinks!$A$4:$A$53,0)),0))</f>
        <v/>
      </c>
    </row>
    <row r="1067" customFormat="false" ht="15" hidden="false" customHeight="false" outlineLevel="0" collapsed="false">
      <c r="A1067" s="22"/>
      <c r="B1067" s="9"/>
      <c r="C1067" s="9"/>
      <c r="D1067" s="9"/>
      <c r="E1067" s="9"/>
      <c r="F1067" s="10" t="str">
        <f aca="false">IF($B1067="","",$C1067+$D1067-$E1067)</f>
        <v/>
      </c>
      <c r="G1067" s="10" t="str">
        <f aca="false">IF($B1067="","",IFERROR(INDEX(Drinks!$C$4:$C$53,MATCH($B1067,Drinks!$A$4:$A$53,0)),0))</f>
        <v/>
      </c>
      <c r="H1067" s="10" t="str">
        <f aca="false">IF($B1067="","",$D1067*$G1067)</f>
        <v/>
      </c>
      <c r="I1067" s="10" t="str">
        <f aca="false">IF($B1067="","",$F1067*$G1067)</f>
        <v/>
      </c>
      <c r="J1067" s="9"/>
      <c r="K1067" s="10" t="str">
        <f aca="false">IF($B1067="","",$E1067*IFERROR(INDEX(Drinks!$B$4:$B$53,MATCH($B1067,Drinks!$A$4:$A$53,0)),0))</f>
        <v/>
      </c>
      <c r="L1067" s="10" t="str">
        <f aca="false">IF($B1067="","",$J1067+$K1067)</f>
        <v/>
      </c>
      <c r="M1067" s="9"/>
      <c r="N1067" s="10" t="str">
        <f aca="false">IF($B1067="","",$L1067-$M1067)</f>
        <v/>
      </c>
      <c r="O1067" s="10" t="str">
        <f aca="false">IF($B1067="","",IFERROR(INDEX(Drinks!$E$4:$E$53,MATCH($B1067,Drinks!$A$4:$A$53,0)),0))</f>
        <v/>
      </c>
      <c r="P1067" s="10" t="str">
        <f aca="false">IF($B1067="","",$N1067*$O1067)</f>
        <v/>
      </c>
      <c r="Q1067" s="10" t="str">
        <f aca="false">IF($B1067="","",$N1067*IFERROR(INDEX(Drinks!$D$4:$D$53,MATCH($B1067,Drinks!$A$4:$A$53,0)),0))</f>
        <v/>
      </c>
      <c r="R1067" s="10" t="str">
        <f aca="false">IF($B1067="","",$P1067-$Q1067)</f>
        <v/>
      </c>
      <c r="S1067" s="23" t="str">
        <f aca="false">IF($B1067="","",IF(COUNTIFS($A$4:$A$2003,$A1067-1,$B$4:$B$2003,$B1067)=0,"first day",IF(SUMIFS($M$4:$M$2003,$A$4:$A$2003,$A1067-1,$B$4:$B$2003,$B1067)=$J1067,"OK","CHECK")))</f>
        <v/>
      </c>
      <c r="T1067" s="10" t="str">
        <f aca="false">IF($B1067="","",IFERROR(INDEX(Drinks!$D$4:$D$53,MATCH($B1067,Drinks!$A$4:$A$53,0)),0))</f>
        <v/>
      </c>
    </row>
    <row r="1068" customFormat="false" ht="15" hidden="false" customHeight="false" outlineLevel="0" collapsed="false">
      <c r="A1068" s="22"/>
      <c r="B1068" s="9"/>
      <c r="C1068" s="9"/>
      <c r="D1068" s="9"/>
      <c r="E1068" s="9"/>
      <c r="F1068" s="10" t="str">
        <f aca="false">IF($B1068="","",$C1068+$D1068-$E1068)</f>
        <v/>
      </c>
      <c r="G1068" s="10" t="str">
        <f aca="false">IF($B1068="","",IFERROR(INDEX(Drinks!$C$4:$C$53,MATCH($B1068,Drinks!$A$4:$A$53,0)),0))</f>
        <v/>
      </c>
      <c r="H1068" s="10" t="str">
        <f aca="false">IF($B1068="","",$D1068*$G1068)</f>
        <v/>
      </c>
      <c r="I1068" s="10" t="str">
        <f aca="false">IF($B1068="","",$F1068*$G1068)</f>
        <v/>
      </c>
      <c r="J1068" s="9"/>
      <c r="K1068" s="10" t="str">
        <f aca="false">IF($B1068="","",$E1068*IFERROR(INDEX(Drinks!$B$4:$B$53,MATCH($B1068,Drinks!$A$4:$A$53,0)),0))</f>
        <v/>
      </c>
      <c r="L1068" s="10" t="str">
        <f aca="false">IF($B1068="","",$J1068+$K1068)</f>
        <v/>
      </c>
      <c r="M1068" s="9"/>
      <c r="N1068" s="10" t="str">
        <f aca="false">IF($B1068="","",$L1068-$M1068)</f>
        <v/>
      </c>
      <c r="O1068" s="10" t="str">
        <f aca="false">IF($B1068="","",IFERROR(INDEX(Drinks!$E$4:$E$53,MATCH($B1068,Drinks!$A$4:$A$53,0)),0))</f>
        <v/>
      </c>
      <c r="P1068" s="10" t="str">
        <f aca="false">IF($B1068="","",$N1068*$O1068)</f>
        <v/>
      </c>
      <c r="Q1068" s="10" t="str">
        <f aca="false">IF($B1068="","",$N1068*IFERROR(INDEX(Drinks!$D$4:$D$53,MATCH($B1068,Drinks!$A$4:$A$53,0)),0))</f>
        <v/>
      </c>
      <c r="R1068" s="10" t="str">
        <f aca="false">IF($B1068="","",$P1068-$Q1068)</f>
        <v/>
      </c>
      <c r="S1068" s="23" t="str">
        <f aca="false">IF($B1068="","",IF(COUNTIFS($A$4:$A$2003,$A1068-1,$B$4:$B$2003,$B1068)=0,"first day",IF(SUMIFS($M$4:$M$2003,$A$4:$A$2003,$A1068-1,$B$4:$B$2003,$B1068)=$J1068,"OK","CHECK")))</f>
        <v/>
      </c>
      <c r="T1068" s="10" t="str">
        <f aca="false">IF($B1068="","",IFERROR(INDEX(Drinks!$D$4:$D$53,MATCH($B1068,Drinks!$A$4:$A$53,0)),0))</f>
        <v/>
      </c>
    </row>
    <row r="1069" customFormat="false" ht="15" hidden="false" customHeight="false" outlineLevel="0" collapsed="false">
      <c r="A1069" s="22"/>
      <c r="B1069" s="9"/>
      <c r="C1069" s="9"/>
      <c r="D1069" s="9"/>
      <c r="E1069" s="9"/>
      <c r="F1069" s="10" t="str">
        <f aca="false">IF($B1069="","",$C1069+$D1069-$E1069)</f>
        <v/>
      </c>
      <c r="G1069" s="10" t="str">
        <f aca="false">IF($B1069="","",IFERROR(INDEX(Drinks!$C$4:$C$53,MATCH($B1069,Drinks!$A$4:$A$53,0)),0))</f>
        <v/>
      </c>
      <c r="H1069" s="10" t="str">
        <f aca="false">IF($B1069="","",$D1069*$G1069)</f>
        <v/>
      </c>
      <c r="I1069" s="10" t="str">
        <f aca="false">IF($B1069="","",$F1069*$G1069)</f>
        <v/>
      </c>
      <c r="J1069" s="9"/>
      <c r="K1069" s="10" t="str">
        <f aca="false">IF($B1069="","",$E1069*IFERROR(INDEX(Drinks!$B$4:$B$53,MATCH($B1069,Drinks!$A$4:$A$53,0)),0))</f>
        <v/>
      </c>
      <c r="L1069" s="10" t="str">
        <f aca="false">IF($B1069="","",$J1069+$K1069)</f>
        <v/>
      </c>
      <c r="M1069" s="9"/>
      <c r="N1069" s="10" t="str">
        <f aca="false">IF($B1069="","",$L1069-$M1069)</f>
        <v/>
      </c>
      <c r="O1069" s="10" t="str">
        <f aca="false">IF($B1069="","",IFERROR(INDEX(Drinks!$E$4:$E$53,MATCH($B1069,Drinks!$A$4:$A$53,0)),0))</f>
        <v/>
      </c>
      <c r="P1069" s="10" t="str">
        <f aca="false">IF($B1069="","",$N1069*$O1069)</f>
        <v/>
      </c>
      <c r="Q1069" s="10" t="str">
        <f aca="false">IF($B1069="","",$N1069*IFERROR(INDEX(Drinks!$D$4:$D$53,MATCH($B1069,Drinks!$A$4:$A$53,0)),0))</f>
        <v/>
      </c>
      <c r="R1069" s="10" t="str">
        <f aca="false">IF($B1069="","",$P1069-$Q1069)</f>
        <v/>
      </c>
      <c r="S1069" s="23" t="str">
        <f aca="false">IF($B1069="","",IF(COUNTIFS($A$4:$A$2003,$A1069-1,$B$4:$B$2003,$B1069)=0,"first day",IF(SUMIFS($M$4:$M$2003,$A$4:$A$2003,$A1069-1,$B$4:$B$2003,$B1069)=$J1069,"OK","CHECK")))</f>
        <v/>
      </c>
      <c r="T1069" s="10" t="str">
        <f aca="false">IF($B1069="","",IFERROR(INDEX(Drinks!$D$4:$D$53,MATCH($B1069,Drinks!$A$4:$A$53,0)),0))</f>
        <v/>
      </c>
    </row>
    <row r="1070" customFormat="false" ht="15" hidden="false" customHeight="false" outlineLevel="0" collapsed="false">
      <c r="A1070" s="22"/>
      <c r="B1070" s="9"/>
      <c r="C1070" s="9"/>
      <c r="D1070" s="9"/>
      <c r="E1070" s="9"/>
      <c r="F1070" s="10" t="str">
        <f aca="false">IF($B1070="","",$C1070+$D1070-$E1070)</f>
        <v/>
      </c>
      <c r="G1070" s="10" t="str">
        <f aca="false">IF($B1070="","",IFERROR(INDEX(Drinks!$C$4:$C$53,MATCH($B1070,Drinks!$A$4:$A$53,0)),0))</f>
        <v/>
      </c>
      <c r="H1070" s="10" t="str">
        <f aca="false">IF($B1070="","",$D1070*$G1070)</f>
        <v/>
      </c>
      <c r="I1070" s="10" t="str">
        <f aca="false">IF($B1070="","",$F1070*$G1070)</f>
        <v/>
      </c>
      <c r="J1070" s="9"/>
      <c r="K1070" s="10" t="str">
        <f aca="false">IF($B1070="","",$E1070*IFERROR(INDEX(Drinks!$B$4:$B$53,MATCH($B1070,Drinks!$A$4:$A$53,0)),0))</f>
        <v/>
      </c>
      <c r="L1070" s="10" t="str">
        <f aca="false">IF($B1070="","",$J1070+$K1070)</f>
        <v/>
      </c>
      <c r="M1070" s="9"/>
      <c r="N1070" s="10" t="str">
        <f aca="false">IF($B1070="","",$L1070-$M1070)</f>
        <v/>
      </c>
      <c r="O1070" s="10" t="str">
        <f aca="false">IF($B1070="","",IFERROR(INDEX(Drinks!$E$4:$E$53,MATCH($B1070,Drinks!$A$4:$A$53,0)),0))</f>
        <v/>
      </c>
      <c r="P1070" s="10" t="str">
        <f aca="false">IF($B1070="","",$N1070*$O1070)</f>
        <v/>
      </c>
      <c r="Q1070" s="10" t="str">
        <f aca="false">IF($B1070="","",$N1070*IFERROR(INDEX(Drinks!$D$4:$D$53,MATCH($B1070,Drinks!$A$4:$A$53,0)),0))</f>
        <v/>
      </c>
      <c r="R1070" s="10" t="str">
        <f aca="false">IF($B1070="","",$P1070-$Q1070)</f>
        <v/>
      </c>
      <c r="S1070" s="23" t="str">
        <f aca="false">IF($B1070="","",IF(COUNTIFS($A$4:$A$2003,$A1070-1,$B$4:$B$2003,$B1070)=0,"first day",IF(SUMIFS($M$4:$M$2003,$A$4:$A$2003,$A1070-1,$B$4:$B$2003,$B1070)=$J1070,"OK","CHECK")))</f>
        <v/>
      </c>
      <c r="T1070" s="10" t="str">
        <f aca="false">IF($B1070="","",IFERROR(INDEX(Drinks!$D$4:$D$53,MATCH($B1070,Drinks!$A$4:$A$53,0)),0))</f>
        <v/>
      </c>
    </row>
    <row r="1071" customFormat="false" ht="15" hidden="false" customHeight="false" outlineLevel="0" collapsed="false">
      <c r="A1071" s="22"/>
      <c r="B1071" s="9"/>
      <c r="C1071" s="9"/>
      <c r="D1071" s="9"/>
      <c r="E1071" s="9"/>
      <c r="F1071" s="10" t="str">
        <f aca="false">IF($B1071="","",$C1071+$D1071-$E1071)</f>
        <v/>
      </c>
      <c r="G1071" s="10" t="str">
        <f aca="false">IF($B1071="","",IFERROR(INDEX(Drinks!$C$4:$C$53,MATCH($B1071,Drinks!$A$4:$A$53,0)),0))</f>
        <v/>
      </c>
      <c r="H1071" s="10" t="str">
        <f aca="false">IF($B1071="","",$D1071*$G1071)</f>
        <v/>
      </c>
      <c r="I1071" s="10" t="str">
        <f aca="false">IF($B1071="","",$F1071*$G1071)</f>
        <v/>
      </c>
      <c r="J1071" s="9"/>
      <c r="K1071" s="10" t="str">
        <f aca="false">IF($B1071="","",$E1071*IFERROR(INDEX(Drinks!$B$4:$B$53,MATCH($B1071,Drinks!$A$4:$A$53,0)),0))</f>
        <v/>
      </c>
      <c r="L1071" s="10" t="str">
        <f aca="false">IF($B1071="","",$J1071+$K1071)</f>
        <v/>
      </c>
      <c r="M1071" s="9"/>
      <c r="N1071" s="10" t="str">
        <f aca="false">IF($B1071="","",$L1071-$M1071)</f>
        <v/>
      </c>
      <c r="O1071" s="10" t="str">
        <f aca="false">IF($B1071="","",IFERROR(INDEX(Drinks!$E$4:$E$53,MATCH($B1071,Drinks!$A$4:$A$53,0)),0))</f>
        <v/>
      </c>
      <c r="P1071" s="10" t="str">
        <f aca="false">IF($B1071="","",$N1071*$O1071)</f>
        <v/>
      </c>
      <c r="Q1071" s="10" t="str">
        <f aca="false">IF($B1071="","",$N1071*IFERROR(INDEX(Drinks!$D$4:$D$53,MATCH($B1071,Drinks!$A$4:$A$53,0)),0))</f>
        <v/>
      </c>
      <c r="R1071" s="10" t="str">
        <f aca="false">IF($B1071="","",$P1071-$Q1071)</f>
        <v/>
      </c>
      <c r="S1071" s="23" t="str">
        <f aca="false">IF($B1071="","",IF(COUNTIFS($A$4:$A$2003,$A1071-1,$B$4:$B$2003,$B1071)=0,"first day",IF(SUMIFS($M$4:$M$2003,$A$4:$A$2003,$A1071-1,$B$4:$B$2003,$B1071)=$J1071,"OK","CHECK")))</f>
        <v/>
      </c>
      <c r="T1071" s="10" t="str">
        <f aca="false">IF($B1071="","",IFERROR(INDEX(Drinks!$D$4:$D$53,MATCH($B1071,Drinks!$A$4:$A$53,0)),0))</f>
        <v/>
      </c>
    </row>
    <row r="1072" customFormat="false" ht="15" hidden="false" customHeight="false" outlineLevel="0" collapsed="false">
      <c r="A1072" s="22"/>
      <c r="B1072" s="9"/>
      <c r="C1072" s="9"/>
      <c r="D1072" s="9"/>
      <c r="E1072" s="9"/>
      <c r="F1072" s="10" t="str">
        <f aca="false">IF($B1072="","",$C1072+$D1072-$E1072)</f>
        <v/>
      </c>
      <c r="G1072" s="10" t="str">
        <f aca="false">IF($B1072="","",IFERROR(INDEX(Drinks!$C$4:$C$53,MATCH($B1072,Drinks!$A$4:$A$53,0)),0))</f>
        <v/>
      </c>
      <c r="H1072" s="10" t="str">
        <f aca="false">IF($B1072="","",$D1072*$G1072)</f>
        <v/>
      </c>
      <c r="I1072" s="10" t="str">
        <f aca="false">IF($B1072="","",$F1072*$G1072)</f>
        <v/>
      </c>
      <c r="J1072" s="9"/>
      <c r="K1072" s="10" t="str">
        <f aca="false">IF($B1072="","",$E1072*IFERROR(INDEX(Drinks!$B$4:$B$53,MATCH($B1072,Drinks!$A$4:$A$53,0)),0))</f>
        <v/>
      </c>
      <c r="L1072" s="10" t="str">
        <f aca="false">IF($B1072="","",$J1072+$K1072)</f>
        <v/>
      </c>
      <c r="M1072" s="9"/>
      <c r="N1072" s="10" t="str">
        <f aca="false">IF($B1072="","",$L1072-$M1072)</f>
        <v/>
      </c>
      <c r="O1072" s="10" t="str">
        <f aca="false">IF($B1072="","",IFERROR(INDEX(Drinks!$E$4:$E$53,MATCH($B1072,Drinks!$A$4:$A$53,0)),0))</f>
        <v/>
      </c>
      <c r="P1072" s="10" t="str">
        <f aca="false">IF($B1072="","",$N1072*$O1072)</f>
        <v/>
      </c>
      <c r="Q1072" s="10" t="str">
        <f aca="false">IF($B1072="","",$N1072*IFERROR(INDEX(Drinks!$D$4:$D$53,MATCH($B1072,Drinks!$A$4:$A$53,0)),0))</f>
        <v/>
      </c>
      <c r="R1072" s="10" t="str">
        <f aca="false">IF($B1072="","",$P1072-$Q1072)</f>
        <v/>
      </c>
      <c r="S1072" s="23" t="str">
        <f aca="false">IF($B1072="","",IF(COUNTIFS($A$4:$A$2003,$A1072-1,$B$4:$B$2003,$B1072)=0,"first day",IF(SUMIFS($M$4:$M$2003,$A$4:$A$2003,$A1072-1,$B$4:$B$2003,$B1072)=$J1072,"OK","CHECK")))</f>
        <v/>
      </c>
      <c r="T1072" s="10" t="str">
        <f aca="false">IF($B1072="","",IFERROR(INDEX(Drinks!$D$4:$D$53,MATCH($B1072,Drinks!$A$4:$A$53,0)),0))</f>
        <v/>
      </c>
    </row>
    <row r="1073" customFormat="false" ht="15" hidden="false" customHeight="false" outlineLevel="0" collapsed="false">
      <c r="A1073" s="22"/>
      <c r="B1073" s="9"/>
      <c r="C1073" s="9"/>
      <c r="D1073" s="9"/>
      <c r="E1073" s="9"/>
      <c r="F1073" s="10" t="str">
        <f aca="false">IF($B1073="","",$C1073+$D1073-$E1073)</f>
        <v/>
      </c>
      <c r="G1073" s="10" t="str">
        <f aca="false">IF($B1073="","",IFERROR(INDEX(Drinks!$C$4:$C$53,MATCH($B1073,Drinks!$A$4:$A$53,0)),0))</f>
        <v/>
      </c>
      <c r="H1073" s="10" t="str">
        <f aca="false">IF($B1073="","",$D1073*$G1073)</f>
        <v/>
      </c>
      <c r="I1073" s="10" t="str">
        <f aca="false">IF($B1073="","",$F1073*$G1073)</f>
        <v/>
      </c>
      <c r="J1073" s="9"/>
      <c r="K1073" s="10" t="str">
        <f aca="false">IF($B1073="","",$E1073*IFERROR(INDEX(Drinks!$B$4:$B$53,MATCH($B1073,Drinks!$A$4:$A$53,0)),0))</f>
        <v/>
      </c>
      <c r="L1073" s="10" t="str">
        <f aca="false">IF($B1073="","",$J1073+$K1073)</f>
        <v/>
      </c>
      <c r="M1073" s="9"/>
      <c r="N1073" s="10" t="str">
        <f aca="false">IF($B1073="","",$L1073-$M1073)</f>
        <v/>
      </c>
      <c r="O1073" s="10" t="str">
        <f aca="false">IF($B1073="","",IFERROR(INDEX(Drinks!$E$4:$E$53,MATCH($B1073,Drinks!$A$4:$A$53,0)),0))</f>
        <v/>
      </c>
      <c r="P1073" s="10" t="str">
        <f aca="false">IF($B1073="","",$N1073*$O1073)</f>
        <v/>
      </c>
      <c r="Q1073" s="10" t="str">
        <f aca="false">IF($B1073="","",$N1073*IFERROR(INDEX(Drinks!$D$4:$D$53,MATCH($B1073,Drinks!$A$4:$A$53,0)),0))</f>
        <v/>
      </c>
      <c r="R1073" s="10" t="str">
        <f aca="false">IF($B1073="","",$P1073-$Q1073)</f>
        <v/>
      </c>
      <c r="S1073" s="23" t="str">
        <f aca="false">IF($B1073="","",IF(COUNTIFS($A$4:$A$2003,$A1073-1,$B$4:$B$2003,$B1073)=0,"first day",IF(SUMIFS($M$4:$M$2003,$A$4:$A$2003,$A1073-1,$B$4:$B$2003,$B1073)=$J1073,"OK","CHECK")))</f>
        <v/>
      </c>
      <c r="T1073" s="10" t="str">
        <f aca="false">IF($B1073="","",IFERROR(INDEX(Drinks!$D$4:$D$53,MATCH($B1073,Drinks!$A$4:$A$53,0)),0))</f>
        <v/>
      </c>
    </row>
    <row r="1074" customFormat="false" ht="15" hidden="false" customHeight="false" outlineLevel="0" collapsed="false">
      <c r="A1074" s="22"/>
      <c r="B1074" s="9"/>
      <c r="C1074" s="9"/>
      <c r="D1074" s="9"/>
      <c r="E1074" s="9"/>
      <c r="F1074" s="10" t="str">
        <f aca="false">IF($B1074="","",$C1074+$D1074-$E1074)</f>
        <v/>
      </c>
      <c r="G1074" s="10" t="str">
        <f aca="false">IF($B1074="","",IFERROR(INDEX(Drinks!$C$4:$C$53,MATCH($B1074,Drinks!$A$4:$A$53,0)),0))</f>
        <v/>
      </c>
      <c r="H1074" s="10" t="str">
        <f aca="false">IF($B1074="","",$D1074*$G1074)</f>
        <v/>
      </c>
      <c r="I1074" s="10" t="str">
        <f aca="false">IF($B1074="","",$F1074*$G1074)</f>
        <v/>
      </c>
      <c r="J1074" s="9"/>
      <c r="K1074" s="10" t="str">
        <f aca="false">IF($B1074="","",$E1074*IFERROR(INDEX(Drinks!$B$4:$B$53,MATCH($B1074,Drinks!$A$4:$A$53,0)),0))</f>
        <v/>
      </c>
      <c r="L1074" s="10" t="str">
        <f aca="false">IF($B1074="","",$J1074+$K1074)</f>
        <v/>
      </c>
      <c r="M1074" s="9"/>
      <c r="N1074" s="10" t="str">
        <f aca="false">IF($B1074="","",$L1074-$M1074)</f>
        <v/>
      </c>
      <c r="O1074" s="10" t="str">
        <f aca="false">IF($B1074="","",IFERROR(INDEX(Drinks!$E$4:$E$53,MATCH($B1074,Drinks!$A$4:$A$53,0)),0))</f>
        <v/>
      </c>
      <c r="P1074" s="10" t="str">
        <f aca="false">IF($B1074="","",$N1074*$O1074)</f>
        <v/>
      </c>
      <c r="Q1074" s="10" t="str">
        <f aca="false">IF($B1074="","",$N1074*IFERROR(INDEX(Drinks!$D$4:$D$53,MATCH($B1074,Drinks!$A$4:$A$53,0)),0))</f>
        <v/>
      </c>
      <c r="R1074" s="10" t="str">
        <f aca="false">IF($B1074="","",$P1074-$Q1074)</f>
        <v/>
      </c>
      <c r="S1074" s="23" t="str">
        <f aca="false">IF($B1074="","",IF(COUNTIFS($A$4:$A$2003,$A1074-1,$B$4:$B$2003,$B1074)=0,"first day",IF(SUMIFS($M$4:$M$2003,$A$4:$A$2003,$A1074-1,$B$4:$B$2003,$B1074)=$J1074,"OK","CHECK")))</f>
        <v/>
      </c>
      <c r="T1074" s="10" t="str">
        <f aca="false">IF($B1074="","",IFERROR(INDEX(Drinks!$D$4:$D$53,MATCH($B1074,Drinks!$A$4:$A$53,0)),0))</f>
        <v/>
      </c>
    </row>
    <row r="1075" customFormat="false" ht="15" hidden="false" customHeight="false" outlineLevel="0" collapsed="false">
      <c r="A1075" s="22"/>
      <c r="B1075" s="9"/>
      <c r="C1075" s="9"/>
      <c r="D1075" s="9"/>
      <c r="E1075" s="9"/>
      <c r="F1075" s="10" t="str">
        <f aca="false">IF($B1075="","",$C1075+$D1075-$E1075)</f>
        <v/>
      </c>
      <c r="G1075" s="10" t="str">
        <f aca="false">IF($B1075="","",IFERROR(INDEX(Drinks!$C$4:$C$53,MATCH($B1075,Drinks!$A$4:$A$53,0)),0))</f>
        <v/>
      </c>
      <c r="H1075" s="10" t="str">
        <f aca="false">IF($B1075="","",$D1075*$G1075)</f>
        <v/>
      </c>
      <c r="I1075" s="10" t="str">
        <f aca="false">IF($B1075="","",$F1075*$G1075)</f>
        <v/>
      </c>
      <c r="J1075" s="9"/>
      <c r="K1075" s="10" t="str">
        <f aca="false">IF($B1075="","",$E1075*IFERROR(INDEX(Drinks!$B$4:$B$53,MATCH($B1075,Drinks!$A$4:$A$53,0)),0))</f>
        <v/>
      </c>
      <c r="L1075" s="10" t="str">
        <f aca="false">IF($B1075="","",$J1075+$K1075)</f>
        <v/>
      </c>
      <c r="M1075" s="9"/>
      <c r="N1075" s="10" t="str">
        <f aca="false">IF($B1075="","",$L1075-$M1075)</f>
        <v/>
      </c>
      <c r="O1075" s="10" t="str">
        <f aca="false">IF($B1075="","",IFERROR(INDEX(Drinks!$E$4:$E$53,MATCH($B1075,Drinks!$A$4:$A$53,0)),0))</f>
        <v/>
      </c>
      <c r="P1075" s="10" t="str">
        <f aca="false">IF($B1075="","",$N1075*$O1075)</f>
        <v/>
      </c>
      <c r="Q1075" s="10" t="str">
        <f aca="false">IF($B1075="","",$N1075*IFERROR(INDEX(Drinks!$D$4:$D$53,MATCH($B1075,Drinks!$A$4:$A$53,0)),0))</f>
        <v/>
      </c>
      <c r="R1075" s="10" t="str">
        <f aca="false">IF($B1075="","",$P1075-$Q1075)</f>
        <v/>
      </c>
      <c r="S1075" s="23" t="str">
        <f aca="false">IF($B1075="","",IF(COUNTIFS($A$4:$A$2003,$A1075-1,$B$4:$B$2003,$B1075)=0,"first day",IF(SUMIFS($M$4:$M$2003,$A$4:$A$2003,$A1075-1,$B$4:$B$2003,$B1075)=$J1075,"OK","CHECK")))</f>
        <v/>
      </c>
      <c r="T1075" s="10" t="str">
        <f aca="false">IF($B1075="","",IFERROR(INDEX(Drinks!$D$4:$D$53,MATCH($B1075,Drinks!$A$4:$A$53,0)),0))</f>
        <v/>
      </c>
    </row>
    <row r="1076" customFormat="false" ht="15" hidden="false" customHeight="false" outlineLevel="0" collapsed="false">
      <c r="A1076" s="22"/>
      <c r="B1076" s="9"/>
      <c r="C1076" s="9"/>
      <c r="D1076" s="9"/>
      <c r="E1076" s="9"/>
      <c r="F1076" s="10" t="str">
        <f aca="false">IF($B1076="","",$C1076+$D1076-$E1076)</f>
        <v/>
      </c>
      <c r="G1076" s="10" t="str">
        <f aca="false">IF($B1076="","",IFERROR(INDEX(Drinks!$C$4:$C$53,MATCH($B1076,Drinks!$A$4:$A$53,0)),0))</f>
        <v/>
      </c>
      <c r="H1076" s="10" t="str">
        <f aca="false">IF($B1076="","",$D1076*$G1076)</f>
        <v/>
      </c>
      <c r="I1076" s="10" t="str">
        <f aca="false">IF($B1076="","",$F1076*$G1076)</f>
        <v/>
      </c>
      <c r="J1076" s="9"/>
      <c r="K1076" s="10" t="str">
        <f aca="false">IF($B1076="","",$E1076*IFERROR(INDEX(Drinks!$B$4:$B$53,MATCH($B1076,Drinks!$A$4:$A$53,0)),0))</f>
        <v/>
      </c>
      <c r="L1076" s="10" t="str">
        <f aca="false">IF($B1076="","",$J1076+$K1076)</f>
        <v/>
      </c>
      <c r="M1076" s="9"/>
      <c r="N1076" s="10" t="str">
        <f aca="false">IF($B1076="","",$L1076-$M1076)</f>
        <v/>
      </c>
      <c r="O1076" s="10" t="str">
        <f aca="false">IF($B1076="","",IFERROR(INDEX(Drinks!$E$4:$E$53,MATCH($B1076,Drinks!$A$4:$A$53,0)),0))</f>
        <v/>
      </c>
      <c r="P1076" s="10" t="str">
        <f aca="false">IF($B1076="","",$N1076*$O1076)</f>
        <v/>
      </c>
      <c r="Q1076" s="10" t="str">
        <f aca="false">IF($B1076="","",$N1076*IFERROR(INDEX(Drinks!$D$4:$D$53,MATCH($B1076,Drinks!$A$4:$A$53,0)),0))</f>
        <v/>
      </c>
      <c r="R1076" s="10" t="str">
        <f aca="false">IF($B1076="","",$P1076-$Q1076)</f>
        <v/>
      </c>
      <c r="S1076" s="23" t="str">
        <f aca="false">IF($B1076="","",IF(COUNTIFS($A$4:$A$2003,$A1076-1,$B$4:$B$2003,$B1076)=0,"first day",IF(SUMIFS($M$4:$M$2003,$A$4:$A$2003,$A1076-1,$B$4:$B$2003,$B1076)=$J1076,"OK","CHECK")))</f>
        <v/>
      </c>
      <c r="T1076" s="10" t="str">
        <f aca="false">IF($B1076="","",IFERROR(INDEX(Drinks!$D$4:$D$53,MATCH($B1076,Drinks!$A$4:$A$53,0)),0))</f>
        <v/>
      </c>
    </row>
    <row r="1077" customFormat="false" ht="15" hidden="false" customHeight="false" outlineLevel="0" collapsed="false">
      <c r="A1077" s="22"/>
      <c r="B1077" s="9"/>
      <c r="C1077" s="9"/>
      <c r="D1077" s="9"/>
      <c r="E1077" s="9"/>
      <c r="F1077" s="10" t="str">
        <f aca="false">IF($B1077="","",$C1077+$D1077-$E1077)</f>
        <v/>
      </c>
      <c r="G1077" s="10" t="str">
        <f aca="false">IF($B1077="","",IFERROR(INDEX(Drinks!$C$4:$C$53,MATCH($B1077,Drinks!$A$4:$A$53,0)),0))</f>
        <v/>
      </c>
      <c r="H1077" s="10" t="str">
        <f aca="false">IF($B1077="","",$D1077*$G1077)</f>
        <v/>
      </c>
      <c r="I1077" s="10" t="str">
        <f aca="false">IF($B1077="","",$F1077*$G1077)</f>
        <v/>
      </c>
      <c r="J1077" s="9"/>
      <c r="K1077" s="10" t="str">
        <f aca="false">IF($B1077="","",$E1077*IFERROR(INDEX(Drinks!$B$4:$B$53,MATCH($B1077,Drinks!$A$4:$A$53,0)),0))</f>
        <v/>
      </c>
      <c r="L1077" s="10" t="str">
        <f aca="false">IF($B1077="","",$J1077+$K1077)</f>
        <v/>
      </c>
      <c r="M1077" s="9"/>
      <c r="N1077" s="10" t="str">
        <f aca="false">IF($B1077="","",$L1077-$M1077)</f>
        <v/>
      </c>
      <c r="O1077" s="10" t="str">
        <f aca="false">IF($B1077="","",IFERROR(INDEX(Drinks!$E$4:$E$53,MATCH($B1077,Drinks!$A$4:$A$53,0)),0))</f>
        <v/>
      </c>
      <c r="P1077" s="10" t="str">
        <f aca="false">IF($B1077="","",$N1077*$O1077)</f>
        <v/>
      </c>
      <c r="Q1077" s="10" t="str">
        <f aca="false">IF($B1077="","",$N1077*IFERROR(INDEX(Drinks!$D$4:$D$53,MATCH($B1077,Drinks!$A$4:$A$53,0)),0))</f>
        <v/>
      </c>
      <c r="R1077" s="10" t="str">
        <f aca="false">IF($B1077="","",$P1077-$Q1077)</f>
        <v/>
      </c>
      <c r="S1077" s="23" t="str">
        <f aca="false">IF($B1077="","",IF(COUNTIFS($A$4:$A$2003,$A1077-1,$B$4:$B$2003,$B1077)=0,"first day",IF(SUMIFS($M$4:$M$2003,$A$4:$A$2003,$A1077-1,$B$4:$B$2003,$B1077)=$J1077,"OK","CHECK")))</f>
        <v/>
      </c>
      <c r="T1077" s="10" t="str">
        <f aca="false">IF($B1077="","",IFERROR(INDEX(Drinks!$D$4:$D$53,MATCH($B1077,Drinks!$A$4:$A$53,0)),0))</f>
        <v/>
      </c>
    </row>
    <row r="1078" customFormat="false" ht="15" hidden="false" customHeight="false" outlineLevel="0" collapsed="false">
      <c r="A1078" s="22"/>
      <c r="B1078" s="9"/>
      <c r="C1078" s="9"/>
      <c r="D1078" s="9"/>
      <c r="E1078" s="9"/>
      <c r="F1078" s="10" t="str">
        <f aca="false">IF($B1078="","",$C1078+$D1078-$E1078)</f>
        <v/>
      </c>
      <c r="G1078" s="10" t="str">
        <f aca="false">IF($B1078="","",IFERROR(INDEX(Drinks!$C$4:$C$53,MATCH($B1078,Drinks!$A$4:$A$53,0)),0))</f>
        <v/>
      </c>
      <c r="H1078" s="10" t="str">
        <f aca="false">IF($B1078="","",$D1078*$G1078)</f>
        <v/>
      </c>
      <c r="I1078" s="10" t="str">
        <f aca="false">IF($B1078="","",$F1078*$G1078)</f>
        <v/>
      </c>
      <c r="J1078" s="9"/>
      <c r="K1078" s="10" t="str">
        <f aca="false">IF($B1078="","",$E1078*IFERROR(INDEX(Drinks!$B$4:$B$53,MATCH($B1078,Drinks!$A$4:$A$53,0)),0))</f>
        <v/>
      </c>
      <c r="L1078" s="10" t="str">
        <f aca="false">IF($B1078="","",$J1078+$K1078)</f>
        <v/>
      </c>
      <c r="M1078" s="9"/>
      <c r="N1078" s="10" t="str">
        <f aca="false">IF($B1078="","",$L1078-$M1078)</f>
        <v/>
      </c>
      <c r="O1078" s="10" t="str">
        <f aca="false">IF($B1078="","",IFERROR(INDEX(Drinks!$E$4:$E$53,MATCH($B1078,Drinks!$A$4:$A$53,0)),0))</f>
        <v/>
      </c>
      <c r="P1078" s="10" t="str">
        <f aca="false">IF($B1078="","",$N1078*$O1078)</f>
        <v/>
      </c>
      <c r="Q1078" s="10" t="str">
        <f aca="false">IF($B1078="","",$N1078*IFERROR(INDEX(Drinks!$D$4:$D$53,MATCH($B1078,Drinks!$A$4:$A$53,0)),0))</f>
        <v/>
      </c>
      <c r="R1078" s="10" t="str">
        <f aca="false">IF($B1078="","",$P1078-$Q1078)</f>
        <v/>
      </c>
      <c r="S1078" s="23" t="str">
        <f aca="false">IF($B1078="","",IF(COUNTIFS($A$4:$A$2003,$A1078-1,$B$4:$B$2003,$B1078)=0,"first day",IF(SUMIFS($M$4:$M$2003,$A$4:$A$2003,$A1078-1,$B$4:$B$2003,$B1078)=$J1078,"OK","CHECK")))</f>
        <v/>
      </c>
      <c r="T1078" s="10" t="str">
        <f aca="false">IF($B1078="","",IFERROR(INDEX(Drinks!$D$4:$D$53,MATCH($B1078,Drinks!$A$4:$A$53,0)),0))</f>
        <v/>
      </c>
    </row>
    <row r="1079" customFormat="false" ht="15" hidden="false" customHeight="false" outlineLevel="0" collapsed="false">
      <c r="A1079" s="22"/>
      <c r="B1079" s="9"/>
      <c r="C1079" s="9"/>
      <c r="D1079" s="9"/>
      <c r="E1079" s="9"/>
      <c r="F1079" s="10" t="str">
        <f aca="false">IF($B1079="","",$C1079+$D1079-$E1079)</f>
        <v/>
      </c>
      <c r="G1079" s="10" t="str">
        <f aca="false">IF($B1079="","",IFERROR(INDEX(Drinks!$C$4:$C$53,MATCH($B1079,Drinks!$A$4:$A$53,0)),0))</f>
        <v/>
      </c>
      <c r="H1079" s="10" t="str">
        <f aca="false">IF($B1079="","",$D1079*$G1079)</f>
        <v/>
      </c>
      <c r="I1079" s="10" t="str">
        <f aca="false">IF($B1079="","",$F1079*$G1079)</f>
        <v/>
      </c>
      <c r="J1079" s="9"/>
      <c r="K1079" s="10" t="str">
        <f aca="false">IF($B1079="","",$E1079*IFERROR(INDEX(Drinks!$B$4:$B$53,MATCH($B1079,Drinks!$A$4:$A$53,0)),0))</f>
        <v/>
      </c>
      <c r="L1079" s="10" t="str">
        <f aca="false">IF($B1079="","",$J1079+$K1079)</f>
        <v/>
      </c>
      <c r="M1079" s="9"/>
      <c r="N1079" s="10" t="str">
        <f aca="false">IF($B1079="","",$L1079-$M1079)</f>
        <v/>
      </c>
      <c r="O1079" s="10" t="str">
        <f aca="false">IF($B1079="","",IFERROR(INDEX(Drinks!$E$4:$E$53,MATCH($B1079,Drinks!$A$4:$A$53,0)),0))</f>
        <v/>
      </c>
      <c r="P1079" s="10" t="str">
        <f aca="false">IF($B1079="","",$N1079*$O1079)</f>
        <v/>
      </c>
      <c r="Q1079" s="10" t="str">
        <f aca="false">IF($B1079="","",$N1079*IFERROR(INDEX(Drinks!$D$4:$D$53,MATCH($B1079,Drinks!$A$4:$A$53,0)),0))</f>
        <v/>
      </c>
      <c r="R1079" s="10" t="str">
        <f aca="false">IF($B1079="","",$P1079-$Q1079)</f>
        <v/>
      </c>
      <c r="S1079" s="23" t="str">
        <f aca="false">IF($B1079="","",IF(COUNTIFS($A$4:$A$2003,$A1079-1,$B$4:$B$2003,$B1079)=0,"first day",IF(SUMIFS($M$4:$M$2003,$A$4:$A$2003,$A1079-1,$B$4:$B$2003,$B1079)=$J1079,"OK","CHECK")))</f>
        <v/>
      </c>
      <c r="T1079" s="10" t="str">
        <f aca="false">IF($B1079="","",IFERROR(INDEX(Drinks!$D$4:$D$53,MATCH($B1079,Drinks!$A$4:$A$53,0)),0))</f>
        <v/>
      </c>
    </row>
    <row r="1080" customFormat="false" ht="15" hidden="false" customHeight="false" outlineLevel="0" collapsed="false">
      <c r="A1080" s="22"/>
      <c r="B1080" s="9"/>
      <c r="C1080" s="9"/>
      <c r="D1080" s="9"/>
      <c r="E1080" s="9"/>
      <c r="F1080" s="10" t="str">
        <f aca="false">IF($B1080="","",$C1080+$D1080-$E1080)</f>
        <v/>
      </c>
      <c r="G1080" s="10" t="str">
        <f aca="false">IF($B1080="","",IFERROR(INDEX(Drinks!$C$4:$C$53,MATCH($B1080,Drinks!$A$4:$A$53,0)),0))</f>
        <v/>
      </c>
      <c r="H1080" s="10" t="str">
        <f aca="false">IF($B1080="","",$D1080*$G1080)</f>
        <v/>
      </c>
      <c r="I1080" s="10" t="str">
        <f aca="false">IF($B1080="","",$F1080*$G1080)</f>
        <v/>
      </c>
      <c r="J1080" s="9"/>
      <c r="K1080" s="10" t="str">
        <f aca="false">IF($B1080="","",$E1080*IFERROR(INDEX(Drinks!$B$4:$B$53,MATCH($B1080,Drinks!$A$4:$A$53,0)),0))</f>
        <v/>
      </c>
      <c r="L1080" s="10" t="str">
        <f aca="false">IF($B1080="","",$J1080+$K1080)</f>
        <v/>
      </c>
      <c r="M1080" s="9"/>
      <c r="N1080" s="10" t="str">
        <f aca="false">IF($B1080="","",$L1080-$M1080)</f>
        <v/>
      </c>
      <c r="O1080" s="10" t="str">
        <f aca="false">IF($B1080="","",IFERROR(INDEX(Drinks!$E$4:$E$53,MATCH($B1080,Drinks!$A$4:$A$53,0)),0))</f>
        <v/>
      </c>
      <c r="P1080" s="10" t="str">
        <f aca="false">IF($B1080="","",$N1080*$O1080)</f>
        <v/>
      </c>
      <c r="Q1080" s="10" t="str">
        <f aca="false">IF($B1080="","",$N1080*IFERROR(INDEX(Drinks!$D$4:$D$53,MATCH($B1080,Drinks!$A$4:$A$53,0)),0))</f>
        <v/>
      </c>
      <c r="R1080" s="10" t="str">
        <f aca="false">IF($B1080="","",$P1080-$Q1080)</f>
        <v/>
      </c>
      <c r="S1080" s="23" t="str">
        <f aca="false">IF($B1080="","",IF(COUNTIFS($A$4:$A$2003,$A1080-1,$B$4:$B$2003,$B1080)=0,"first day",IF(SUMIFS($M$4:$M$2003,$A$4:$A$2003,$A1080-1,$B$4:$B$2003,$B1080)=$J1080,"OK","CHECK")))</f>
        <v/>
      </c>
      <c r="T1080" s="10" t="str">
        <f aca="false">IF($B1080="","",IFERROR(INDEX(Drinks!$D$4:$D$53,MATCH($B1080,Drinks!$A$4:$A$53,0)),0))</f>
        <v/>
      </c>
    </row>
    <row r="1081" customFormat="false" ht="15" hidden="false" customHeight="false" outlineLevel="0" collapsed="false">
      <c r="A1081" s="22"/>
      <c r="B1081" s="9"/>
      <c r="C1081" s="9"/>
      <c r="D1081" s="9"/>
      <c r="E1081" s="9"/>
      <c r="F1081" s="10" t="str">
        <f aca="false">IF($B1081="","",$C1081+$D1081-$E1081)</f>
        <v/>
      </c>
      <c r="G1081" s="10" t="str">
        <f aca="false">IF($B1081="","",IFERROR(INDEX(Drinks!$C$4:$C$53,MATCH($B1081,Drinks!$A$4:$A$53,0)),0))</f>
        <v/>
      </c>
      <c r="H1081" s="10" t="str">
        <f aca="false">IF($B1081="","",$D1081*$G1081)</f>
        <v/>
      </c>
      <c r="I1081" s="10" t="str">
        <f aca="false">IF($B1081="","",$F1081*$G1081)</f>
        <v/>
      </c>
      <c r="J1081" s="9"/>
      <c r="K1081" s="10" t="str">
        <f aca="false">IF($B1081="","",$E1081*IFERROR(INDEX(Drinks!$B$4:$B$53,MATCH($B1081,Drinks!$A$4:$A$53,0)),0))</f>
        <v/>
      </c>
      <c r="L1081" s="10" t="str">
        <f aca="false">IF($B1081="","",$J1081+$K1081)</f>
        <v/>
      </c>
      <c r="M1081" s="9"/>
      <c r="N1081" s="10" t="str">
        <f aca="false">IF($B1081="","",$L1081-$M1081)</f>
        <v/>
      </c>
      <c r="O1081" s="10" t="str">
        <f aca="false">IF($B1081="","",IFERROR(INDEX(Drinks!$E$4:$E$53,MATCH($B1081,Drinks!$A$4:$A$53,0)),0))</f>
        <v/>
      </c>
      <c r="P1081" s="10" t="str">
        <f aca="false">IF($B1081="","",$N1081*$O1081)</f>
        <v/>
      </c>
      <c r="Q1081" s="10" t="str">
        <f aca="false">IF($B1081="","",$N1081*IFERROR(INDEX(Drinks!$D$4:$D$53,MATCH($B1081,Drinks!$A$4:$A$53,0)),0))</f>
        <v/>
      </c>
      <c r="R1081" s="10" t="str">
        <f aca="false">IF($B1081="","",$P1081-$Q1081)</f>
        <v/>
      </c>
      <c r="S1081" s="23" t="str">
        <f aca="false">IF($B1081="","",IF(COUNTIFS($A$4:$A$2003,$A1081-1,$B$4:$B$2003,$B1081)=0,"first day",IF(SUMIFS($M$4:$M$2003,$A$4:$A$2003,$A1081-1,$B$4:$B$2003,$B1081)=$J1081,"OK","CHECK")))</f>
        <v/>
      </c>
      <c r="T1081" s="10" t="str">
        <f aca="false">IF($B1081="","",IFERROR(INDEX(Drinks!$D$4:$D$53,MATCH($B1081,Drinks!$A$4:$A$53,0)),0))</f>
        <v/>
      </c>
    </row>
    <row r="1082" customFormat="false" ht="15" hidden="false" customHeight="false" outlineLevel="0" collapsed="false">
      <c r="A1082" s="22"/>
      <c r="B1082" s="9"/>
      <c r="C1082" s="9"/>
      <c r="D1082" s="9"/>
      <c r="E1082" s="9"/>
      <c r="F1082" s="10" t="str">
        <f aca="false">IF($B1082="","",$C1082+$D1082-$E1082)</f>
        <v/>
      </c>
      <c r="G1082" s="10" t="str">
        <f aca="false">IF($B1082="","",IFERROR(INDEX(Drinks!$C$4:$C$53,MATCH($B1082,Drinks!$A$4:$A$53,0)),0))</f>
        <v/>
      </c>
      <c r="H1082" s="10" t="str">
        <f aca="false">IF($B1082="","",$D1082*$G1082)</f>
        <v/>
      </c>
      <c r="I1082" s="10" t="str">
        <f aca="false">IF($B1082="","",$F1082*$G1082)</f>
        <v/>
      </c>
      <c r="J1082" s="9"/>
      <c r="K1082" s="10" t="str">
        <f aca="false">IF($B1082="","",$E1082*IFERROR(INDEX(Drinks!$B$4:$B$53,MATCH($B1082,Drinks!$A$4:$A$53,0)),0))</f>
        <v/>
      </c>
      <c r="L1082" s="10" t="str">
        <f aca="false">IF($B1082="","",$J1082+$K1082)</f>
        <v/>
      </c>
      <c r="M1082" s="9"/>
      <c r="N1082" s="10" t="str">
        <f aca="false">IF($B1082="","",$L1082-$M1082)</f>
        <v/>
      </c>
      <c r="O1082" s="10" t="str">
        <f aca="false">IF($B1082="","",IFERROR(INDEX(Drinks!$E$4:$E$53,MATCH($B1082,Drinks!$A$4:$A$53,0)),0))</f>
        <v/>
      </c>
      <c r="P1082" s="10" t="str">
        <f aca="false">IF($B1082="","",$N1082*$O1082)</f>
        <v/>
      </c>
      <c r="Q1082" s="10" t="str">
        <f aca="false">IF($B1082="","",$N1082*IFERROR(INDEX(Drinks!$D$4:$D$53,MATCH($B1082,Drinks!$A$4:$A$53,0)),0))</f>
        <v/>
      </c>
      <c r="R1082" s="10" t="str">
        <f aca="false">IF($B1082="","",$P1082-$Q1082)</f>
        <v/>
      </c>
      <c r="S1082" s="23" t="str">
        <f aca="false">IF($B1082="","",IF(COUNTIFS($A$4:$A$2003,$A1082-1,$B$4:$B$2003,$B1082)=0,"first day",IF(SUMIFS($M$4:$M$2003,$A$4:$A$2003,$A1082-1,$B$4:$B$2003,$B1082)=$J1082,"OK","CHECK")))</f>
        <v/>
      </c>
      <c r="T1082" s="10" t="str">
        <f aca="false">IF($B1082="","",IFERROR(INDEX(Drinks!$D$4:$D$53,MATCH($B1082,Drinks!$A$4:$A$53,0)),0))</f>
        <v/>
      </c>
    </row>
    <row r="1083" customFormat="false" ht="15" hidden="false" customHeight="false" outlineLevel="0" collapsed="false">
      <c r="A1083" s="22"/>
      <c r="B1083" s="9"/>
      <c r="C1083" s="9"/>
      <c r="D1083" s="9"/>
      <c r="E1083" s="9"/>
      <c r="F1083" s="10" t="str">
        <f aca="false">IF($B1083="","",$C1083+$D1083-$E1083)</f>
        <v/>
      </c>
      <c r="G1083" s="10" t="str">
        <f aca="false">IF($B1083="","",IFERROR(INDEX(Drinks!$C$4:$C$53,MATCH($B1083,Drinks!$A$4:$A$53,0)),0))</f>
        <v/>
      </c>
      <c r="H1083" s="10" t="str">
        <f aca="false">IF($B1083="","",$D1083*$G1083)</f>
        <v/>
      </c>
      <c r="I1083" s="10" t="str">
        <f aca="false">IF($B1083="","",$F1083*$G1083)</f>
        <v/>
      </c>
      <c r="J1083" s="9"/>
      <c r="K1083" s="10" t="str">
        <f aca="false">IF($B1083="","",$E1083*IFERROR(INDEX(Drinks!$B$4:$B$53,MATCH($B1083,Drinks!$A$4:$A$53,0)),0))</f>
        <v/>
      </c>
      <c r="L1083" s="10" t="str">
        <f aca="false">IF($B1083="","",$J1083+$K1083)</f>
        <v/>
      </c>
      <c r="M1083" s="9"/>
      <c r="N1083" s="10" t="str">
        <f aca="false">IF($B1083="","",$L1083-$M1083)</f>
        <v/>
      </c>
      <c r="O1083" s="10" t="str">
        <f aca="false">IF($B1083="","",IFERROR(INDEX(Drinks!$E$4:$E$53,MATCH($B1083,Drinks!$A$4:$A$53,0)),0))</f>
        <v/>
      </c>
      <c r="P1083" s="10" t="str">
        <f aca="false">IF($B1083="","",$N1083*$O1083)</f>
        <v/>
      </c>
      <c r="Q1083" s="10" t="str">
        <f aca="false">IF($B1083="","",$N1083*IFERROR(INDEX(Drinks!$D$4:$D$53,MATCH($B1083,Drinks!$A$4:$A$53,0)),0))</f>
        <v/>
      </c>
      <c r="R1083" s="10" t="str">
        <f aca="false">IF($B1083="","",$P1083-$Q1083)</f>
        <v/>
      </c>
      <c r="S1083" s="23" t="str">
        <f aca="false">IF($B1083="","",IF(COUNTIFS($A$4:$A$2003,$A1083-1,$B$4:$B$2003,$B1083)=0,"first day",IF(SUMIFS($M$4:$M$2003,$A$4:$A$2003,$A1083-1,$B$4:$B$2003,$B1083)=$J1083,"OK","CHECK")))</f>
        <v/>
      </c>
      <c r="T1083" s="10" t="str">
        <f aca="false">IF($B1083="","",IFERROR(INDEX(Drinks!$D$4:$D$53,MATCH($B1083,Drinks!$A$4:$A$53,0)),0))</f>
        <v/>
      </c>
    </row>
    <row r="1084" customFormat="false" ht="15" hidden="false" customHeight="false" outlineLevel="0" collapsed="false">
      <c r="A1084" s="22"/>
      <c r="B1084" s="9"/>
      <c r="C1084" s="9"/>
      <c r="D1084" s="9"/>
      <c r="E1084" s="9"/>
      <c r="F1084" s="10" t="str">
        <f aca="false">IF($B1084="","",$C1084+$D1084-$E1084)</f>
        <v/>
      </c>
      <c r="G1084" s="10" t="str">
        <f aca="false">IF($B1084="","",IFERROR(INDEX(Drinks!$C$4:$C$53,MATCH($B1084,Drinks!$A$4:$A$53,0)),0))</f>
        <v/>
      </c>
      <c r="H1084" s="10" t="str">
        <f aca="false">IF($B1084="","",$D1084*$G1084)</f>
        <v/>
      </c>
      <c r="I1084" s="10" t="str">
        <f aca="false">IF($B1084="","",$F1084*$G1084)</f>
        <v/>
      </c>
      <c r="J1084" s="9"/>
      <c r="K1084" s="10" t="str">
        <f aca="false">IF($B1084="","",$E1084*IFERROR(INDEX(Drinks!$B$4:$B$53,MATCH($B1084,Drinks!$A$4:$A$53,0)),0))</f>
        <v/>
      </c>
      <c r="L1084" s="10" t="str">
        <f aca="false">IF($B1084="","",$J1084+$K1084)</f>
        <v/>
      </c>
      <c r="M1084" s="9"/>
      <c r="N1084" s="10" t="str">
        <f aca="false">IF($B1084="","",$L1084-$M1084)</f>
        <v/>
      </c>
      <c r="O1084" s="10" t="str">
        <f aca="false">IF($B1084="","",IFERROR(INDEX(Drinks!$E$4:$E$53,MATCH($B1084,Drinks!$A$4:$A$53,0)),0))</f>
        <v/>
      </c>
      <c r="P1084" s="10" t="str">
        <f aca="false">IF($B1084="","",$N1084*$O1084)</f>
        <v/>
      </c>
      <c r="Q1084" s="10" t="str">
        <f aca="false">IF($B1084="","",$N1084*IFERROR(INDEX(Drinks!$D$4:$D$53,MATCH($B1084,Drinks!$A$4:$A$53,0)),0))</f>
        <v/>
      </c>
      <c r="R1084" s="10" t="str">
        <f aca="false">IF($B1084="","",$P1084-$Q1084)</f>
        <v/>
      </c>
      <c r="S1084" s="23" t="str">
        <f aca="false">IF($B1084="","",IF(COUNTIFS($A$4:$A$2003,$A1084-1,$B$4:$B$2003,$B1084)=0,"first day",IF(SUMIFS($M$4:$M$2003,$A$4:$A$2003,$A1084-1,$B$4:$B$2003,$B1084)=$J1084,"OK","CHECK")))</f>
        <v/>
      </c>
      <c r="T1084" s="10" t="str">
        <f aca="false">IF($B1084="","",IFERROR(INDEX(Drinks!$D$4:$D$53,MATCH($B1084,Drinks!$A$4:$A$53,0)),0))</f>
        <v/>
      </c>
    </row>
    <row r="1085" customFormat="false" ht="15" hidden="false" customHeight="false" outlineLevel="0" collapsed="false">
      <c r="A1085" s="22"/>
      <c r="B1085" s="9"/>
      <c r="C1085" s="9"/>
      <c r="D1085" s="9"/>
      <c r="E1085" s="9"/>
      <c r="F1085" s="10" t="str">
        <f aca="false">IF($B1085="","",$C1085+$D1085-$E1085)</f>
        <v/>
      </c>
      <c r="G1085" s="10" t="str">
        <f aca="false">IF($B1085="","",IFERROR(INDEX(Drinks!$C$4:$C$53,MATCH($B1085,Drinks!$A$4:$A$53,0)),0))</f>
        <v/>
      </c>
      <c r="H1085" s="10" t="str">
        <f aca="false">IF($B1085="","",$D1085*$G1085)</f>
        <v/>
      </c>
      <c r="I1085" s="10" t="str">
        <f aca="false">IF($B1085="","",$F1085*$G1085)</f>
        <v/>
      </c>
      <c r="J1085" s="9"/>
      <c r="K1085" s="10" t="str">
        <f aca="false">IF($B1085="","",$E1085*IFERROR(INDEX(Drinks!$B$4:$B$53,MATCH($B1085,Drinks!$A$4:$A$53,0)),0))</f>
        <v/>
      </c>
      <c r="L1085" s="10" t="str">
        <f aca="false">IF($B1085="","",$J1085+$K1085)</f>
        <v/>
      </c>
      <c r="M1085" s="9"/>
      <c r="N1085" s="10" t="str">
        <f aca="false">IF($B1085="","",$L1085-$M1085)</f>
        <v/>
      </c>
      <c r="O1085" s="10" t="str">
        <f aca="false">IF($B1085="","",IFERROR(INDEX(Drinks!$E$4:$E$53,MATCH($B1085,Drinks!$A$4:$A$53,0)),0))</f>
        <v/>
      </c>
      <c r="P1085" s="10" t="str">
        <f aca="false">IF($B1085="","",$N1085*$O1085)</f>
        <v/>
      </c>
      <c r="Q1085" s="10" t="str">
        <f aca="false">IF($B1085="","",$N1085*IFERROR(INDEX(Drinks!$D$4:$D$53,MATCH($B1085,Drinks!$A$4:$A$53,0)),0))</f>
        <v/>
      </c>
      <c r="R1085" s="10" t="str">
        <f aca="false">IF($B1085="","",$P1085-$Q1085)</f>
        <v/>
      </c>
      <c r="S1085" s="23" t="str">
        <f aca="false">IF($B1085="","",IF(COUNTIFS($A$4:$A$2003,$A1085-1,$B$4:$B$2003,$B1085)=0,"first day",IF(SUMIFS($M$4:$M$2003,$A$4:$A$2003,$A1085-1,$B$4:$B$2003,$B1085)=$J1085,"OK","CHECK")))</f>
        <v/>
      </c>
      <c r="T1085" s="10" t="str">
        <f aca="false">IF($B1085="","",IFERROR(INDEX(Drinks!$D$4:$D$53,MATCH($B1085,Drinks!$A$4:$A$53,0)),0))</f>
        <v/>
      </c>
    </row>
    <row r="1086" customFormat="false" ht="15" hidden="false" customHeight="false" outlineLevel="0" collapsed="false">
      <c r="A1086" s="22"/>
      <c r="B1086" s="9"/>
      <c r="C1086" s="9"/>
      <c r="D1086" s="9"/>
      <c r="E1086" s="9"/>
      <c r="F1086" s="10" t="str">
        <f aca="false">IF($B1086="","",$C1086+$D1086-$E1086)</f>
        <v/>
      </c>
      <c r="G1086" s="10" t="str">
        <f aca="false">IF($B1086="","",IFERROR(INDEX(Drinks!$C$4:$C$53,MATCH($B1086,Drinks!$A$4:$A$53,0)),0))</f>
        <v/>
      </c>
      <c r="H1086" s="10" t="str">
        <f aca="false">IF($B1086="","",$D1086*$G1086)</f>
        <v/>
      </c>
      <c r="I1086" s="10" t="str">
        <f aca="false">IF($B1086="","",$F1086*$G1086)</f>
        <v/>
      </c>
      <c r="J1086" s="9"/>
      <c r="K1086" s="10" t="str">
        <f aca="false">IF($B1086="","",$E1086*IFERROR(INDEX(Drinks!$B$4:$B$53,MATCH($B1086,Drinks!$A$4:$A$53,0)),0))</f>
        <v/>
      </c>
      <c r="L1086" s="10" t="str">
        <f aca="false">IF($B1086="","",$J1086+$K1086)</f>
        <v/>
      </c>
      <c r="M1086" s="9"/>
      <c r="N1086" s="10" t="str">
        <f aca="false">IF($B1086="","",$L1086-$M1086)</f>
        <v/>
      </c>
      <c r="O1086" s="10" t="str">
        <f aca="false">IF($B1086="","",IFERROR(INDEX(Drinks!$E$4:$E$53,MATCH($B1086,Drinks!$A$4:$A$53,0)),0))</f>
        <v/>
      </c>
      <c r="P1086" s="10" t="str">
        <f aca="false">IF($B1086="","",$N1086*$O1086)</f>
        <v/>
      </c>
      <c r="Q1086" s="10" t="str">
        <f aca="false">IF($B1086="","",$N1086*IFERROR(INDEX(Drinks!$D$4:$D$53,MATCH($B1086,Drinks!$A$4:$A$53,0)),0))</f>
        <v/>
      </c>
      <c r="R1086" s="10" t="str">
        <f aca="false">IF($B1086="","",$P1086-$Q1086)</f>
        <v/>
      </c>
      <c r="S1086" s="23" t="str">
        <f aca="false">IF($B1086="","",IF(COUNTIFS($A$4:$A$2003,$A1086-1,$B$4:$B$2003,$B1086)=0,"first day",IF(SUMIFS($M$4:$M$2003,$A$4:$A$2003,$A1086-1,$B$4:$B$2003,$B1086)=$J1086,"OK","CHECK")))</f>
        <v/>
      </c>
      <c r="T1086" s="10" t="str">
        <f aca="false">IF($B1086="","",IFERROR(INDEX(Drinks!$D$4:$D$53,MATCH($B1086,Drinks!$A$4:$A$53,0)),0))</f>
        <v/>
      </c>
    </row>
    <row r="1087" customFormat="false" ht="15" hidden="false" customHeight="false" outlineLevel="0" collapsed="false">
      <c r="A1087" s="22"/>
      <c r="B1087" s="9"/>
      <c r="C1087" s="9"/>
      <c r="D1087" s="9"/>
      <c r="E1087" s="9"/>
      <c r="F1087" s="10" t="str">
        <f aca="false">IF($B1087="","",$C1087+$D1087-$E1087)</f>
        <v/>
      </c>
      <c r="G1087" s="10" t="str">
        <f aca="false">IF($B1087="","",IFERROR(INDEX(Drinks!$C$4:$C$53,MATCH($B1087,Drinks!$A$4:$A$53,0)),0))</f>
        <v/>
      </c>
      <c r="H1087" s="10" t="str">
        <f aca="false">IF($B1087="","",$D1087*$G1087)</f>
        <v/>
      </c>
      <c r="I1087" s="10" t="str">
        <f aca="false">IF($B1087="","",$F1087*$G1087)</f>
        <v/>
      </c>
      <c r="J1087" s="9"/>
      <c r="K1087" s="10" t="str">
        <f aca="false">IF($B1087="","",$E1087*IFERROR(INDEX(Drinks!$B$4:$B$53,MATCH($B1087,Drinks!$A$4:$A$53,0)),0))</f>
        <v/>
      </c>
      <c r="L1087" s="10" t="str">
        <f aca="false">IF($B1087="","",$J1087+$K1087)</f>
        <v/>
      </c>
      <c r="M1087" s="9"/>
      <c r="N1087" s="10" t="str">
        <f aca="false">IF($B1087="","",$L1087-$M1087)</f>
        <v/>
      </c>
      <c r="O1087" s="10" t="str">
        <f aca="false">IF($B1087="","",IFERROR(INDEX(Drinks!$E$4:$E$53,MATCH($B1087,Drinks!$A$4:$A$53,0)),0))</f>
        <v/>
      </c>
      <c r="P1087" s="10" t="str">
        <f aca="false">IF($B1087="","",$N1087*$O1087)</f>
        <v/>
      </c>
      <c r="Q1087" s="10" t="str">
        <f aca="false">IF($B1087="","",$N1087*IFERROR(INDEX(Drinks!$D$4:$D$53,MATCH($B1087,Drinks!$A$4:$A$53,0)),0))</f>
        <v/>
      </c>
      <c r="R1087" s="10" t="str">
        <f aca="false">IF($B1087="","",$P1087-$Q1087)</f>
        <v/>
      </c>
      <c r="S1087" s="23" t="str">
        <f aca="false">IF($B1087="","",IF(COUNTIFS($A$4:$A$2003,$A1087-1,$B$4:$B$2003,$B1087)=0,"first day",IF(SUMIFS($M$4:$M$2003,$A$4:$A$2003,$A1087-1,$B$4:$B$2003,$B1087)=$J1087,"OK","CHECK")))</f>
        <v/>
      </c>
      <c r="T1087" s="10" t="str">
        <f aca="false">IF($B1087="","",IFERROR(INDEX(Drinks!$D$4:$D$53,MATCH($B1087,Drinks!$A$4:$A$53,0)),0))</f>
        <v/>
      </c>
    </row>
    <row r="1088" customFormat="false" ht="15" hidden="false" customHeight="false" outlineLevel="0" collapsed="false">
      <c r="A1088" s="22"/>
      <c r="B1088" s="9"/>
      <c r="C1088" s="9"/>
      <c r="D1088" s="9"/>
      <c r="E1088" s="9"/>
      <c r="F1088" s="10" t="str">
        <f aca="false">IF($B1088="","",$C1088+$D1088-$E1088)</f>
        <v/>
      </c>
      <c r="G1088" s="10" t="str">
        <f aca="false">IF($B1088="","",IFERROR(INDEX(Drinks!$C$4:$C$53,MATCH($B1088,Drinks!$A$4:$A$53,0)),0))</f>
        <v/>
      </c>
      <c r="H1088" s="10" t="str">
        <f aca="false">IF($B1088="","",$D1088*$G1088)</f>
        <v/>
      </c>
      <c r="I1088" s="10" t="str">
        <f aca="false">IF($B1088="","",$F1088*$G1088)</f>
        <v/>
      </c>
      <c r="J1088" s="9"/>
      <c r="K1088" s="10" t="str">
        <f aca="false">IF($B1088="","",$E1088*IFERROR(INDEX(Drinks!$B$4:$B$53,MATCH($B1088,Drinks!$A$4:$A$53,0)),0))</f>
        <v/>
      </c>
      <c r="L1088" s="10" t="str">
        <f aca="false">IF($B1088="","",$J1088+$K1088)</f>
        <v/>
      </c>
      <c r="M1088" s="9"/>
      <c r="N1088" s="10" t="str">
        <f aca="false">IF($B1088="","",$L1088-$M1088)</f>
        <v/>
      </c>
      <c r="O1088" s="10" t="str">
        <f aca="false">IF($B1088="","",IFERROR(INDEX(Drinks!$E$4:$E$53,MATCH($B1088,Drinks!$A$4:$A$53,0)),0))</f>
        <v/>
      </c>
      <c r="P1088" s="10" t="str">
        <f aca="false">IF($B1088="","",$N1088*$O1088)</f>
        <v/>
      </c>
      <c r="Q1088" s="10" t="str">
        <f aca="false">IF($B1088="","",$N1088*IFERROR(INDEX(Drinks!$D$4:$D$53,MATCH($B1088,Drinks!$A$4:$A$53,0)),0))</f>
        <v/>
      </c>
      <c r="R1088" s="10" t="str">
        <f aca="false">IF($B1088="","",$P1088-$Q1088)</f>
        <v/>
      </c>
      <c r="S1088" s="23" t="str">
        <f aca="false">IF($B1088="","",IF(COUNTIFS($A$4:$A$2003,$A1088-1,$B$4:$B$2003,$B1088)=0,"first day",IF(SUMIFS($M$4:$M$2003,$A$4:$A$2003,$A1088-1,$B$4:$B$2003,$B1088)=$J1088,"OK","CHECK")))</f>
        <v/>
      </c>
      <c r="T1088" s="10" t="str">
        <f aca="false">IF($B1088="","",IFERROR(INDEX(Drinks!$D$4:$D$53,MATCH($B1088,Drinks!$A$4:$A$53,0)),0))</f>
        <v/>
      </c>
    </row>
    <row r="1089" customFormat="false" ht="15" hidden="false" customHeight="false" outlineLevel="0" collapsed="false">
      <c r="A1089" s="22"/>
      <c r="B1089" s="9"/>
      <c r="C1089" s="9"/>
      <c r="D1089" s="9"/>
      <c r="E1089" s="9"/>
      <c r="F1089" s="10" t="str">
        <f aca="false">IF($B1089="","",$C1089+$D1089-$E1089)</f>
        <v/>
      </c>
      <c r="G1089" s="10" t="str">
        <f aca="false">IF($B1089="","",IFERROR(INDEX(Drinks!$C$4:$C$53,MATCH($B1089,Drinks!$A$4:$A$53,0)),0))</f>
        <v/>
      </c>
      <c r="H1089" s="10" t="str">
        <f aca="false">IF($B1089="","",$D1089*$G1089)</f>
        <v/>
      </c>
      <c r="I1089" s="10" t="str">
        <f aca="false">IF($B1089="","",$F1089*$G1089)</f>
        <v/>
      </c>
      <c r="J1089" s="9"/>
      <c r="K1089" s="10" t="str">
        <f aca="false">IF($B1089="","",$E1089*IFERROR(INDEX(Drinks!$B$4:$B$53,MATCH($B1089,Drinks!$A$4:$A$53,0)),0))</f>
        <v/>
      </c>
      <c r="L1089" s="10" t="str">
        <f aca="false">IF($B1089="","",$J1089+$K1089)</f>
        <v/>
      </c>
      <c r="M1089" s="9"/>
      <c r="N1089" s="10" t="str">
        <f aca="false">IF($B1089="","",$L1089-$M1089)</f>
        <v/>
      </c>
      <c r="O1089" s="10" t="str">
        <f aca="false">IF($B1089="","",IFERROR(INDEX(Drinks!$E$4:$E$53,MATCH($B1089,Drinks!$A$4:$A$53,0)),0))</f>
        <v/>
      </c>
      <c r="P1089" s="10" t="str">
        <f aca="false">IF($B1089="","",$N1089*$O1089)</f>
        <v/>
      </c>
      <c r="Q1089" s="10" t="str">
        <f aca="false">IF($B1089="","",$N1089*IFERROR(INDEX(Drinks!$D$4:$D$53,MATCH($B1089,Drinks!$A$4:$A$53,0)),0))</f>
        <v/>
      </c>
      <c r="R1089" s="10" t="str">
        <f aca="false">IF($B1089="","",$P1089-$Q1089)</f>
        <v/>
      </c>
      <c r="S1089" s="23" t="str">
        <f aca="false">IF($B1089="","",IF(COUNTIFS($A$4:$A$2003,$A1089-1,$B$4:$B$2003,$B1089)=0,"first day",IF(SUMIFS($M$4:$M$2003,$A$4:$A$2003,$A1089-1,$B$4:$B$2003,$B1089)=$J1089,"OK","CHECK")))</f>
        <v/>
      </c>
      <c r="T1089" s="10" t="str">
        <f aca="false">IF($B1089="","",IFERROR(INDEX(Drinks!$D$4:$D$53,MATCH($B1089,Drinks!$A$4:$A$53,0)),0))</f>
        <v/>
      </c>
    </row>
    <row r="1090" customFormat="false" ht="15" hidden="false" customHeight="false" outlineLevel="0" collapsed="false">
      <c r="A1090" s="22"/>
      <c r="B1090" s="9"/>
      <c r="C1090" s="9"/>
      <c r="D1090" s="9"/>
      <c r="E1090" s="9"/>
      <c r="F1090" s="10" t="str">
        <f aca="false">IF($B1090="","",$C1090+$D1090-$E1090)</f>
        <v/>
      </c>
      <c r="G1090" s="10" t="str">
        <f aca="false">IF($B1090="","",IFERROR(INDEX(Drinks!$C$4:$C$53,MATCH($B1090,Drinks!$A$4:$A$53,0)),0))</f>
        <v/>
      </c>
      <c r="H1090" s="10" t="str">
        <f aca="false">IF($B1090="","",$D1090*$G1090)</f>
        <v/>
      </c>
      <c r="I1090" s="10" t="str">
        <f aca="false">IF($B1090="","",$F1090*$G1090)</f>
        <v/>
      </c>
      <c r="J1090" s="9"/>
      <c r="K1090" s="10" t="str">
        <f aca="false">IF($B1090="","",$E1090*IFERROR(INDEX(Drinks!$B$4:$B$53,MATCH($B1090,Drinks!$A$4:$A$53,0)),0))</f>
        <v/>
      </c>
      <c r="L1090" s="10" t="str">
        <f aca="false">IF($B1090="","",$J1090+$K1090)</f>
        <v/>
      </c>
      <c r="M1090" s="9"/>
      <c r="N1090" s="10" t="str">
        <f aca="false">IF($B1090="","",$L1090-$M1090)</f>
        <v/>
      </c>
      <c r="O1090" s="10" t="str">
        <f aca="false">IF($B1090="","",IFERROR(INDEX(Drinks!$E$4:$E$53,MATCH($B1090,Drinks!$A$4:$A$53,0)),0))</f>
        <v/>
      </c>
      <c r="P1090" s="10" t="str">
        <f aca="false">IF($B1090="","",$N1090*$O1090)</f>
        <v/>
      </c>
      <c r="Q1090" s="10" t="str">
        <f aca="false">IF($B1090="","",$N1090*IFERROR(INDEX(Drinks!$D$4:$D$53,MATCH($B1090,Drinks!$A$4:$A$53,0)),0))</f>
        <v/>
      </c>
      <c r="R1090" s="10" t="str">
        <f aca="false">IF($B1090="","",$P1090-$Q1090)</f>
        <v/>
      </c>
      <c r="S1090" s="23" t="str">
        <f aca="false">IF($B1090="","",IF(COUNTIFS($A$4:$A$2003,$A1090-1,$B$4:$B$2003,$B1090)=0,"first day",IF(SUMIFS($M$4:$M$2003,$A$4:$A$2003,$A1090-1,$B$4:$B$2003,$B1090)=$J1090,"OK","CHECK")))</f>
        <v/>
      </c>
      <c r="T1090" s="10" t="str">
        <f aca="false">IF($B1090="","",IFERROR(INDEX(Drinks!$D$4:$D$53,MATCH($B1090,Drinks!$A$4:$A$53,0)),0))</f>
        <v/>
      </c>
    </row>
    <row r="1091" customFormat="false" ht="15" hidden="false" customHeight="false" outlineLevel="0" collapsed="false">
      <c r="A1091" s="22"/>
      <c r="B1091" s="9"/>
      <c r="C1091" s="9"/>
      <c r="D1091" s="9"/>
      <c r="E1091" s="9"/>
      <c r="F1091" s="10" t="str">
        <f aca="false">IF($B1091="","",$C1091+$D1091-$E1091)</f>
        <v/>
      </c>
      <c r="G1091" s="10" t="str">
        <f aca="false">IF($B1091="","",IFERROR(INDEX(Drinks!$C$4:$C$53,MATCH($B1091,Drinks!$A$4:$A$53,0)),0))</f>
        <v/>
      </c>
      <c r="H1091" s="10" t="str">
        <f aca="false">IF($B1091="","",$D1091*$G1091)</f>
        <v/>
      </c>
      <c r="I1091" s="10" t="str">
        <f aca="false">IF($B1091="","",$F1091*$G1091)</f>
        <v/>
      </c>
      <c r="J1091" s="9"/>
      <c r="K1091" s="10" t="str">
        <f aca="false">IF($B1091="","",$E1091*IFERROR(INDEX(Drinks!$B$4:$B$53,MATCH($B1091,Drinks!$A$4:$A$53,0)),0))</f>
        <v/>
      </c>
      <c r="L1091" s="10" t="str">
        <f aca="false">IF($B1091="","",$J1091+$K1091)</f>
        <v/>
      </c>
      <c r="M1091" s="9"/>
      <c r="N1091" s="10" t="str">
        <f aca="false">IF($B1091="","",$L1091-$M1091)</f>
        <v/>
      </c>
      <c r="O1091" s="10" t="str">
        <f aca="false">IF($B1091="","",IFERROR(INDEX(Drinks!$E$4:$E$53,MATCH($B1091,Drinks!$A$4:$A$53,0)),0))</f>
        <v/>
      </c>
      <c r="P1091" s="10" t="str">
        <f aca="false">IF($B1091="","",$N1091*$O1091)</f>
        <v/>
      </c>
      <c r="Q1091" s="10" t="str">
        <f aca="false">IF($B1091="","",$N1091*IFERROR(INDEX(Drinks!$D$4:$D$53,MATCH($B1091,Drinks!$A$4:$A$53,0)),0))</f>
        <v/>
      </c>
      <c r="R1091" s="10" t="str">
        <f aca="false">IF($B1091="","",$P1091-$Q1091)</f>
        <v/>
      </c>
      <c r="S1091" s="23" t="str">
        <f aca="false">IF($B1091="","",IF(COUNTIFS($A$4:$A$2003,$A1091-1,$B$4:$B$2003,$B1091)=0,"first day",IF(SUMIFS($M$4:$M$2003,$A$4:$A$2003,$A1091-1,$B$4:$B$2003,$B1091)=$J1091,"OK","CHECK")))</f>
        <v/>
      </c>
      <c r="T1091" s="10" t="str">
        <f aca="false">IF($B1091="","",IFERROR(INDEX(Drinks!$D$4:$D$53,MATCH($B1091,Drinks!$A$4:$A$53,0)),0))</f>
        <v/>
      </c>
    </row>
    <row r="1092" customFormat="false" ht="15" hidden="false" customHeight="false" outlineLevel="0" collapsed="false">
      <c r="A1092" s="22"/>
      <c r="B1092" s="9"/>
      <c r="C1092" s="9"/>
      <c r="D1092" s="9"/>
      <c r="E1092" s="9"/>
      <c r="F1092" s="10" t="str">
        <f aca="false">IF($B1092="","",$C1092+$D1092-$E1092)</f>
        <v/>
      </c>
      <c r="G1092" s="10" t="str">
        <f aca="false">IF($B1092="","",IFERROR(INDEX(Drinks!$C$4:$C$53,MATCH($B1092,Drinks!$A$4:$A$53,0)),0))</f>
        <v/>
      </c>
      <c r="H1092" s="10" t="str">
        <f aca="false">IF($B1092="","",$D1092*$G1092)</f>
        <v/>
      </c>
      <c r="I1092" s="10" t="str">
        <f aca="false">IF($B1092="","",$F1092*$G1092)</f>
        <v/>
      </c>
      <c r="J1092" s="9"/>
      <c r="K1092" s="10" t="str">
        <f aca="false">IF($B1092="","",$E1092*IFERROR(INDEX(Drinks!$B$4:$B$53,MATCH($B1092,Drinks!$A$4:$A$53,0)),0))</f>
        <v/>
      </c>
      <c r="L1092" s="10" t="str">
        <f aca="false">IF($B1092="","",$J1092+$K1092)</f>
        <v/>
      </c>
      <c r="M1092" s="9"/>
      <c r="N1092" s="10" t="str">
        <f aca="false">IF($B1092="","",$L1092-$M1092)</f>
        <v/>
      </c>
      <c r="O1092" s="10" t="str">
        <f aca="false">IF($B1092="","",IFERROR(INDEX(Drinks!$E$4:$E$53,MATCH($B1092,Drinks!$A$4:$A$53,0)),0))</f>
        <v/>
      </c>
      <c r="P1092" s="10" t="str">
        <f aca="false">IF($B1092="","",$N1092*$O1092)</f>
        <v/>
      </c>
      <c r="Q1092" s="10" t="str">
        <f aca="false">IF($B1092="","",$N1092*IFERROR(INDEX(Drinks!$D$4:$D$53,MATCH($B1092,Drinks!$A$4:$A$53,0)),0))</f>
        <v/>
      </c>
      <c r="R1092" s="10" t="str">
        <f aca="false">IF($B1092="","",$P1092-$Q1092)</f>
        <v/>
      </c>
      <c r="S1092" s="23" t="str">
        <f aca="false">IF($B1092="","",IF(COUNTIFS($A$4:$A$2003,$A1092-1,$B$4:$B$2003,$B1092)=0,"first day",IF(SUMIFS($M$4:$M$2003,$A$4:$A$2003,$A1092-1,$B$4:$B$2003,$B1092)=$J1092,"OK","CHECK")))</f>
        <v/>
      </c>
      <c r="T1092" s="10" t="str">
        <f aca="false">IF($B1092="","",IFERROR(INDEX(Drinks!$D$4:$D$53,MATCH($B1092,Drinks!$A$4:$A$53,0)),0))</f>
        <v/>
      </c>
    </row>
    <row r="1093" customFormat="false" ht="15" hidden="false" customHeight="false" outlineLevel="0" collapsed="false">
      <c r="A1093" s="22"/>
      <c r="B1093" s="9"/>
      <c r="C1093" s="9"/>
      <c r="D1093" s="9"/>
      <c r="E1093" s="9"/>
      <c r="F1093" s="10" t="str">
        <f aca="false">IF($B1093="","",$C1093+$D1093-$E1093)</f>
        <v/>
      </c>
      <c r="G1093" s="10" t="str">
        <f aca="false">IF($B1093="","",IFERROR(INDEX(Drinks!$C$4:$C$53,MATCH($B1093,Drinks!$A$4:$A$53,0)),0))</f>
        <v/>
      </c>
      <c r="H1093" s="10" t="str">
        <f aca="false">IF($B1093="","",$D1093*$G1093)</f>
        <v/>
      </c>
      <c r="I1093" s="10" t="str">
        <f aca="false">IF($B1093="","",$F1093*$G1093)</f>
        <v/>
      </c>
      <c r="J1093" s="9"/>
      <c r="K1093" s="10" t="str">
        <f aca="false">IF($B1093="","",$E1093*IFERROR(INDEX(Drinks!$B$4:$B$53,MATCH($B1093,Drinks!$A$4:$A$53,0)),0))</f>
        <v/>
      </c>
      <c r="L1093" s="10" t="str">
        <f aca="false">IF($B1093="","",$J1093+$K1093)</f>
        <v/>
      </c>
      <c r="M1093" s="9"/>
      <c r="N1093" s="10" t="str">
        <f aca="false">IF($B1093="","",$L1093-$M1093)</f>
        <v/>
      </c>
      <c r="O1093" s="10" t="str">
        <f aca="false">IF($B1093="","",IFERROR(INDEX(Drinks!$E$4:$E$53,MATCH($B1093,Drinks!$A$4:$A$53,0)),0))</f>
        <v/>
      </c>
      <c r="P1093" s="10" t="str">
        <f aca="false">IF($B1093="","",$N1093*$O1093)</f>
        <v/>
      </c>
      <c r="Q1093" s="10" t="str">
        <f aca="false">IF($B1093="","",$N1093*IFERROR(INDEX(Drinks!$D$4:$D$53,MATCH($B1093,Drinks!$A$4:$A$53,0)),0))</f>
        <v/>
      </c>
      <c r="R1093" s="10" t="str">
        <f aca="false">IF($B1093="","",$P1093-$Q1093)</f>
        <v/>
      </c>
      <c r="S1093" s="23" t="str">
        <f aca="false">IF($B1093="","",IF(COUNTIFS($A$4:$A$2003,$A1093-1,$B$4:$B$2003,$B1093)=0,"first day",IF(SUMIFS($M$4:$M$2003,$A$4:$A$2003,$A1093-1,$B$4:$B$2003,$B1093)=$J1093,"OK","CHECK")))</f>
        <v/>
      </c>
      <c r="T1093" s="10" t="str">
        <f aca="false">IF($B1093="","",IFERROR(INDEX(Drinks!$D$4:$D$53,MATCH($B1093,Drinks!$A$4:$A$53,0)),0))</f>
        <v/>
      </c>
    </row>
    <row r="1094" customFormat="false" ht="15" hidden="false" customHeight="false" outlineLevel="0" collapsed="false">
      <c r="A1094" s="22"/>
      <c r="B1094" s="9"/>
      <c r="C1094" s="9"/>
      <c r="D1094" s="9"/>
      <c r="E1094" s="9"/>
      <c r="F1094" s="10" t="str">
        <f aca="false">IF($B1094="","",$C1094+$D1094-$E1094)</f>
        <v/>
      </c>
      <c r="G1094" s="10" t="str">
        <f aca="false">IF($B1094="","",IFERROR(INDEX(Drinks!$C$4:$C$53,MATCH($B1094,Drinks!$A$4:$A$53,0)),0))</f>
        <v/>
      </c>
      <c r="H1094" s="10" t="str">
        <f aca="false">IF($B1094="","",$D1094*$G1094)</f>
        <v/>
      </c>
      <c r="I1094" s="10" t="str">
        <f aca="false">IF($B1094="","",$F1094*$G1094)</f>
        <v/>
      </c>
      <c r="J1094" s="9"/>
      <c r="K1094" s="10" t="str">
        <f aca="false">IF($B1094="","",$E1094*IFERROR(INDEX(Drinks!$B$4:$B$53,MATCH($B1094,Drinks!$A$4:$A$53,0)),0))</f>
        <v/>
      </c>
      <c r="L1094" s="10" t="str">
        <f aca="false">IF($B1094="","",$J1094+$K1094)</f>
        <v/>
      </c>
      <c r="M1094" s="9"/>
      <c r="N1094" s="10" t="str">
        <f aca="false">IF($B1094="","",$L1094-$M1094)</f>
        <v/>
      </c>
      <c r="O1094" s="10" t="str">
        <f aca="false">IF($B1094="","",IFERROR(INDEX(Drinks!$E$4:$E$53,MATCH($B1094,Drinks!$A$4:$A$53,0)),0))</f>
        <v/>
      </c>
      <c r="P1094" s="10" t="str">
        <f aca="false">IF($B1094="","",$N1094*$O1094)</f>
        <v/>
      </c>
      <c r="Q1094" s="10" t="str">
        <f aca="false">IF($B1094="","",$N1094*IFERROR(INDEX(Drinks!$D$4:$D$53,MATCH($B1094,Drinks!$A$4:$A$53,0)),0))</f>
        <v/>
      </c>
      <c r="R1094" s="10" t="str">
        <f aca="false">IF($B1094="","",$P1094-$Q1094)</f>
        <v/>
      </c>
      <c r="S1094" s="23" t="str">
        <f aca="false">IF($B1094="","",IF(COUNTIFS($A$4:$A$2003,$A1094-1,$B$4:$B$2003,$B1094)=0,"first day",IF(SUMIFS($M$4:$M$2003,$A$4:$A$2003,$A1094-1,$B$4:$B$2003,$B1094)=$J1094,"OK","CHECK")))</f>
        <v/>
      </c>
      <c r="T1094" s="10" t="str">
        <f aca="false">IF($B1094="","",IFERROR(INDEX(Drinks!$D$4:$D$53,MATCH($B1094,Drinks!$A$4:$A$53,0)),0))</f>
        <v/>
      </c>
    </row>
    <row r="1095" customFormat="false" ht="15" hidden="false" customHeight="false" outlineLevel="0" collapsed="false">
      <c r="A1095" s="22"/>
      <c r="B1095" s="9"/>
      <c r="C1095" s="9"/>
      <c r="D1095" s="9"/>
      <c r="E1095" s="9"/>
      <c r="F1095" s="10" t="str">
        <f aca="false">IF($B1095="","",$C1095+$D1095-$E1095)</f>
        <v/>
      </c>
      <c r="G1095" s="10" t="str">
        <f aca="false">IF($B1095="","",IFERROR(INDEX(Drinks!$C$4:$C$53,MATCH($B1095,Drinks!$A$4:$A$53,0)),0))</f>
        <v/>
      </c>
      <c r="H1095" s="10" t="str">
        <f aca="false">IF($B1095="","",$D1095*$G1095)</f>
        <v/>
      </c>
      <c r="I1095" s="10" t="str">
        <f aca="false">IF($B1095="","",$F1095*$G1095)</f>
        <v/>
      </c>
      <c r="J1095" s="9"/>
      <c r="K1095" s="10" t="str">
        <f aca="false">IF($B1095="","",$E1095*IFERROR(INDEX(Drinks!$B$4:$B$53,MATCH($B1095,Drinks!$A$4:$A$53,0)),0))</f>
        <v/>
      </c>
      <c r="L1095" s="10" t="str">
        <f aca="false">IF($B1095="","",$J1095+$K1095)</f>
        <v/>
      </c>
      <c r="M1095" s="9"/>
      <c r="N1095" s="10" t="str">
        <f aca="false">IF($B1095="","",$L1095-$M1095)</f>
        <v/>
      </c>
      <c r="O1095" s="10" t="str">
        <f aca="false">IF($B1095="","",IFERROR(INDEX(Drinks!$E$4:$E$53,MATCH($B1095,Drinks!$A$4:$A$53,0)),0))</f>
        <v/>
      </c>
      <c r="P1095" s="10" t="str">
        <f aca="false">IF($B1095="","",$N1095*$O1095)</f>
        <v/>
      </c>
      <c r="Q1095" s="10" t="str">
        <f aca="false">IF($B1095="","",$N1095*IFERROR(INDEX(Drinks!$D$4:$D$53,MATCH($B1095,Drinks!$A$4:$A$53,0)),0))</f>
        <v/>
      </c>
      <c r="R1095" s="10" t="str">
        <f aca="false">IF($B1095="","",$P1095-$Q1095)</f>
        <v/>
      </c>
      <c r="S1095" s="23" t="str">
        <f aca="false">IF($B1095="","",IF(COUNTIFS($A$4:$A$2003,$A1095-1,$B$4:$B$2003,$B1095)=0,"first day",IF(SUMIFS($M$4:$M$2003,$A$4:$A$2003,$A1095-1,$B$4:$B$2003,$B1095)=$J1095,"OK","CHECK")))</f>
        <v/>
      </c>
      <c r="T1095" s="10" t="str">
        <f aca="false">IF($B1095="","",IFERROR(INDEX(Drinks!$D$4:$D$53,MATCH($B1095,Drinks!$A$4:$A$53,0)),0))</f>
        <v/>
      </c>
    </row>
    <row r="1096" customFormat="false" ht="15" hidden="false" customHeight="false" outlineLevel="0" collapsed="false">
      <c r="A1096" s="22"/>
      <c r="B1096" s="9"/>
      <c r="C1096" s="9"/>
      <c r="D1096" s="9"/>
      <c r="E1096" s="9"/>
      <c r="F1096" s="10" t="str">
        <f aca="false">IF($B1096="","",$C1096+$D1096-$E1096)</f>
        <v/>
      </c>
      <c r="G1096" s="10" t="str">
        <f aca="false">IF($B1096="","",IFERROR(INDEX(Drinks!$C$4:$C$53,MATCH($B1096,Drinks!$A$4:$A$53,0)),0))</f>
        <v/>
      </c>
      <c r="H1096" s="10" t="str">
        <f aca="false">IF($B1096="","",$D1096*$G1096)</f>
        <v/>
      </c>
      <c r="I1096" s="10" t="str">
        <f aca="false">IF($B1096="","",$F1096*$G1096)</f>
        <v/>
      </c>
      <c r="J1096" s="9"/>
      <c r="K1096" s="10" t="str">
        <f aca="false">IF($B1096="","",$E1096*IFERROR(INDEX(Drinks!$B$4:$B$53,MATCH($B1096,Drinks!$A$4:$A$53,0)),0))</f>
        <v/>
      </c>
      <c r="L1096" s="10" t="str">
        <f aca="false">IF($B1096="","",$J1096+$K1096)</f>
        <v/>
      </c>
      <c r="M1096" s="9"/>
      <c r="N1096" s="10" t="str">
        <f aca="false">IF($B1096="","",$L1096-$M1096)</f>
        <v/>
      </c>
      <c r="O1096" s="10" t="str">
        <f aca="false">IF($B1096="","",IFERROR(INDEX(Drinks!$E$4:$E$53,MATCH($B1096,Drinks!$A$4:$A$53,0)),0))</f>
        <v/>
      </c>
      <c r="P1096" s="10" t="str">
        <f aca="false">IF($B1096="","",$N1096*$O1096)</f>
        <v/>
      </c>
      <c r="Q1096" s="10" t="str">
        <f aca="false">IF($B1096="","",$N1096*IFERROR(INDEX(Drinks!$D$4:$D$53,MATCH($B1096,Drinks!$A$4:$A$53,0)),0))</f>
        <v/>
      </c>
      <c r="R1096" s="10" t="str">
        <f aca="false">IF($B1096="","",$P1096-$Q1096)</f>
        <v/>
      </c>
      <c r="S1096" s="23" t="str">
        <f aca="false">IF($B1096="","",IF(COUNTIFS($A$4:$A$2003,$A1096-1,$B$4:$B$2003,$B1096)=0,"first day",IF(SUMIFS($M$4:$M$2003,$A$4:$A$2003,$A1096-1,$B$4:$B$2003,$B1096)=$J1096,"OK","CHECK")))</f>
        <v/>
      </c>
      <c r="T1096" s="10" t="str">
        <f aca="false">IF($B1096="","",IFERROR(INDEX(Drinks!$D$4:$D$53,MATCH($B1096,Drinks!$A$4:$A$53,0)),0))</f>
        <v/>
      </c>
    </row>
    <row r="1097" customFormat="false" ht="15" hidden="false" customHeight="false" outlineLevel="0" collapsed="false">
      <c r="A1097" s="22"/>
      <c r="B1097" s="9"/>
      <c r="C1097" s="9"/>
      <c r="D1097" s="9"/>
      <c r="E1097" s="9"/>
      <c r="F1097" s="10" t="str">
        <f aca="false">IF($B1097="","",$C1097+$D1097-$E1097)</f>
        <v/>
      </c>
      <c r="G1097" s="10" t="str">
        <f aca="false">IF($B1097="","",IFERROR(INDEX(Drinks!$C$4:$C$53,MATCH($B1097,Drinks!$A$4:$A$53,0)),0))</f>
        <v/>
      </c>
      <c r="H1097" s="10" t="str">
        <f aca="false">IF($B1097="","",$D1097*$G1097)</f>
        <v/>
      </c>
      <c r="I1097" s="10" t="str">
        <f aca="false">IF($B1097="","",$F1097*$G1097)</f>
        <v/>
      </c>
      <c r="J1097" s="9"/>
      <c r="K1097" s="10" t="str">
        <f aca="false">IF($B1097="","",$E1097*IFERROR(INDEX(Drinks!$B$4:$B$53,MATCH($B1097,Drinks!$A$4:$A$53,0)),0))</f>
        <v/>
      </c>
      <c r="L1097" s="10" t="str">
        <f aca="false">IF($B1097="","",$J1097+$K1097)</f>
        <v/>
      </c>
      <c r="M1097" s="9"/>
      <c r="N1097" s="10" t="str">
        <f aca="false">IF($B1097="","",$L1097-$M1097)</f>
        <v/>
      </c>
      <c r="O1097" s="10" t="str">
        <f aca="false">IF($B1097="","",IFERROR(INDEX(Drinks!$E$4:$E$53,MATCH($B1097,Drinks!$A$4:$A$53,0)),0))</f>
        <v/>
      </c>
      <c r="P1097" s="10" t="str">
        <f aca="false">IF($B1097="","",$N1097*$O1097)</f>
        <v/>
      </c>
      <c r="Q1097" s="10" t="str">
        <f aca="false">IF($B1097="","",$N1097*IFERROR(INDEX(Drinks!$D$4:$D$53,MATCH($B1097,Drinks!$A$4:$A$53,0)),0))</f>
        <v/>
      </c>
      <c r="R1097" s="10" t="str">
        <f aca="false">IF($B1097="","",$P1097-$Q1097)</f>
        <v/>
      </c>
      <c r="S1097" s="23" t="str">
        <f aca="false">IF($B1097="","",IF(COUNTIFS($A$4:$A$2003,$A1097-1,$B$4:$B$2003,$B1097)=0,"first day",IF(SUMIFS($M$4:$M$2003,$A$4:$A$2003,$A1097-1,$B$4:$B$2003,$B1097)=$J1097,"OK","CHECK")))</f>
        <v/>
      </c>
      <c r="T1097" s="10" t="str">
        <f aca="false">IF($B1097="","",IFERROR(INDEX(Drinks!$D$4:$D$53,MATCH($B1097,Drinks!$A$4:$A$53,0)),0))</f>
        <v/>
      </c>
    </row>
    <row r="1098" customFormat="false" ht="15" hidden="false" customHeight="false" outlineLevel="0" collapsed="false">
      <c r="A1098" s="22"/>
      <c r="B1098" s="9"/>
      <c r="C1098" s="9"/>
      <c r="D1098" s="9"/>
      <c r="E1098" s="9"/>
      <c r="F1098" s="10" t="str">
        <f aca="false">IF($B1098="","",$C1098+$D1098-$E1098)</f>
        <v/>
      </c>
      <c r="G1098" s="10" t="str">
        <f aca="false">IF($B1098="","",IFERROR(INDEX(Drinks!$C$4:$C$53,MATCH($B1098,Drinks!$A$4:$A$53,0)),0))</f>
        <v/>
      </c>
      <c r="H1098" s="10" t="str">
        <f aca="false">IF($B1098="","",$D1098*$G1098)</f>
        <v/>
      </c>
      <c r="I1098" s="10" t="str">
        <f aca="false">IF($B1098="","",$F1098*$G1098)</f>
        <v/>
      </c>
      <c r="J1098" s="9"/>
      <c r="K1098" s="10" t="str">
        <f aca="false">IF($B1098="","",$E1098*IFERROR(INDEX(Drinks!$B$4:$B$53,MATCH($B1098,Drinks!$A$4:$A$53,0)),0))</f>
        <v/>
      </c>
      <c r="L1098" s="10" t="str">
        <f aca="false">IF($B1098="","",$J1098+$K1098)</f>
        <v/>
      </c>
      <c r="M1098" s="9"/>
      <c r="N1098" s="10" t="str">
        <f aca="false">IF($B1098="","",$L1098-$M1098)</f>
        <v/>
      </c>
      <c r="O1098" s="10" t="str">
        <f aca="false">IF($B1098="","",IFERROR(INDEX(Drinks!$E$4:$E$53,MATCH($B1098,Drinks!$A$4:$A$53,0)),0))</f>
        <v/>
      </c>
      <c r="P1098" s="10" t="str">
        <f aca="false">IF($B1098="","",$N1098*$O1098)</f>
        <v/>
      </c>
      <c r="Q1098" s="10" t="str">
        <f aca="false">IF($B1098="","",$N1098*IFERROR(INDEX(Drinks!$D$4:$D$53,MATCH($B1098,Drinks!$A$4:$A$53,0)),0))</f>
        <v/>
      </c>
      <c r="R1098" s="10" t="str">
        <f aca="false">IF($B1098="","",$P1098-$Q1098)</f>
        <v/>
      </c>
      <c r="S1098" s="23" t="str">
        <f aca="false">IF($B1098="","",IF(COUNTIFS($A$4:$A$2003,$A1098-1,$B$4:$B$2003,$B1098)=0,"first day",IF(SUMIFS($M$4:$M$2003,$A$4:$A$2003,$A1098-1,$B$4:$B$2003,$B1098)=$J1098,"OK","CHECK")))</f>
        <v/>
      </c>
      <c r="T1098" s="10" t="str">
        <f aca="false">IF($B1098="","",IFERROR(INDEX(Drinks!$D$4:$D$53,MATCH($B1098,Drinks!$A$4:$A$53,0)),0))</f>
        <v/>
      </c>
    </row>
    <row r="1099" customFormat="false" ht="15" hidden="false" customHeight="false" outlineLevel="0" collapsed="false">
      <c r="A1099" s="22"/>
      <c r="B1099" s="9"/>
      <c r="C1099" s="9"/>
      <c r="D1099" s="9"/>
      <c r="E1099" s="9"/>
      <c r="F1099" s="10" t="str">
        <f aca="false">IF($B1099="","",$C1099+$D1099-$E1099)</f>
        <v/>
      </c>
      <c r="G1099" s="10" t="str">
        <f aca="false">IF($B1099="","",IFERROR(INDEX(Drinks!$C$4:$C$53,MATCH($B1099,Drinks!$A$4:$A$53,0)),0))</f>
        <v/>
      </c>
      <c r="H1099" s="10" t="str">
        <f aca="false">IF($B1099="","",$D1099*$G1099)</f>
        <v/>
      </c>
      <c r="I1099" s="10" t="str">
        <f aca="false">IF($B1099="","",$F1099*$G1099)</f>
        <v/>
      </c>
      <c r="J1099" s="9"/>
      <c r="K1099" s="10" t="str">
        <f aca="false">IF($B1099="","",$E1099*IFERROR(INDEX(Drinks!$B$4:$B$53,MATCH($B1099,Drinks!$A$4:$A$53,0)),0))</f>
        <v/>
      </c>
      <c r="L1099" s="10" t="str">
        <f aca="false">IF($B1099="","",$J1099+$K1099)</f>
        <v/>
      </c>
      <c r="M1099" s="9"/>
      <c r="N1099" s="10" t="str">
        <f aca="false">IF($B1099="","",$L1099-$M1099)</f>
        <v/>
      </c>
      <c r="O1099" s="10" t="str">
        <f aca="false">IF($B1099="","",IFERROR(INDEX(Drinks!$E$4:$E$53,MATCH($B1099,Drinks!$A$4:$A$53,0)),0))</f>
        <v/>
      </c>
      <c r="P1099" s="10" t="str">
        <f aca="false">IF($B1099="","",$N1099*$O1099)</f>
        <v/>
      </c>
      <c r="Q1099" s="10" t="str">
        <f aca="false">IF($B1099="","",$N1099*IFERROR(INDEX(Drinks!$D$4:$D$53,MATCH($B1099,Drinks!$A$4:$A$53,0)),0))</f>
        <v/>
      </c>
      <c r="R1099" s="10" t="str">
        <f aca="false">IF($B1099="","",$P1099-$Q1099)</f>
        <v/>
      </c>
      <c r="S1099" s="23" t="str">
        <f aca="false">IF($B1099="","",IF(COUNTIFS($A$4:$A$2003,$A1099-1,$B$4:$B$2003,$B1099)=0,"first day",IF(SUMIFS($M$4:$M$2003,$A$4:$A$2003,$A1099-1,$B$4:$B$2003,$B1099)=$J1099,"OK","CHECK")))</f>
        <v/>
      </c>
      <c r="T1099" s="10" t="str">
        <f aca="false">IF($B1099="","",IFERROR(INDEX(Drinks!$D$4:$D$53,MATCH($B1099,Drinks!$A$4:$A$53,0)),0))</f>
        <v/>
      </c>
    </row>
    <row r="1100" customFormat="false" ht="15" hidden="false" customHeight="false" outlineLevel="0" collapsed="false">
      <c r="A1100" s="22"/>
      <c r="B1100" s="9"/>
      <c r="C1100" s="9"/>
      <c r="D1100" s="9"/>
      <c r="E1100" s="9"/>
      <c r="F1100" s="10" t="str">
        <f aca="false">IF($B1100="","",$C1100+$D1100-$E1100)</f>
        <v/>
      </c>
      <c r="G1100" s="10" t="str">
        <f aca="false">IF($B1100="","",IFERROR(INDEX(Drinks!$C$4:$C$53,MATCH($B1100,Drinks!$A$4:$A$53,0)),0))</f>
        <v/>
      </c>
      <c r="H1100" s="10" t="str">
        <f aca="false">IF($B1100="","",$D1100*$G1100)</f>
        <v/>
      </c>
      <c r="I1100" s="10" t="str">
        <f aca="false">IF($B1100="","",$F1100*$G1100)</f>
        <v/>
      </c>
      <c r="J1100" s="9"/>
      <c r="K1100" s="10" t="str">
        <f aca="false">IF($B1100="","",$E1100*IFERROR(INDEX(Drinks!$B$4:$B$53,MATCH($B1100,Drinks!$A$4:$A$53,0)),0))</f>
        <v/>
      </c>
      <c r="L1100" s="10" t="str">
        <f aca="false">IF($B1100="","",$J1100+$K1100)</f>
        <v/>
      </c>
      <c r="M1100" s="9"/>
      <c r="N1100" s="10" t="str">
        <f aca="false">IF($B1100="","",$L1100-$M1100)</f>
        <v/>
      </c>
      <c r="O1100" s="10" t="str">
        <f aca="false">IF($B1100="","",IFERROR(INDEX(Drinks!$E$4:$E$53,MATCH($B1100,Drinks!$A$4:$A$53,0)),0))</f>
        <v/>
      </c>
      <c r="P1100" s="10" t="str">
        <f aca="false">IF($B1100="","",$N1100*$O1100)</f>
        <v/>
      </c>
      <c r="Q1100" s="10" t="str">
        <f aca="false">IF($B1100="","",$N1100*IFERROR(INDEX(Drinks!$D$4:$D$53,MATCH($B1100,Drinks!$A$4:$A$53,0)),0))</f>
        <v/>
      </c>
      <c r="R1100" s="10" t="str">
        <f aca="false">IF($B1100="","",$P1100-$Q1100)</f>
        <v/>
      </c>
      <c r="S1100" s="23" t="str">
        <f aca="false">IF($B1100="","",IF(COUNTIFS($A$4:$A$2003,$A1100-1,$B$4:$B$2003,$B1100)=0,"first day",IF(SUMIFS($M$4:$M$2003,$A$4:$A$2003,$A1100-1,$B$4:$B$2003,$B1100)=$J1100,"OK","CHECK")))</f>
        <v/>
      </c>
      <c r="T1100" s="10" t="str">
        <f aca="false">IF($B1100="","",IFERROR(INDEX(Drinks!$D$4:$D$53,MATCH($B1100,Drinks!$A$4:$A$53,0)),0))</f>
        <v/>
      </c>
    </row>
    <row r="1101" customFormat="false" ht="15" hidden="false" customHeight="false" outlineLevel="0" collapsed="false">
      <c r="A1101" s="22"/>
      <c r="B1101" s="9"/>
      <c r="C1101" s="9"/>
      <c r="D1101" s="9"/>
      <c r="E1101" s="9"/>
      <c r="F1101" s="10" t="str">
        <f aca="false">IF($B1101="","",$C1101+$D1101-$E1101)</f>
        <v/>
      </c>
      <c r="G1101" s="10" t="str">
        <f aca="false">IF($B1101="","",IFERROR(INDEX(Drinks!$C$4:$C$53,MATCH($B1101,Drinks!$A$4:$A$53,0)),0))</f>
        <v/>
      </c>
      <c r="H1101" s="10" t="str">
        <f aca="false">IF($B1101="","",$D1101*$G1101)</f>
        <v/>
      </c>
      <c r="I1101" s="10" t="str">
        <f aca="false">IF($B1101="","",$F1101*$G1101)</f>
        <v/>
      </c>
      <c r="J1101" s="9"/>
      <c r="K1101" s="10" t="str">
        <f aca="false">IF($B1101="","",$E1101*IFERROR(INDEX(Drinks!$B$4:$B$53,MATCH($B1101,Drinks!$A$4:$A$53,0)),0))</f>
        <v/>
      </c>
      <c r="L1101" s="10" t="str">
        <f aca="false">IF($B1101="","",$J1101+$K1101)</f>
        <v/>
      </c>
      <c r="M1101" s="9"/>
      <c r="N1101" s="10" t="str">
        <f aca="false">IF($B1101="","",$L1101-$M1101)</f>
        <v/>
      </c>
      <c r="O1101" s="10" t="str">
        <f aca="false">IF($B1101="","",IFERROR(INDEX(Drinks!$E$4:$E$53,MATCH($B1101,Drinks!$A$4:$A$53,0)),0))</f>
        <v/>
      </c>
      <c r="P1101" s="10" t="str">
        <f aca="false">IF($B1101="","",$N1101*$O1101)</f>
        <v/>
      </c>
      <c r="Q1101" s="10" t="str">
        <f aca="false">IF($B1101="","",$N1101*IFERROR(INDEX(Drinks!$D$4:$D$53,MATCH($B1101,Drinks!$A$4:$A$53,0)),0))</f>
        <v/>
      </c>
      <c r="R1101" s="10" t="str">
        <f aca="false">IF($B1101="","",$P1101-$Q1101)</f>
        <v/>
      </c>
      <c r="S1101" s="23" t="str">
        <f aca="false">IF($B1101="","",IF(COUNTIFS($A$4:$A$2003,$A1101-1,$B$4:$B$2003,$B1101)=0,"first day",IF(SUMIFS($M$4:$M$2003,$A$4:$A$2003,$A1101-1,$B$4:$B$2003,$B1101)=$J1101,"OK","CHECK")))</f>
        <v/>
      </c>
      <c r="T1101" s="10" t="str">
        <f aca="false">IF($B1101="","",IFERROR(INDEX(Drinks!$D$4:$D$53,MATCH($B1101,Drinks!$A$4:$A$53,0)),0))</f>
        <v/>
      </c>
    </row>
    <row r="1102" customFormat="false" ht="15" hidden="false" customHeight="false" outlineLevel="0" collapsed="false">
      <c r="A1102" s="22"/>
      <c r="B1102" s="9"/>
      <c r="C1102" s="9"/>
      <c r="D1102" s="9"/>
      <c r="E1102" s="9"/>
      <c r="F1102" s="10" t="str">
        <f aca="false">IF($B1102="","",$C1102+$D1102-$E1102)</f>
        <v/>
      </c>
      <c r="G1102" s="10" t="str">
        <f aca="false">IF($B1102="","",IFERROR(INDEX(Drinks!$C$4:$C$53,MATCH($B1102,Drinks!$A$4:$A$53,0)),0))</f>
        <v/>
      </c>
      <c r="H1102" s="10" t="str">
        <f aca="false">IF($B1102="","",$D1102*$G1102)</f>
        <v/>
      </c>
      <c r="I1102" s="10" t="str">
        <f aca="false">IF($B1102="","",$F1102*$G1102)</f>
        <v/>
      </c>
      <c r="J1102" s="9"/>
      <c r="K1102" s="10" t="str">
        <f aca="false">IF($B1102="","",$E1102*IFERROR(INDEX(Drinks!$B$4:$B$53,MATCH($B1102,Drinks!$A$4:$A$53,0)),0))</f>
        <v/>
      </c>
      <c r="L1102" s="10" t="str">
        <f aca="false">IF($B1102="","",$J1102+$K1102)</f>
        <v/>
      </c>
      <c r="M1102" s="9"/>
      <c r="N1102" s="10" t="str">
        <f aca="false">IF($B1102="","",$L1102-$M1102)</f>
        <v/>
      </c>
      <c r="O1102" s="10" t="str">
        <f aca="false">IF($B1102="","",IFERROR(INDEX(Drinks!$E$4:$E$53,MATCH($B1102,Drinks!$A$4:$A$53,0)),0))</f>
        <v/>
      </c>
      <c r="P1102" s="10" t="str">
        <f aca="false">IF($B1102="","",$N1102*$O1102)</f>
        <v/>
      </c>
      <c r="Q1102" s="10" t="str">
        <f aca="false">IF($B1102="","",$N1102*IFERROR(INDEX(Drinks!$D$4:$D$53,MATCH($B1102,Drinks!$A$4:$A$53,0)),0))</f>
        <v/>
      </c>
      <c r="R1102" s="10" t="str">
        <f aca="false">IF($B1102="","",$P1102-$Q1102)</f>
        <v/>
      </c>
      <c r="S1102" s="23" t="str">
        <f aca="false">IF($B1102="","",IF(COUNTIFS($A$4:$A$2003,$A1102-1,$B$4:$B$2003,$B1102)=0,"first day",IF(SUMIFS($M$4:$M$2003,$A$4:$A$2003,$A1102-1,$B$4:$B$2003,$B1102)=$J1102,"OK","CHECK")))</f>
        <v/>
      </c>
      <c r="T1102" s="10" t="str">
        <f aca="false">IF($B1102="","",IFERROR(INDEX(Drinks!$D$4:$D$53,MATCH($B1102,Drinks!$A$4:$A$53,0)),0))</f>
        <v/>
      </c>
    </row>
    <row r="1103" customFormat="false" ht="15" hidden="false" customHeight="false" outlineLevel="0" collapsed="false">
      <c r="A1103" s="22"/>
      <c r="B1103" s="9"/>
      <c r="C1103" s="9"/>
      <c r="D1103" s="9"/>
      <c r="E1103" s="9"/>
      <c r="F1103" s="10" t="str">
        <f aca="false">IF($B1103="","",$C1103+$D1103-$E1103)</f>
        <v/>
      </c>
      <c r="G1103" s="10" t="str">
        <f aca="false">IF($B1103="","",IFERROR(INDEX(Drinks!$C$4:$C$53,MATCH($B1103,Drinks!$A$4:$A$53,0)),0))</f>
        <v/>
      </c>
      <c r="H1103" s="10" t="str">
        <f aca="false">IF($B1103="","",$D1103*$G1103)</f>
        <v/>
      </c>
      <c r="I1103" s="10" t="str">
        <f aca="false">IF($B1103="","",$F1103*$G1103)</f>
        <v/>
      </c>
      <c r="J1103" s="9"/>
      <c r="K1103" s="10" t="str">
        <f aca="false">IF($B1103="","",$E1103*IFERROR(INDEX(Drinks!$B$4:$B$53,MATCH($B1103,Drinks!$A$4:$A$53,0)),0))</f>
        <v/>
      </c>
      <c r="L1103" s="10" t="str">
        <f aca="false">IF($B1103="","",$J1103+$K1103)</f>
        <v/>
      </c>
      <c r="M1103" s="9"/>
      <c r="N1103" s="10" t="str">
        <f aca="false">IF($B1103="","",$L1103-$M1103)</f>
        <v/>
      </c>
      <c r="O1103" s="10" t="str">
        <f aca="false">IF($B1103="","",IFERROR(INDEX(Drinks!$E$4:$E$53,MATCH($B1103,Drinks!$A$4:$A$53,0)),0))</f>
        <v/>
      </c>
      <c r="P1103" s="10" t="str">
        <f aca="false">IF($B1103="","",$N1103*$O1103)</f>
        <v/>
      </c>
      <c r="Q1103" s="10" t="str">
        <f aca="false">IF($B1103="","",$N1103*IFERROR(INDEX(Drinks!$D$4:$D$53,MATCH($B1103,Drinks!$A$4:$A$53,0)),0))</f>
        <v/>
      </c>
      <c r="R1103" s="10" t="str">
        <f aca="false">IF($B1103="","",$P1103-$Q1103)</f>
        <v/>
      </c>
      <c r="S1103" s="23" t="str">
        <f aca="false">IF($B1103="","",IF(COUNTIFS($A$4:$A$2003,$A1103-1,$B$4:$B$2003,$B1103)=0,"first day",IF(SUMIFS($M$4:$M$2003,$A$4:$A$2003,$A1103-1,$B$4:$B$2003,$B1103)=$J1103,"OK","CHECK")))</f>
        <v/>
      </c>
      <c r="T1103" s="10" t="str">
        <f aca="false">IF($B1103="","",IFERROR(INDEX(Drinks!$D$4:$D$53,MATCH($B1103,Drinks!$A$4:$A$53,0)),0))</f>
        <v/>
      </c>
    </row>
    <row r="1104" customFormat="false" ht="15" hidden="false" customHeight="false" outlineLevel="0" collapsed="false">
      <c r="A1104" s="22"/>
      <c r="B1104" s="9"/>
      <c r="C1104" s="9"/>
      <c r="D1104" s="9"/>
      <c r="E1104" s="9"/>
      <c r="F1104" s="10" t="str">
        <f aca="false">IF($B1104="","",$C1104+$D1104-$E1104)</f>
        <v/>
      </c>
      <c r="G1104" s="10" t="str">
        <f aca="false">IF($B1104="","",IFERROR(INDEX(Drinks!$C$4:$C$53,MATCH($B1104,Drinks!$A$4:$A$53,0)),0))</f>
        <v/>
      </c>
      <c r="H1104" s="10" t="str">
        <f aca="false">IF($B1104="","",$D1104*$G1104)</f>
        <v/>
      </c>
      <c r="I1104" s="10" t="str">
        <f aca="false">IF($B1104="","",$F1104*$G1104)</f>
        <v/>
      </c>
      <c r="J1104" s="9"/>
      <c r="K1104" s="10" t="str">
        <f aca="false">IF($B1104="","",$E1104*IFERROR(INDEX(Drinks!$B$4:$B$53,MATCH($B1104,Drinks!$A$4:$A$53,0)),0))</f>
        <v/>
      </c>
      <c r="L1104" s="10" t="str">
        <f aca="false">IF($B1104="","",$J1104+$K1104)</f>
        <v/>
      </c>
      <c r="M1104" s="9"/>
      <c r="N1104" s="10" t="str">
        <f aca="false">IF($B1104="","",$L1104-$M1104)</f>
        <v/>
      </c>
      <c r="O1104" s="10" t="str">
        <f aca="false">IF($B1104="","",IFERROR(INDEX(Drinks!$E$4:$E$53,MATCH($B1104,Drinks!$A$4:$A$53,0)),0))</f>
        <v/>
      </c>
      <c r="P1104" s="10" t="str">
        <f aca="false">IF($B1104="","",$N1104*$O1104)</f>
        <v/>
      </c>
      <c r="Q1104" s="10" t="str">
        <f aca="false">IF($B1104="","",$N1104*IFERROR(INDEX(Drinks!$D$4:$D$53,MATCH($B1104,Drinks!$A$4:$A$53,0)),0))</f>
        <v/>
      </c>
      <c r="R1104" s="10" t="str">
        <f aca="false">IF($B1104="","",$P1104-$Q1104)</f>
        <v/>
      </c>
      <c r="S1104" s="23" t="str">
        <f aca="false">IF($B1104="","",IF(COUNTIFS($A$4:$A$2003,$A1104-1,$B$4:$B$2003,$B1104)=0,"first day",IF(SUMIFS($M$4:$M$2003,$A$4:$A$2003,$A1104-1,$B$4:$B$2003,$B1104)=$J1104,"OK","CHECK")))</f>
        <v/>
      </c>
      <c r="T1104" s="10" t="str">
        <f aca="false">IF($B1104="","",IFERROR(INDEX(Drinks!$D$4:$D$53,MATCH($B1104,Drinks!$A$4:$A$53,0)),0))</f>
        <v/>
      </c>
    </row>
    <row r="1105" customFormat="false" ht="15" hidden="false" customHeight="false" outlineLevel="0" collapsed="false">
      <c r="A1105" s="22"/>
      <c r="B1105" s="9"/>
      <c r="C1105" s="9"/>
      <c r="D1105" s="9"/>
      <c r="E1105" s="9"/>
      <c r="F1105" s="10" t="str">
        <f aca="false">IF($B1105="","",$C1105+$D1105-$E1105)</f>
        <v/>
      </c>
      <c r="G1105" s="10" t="str">
        <f aca="false">IF($B1105="","",IFERROR(INDEX(Drinks!$C$4:$C$53,MATCH($B1105,Drinks!$A$4:$A$53,0)),0))</f>
        <v/>
      </c>
      <c r="H1105" s="10" t="str">
        <f aca="false">IF($B1105="","",$D1105*$G1105)</f>
        <v/>
      </c>
      <c r="I1105" s="10" t="str">
        <f aca="false">IF($B1105="","",$F1105*$G1105)</f>
        <v/>
      </c>
      <c r="J1105" s="9"/>
      <c r="K1105" s="10" t="str">
        <f aca="false">IF($B1105="","",$E1105*IFERROR(INDEX(Drinks!$B$4:$B$53,MATCH($B1105,Drinks!$A$4:$A$53,0)),0))</f>
        <v/>
      </c>
      <c r="L1105" s="10" t="str">
        <f aca="false">IF($B1105="","",$J1105+$K1105)</f>
        <v/>
      </c>
      <c r="M1105" s="9"/>
      <c r="N1105" s="10" t="str">
        <f aca="false">IF($B1105="","",$L1105-$M1105)</f>
        <v/>
      </c>
      <c r="O1105" s="10" t="str">
        <f aca="false">IF($B1105="","",IFERROR(INDEX(Drinks!$E$4:$E$53,MATCH($B1105,Drinks!$A$4:$A$53,0)),0))</f>
        <v/>
      </c>
      <c r="P1105" s="10" t="str">
        <f aca="false">IF($B1105="","",$N1105*$O1105)</f>
        <v/>
      </c>
      <c r="Q1105" s="10" t="str">
        <f aca="false">IF($B1105="","",$N1105*IFERROR(INDEX(Drinks!$D$4:$D$53,MATCH($B1105,Drinks!$A$4:$A$53,0)),0))</f>
        <v/>
      </c>
      <c r="R1105" s="10" t="str">
        <f aca="false">IF($B1105="","",$P1105-$Q1105)</f>
        <v/>
      </c>
      <c r="S1105" s="23" t="str">
        <f aca="false">IF($B1105="","",IF(COUNTIFS($A$4:$A$2003,$A1105-1,$B$4:$B$2003,$B1105)=0,"first day",IF(SUMIFS($M$4:$M$2003,$A$4:$A$2003,$A1105-1,$B$4:$B$2003,$B1105)=$J1105,"OK","CHECK")))</f>
        <v/>
      </c>
      <c r="T1105" s="10" t="str">
        <f aca="false">IF($B1105="","",IFERROR(INDEX(Drinks!$D$4:$D$53,MATCH($B1105,Drinks!$A$4:$A$53,0)),0))</f>
        <v/>
      </c>
    </row>
    <row r="1106" customFormat="false" ht="15" hidden="false" customHeight="false" outlineLevel="0" collapsed="false">
      <c r="A1106" s="22"/>
      <c r="B1106" s="9"/>
      <c r="C1106" s="9"/>
      <c r="D1106" s="9"/>
      <c r="E1106" s="9"/>
      <c r="F1106" s="10" t="str">
        <f aca="false">IF($B1106="","",$C1106+$D1106-$E1106)</f>
        <v/>
      </c>
      <c r="G1106" s="10" t="str">
        <f aca="false">IF($B1106="","",IFERROR(INDEX(Drinks!$C$4:$C$53,MATCH($B1106,Drinks!$A$4:$A$53,0)),0))</f>
        <v/>
      </c>
      <c r="H1106" s="10" t="str">
        <f aca="false">IF($B1106="","",$D1106*$G1106)</f>
        <v/>
      </c>
      <c r="I1106" s="10" t="str">
        <f aca="false">IF($B1106="","",$F1106*$G1106)</f>
        <v/>
      </c>
      <c r="J1106" s="9"/>
      <c r="K1106" s="10" t="str">
        <f aca="false">IF($B1106="","",$E1106*IFERROR(INDEX(Drinks!$B$4:$B$53,MATCH($B1106,Drinks!$A$4:$A$53,0)),0))</f>
        <v/>
      </c>
      <c r="L1106" s="10" t="str">
        <f aca="false">IF($B1106="","",$J1106+$K1106)</f>
        <v/>
      </c>
      <c r="M1106" s="9"/>
      <c r="N1106" s="10" t="str">
        <f aca="false">IF($B1106="","",$L1106-$M1106)</f>
        <v/>
      </c>
      <c r="O1106" s="10" t="str">
        <f aca="false">IF($B1106="","",IFERROR(INDEX(Drinks!$E$4:$E$53,MATCH($B1106,Drinks!$A$4:$A$53,0)),0))</f>
        <v/>
      </c>
      <c r="P1106" s="10" t="str">
        <f aca="false">IF($B1106="","",$N1106*$O1106)</f>
        <v/>
      </c>
      <c r="Q1106" s="10" t="str">
        <f aca="false">IF($B1106="","",$N1106*IFERROR(INDEX(Drinks!$D$4:$D$53,MATCH($B1106,Drinks!$A$4:$A$53,0)),0))</f>
        <v/>
      </c>
      <c r="R1106" s="10" t="str">
        <f aca="false">IF($B1106="","",$P1106-$Q1106)</f>
        <v/>
      </c>
      <c r="S1106" s="23" t="str">
        <f aca="false">IF($B1106="","",IF(COUNTIFS($A$4:$A$2003,$A1106-1,$B$4:$B$2003,$B1106)=0,"first day",IF(SUMIFS($M$4:$M$2003,$A$4:$A$2003,$A1106-1,$B$4:$B$2003,$B1106)=$J1106,"OK","CHECK")))</f>
        <v/>
      </c>
      <c r="T1106" s="10" t="str">
        <f aca="false">IF($B1106="","",IFERROR(INDEX(Drinks!$D$4:$D$53,MATCH($B1106,Drinks!$A$4:$A$53,0)),0))</f>
        <v/>
      </c>
    </row>
    <row r="1107" customFormat="false" ht="15" hidden="false" customHeight="false" outlineLevel="0" collapsed="false">
      <c r="A1107" s="22"/>
      <c r="B1107" s="9"/>
      <c r="C1107" s="9"/>
      <c r="D1107" s="9"/>
      <c r="E1107" s="9"/>
      <c r="F1107" s="10" t="str">
        <f aca="false">IF($B1107="","",$C1107+$D1107-$E1107)</f>
        <v/>
      </c>
      <c r="G1107" s="10" t="str">
        <f aca="false">IF($B1107="","",IFERROR(INDEX(Drinks!$C$4:$C$53,MATCH($B1107,Drinks!$A$4:$A$53,0)),0))</f>
        <v/>
      </c>
      <c r="H1107" s="10" t="str">
        <f aca="false">IF($B1107="","",$D1107*$G1107)</f>
        <v/>
      </c>
      <c r="I1107" s="10" t="str">
        <f aca="false">IF($B1107="","",$F1107*$G1107)</f>
        <v/>
      </c>
      <c r="J1107" s="9"/>
      <c r="K1107" s="10" t="str">
        <f aca="false">IF($B1107="","",$E1107*IFERROR(INDEX(Drinks!$B$4:$B$53,MATCH($B1107,Drinks!$A$4:$A$53,0)),0))</f>
        <v/>
      </c>
      <c r="L1107" s="10" t="str">
        <f aca="false">IF($B1107="","",$J1107+$K1107)</f>
        <v/>
      </c>
      <c r="M1107" s="9"/>
      <c r="N1107" s="10" t="str">
        <f aca="false">IF($B1107="","",$L1107-$M1107)</f>
        <v/>
      </c>
      <c r="O1107" s="10" t="str">
        <f aca="false">IF($B1107="","",IFERROR(INDEX(Drinks!$E$4:$E$53,MATCH($B1107,Drinks!$A$4:$A$53,0)),0))</f>
        <v/>
      </c>
      <c r="P1107" s="10" t="str">
        <f aca="false">IF($B1107="","",$N1107*$O1107)</f>
        <v/>
      </c>
      <c r="Q1107" s="10" t="str">
        <f aca="false">IF($B1107="","",$N1107*IFERROR(INDEX(Drinks!$D$4:$D$53,MATCH($B1107,Drinks!$A$4:$A$53,0)),0))</f>
        <v/>
      </c>
      <c r="R1107" s="10" t="str">
        <f aca="false">IF($B1107="","",$P1107-$Q1107)</f>
        <v/>
      </c>
      <c r="S1107" s="23" t="str">
        <f aca="false">IF($B1107="","",IF(COUNTIFS($A$4:$A$2003,$A1107-1,$B$4:$B$2003,$B1107)=0,"first day",IF(SUMIFS($M$4:$M$2003,$A$4:$A$2003,$A1107-1,$B$4:$B$2003,$B1107)=$J1107,"OK","CHECK")))</f>
        <v/>
      </c>
      <c r="T1107" s="10" t="str">
        <f aca="false">IF($B1107="","",IFERROR(INDEX(Drinks!$D$4:$D$53,MATCH($B1107,Drinks!$A$4:$A$53,0)),0))</f>
        <v/>
      </c>
    </row>
    <row r="1108" customFormat="false" ht="15" hidden="false" customHeight="false" outlineLevel="0" collapsed="false">
      <c r="A1108" s="22"/>
      <c r="B1108" s="9"/>
      <c r="C1108" s="9"/>
      <c r="D1108" s="9"/>
      <c r="E1108" s="9"/>
      <c r="F1108" s="10" t="str">
        <f aca="false">IF($B1108="","",$C1108+$D1108-$E1108)</f>
        <v/>
      </c>
      <c r="G1108" s="10" t="str">
        <f aca="false">IF($B1108="","",IFERROR(INDEX(Drinks!$C$4:$C$53,MATCH($B1108,Drinks!$A$4:$A$53,0)),0))</f>
        <v/>
      </c>
      <c r="H1108" s="10" t="str">
        <f aca="false">IF($B1108="","",$D1108*$G1108)</f>
        <v/>
      </c>
      <c r="I1108" s="10" t="str">
        <f aca="false">IF($B1108="","",$F1108*$G1108)</f>
        <v/>
      </c>
      <c r="J1108" s="9"/>
      <c r="K1108" s="10" t="str">
        <f aca="false">IF($B1108="","",$E1108*IFERROR(INDEX(Drinks!$B$4:$B$53,MATCH($B1108,Drinks!$A$4:$A$53,0)),0))</f>
        <v/>
      </c>
      <c r="L1108" s="10" t="str">
        <f aca="false">IF($B1108="","",$J1108+$K1108)</f>
        <v/>
      </c>
      <c r="M1108" s="9"/>
      <c r="N1108" s="10" t="str">
        <f aca="false">IF($B1108="","",$L1108-$M1108)</f>
        <v/>
      </c>
      <c r="O1108" s="10" t="str">
        <f aca="false">IF($B1108="","",IFERROR(INDEX(Drinks!$E$4:$E$53,MATCH($B1108,Drinks!$A$4:$A$53,0)),0))</f>
        <v/>
      </c>
      <c r="P1108" s="10" t="str">
        <f aca="false">IF($B1108="","",$N1108*$O1108)</f>
        <v/>
      </c>
      <c r="Q1108" s="10" t="str">
        <f aca="false">IF($B1108="","",$N1108*IFERROR(INDEX(Drinks!$D$4:$D$53,MATCH($B1108,Drinks!$A$4:$A$53,0)),0))</f>
        <v/>
      </c>
      <c r="R1108" s="10" t="str">
        <f aca="false">IF($B1108="","",$P1108-$Q1108)</f>
        <v/>
      </c>
      <c r="S1108" s="23" t="str">
        <f aca="false">IF($B1108="","",IF(COUNTIFS($A$4:$A$2003,$A1108-1,$B$4:$B$2003,$B1108)=0,"first day",IF(SUMIFS($M$4:$M$2003,$A$4:$A$2003,$A1108-1,$B$4:$B$2003,$B1108)=$J1108,"OK","CHECK")))</f>
        <v/>
      </c>
      <c r="T1108" s="10" t="str">
        <f aca="false">IF($B1108="","",IFERROR(INDEX(Drinks!$D$4:$D$53,MATCH($B1108,Drinks!$A$4:$A$53,0)),0))</f>
        <v/>
      </c>
    </row>
    <row r="1109" customFormat="false" ht="15" hidden="false" customHeight="false" outlineLevel="0" collapsed="false">
      <c r="A1109" s="22"/>
      <c r="B1109" s="9"/>
      <c r="C1109" s="9"/>
      <c r="D1109" s="9"/>
      <c r="E1109" s="9"/>
      <c r="F1109" s="10" t="str">
        <f aca="false">IF($B1109="","",$C1109+$D1109-$E1109)</f>
        <v/>
      </c>
      <c r="G1109" s="10" t="str">
        <f aca="false">IF($B1109="","",IFERROR(INDEX(Drinks!$C$4:$C$53,MATCH($B1109,Drinks!$A$4:$A$53,0)),0))</f>
        <v/>
      </c>
      <c r="H1109" s="10" t="str">
        <f aca="false">IF($B1109="","",$D1109*$G1109)</f>
        <v/>
      </c>
      <c r="I1109" s="10" t="str">
        <f aca="false">IF($B1109="","",$F1109*$G1109)</f>
        <v/>
      </c>
      <c r="J1109" s="9"/>
      <c r="K1109" s="10" t="str">
        <f aca="false">IF($B1109="","",$E1109*IFERROR(INDEX(Drinks!$B$4:$B$53,MATCH($B1109,Drinks!$A$4:$A$53,0)),0))</f>
        <v/>
      </c>
      <c r="L1109" s="10" t="str">
        <f aca="false">IF($B1109="","",$J1109+$K1109)</f>
        <v/>
      </c>
      <c r="M1109" s="9"/>
      <c r="N1109" s="10" t="str">
        <f aca="false">IF($B1109="","",$L1109-$M1109)</f>
        <v/>
      </c>
      <c r="O1109" s="10" t="str">
        <f aca="false">IF($B1109="","",IFERROR(INDEX(Drinks!$E$4:$E$53,MATCH($B1109,Drinks!$A$4:$A$53,0)),0))</f>
        <v/>
      </c>
      <c r="P1109" s="10" t="str">
        <f aca="false">IF($B1109="","",$N1109*$O1109)</f>
        <v/>
      </c>
      <c r="Q1109" s="10" t="str">
        <f aca="false">IF($B1109="","",$N1109*IFERROR(INDEX(Drinks!$D$4:$D$53,MATCH($B1109,Drinks!$A$4:$A$53,0)),0))</f>
        <v/>
      </c>
      <c r="R1109" s="10" t="str">
        <f aca="false">IF($B1109="","",$P1109-$Q1109)</f>
        <v/>
      </c>
      <c r="S1109" s="23" t="str">
        <f aca="false">IF($B1109="","",IF(COUNTIFS($A$4:$A$2003,$A1109-1,$B$4:$B$2003,$B1109)=0,"first day",IF(SUMIFS($M$4:$M$2003,$A$4:$A$2003,$A1109-1,$B$4:$B$2003,$B1109)=$J1109,"OK","CHECK")))</f>
        <v/>
      </c>
      <c r="T1109" s="10" t="str">
        <f aca="false">IF($B1109="","",IFERROR(INDEX(Drinks!$D$4:$D$53,MATCH($B1109,Drinks!$A$4:$A$53,0)),0))</f>
        <v/>
      </c>
    </row>
    <row r="1110" customFormat="false" ht="15" hidden="false" customHeight="false" outlineLevel="0" collapsed="false">
      <c r="A1110" s="22"/>
      <c r="B1110" s="9"/>
      <c r="C1110" s="9"/>
      <c r="D1110" s="9"/>
      <c r="E1110" s="9"/>
      <c r="F1110" s="10" t="str">
        <f aca="false">IF($B1110="","",$C1110+$D1110-$E1110)</f>
        <v/>
      </c>
      <c r="G1110" s="10" t="str">
        <f aca="false">IF($B1110="","",IFERROR(INDEX(Drinks!$C$4:$C$53,MATCH($B1110,Drinks!$A$4:$A$53,0)),0))</f>
        <v/>
      </c>
      <c r="H1110" s="10" t="str">
        <f aca="false">IF($B1110="","",$D1110*$G1110)</f>
        <v/>
      </c>
      <c r="I1110" s="10" t="str">
        <f aca="false">IF($B1110="","",$F1110*$G1110)</f>
        <v/>
      </c>
      <c r="J1110" s="9"/>
      <c r="K1110" s="10" t="str">
        <f aca="false">IF($B1110="","",$E1110*IFERROR(INDEX(Drinks!$B$4:$B$53,MATCH($B1110,Drinks!$A$4:$A$53,0)),0))</f>
        <v/>
      </c>
      <c r="L1110" s="10" t="str">
        <f aca="false">IF($B1110="","",$J1110+$K1110)</f>
        <v/>
      </c>
      <c r="M1110" s="9"/>
      <c r="N1110" s="10" t="str">
        <f aca="false">IF($B1110="","",$L1110-$M1110)</f>
        <v/>
      </c>
      <c r="O1110" s="10" t="str">
        <f aca="false">IF($B1110="","",IFERROR(INDEX(Drinks!$E$4:$E$53,MATCH($B1110,Drinks!$A$4:$A$53,0)),0))</f>
        <v/>
      </c>
      <c r="P1110" s="10" t="str">
        <f aca="false">IF($B1110="","",$N1110*$O1110)</f>
        <v/>
      </c>
      <c r="Q1110" s="10" t="str">
        <f aca="false">IF($B1110="","",$N1110*IFERROR(INDEX(Drinks!$D$4:$D$53,MATCH($B1110,Drinks!$A$4:$A$53,0)),0))</f>
        <v/>
      </c>
      <c r="R1110" s="10" t="str">
        <f aca="false">IF($B1110="","",$P1110-$Q1110)</f>
        <v/>
      </c>
      <c r="S1110" s="23" t="str">
        <f aca="false">IF($B1110="","",IF(COUNTIFS($A$4:$A$2003,$A1110-1,$B$4:$B$2003,$B1110)=0,"first day",IF(SUMIFS($M$4:$M$2003,$A$4:$A$2003,$A1110-1,$B$4:$B$2003,$B1110)=$J1110,"OK","CHECK")))</f>
        <v/>
      </c>
      <c r="T1110" s="10" t="str">
        <f aca="false">IF($B1110="","",IFERROR(INDEX(Drinks!$D$4:$D$53,MATCH($B1110,Drinks!$A$4:$A$53,0)),0))</f>
        <v/>
      </c>
    </row>
    <row r="1111" customFormat="false" ht="15" hidden="false" customHeight="false" outlineLevel="0" collapsed="false">
      <c r="A1111" s="22"/>
      <c r="B1111" s="9"/>
      <c r="C1111" s="9"/>
      <c r="D1111" s="9"/>
      <c r="E1111" s="9"/>
      <c r="F1111" s="10" t="str">
        <f aca="false">IF($B1111="","",$C1111+$D1111-$E1111)</f>
        <v/>
      </c>
      <c r="G1111" s="10" t="str">
        <f aca="false">IF($B1111="","",IFERROR(INDEX(Drinks!$C$4:$C$53,MATCH($B1111,Drinks!$A$4:$A$53,0)),0))</f>
        <v/>
      </c>
      <c r="H1111" s="10" t="str">
        <f aca="false">IF($B1111="","",$D1111*$G1111)</f>
        <v/>
      </c>
      <c r="I1111" s="10" t="str">
        <f aca="false">IF($B1111="","",$F1111*$G1111)</f>
        <v/>
      </c>
      <c r="J1111" s="9"/>
      <c r="K1111" s="10" t="str">
        <f aca="false">IF($B1111="","",$E1111*IFERROR(INDEX(Drinks!$B$4:$B$53,MATCH($B1111,Drinks!$A$4:$A$53,0)),0))</f>
        <v/>
      </c>
      <c r="L1111" s="10" t="str">
        <f aca="false">IF($B1111="","",$J1111+$K1111)</f>
        <v/>
      </c>
      <c r="M1111" s="9"/>
      <c r="N1111" s="10" t="str">
        <f aca="false">IF($B1111="","",$L1111-$M1111)</f>
        <v/>
      </c>
      <c r="O1111" s="10" t="str">
        <f aca="false">IF($B1111="","",IFERROR(INDEX(Drinks!$E$4:$E$53,MATCH($B1111,Drinks!$A$4:$A$53,0)),0))</f>
        <v/>
      </c>
      <c r="P1111" s="10" t="str">
        <f aca="false">IF($B1111="","",$N1111*$O1111)</f>
        <v/>
      </c>
      <c r="Q1111" s="10" t="str">
        <f aca="false">IF($B1111="","",$N1111*IFERROR(INDEX(Drinks!$D$4:$D$53,MATCH($B1111,Drinks!$A$4:$A$53,0)),0))</f>
        <v/>
      </c>
      <c r="R1111" s="10" t="str">
        <f aca="false">IF($B1111="","",$P1111-$Q1111)</f>
        <v/>
      </c>
      <c r="S1111" s="23" t="str">
        <f aca="false">IF($B1111="","",IF(COUNTIFS($A$4:$A$2003,$A1111-1,$B$4:$B$2003,$B1111)=0,"first day",IF(SUMIFS($M$4:$M$2003,$A$4:$A$2003,$A1111-1,$B$4:$B$2003,$B1111)=$J1111,"OK","CHECK")))</f>
        <v/>
      </c>
      <c r="T1111" s="10" t="str">
        <f aca="false">IF($B1111="","",IFERROR(INDEX(Drinks!$D$4:$D$53,MATCH($B1111,Drinks!$A$4:$A$53,0)),0))</f>
        <v/>
      </c>
    </row>
    <row r="1112" customFormat="false" ht="15" hidden="false" customHeight="false" outlineLevel="0" collapsed="false">
      <c r="A1112" s="22"/>
      <c r="B1112" s="9"/>
      <c r="C1112" s="9"/>
      <c r="D1112" s="9"/>
      <c r="E1112" s="9"/>
      <c r="F1112" s="10" t="str">
        <f aca="false">IF($B1112="","",$C1112+$D1112-$E1112)</f>
        <v/>
      </c>
      <c r="G1112" s="10" t="str">
        <f aca="false">IF($B1112="","",IFERROR(INDEX(Drinks!$C$4:$C$53,MATCH($B1112,Drinks!$A$4:$A$53,0)),0))</f>
        <v/>
      </c>
      <c r="H1112" s="10" t="str">
        <f aca="false">IF($B1112="","",$D1112*$G1112)</f>
        <v/>
      </c>
      <c r="I1112" s="10" t="str">
        <f aca="false">IF($B1112="","",$F1112*$G1112)</f>
        <v/>
      </c>
      <c r="J1112" s="9"/>
      <c r="K1112" s="10" t="str">
        <f aca="false">IF($B1112="","",$E1112*IFERROR(INDEX(Drinks!$B$4:$B$53,MATCH($B1112,Drinks!$A$4:$A$53,0)),0))</f>
        <v/>
      </c>
      <c r="L1112" s="10" t="str">
        <f aca="false">IF($B1112="","",$J1112+$K1112)</f>
        <v/>
      </c>
      <c r="M1112" s="9"/>
      <c r="N1112" s="10" t="str">
        <f aca="false">IF($B1112="","",$L1112-$M1112)</f>
        <v/>
      </c>
      <c r="O1112" s="10" t="str">
        <f aca="false">IF($B1112="","",IFERROR(INDEX(Drinks!$E$4:$E$53,MATCH($B1112,Drinks!$A$4:$A$53,0)),0))</f>
        <v/>
      </c>
      <c r="P1112" s="10" t="str">
        <f aca="false">IF($B1112="","",$N1112*$O1112)</f>
        <v/>
      </c>
      <c r="Q1112" s="10" t="str">
        <f aca="false">IF($B1112="","",$N1112*IFERROR(INDEX(Drinks!$D$4:$D$53,MATCH($B1112,Drinks!$A$4:$A$53,0)),0))</f>
        <v/>
      </c>
      <c r="R1112" s="10" t="str">
        <f aca="false">IF($B1112="","",$P1112-$Q1112)</f>
        <v/>
      </c>
      <c r="S1112" s="23" t="str">
        <f aca="false">IF($B1112="","",IF(COUNTIFS($A$4:$A$2003,$A1112-1,$B$4:$B$2003,$B1112)=0,"first day",IF(SUMIFS($M$4:$M$2003,$A$4:$A$2003,$A1112-1,$B$4:$B$2003,$B1112)=$J1112,"OK","CHECK")))</f>
        <v/>
      </c>
      <c r="T1112" s="10" t="str">
        <f aca="false">IF($B1112="","",IFERROR(INDEX(Drinks!$D$4:$D$53,MATCH($B1112,Drinks!$A$4:$A$53,0)),0))</f>
        <v/>
      </c>
    </row>
    <row r="1113" customFormat="false" ht="15" hidden="false" customHeight="false" outlineLevel="0" collapsed="false">
      <c r="A1113" s="22"/>
      <c r="B1113" s="9"/>
      <c r="C1113" s="9"/>
      <c r="D1113" s="9"/>
      <c r="E1113" s="9"/>
      <c r="F1113" s="10" t="str">
        <f aca="false">IF($B1113="","",$C1113+$D1113-$E1113)</f>
        <v/>
      </c>
      <c r="G1113" s="10" t="str">
        <f aca="false">IF($B1113="","",IFERROR(INDEX(Drinks!$C$4:$C$53,MATCH($B1113,Drinks!$A$4:$A$53,0)),0))</f>
        <v/>
      </c>
      <c r="H1113" s="10" t="str">
        <f aca="false">IF($B1113="","",$D1113*$G1113)</f>
        <v/>
      </c>
      <c r="I1113" s="10" t="str">
        <f aca="false">IF($B1113="","",$F1113*$G1113)</f>
        <v/>
      </c>
      <c r="J1113" s="9"/>
      <c r="K1113" s="10" t="str">
        <f aca="false">IF($B1113="","",$E1113*IFERROR(INDEX(Drinks!$B$4:$B$53,MATCH($B1113,Drinks!$A$4:$A$53,0)),0))</f>
        <v/>
      </c>
      <c r="L1113" s="10" t="str">
        <f aca="false">IF($B1113="","",$J1113+$K1113)</f>
        <v/>
      </c>
      <c r="M1113" s="9"/>
      <c r="N1113" s="10" t="str">
        <f aca="false">IF($B1113="","",$L1113-$M1113)</f>
        <v/>
      </c>
      <c r="O1113" s="10" t="str">
        <f aca="false">IF($B1113="","",IFERROR(INDEX(Drinks!$E$4:$E$53,MATCH($B1113,Drinks!$A$4:$A$53,0)),0))</f>
        <v/>
      </c>
      <c r="P1113" s="10" t="str">
        <f aca="false">IF($B1113="","",$N1113*$O1113)</f>
        <v/>
      </c>
      <c r="Q1113" s="10" t="str">
        <f aca="false">IF($B1113="","",$N1113*IFERROR(INDEX(Drinks!$D$4:$D$53,MATCH($B1113,Drinks!$A$4:$A$53,0)),0))</f>
        <v/>
      </c>
      <c r="R1113" s="10" t="str">
        <f aca="false">IF($B1113="","",$P1113-$Q1113)</f>
        <v/>
      </c>
      <c r="S1113" s="23" t="str">
        <f aca="false">IF($B1113="","",IF(COUNTIFS($A$4:$A$2003,$A1113-1,$B$4:$B$2003,$B1113)=0,"first day",IF(SUMIFS($M$4:$M$2003,$A$4:$A$2003,$A1113-1,$B$4:$B$2003,$B1113)=$J1113,"OK","CHECK")))</f>
        <v/>
      </c>
      <c r="T1113" s="10" t="str">
        <f aca="false">IF($B1113="","",IFERROR(INDEX(Drinks!$D$4:$D$53,MATCH($B1113,Drinks!$A$4:$A$53,0)),0))</f>
        <v/>
      </c>
    </row>
    <row r="1114" customFormat="false" ht="15" hidden="false" customHeight="false" outlineLevel="0" collapsed="false">
      <c r="A1114" s="22"/>
      <c r="B1114" s="9"/>
      <c r="C1114" s="9"/>
      <c r="D1114" s="9"/>
      <c r="E1114" s="9"/>
      <c r="F1114" s="10" t="str">
        <f aca="false">IF($B1114="","",$C1114+$D1114-$E1114)</f>
        <v/>
      </c>
      <c r="G1114" s="10" t="str">
        <f aca="false">IF($B1114="","",IFERROR(INDEX(Drinks!$C$4:$C$53,MATCH($B1114,Drinks!$A$4:$A$53,0)),0))</f>
        <v/>
      </c>
      <c r="H1114" s="10" t="str">
        <f aca="false">IF($B1114="","",$D1114*$G1114)</f>
        <v/>
      </c>
      <c r="I1114" s="10" t="str">
        <f aca="false">IF($B1114="","",$F1114*$G1114)</f>
        <v/>
      </c>
      <c r="J1114" s="9"/>
      <c r="K1114" s="10" t="str">
        <f aca="false">IF($B1114="","",$E1114*IFERROR(INDEX(Drinks!$B$4:$B$53,MATCH($B1114,Drinks!$A$4:$A$53,0)),0))</f>
        <v/>
      </c>
      <c r="L1114" s="10" t="str">
        <f aca="false">IF($B1114="","",$J1114+$K1114)</f>
        <v/>
      </c>
      <c r="M1114" s="9"/>
      <c r="N1114" s="10" t="str">
        <f aca="false">IF($B1114="","",$L1114-$M1114)</f>
        <v/>
      </c>
      <c r="O1114" s="10" t="str">
        <f aca="false">IF($B1114="","",IFERROR(INDEX(Drinks!$E$4:$E$53,MATCH($B1114,Drinks!$A$4:$A$53,0)),0))</f>
        <v/>
      </c>
      <c r="P1114" s="10" t="str">
        <f aca="false">IF($B1114="","",$N1114*$O1114)</f>
        <v/>
      </c>
      <c r="Q1114" s="10" t="str">
        <f aca="false">IF($B1114="","",$N1114*IFERROR(INDEX(Drinks!$D$4:$D$53,MATCH($B1114,Drinks!$A$4:$A$53,0)),0))</f>
        <v/>
      </c>
      <c r="R1114" s="10" t="str">
        <f aca="false">IF($B1114="","",$P1114-$Q1114)</f>
        <v/>
      </c>
      <c r="S1114" s="23" t="str">
        <f aca="false">IF($B1114="","",IF(COUNTIFS($A$4:$A$2003,$A1114-1,$B$4:$B$2003,$B1114)=0,"first day",IF(SUMIFS($M$4:$M$2003,$A$4:$A$2003,$A1114-1,$B$4:$B$2003,$B1114)=$J1114,"OK","CHECK")))</f>
        <v/>
      </c>
      <c r="T1114" s="10" t="str">
        <f aca="false">IF($B1114="","",IFERROR(INDEX(Drinks!$D$4:$D$53,MATCH($B1114,Drinks!$A$4:$A$53,0)),0))</f>
        <v/>
      </c>
    </row>
    <row r="1115" customFormat="false" ht="15" hidden="false" customHeight="false" outlineLevel="0" collapsed="false">
      <c r="A1115" s="22"/>
      <c r="B1115" s="9"/>
      <c r="C1115" s="9"/>
      <c r="D1115" s="9"/>
      <c r="E1115" s="9"/>
      <c r="F1115" s="10" t="str">
        <f aca="false">IF($B1115="","",$C1115+$D1115-$E1115)</f>
        <v/>
      </c>
      <c r="G1115" s="10" t="str">
        <f aca="false">IF($B1115="","",IFERROR(INDEX(Drinks!$C$4:$C$53,MATCH($B1115,Drinks!$A$4:$A$53,0)),0))</f>
        <v/>
      </c>
      <c r="H1115" s="10" t="str">
        <f aca="false">IF($B1115="","",$D1115*$G1115)</f>
        <v/>
      </c>
      <c r="I1115" s="10" t="str">
        <f aca="false">IF($B1115="","",$F1115*$G1115)</f>
        <v/>
      </c>
      <c r="J1115" s="9"/>
      <c r="K1115" s="10" t="str">
        <f aca="false">IF($B1115="","",$E1115*IFERROR(INDEX(Drinks!$B$4:$B$53,MATCH($B1115,Drinks!$A$4:$A$53,0)),0))</f>
        <v/>
      </c>
      <c r="L1115" s="10" t="str">
        <f aca="false">IF($B1115="","",$J1115+$K1115)</f>
        <v/>
      </c>
      <c r="M1115" s="9"/>
      <c r="N1115" s="10" t="str">
        <f aca="false">IF($B1115="","",$L1115-$M1115)</f>
        <v/>
      </c>
      <c r="O1115" s="10" t="str">
        <f aca="false">IF($B1115="","",IFERROR(INDEX(Drinks!$E$4:$E$53,MATCH($B1115,Drinks!$A$4:$A$53,0)),0))</f>
        <v/>
      </c>
      <c r="P1115" s="10" t="str">
        <f aca="false">IF($B1115="","",$N1115*$O1115)</f>
        <v/>
      </c>
      <c r="Q1115" s="10" t="str">
        <f aca="false">IF($B1115="","",$N1115*IFERROR(INDEX(Drinks!$D$4:$D$53,MATCH($B1115,Drinks!$A$4:$A$53,0)),0))</f>
        <v/>
      </c>
      <c r="R1115" s="10" t="str">
        <f aca="false">IF($B1115="","",$P1115-$Q1115)</f>
        <v/>
      </c>
      <c r="S1115" s="23" t="str">
        <f aca="false">IF($B1115="","",IF(COUNTIFS($A$4:$A$2003,$A1115-1,$B$4:$B$2003,$B1115)=0,"first day",IF(SUMIFS($M$4:$M$2003,$A$4:$A$2003,$A1115-1,$B$4:$B$2003,$B1115)=$J1115,"OK","CHECK")))</f>
        <v/>
      </c>
      <c r="T1115" s="10" t="str">
        <f aca="false">IF($B1115="","",IFERROR(INDEX(Drinks!$D$4:$D$53,MATCH($B1115,Drinks!$A$4:$A$53,0)),0))</f>
        <v/>
      </c>
    </row>
    <row r="1116" customFormat="false" ht="15" hidden="false" customHeight="false" outlineLevel="0" collapsed="false">
      <c r="A1116" s="22"/>
      <c r="B1116" s="9"/>
      <c r="C1116" s="9"/>
      <c r="D1116" s="9"/>
      <c r="E1116" s="9"/>
      <c r="F1116" s="10" t="str">
        <f aca="false">IF($B1116="","",$C1116+$D1116-$E1116)</f>
        <v/>
      </c>
      <c r="G1116" s="10" t="str">
        <f aca="false">IF($B1116="","",IFERROR(INDEX(Drinks!$C$4:$C$53,MATCH($B1116,Drinks!$A$4:$A$53,0)),0))</f>
        <v/>
      </c>
      <c r="H1116" s="10" t="str">
        <f aca="false">IF($B1116="","",$D1116*$G1116)</f>
        <v/>
      </c>
      <c r="I1116" s="10" t="str">
        <f aca="false">IF($B1116="","",$F1116*$G1116)</f>
        <v/>
      </c>
      <c r="J1116" s="9"/>
      <c r="K1116" s="10" t="str">
        <f aca="false">IF($B1116="","",$E1116*IFERROR(INDEX(Drinks!$B$4:$B$53,MATCH($B1116,Drinks!$A$4:$A$53,0)),0))</f>
        <v/>
      </c>
      <c r="L1116" s="10" t="str">
        <f aca="false">IF($B1116="","",$J1116+$K1116)</f>
        <v/>
      </c>
      <c r="M1116" s="9"/>
      <c r="N1116" s="10" t="str">
        <f aca="false">IF($B1116="","",$L1116-$M1116)</f>
        <v/>
      </c>
      <c r="O1116" s="10" t="str">
        <f aca="false">IF($B1116="","",IFERROR(INDEX(Drinks!$E$4:$E$53,MATCH($B1116,Drinks!$A$4:$A$53,0)),0))</f>
        <v/>
      </c>
      <c r="P1116" s="10" t="str">
        <f aca="false">IF($B1116="","",$N1116*$O1116)</f>
        <v/>
      </c>
      <c r="Q1116" s="10" t="str">
        <f aca="false">IF($B1116="","",$N1116*IFERROR(INDEX(Drinks!$D$4:$D$53,MATCH($B1116,Drinks!$A$4:$A$53,0)),0))</f>
        <v/>
      </c>
      <c r="R1116" s="10" t="str">
        <f aca="false">IF($B1116="","",$P1116-$Q1116)</f>
        <v/>
      </c>
      <c r="S1116" s="23" t="str">
        <f aca="false">IF($B1116="","",IF(COUNTIFS($A$4:$A$2003,$A1116-1,$B$4:$B$2003,$B1116)=0,"first day",IF(SUMIFS($M$4:$M$2003,$A$4:$A$2003,$A1116-1,$B$4:$B$2003,$B1116)=$J1116,"OK","CHECK")))</f>
        <v/>
      </c>
      <c r="T1116" s="10" t="str">
        <f aca="false">IF($B1116="","",IFERROR(INDEX(Drinks!$D$4:$D$53,MATCH($B1116,Drinks!$A$4:$A$53,0)),0))</f>
        <v/>
      </c>
    </row>
    <row r="1117" customFormat="false" ht="15" hidden="false" customHeight="false" outlineLevel="0" collapsed="false">
      <c r="A1117" s="22"/>
      <c r="B1117" s="9"/>
      <c r="C1117" s="9"/>
      <c r="D1117" s="9"/>
      <c r="E1117" s="9"/>
      <c r="F1117" s="10" t="str">
        <f aca="false">IF($B1117="","",$C1117+$D1117-$E1117)</f>
        <v/>
      </c>
      <c r="G1117" s="10" t="str">
        <f aca="false">IF($B1117="","",IFERROR(INDEX(Drinks!$C$4:$C$53,MATCH($B1117,Drinks!$A$4:$A$53,0)),0))</f>
        <v/>
      </c>
      <c r="H1117" s="10" t="str">
        <f aca="false">IF($B1117="","",$D1117*$G1117)</f>
        <v/>
      </c>
      <c r="I1117" s="10" t="str">
        <f aca="false">IF($B1117="","",$F1117*$G1117)</f>
        <v/>
      </c>
      <c r="J1117" s="9"/>
      <c r="K1117" s="10" t="str">
        <f aca="false">IF($B1117="","",$E1117*IFERROR(INDEX(Drinks!$B$4:$B$53,MATCH($B1117,Drinks!$A$4:$A$53,0)),0))</f>
        <v/>
      </c>
      <c r="L1117" s="10" t="str">
        <f aca="false">IF($B1117="","",$J1117+$K1117)</f>
        <v/>
      </c>
      <c r="M1117" s="9"/>
      <c r="N1117" s="10" t="str">
        <f aca="false">IF($B1117="","",$L1117-$M1117)</f>
        <v/>
      </c>
      <c r="O1117" s="10" t="str">
        <f aca="false">IF($B1117="","",IFERROR(INDEX(Drinks!$E$4:$E$53,MATCH($B1117,Drinks!$A$4:$A$53,0)),0))</f>
        <v/>
      </c>
      <c r="P1117" s="10" t="str">
        <f aca="false">IF($B1117="","",$N1117*$O1117)</f>
        <v/>
      </c>
      <c r="Q1117" s="10" t="str">
        <f aca="false">IF($B1117="","",$N1117*IFERROR(INDEX(Drinks!$D$4:$D$53,MATCH($B1117,Drinks!$A$4:$A$53,0)),0))</f>
        <v/>
      </c>
      <c r="R1117" s="10" t="str">
        <f aca="false">IF($B1117="","",$P1117-$Q1117)</f>
        <v/>
      </c>
      <c r="S1117" s="23" t="str">
        <f aca="false">IF($B1117="","",IF(COUNTIFS($A$4:$A$2003,$A1117-1,$B$4:$B$2003,$B1117)=0,"first day",IF(SUMIFS($M$4:$M$2003,$A$4:$A$2003,$A1117-1,$B$4:$B$2003,$B1117)=$J1117,"OK","CHECK")))</f>
        <v/>
      </c>
      <c r="T1117" s="10" t="str">
        <f aca="false">IF($B1117="","",IFERROR(INDEX(Drinks!$D$4:$D$53,MATCH($B1117,Drinks!$A$4:$A$53,0)),0))</f>
        <v/>
      </c>
    </row>
    <row r="1118" customFormat="false" ht="15" hidden="false" customHeight="false" outlineLevel="0" collapsed="false">
      <c r="A1118" s="22"/>
      <c r="B1118" s="9"/>
      <c r="C1118" s="9"/>
      <c r="D1118" s="9"/>
      <c r="E1118" s="9"/>
      <c r="F1118" s="10" t="str">
        <f aca="false">IF($B1118="","",$C1118+$D1118-$E1118)</f>
        <v/>
      </c>
      <c r="G1118" s="10" t="str">
        <f aca="false">IF($B1118="","",IFERROR(INDEX(Drinks!$C$4:$C$53,MATCH($B1118,Drinks!$A$4:$A$53,0)),0))</f>
        <v/>
      </c>
      <c r="H1118" s="10" t="str">
        <f aca="false">IF($B1118="","",$D1118*$G1118)</f>
        <v/>
      </c>
      <c r="I1118" s="10" t="str">
        <f aca="false">IF($B1118="","",$F1118*$G1118)</f>
        <v/>
      </c>
      <c r="J1118" s="9"/>
      <c r="K1118" s="10" t="str">
        <f aca="false">IF($B1118="","",$E1118*IFERROR(INDEX(Drinks!$B$4:$B$53,MATCH($B1118,Drinks!$A$4:$A$53,0)),0))</f>
        <v/>
      </c>
      <c r="L1118" s="10" t="str">
        <f aca="false">IF($B1118="","",$J1118+$K1118)</f>
        <v/>
      </c>
      <c r="M1118" s="9"/>
      <c r="N1118" s="10" t="str">
        <f aca="false">IF($B1118="","",$L1118-$M1118)</f>
        <v/>
      </c>
      <c r="O1118" s="10" t="str">
        <f aca="false">IF($B1118="","",IFERROR(INDEX(Drinks!$E$4:$E$53,MATCH($B1118,Drinks!$A$4:$A$53,0)),0))</f>
        <v/>
      </c>
      <c r="P1118" s="10" t="str">
        <f aca="false">IF($B1118="","",$N1118*$O1118)</f>
        <v/>
      </c>
      <c r="Q1118" s="10" t="str">
        <f aca="false">IF($B1118="","",$N1118*IFERROR(INDEX(Drinks!$D$4:$D$53,MATCH($B1118,Drinks!$A$4:$A$53,0)),0))</f>
        <v/>
      </c>
      <c r="R1118" s="10" t="str">
        <f aca="false">IF($B1118="","",$P1118-$Q1118)</f>
        <v/>
      </c>
      <c r="S1118" s="23" t="str">
        <f aca="false">IF($B1118="","",IF(COUNTIFS($A$4:$A$2003,$A1118-1,$B$4:$B$2003,$B1118)=0,"first day",IF(SUMIFS($M$4:$M$2003,$A$4:$A$2003,$A1118-1,$B$4:$B$2003,$B1118)=$J1118,"OK","CHECK")))</f>
        <v/>
      </c>
      <c r="T1118" s="10" t="str">
        <f aca="false">IF($B1118="","",IFERROR(INDEX(Drinks!$D$4:$D$53,MATCH($B1118,Drinks!$A$4:$A$53,0)),0))</f>
        <v/>
      </c>
    </row>
    <row r="1119" customFormat="false" ht="15" hidden="false" customHeight="false" outlineLevel="0" collapsed="false">
      <c r="A1119" s="22"/>
      <c r="B1119" s="9"/>
      <c r="C1119" s="9"/>
      <c r="D1119" s="9"/>
      <c r="E1119" s="9"/>
      <c r="F1119" s="10" t="str">
        <f aca="false">IF($B1119="","",$C1119+$D1119-$E1119)</f>
        <v/>
      </c>
      <c r="G1119" s="10" t="str">
        <f aca="false">IF($B1119="","",IFERROR(INDEX(Drinks!$C$4:$C$53,MATCH($B1119,Drinks!$A$4:$A$53,0)),0))</f>
        <v/>
      </c>
      <c r="H1119" s="10" t="str">
        <f aca="false">IF($B1119="","",$D1119*$G1119)</f>
        <v/>
      </c>
      <c r="I1119" s="10" t="str">
        <f aca="false">IF($B1119="","",$F1119*$G1119)</f>
        <v/>
      </c>
      <c r="J1119" s="9"/>
      <c r="K1119" s="10" t="str">
        <f aca="false">IF($B1119="","",$E1119*IFERROR(INDEX(Drinks!$B$4:$B$53,MATCH($B1119,Drinks!$A$4:$A$53,0)),0))</f>
        <v/>
      </c>
      <c r="L1119" s="10" t="str">
        <f aca="false">IF($B1119="","",$J1119+$K1119)</f>
        <v/>
      </c>
      <c r="M1119" s="9"/>
      <c r="N1119" s="10" t="str">
        <f aca="false">IF($B1119="","",$L1119-$M1119)</f>
        <v/>
      </c>
      <c r="O1119" s="10" t="str">
        <f aca="false">IF($B1119="","",IFERROR(INDEX(Drinks!$E$4:$E$53,MATCH($B1119,Drinks!$A$4:$A$53,0)),0))</f>
        <v/>
      </c>
      <c r="P1119" s="10" t="str">
        <f aca="false">IF($B1119="","",$N1119*$O1119)</f>
        <v/>
      </c>
      <c r="Q1119" s="10" t="str">
        <f aca="false">IF($B1119="","",$N1119*IFERROR(INDEX(Drinks!$D$4:$D$53,MATCH($B1119,Drinks!$A$4:$A$53,0)),0))</f>
        <v/>
      </c>
      <c r="R1119" s="10" t="str">
        <f aca="false">IF($B1119="","",$P1119-$Q1119)</f>
        <v/>
      </c>
      <c r="S1119" s="23" t="str">
        <f aca="false">IF($B1119="","",IF(COUNTIFS($A$4:$A$2003,$A1119-1,$B$4:$B$2003,$B1119)=0,"first day",IF(SUMIFS($M$4:$M$2003,$A$4:$A$2003,$A1119-1,$B$4:$B$2003,$B1119)=$J1119,"OK","CHECK")))</f>
        <v/>
      </c>
      <c r="T1119" s="10" t="str">
        <f aca="false">IF($B1119="","",IFERROR(INDEX(Drinks!$D$4:$D$53,MATCH($B1119,Drinks!$A$4:$A$53,0)),0))</f>
        <v/>
      </c>
    </row>
    <row r="1120" customFormat="false" ht="15" hidden="false" customHeight="false" outlineLevel="0" collapsed="false">
      <c r="A1120" s="22"/>
      <c r="B1120" s="9"/>
      <c r="C1120" s="9"/>
      <c r="D1120" s="9"/>
      <c r="E1120" s="9"/>
      <c r="F1120" s="10" t="str">
        <f aca="false">IF($B1120="","",$C1120+$D1120-$E1120)</f>
        <v/>
      </c>
      <c r="G1120" s="10" t="str">
        <f aca="false">IF($B1120="","",IFERROR(INDEX(Drinks!$C$4:$C$53,MATCH($B1120,Drinks!$A$4:$A$53,0)),0))</f>
        <v/>
      </c>
      <c r="H1120" s="10" t="str">
        <f aca="false">IF($B1120="","",$D1120*$G1120)</f>
        <v/>
      </c>
      <c r="I1120" s="10" t="str">
        <f aca="false">IF($B1120="","",$F1120*$G1120)</f>
        <v/>
      </c>
      <c r="J1120" s="9"/>
      <c r="K1120" s="10" t="str">
        <f aca="false">IF($B1120="","",$E1120*IFERROR(INDEX(Drinks!$B$4:$B$53,MATCH($B1120,Drinks!$A$4:$A$53,0)),0))</f>
        <v/>
      </c>
      <c r="L1120" s="10" t="str">
        <f aca="false">IF($B1120="","",$J1120+$K1120)</f>
        <v/>
      </c>
      <c r="M1120" s="9"/>
      <c r="N1120" s="10" t="str">
        <f aca="false">IF($B1120="","",$L1120-$M1120)</f>
        <v/>
      </c>
      <c r="O1120" s="10" t="str">
        <f aca="false">IF($B1120="","",IFERROR(INDEX(Drinks!$E$4:$E$53,MATCH($B1120,Drinks!$A$4:$A$53,0)),0))</f>
        <v/>
      </c>
      <c r="P1120" s="10" t="str">
        <f aca="false">IF($B1120="","",$N1120*$O1120)</f>
        <v/>
      </c>
      <c r="Q1120" s="10" t="str">
        <f aca="false">IF($B1120="","",$N1120*IFERROR(INDEX(Drinks!$D$4:$D$53,MATCH($B1120,Drinks!$A$4:$A$53,0)),0))</f>
        <v/>
      </c>
      <c r="R1120" s="10" t="str">
        <f aca="false">IF($B1120="","",$P1120-$Q1120)</f>
        <v/>
      </c>
      <c r="S1120" s="23" t="str">
        <f aca="false">IF($B1120="","",IF(COUNTIFS($A$4:$A$2003,$A1120-1,$B$4:$B$2003,$B1120)=0,"first day",IF(SUMIFS($M$4:$M$2003,$A$4:$A$2003,$A1120-1,$B$4:$B$2003,$B1120)=$J1120,"OK","CHECK")))</f>
        <v/>
      </c>
      <c r="T1120" s="10" t="str">
        <f aca="false">IF($B1120="","",IFERROR(INDEX(Drinks!$D$4:$D$53,MATCH($B1120,Drinks!$A$4:$A$53,0)),0))</f>
        <v/>
      </c>
    </row>
    <row r="1121" customFormat="false" ht="15" hidden="false" customHeight="false" outlineLevel="0" collapsed="false">
      <c r="A1121" s="22"/>
      <c r="B1121" s="9"/>
      <c r="C1121" s="9"/>
      <c r="D1121" s="9"/>
      <c r="E1121" s="9"/>
      <c r="F1121" s="10" t="str">
        <f aca="false">IF($B1121="","",$C1121+$D1121-$E1121)</f>
        <v/>
      </c>
      <c r="G1121" s="10" t="str">
        <f aca="false">IF($B1121="","",IFERROR(INDEX(Drinks!$C$4:$C$53,MATCH($B1121,Drinks!$A$4:$A$53,0)),0))</f>
        <v/>
      </c>
      <c r="H1121" s="10" t="str">
        <f aca="false">IF($B1121="","",$D1121*$G1121)</f>
        <v/>
      </c>
      <c r="I1121" s="10" t="str">
        <f aca="false">IF($B1121="","",$F1121*$G1121)</f>
        <v/>
      </c>
      <c r="J1121" s="9"/>
      <c r="K1121" s="10" t="str">
        <f aca="false">IF($B1121="","",$E1121*IFERROR(INDEX(Drinks!$B$4:$B$53,MATCH($B1121,Drinks!$A$4:$A$53,0)),0))</f>
        <v/>
      </c>
      <c r="L1121" s="10" t="str">
        <f aca="false">IF($B1121="","",$J1121+$K1121)</f>
        <v/>
      </c>
      <c r="M1121" s="9"/>
      <c r="N1121" s="10" t="str">
        <f aca="false">IF($B1121="","",$L1121-$M1121)</f>
        <v/>
      </c>
      <c r="O1121" s="10" t="str">
        <f aca="false">IF($B1121="","",IFERROR(INDEX(Drinks!$E$4:$E$53,MATCH($B1121,Drinks!$A$4:$A$53,0)),0))</f>
        <v/>
      </c>
      <c r="P1121" s="10" t="str">
        <f aca="false">IF($B1121="","",$N1121*$O1121)</f>
        <v/>
      </c>
      <c r="Q1121" s="10" t="str">
        <f aca="false">IF($B1121="","",$N1121*IFERROR(INDEX(Drinks!$D$4:$D$53,MATCH($B1121,Drinks!$A$4:$A$53,0)),0))</f>
        <v/>
      </c>
      <c r="R1121" s="10" t="str">
        <f aca="false">IF($B1121="","",$P1121-$Q1121)</f>
        <v/>
      </c>
      <c r="S1121" s="23" t="str">
        <f aca="false">IF($B1121="","",IF(COUNTIFS($A$4:$A$2003,$A1121-1,$B$4:$B$2003,$B1121)=0,"first day",IF(SUMIFS($M$4:$M$2003,$A$4:$A$2003,$A1121-1,$B$4:$B$2003,$B1121)=$J1121,"OK","CHECK")))</f>
        <v/>
      </c>
      <c r="T1121" s="10" t="str">
        <f aca="false">IF($B1121="","",IFERROR(INDEX(Drinks!$D$4:$D$53,MATCH($B1121,Drinks!$A$4:$A$53,0)),0))</f>
        <v/>
      </c>
    </row>
    <row r="1122" customFormat="false" ht="15" hidden="false" customHeight="false" outlineLevel="0" collapsed="false">
      <c r="A1122" s="22"/>
      <c r="B1122" s="9"/>
      <c r="C1122" s="9"/>
      <c r="D1122" s="9"/>
      <c r="E1122" s="9"/>
      <c r="F1122" s="10" t="str">
        <f aca="false">IF($B1122="","",$C1122+$D1122-$E1122)</f>
        <v/>
      </c>
      <c r="G1122" s="10" t="str">
        <f aca="false">IF($B1122="","",IFERROR(INDEX(Drinks!$C$4:$C$53,MATCH($B1122,Drinks!$A$4:$A$53,0)),0))</f>
        <v/>
      </c>
      <c r="H1122" s="10" t="str">
        <f aca="false">IF($B1122="","",$D1122*$G1122)</f>
        <v/>
      </c>
      <c r="I1122" s="10" t="str">
        <f aca="false">IF($B1122="","",$F1122*$G1122)</f>
        <v/>
      </c>
      <c r="J1122" s="9"/>
      <c r="K1122" s="10" t="str">
        <f aca="false">IF($B1122="","",$E1122*IFERROR(INDEX(Drinks!$B$4:$B$53,MATCH($B1122,Drinks!$A$4:$A$53,0)),0))</f>
        <v/>
      </c>
      <c r="L1122" s="10" t="str">
        <f aca="false">IF($B1122="","",$J1122+$K1122)</f>
        <v/>
      </c>
      <c r="M1122" s="9"/>
      <c r="N1122" s="10" t="str">
        <f aca="false">IF($B1122="","",$L1122-$M1122)</f>
        <v/>
      </c>
      <c r="O1122" s="10" t="str">
        <f aca="false">IF($B1122="","",IFERROR(INDEX(Drinks!$E$4:$E$53,MATCH($B1122,Drinks!$A$4:$A$53,0)),0))</f>
        <v/>
      </c>
      <c r="P1122" s="10" t="str">
        <f aca="false">IF($B1122="","",$N1122*$O1122)</f>
        <v/>
      </c>
      <c r="Q1122" s="10" t="str">
        <f aca="false">IF($B1122="","",$N1122*IFERROR(INDEX(Drinks!$D$4:$D$53,MATCH($B1122,Drinks!$A$4:$A$53,0)),0))</f>
        <v/>
      </c>
      <c r="R1122" s="10" t="str">
        <f aca="false">IF($B1122="","",$P1122-$Q1122)</f>
        <v/>
      </c>
      <c r="S1122" s="23" t="str">
        <f aca="false">IF($B1122="","",IF(COUNTIFS($A$4:$A$2003,$A1122-1,$B$4:$B$2003,$B1122)=0,"first day",IF(SUMIFS($M$4:$M$2003,$A$4:$A$2003,$A1122-1,$B$4:$B$2003,$B1122)=$J1122,"OK","CHECK")))</f>
        <v/>
      </c>
      <c r="T1122" s="10" t="str">
        <f aca="false">IF($B1122="","",IFERROR(INDEX(Drinks!$D$4:$D$53,MATCH($B1122,Drinks!$A$4:$A$53,0)),0))</f>
        <v/>
      </c>
    </row>
    <row r="1123" customFormat="false" ht="15" hidden="false" customHeight="false" outlineLevel="0" collapsed="false">
      <c r="A1123" s="22"/>
      <c r="B1123" s="9"/>
      <c r="C1123" s="9"/>
      <c r="D1123" s="9"/>
      <c r="E1123" s="9"/>
      <c r="F1123" s="10" t="str">
        <f aca="false">IF($B1123="","",$C1123+$D1123-$E1123)</f>
        <v/>
      </c>
      <c r="G1123" s="10" t="str">
        <f aca="false">IF($B1123="","",IFERROR(INDEX(Drinks!$C$4:$C$53,MATCH($B1123,Drinks!$A$4:$A$53,0)),0))</f>
        <v/>
      </c>
      <c r="H1123" s="10" t="str">
        <f aca="false">IF($B1123="","",$D1123*$G1123)</f>
        <v/>
      </c>
      <c r="I1123" s="10" t="str">
        <f aca="false">IF($B1123="","",$F1123*$G1123)</f>
        <v/>
      </c>
      <c r="J1123" s="9"/>
      <c r="K1123" s="10" t="str">
        <f aca="false">IF($B1123="","",$E1123*IFERROR(INDEX(Drinks!$B$4:$B$53,MATCH($B1123,Drinks!$A$4:$A$53,0)),0))</f>
        <v/>
      </c>
      <c r="L1123" s="10" t="str">
        <f aca="false">IF($B1123="","",$J1123+$K1123)</f>
        <v/>
      </c>
      <c r="M1123" s="9"/>
      <c r="N1123" s="10" t="str">
        <f aca="false">IF($B1123="","",$L1123-$M1123)</f>
        <v/>
      </c>
      <c r="O1123" s="10" t="str">
        <f aca="false">IF($B1123="","",IFERROR(INDEX(Drinks!$E$4:$E$53,MATCH($B1123,Drinks!$A$4:$A$53,0)),0))</f>
        <v/>
      </c>
      <c r="P1123" s="10" t="str">
        <f aca="false">IF($B1123="","",$N1123*$O1123)</f>
        <v/>
      </c>
      <c r="Q1123" s="10" t="str">
        <f aca="false">IF($B1123="","",$N1123*IFERROR(INDEX(Drinks!$D$4:$D$53,MATCH($B1123,Drinks!$A$4:$A$53,0)),0))</f>
        <v/>
      </c>
      <c r="R1123" s="10" t="str">
        <f aca="false">IF($B1123="","",$P1123-$Q1123)</f>
        <v/>
      </c>
      <c r="S1123" s="23" t="str">
        <f aca="false">IF($B1123="","",IF(COUNTIFS($A$4:$A$2003,$A1123-1,$B$4:$B$2003,$B1123)=0,"first day",IF(SUMIFS($M$4:$M$2003,$A$4:$A$2003,$A1123-1,$B$4:$B$2003,$B1123)=$J1123,"OK","CHECK")))</f>
        <v/>
      </c>
      <c r="T1123" s="10" t="str">
        <f aca="false">IF($B1123="","",IFERROR(INDEX(Drinks!$D$4:$D$53,MATCH($B1123,Drinks!$A$4:$A$53,0)),0))</f>
        <v/>
      </c>
    </row>
    <row r="1124" customFormat="false" ht="15" hidden="false" customHeight="false" outlineLevel="0" collapsed="false">
      <c r="A1124" s="22"/>
      <c r="B1124" s="9"/>
      <c r="C1124" s="9"/>
      <c r="D1124" s="9"/>
      <c r="E1124" s="9"/>
      <c r="F1124" s="10" t="str">
        <f aca="false">IF($B1124="","",$C1124+$D1124-$E1124)</f>
        <v/>
      </c>
      <c r="G1124" s="10" t="str">
        <f aca="false">IF($B1124="","",IFERROR(INDEX(Drinks!$C$4:$C$53,MATCH($B1124,Drinks!$A$4:$A$53,0)),0))</f>
        <v/>
      </c>
      <c r="H1124" s="10" t="str">
        <f aca="false">IF($B1124="","",$D1124*$G1124)</f>
        <v/>
      </c>
      <c r="I1124" s="10" t="str">
        <f aca="false">IF($B1124="","",$F1124*$G1124)</f>
        <v/>
      </c>
      <c r="J1124" s="9"/>
      <c r="K1124" s="10" t="str">
        <f aca="false">IF($B1124="","",$E1124*IFERROR(INDEX(Drinks!$B$4:$B$53,MATCH($B1124,Drinks!$A$4:$A$53,0)),0))</f>
        <v/>
      </c>
      <c r="L1124" s="10" t="str">
        <f aca="false">IF($B1124="","",$J1124+$K1124)</f>
        <v/>
      </c>
      <c r="M1124" s="9"/>
      <c r="N1124" s="10" t="str">
        <f aca="false">IF($B1124="","",$L1124-$M1124)</f>
        <v/>
      </c>
      <c r="O1124" s="10" t="str">
        <f aca="false">IF($B1124="","",IFERROR(INDEX(Drinks!$E$4:$E$53,MATCH($B1124,Drinks!$A$4:$A$53,0)),0))</f>
        <v/>
      </c>
      <c r="P1124" s="10" t="str">
        <f aca="false">IF($B1124="","",$N1124*$O1124)</f>
        <v/>
      </c>
      <c r="Q1124" s="10" t="str">
        <f aca="false">IF($B1124="","",$N1124*IFERROR(INDEX(Drinks!$D$4:$D$53,MATCH($B1124,Drinks!$A$4:$A$53,0)),0))</f>
        <v/>
      </c>
      <c r="R1124" s="10" t="str">
        <f aca="false">IF($B1124="","",$P1124-$Q1124)</f>
        <v/>
      </c>
      <c r="S1124" s="23" t="str">
        <f aca="false">IF($B1124="","",IF(COUNTIFS($A$4:$A$2003,$A1124-1,$B$4:$B$2003,$B1124)=0,"first day",IF(SUMIFS($M$4:$M$2003,$A$4:$A$2003,$A1124-1,$B$4:$B$2003,$B1124)=$J1124,"OK","CHECK")))</f>
        <v/>
      </c>
      <c r="T1124" s="10" t="str">
        <f aca="false">IF($B1124="","",IFERROR(INDEX(Drinks!$D$4:$D$53,MATCH($B1124,Drinks!$A$4:$A$53,0)),0))</f>
        <v/>
      </c>
    </row>
    <row r="1125" customFormat="false" ht="15" hidden="false" customHeight="false" outlineLevel="0" collapsed="false">
      <c r="A1125" s="22"/>
      <c r="B1125" s="9"/>
      <c r="C1125" s="9"/>
      <c r="D1125" s="9"/>
      <c r="E1125" s="9"/>
      <c r="F1125" s="10" t="str">
        <f aca="false">IF($B1125="","",$C1125+$D1125-$E1125)</f>
        <v/>
      </c>
      <c r="G1125" s="10" t="str">
        <f aca="false">IF($B1125="","",IFERROR(INDEX(Drinks!$C$4:$C$53,MATCH($B1125,Drinks!$A$4:$A$53,0)),0))</f>
        <v/>
      </c>
      <c r="H1125" s="10" t="str">
        <f aca="false">IF($B1125="","",$D1125*$G1125)</f>
        <v/>
      </c>
      <c r="I1125" s="10" t="str">
        <f aca="false">IF($B1125="","",$F1125*$G1125)</f>
        <v/>
      </c>
      <c r="J1125" s="9"/>
      <c r="K1125" s="10" t="str">
        <f aca="false">IF($B1125="","",$E1125*IFERROR(INDEX(Drinks!$B$4:$B$53,MATCH($B1125,Drinks!$A$4:$A$53,0)),0))</f>
        <v/>
      </c>
      <c r="L1125" s="10" t="str">
        <f aca="false">IF($B1125="","",$J1125+$K1125)</f>
        <v/>
      </c>
      <c r="M1125" s="9"/>
      <c r="N1125" s="10" t="str">
        <f aca="false">IF($B1125="","",$L1125-$M1125)</f>
        <v/>
      </c>
      <c r="O1125" s="10" t="str">
        <f aca="false">IF($B1125="","",IFERROR(INDEX(Drinks!$E$4:$E$53,MATCH($B1125,Drinks!$A$4:$A$53,0)),0))</f>
        <v/>
      </c>
      <c r="P1125" s="10" t="str">
        <f aca="false">IF($B1125="","",$N1125*$O1125)</f>
        <v/>
      </c>
      <c r="Q1125" s="10" t="str">
        <f aca="false">IF($B1125="","",$N1125*IFERROR(INDEX(Drinks!$D$4:$D$53,MATCH($B1125,Drinks!$A$4:$A$53,0)),0))</f>
        <v/>
      </c>
      <c r="R1125" s="10" t="str">
        <f aca="false">IF($B1125="","",$P1125-$Q1125)</f>
        <v/>
      </c>
      <c r="S1125" s="23" t="str">
        <f aca="false">IF($B1125="","",IF(COUNTIFS($A$4:$A$2003,$A1125-1,$B$4:$B$2003,$B1125)=0,"first day",IF(SUMIFS($M$4:$M$2003,$A$4:$A$2003,$A1125-1,$B$4:$B$2003,$B1125)=$J1125,"OK","CHECK")))</f>
        <v/>
      </c>
      <c r="T1125" s="10" t="str">
        <f aca="false">IF($B1125="","",IFERROR(INDEX(Drinks!$D$4:$D$53,MATCH($B1125,Drinks!$A$4:$A$53,0)),0))</f>
        <v/>
      </c>
    </row>
    <row r="1126" customFormat="false" ht="15" hidden="false" customHeight="false" outlineLevel="0" collapsed="false">
      <c r="A1126" s="22"/>
      <c r="B1126" s="9"/>
      <c r="C1126" s="9"/>
      <c r="D1126" s="9"/>
      <c r="E1126" s="9"/>
      <c r="F1126" s="10" t="str">
        <f aca="false">IF($B1126="","",$C1126+$D1126-$E1126)</f>
        <v/>
      </c>
      <c r="G1126" s="10" t="str">
        <f aca="false">IF($B1126="","",IFERROR(INDEX(Drinks!$C$4:$C$53,MATCH($B1126,Drinks!$A$4:$A$53,0)),0))</f>
        <v/>
      </c>
      <c r="H1126" s="10" t="str">
        <f aca="false">IF($B1126="","",$D1126*$G1126)</f>
        <v/>
      </c>
      <c r="I1126" s="10" t="str">
        <f aca="false">IF($B1126="","",$F1126*$G1126)</f>
        <v/>
      </c>
      <c r="J1126" s="9"/>
      <c r="K1126" s="10" t="str">
        <f aca="false">IF($B1126="","",$E1126*IFERROR(INDEX(Drinks!$B$4:$B$53,MATCH($B1126,Drinks!$A$4:$A$53,0)),0))</f>
        <v/>
      </c>
      <c r="L1126" s="10" t="str">
        <f aca="false">IF($B1126="","",$J1126+$K1126)</f>
        <v/>
      </c>
      <c r="M1126" s="9"/>
      <c r="N1126" s="10" t="str">
        <f aca="false">IF($B1126="","",$L1126-$M1126)</f>
        <v/>
      </c>
      <c r="O1126" s="10" t="str">
        <f aca="false">IF($B1126="","",IFERROR(INDEX(Drinks!$E$4:$E$53,MATCH($B1126,Drinks!$A$4:$A$53,0)),0))</f>
        <v/>
      </c>
      <c r="P1126" s="10" t="str">
        <f aca="false">IF($B1126="","",$N1126*$O1126)</f>
        <v/>
      </c>
      <c r="Q1126" s="10" t="str">
        <f aca="false">IF($B1126="","",$N1126*IFERROR(INDEX(Drinks!$D$4:$D$53,MATCH($B1126,Drinks!$A$4:$A$53,0)),0))</f>
        <v/>
      </c>
      <c r="R1126" s="10" t="str">
        <f aca="false">IF($B1126="","",$P1126-$Q1126)</f>
        <v/>
      </c>
      <c r="S1126" s="23" t="str">
        <f aca="false">IF($B1126="","",IF(COUNTIFS($A$4:$A$2003,$A1126-1,$B$4:$B$2003,$B1126)=0,"first day",IF(SUMIFS($M$4:$M$2003,$A$4:$A$2003,$A1126-1,$B$4:$B$2003,$B1126)=$J1126,"OK","CHECK")))</f>
        <v/>
      </c>
      <c r="T1126" s="10" t="str">
        <f aca="false">IF($B1126="","",IFERROR(INDEX(Drinks!$D$4:$D$53,MATCH($B1126,Drinks!$A$4:$A$53,0)),0))</f>
        <v/>
      </c>
    </row>
    <row r="1127" customFormat="false" ht="15" hidden="false" customHeight="false" outlineLevel="0" collapsed="false">
      <c r="A1127" s="22"/>
      <c r="B1127" s="9"/>
      <c r="C1127" s="9"/>
      <c r="D1127" s="9"/>
      <c r="E1127" s="9"/>
      <c r="F1127" s="10" t="str">
        <f aca="false">IF($B1127="","",$C1127+$D1127-$E1127)</f>
        <v/>
      </c>
      <c r="G1127" s="10" t="str">
        <f aca="false">IF($B1127="","",IFERROR(INDEX(Drinks!$C$4:$C$53,MATCH($B1127,Drinks!$A$4:$A$53,0)),0))</f>
        <v/>
      </c>
      <c r="H1127" s="10" t="str">
        <f aca="false">IF($B1127="","",$D1127*$G1127)</f>
        <v/>
      </c>
      <c r="I1127" s="10" t="str">
        <f aca="false">IF($B1127="","",$F1127*$G1127)</f>
        <v/>
      </c>
      <c r="J1127" s="9"/>
      <c r="K1127" s="10" t="str">
        <f aca="false">IF($B1127="","",$E1127*IFERROR(INDEX(Drinks!$B$4:$B$53,MATCH($B1127,Drinks!$A$4:$A$53,0)),0))</f>
        <v/>
      </c>
      <c r="L1127" s="10" t="str">
        <f aca="false">IF($B1127="","",$J1127+$K1127)</f>
        <v/>
      </c>
      <c r="M1127" s="9"/>
      <c r="N1127" s="10" t="str">
        <f aca="false">IF($B1127="","",$L1127-$M1127)</f>
        <v/>
      </c>
      <c r="O1127" s="10" t="str">
        <f aca="false">IF($B1127="","",IFERROR(INDEX(Drinks!$E$4:$E$53,MATCH($B1127,Drinks!$A$4:$A$53,0)),0))</f>
        <v/>
      </c>
      <c r="P1127" s="10" t="str">
        <f aca="false">IF($B1127="","",$N1127*$O1127)</f>
        <v/>
      </c>
      <c r="Q1127" s="10" t="str">
        <f aca="false">IF($B1127="","",$N1127*IFERROR(INDEX(Drinks!$D$4:$D$53,MATCH($B1127,Drinks!$A$4:$A$53,0)),0))</f>
        <v/>
      </c>
      <c r="R1127" s="10" t="str">
        <f aca="false">IF($B1127="","",$P1127-$Q1127)</f>
        <v/>
      </c>
      <c r="S1127" s="23" t="str">
        <f aca="false">IF($B1127="","",IF(COUNTIFS($A$4:$A$2003,$A1127-1,$B$4:$B$2003,$B1127)=0,"first day",IF(SUMIFS($M$4:$M$2003,$A$4:$A$2003,$A1127-1,$B$4:$B$2003,$B1127)=$J1127,"OK","CHECK")))</f>
        <v/>
      </c>
      <c r="T1127" s="10" t="str">
        <f aca="false">IF($B1127="","",IFERROR(INDEX(Drinks!$D$4:$D$53,MATCH($B1127,Drinks!$A$4:$A$53,0)),0))</f>
        <v/>
      </c>
    </row>
    <row r="1128" customFormat="false" ht="15" hidden="false" customHeight="false" outlineLevel="0" collapsed="false">
      <c r="A1128" s="22"/>
      <c r="B1128" s="9"/>
      <c r="C1128" s="9"/>
      <c r="D1128" s="9"/>
      <c r="E1128" s="9"/>
      <c r="F1128" s="10" t="str">
        <f aca="false">IF($B1128="","",$C1128+$D1128-$E1128)</f>
        <v/>
      </c>
      <c r="G1128" s="10" t="str">
        <f aca="false">IF($B1128="","",IFERROR(INDEX(Drinks!$C$4:$C$53,MATCH($B1128,Drinks!$A$4:$A$53,0)),0))</f>
        <v/>
      </c>
      <c r="H1128" s="10" t="str">
        <f aca="false">IF($B1128="","",$D1128*$G1128)</f>
        <v/>
      </c>
      <c r="I1128" s="10" t="str">
        <f aca="false">IF($B1128="","",$F1128*$G1128)</f>
        <v/>
      </c>
      <c r="J1128" s="9"/>
      <c r="K1128" s="10" t="str">
        <f aca="false">IF($B1128="","",$E1128*IFERROR(INDEX(Drinks!$B$4:$B$53,MATCH($B1128,Drinks!$A$4:$A$53,0)),0))</f>
        <v/>
      </c>
      <c r="L1128" s="10" t="str">
        <f aca="false">IF($B1128="","",$J1128+$K1128)</f>
        <v/>
      </c>
      <c r="M1128" s="9"/>
      <c r="N1128" s="10" t="str">
        <f aca="false">IF($B1128="","",$L1128-$M1128)</f>
        <v/>
      </c>
      <c r="O1128" s="10" t="str">
        <f aca="false">IF($B1128="","",IFERROR(INDEX(Drinks!$E$4:$E$53,MATCH($B1128,Drinks!$A$4:$A$53,0)),0))</f>
        <v/>
      </c>
      <c r="P1128" s="10" t="str">
        <f aca="false">IF($B1128="","",$N1128*$O1128)</f>
        <v/>
      </c>
      <c r="Q1128" s="10" t="str">
        <f aca="false">IF($B1128="","",$N1128*IFERROR(INDEX(Drinks!$D$4:$D$53,MATCH($B1128,Drinks!$A$4:$A$53,0)),0))</f>
        <v/>
      </c>
      <c r="R1128" s="10" t="str">
        <f aca="false">IF($B1128="","",$P1128-$Q1128)</f>
        <v/>
      </c>
      <c r="S1128" s="23" t="str">
        <f aca="false">IF($B1128="","",IF(COUNTIFS($A$4:$A$2003,$A1128-1,$B$4:$B$2003,$B1128)=0,"first day",IF(SUMIFS($M$4:$M$2003,$A$4:$A$2003,$A1128-1,$B$4:$B$2003,$B1128)=$J1128,"OK","CHECK")))</f>
        <v/>
      </c>
      <c r="T1128" s="10" t="str">
        <f aca="false">IF($B1128="","",IFERROR(INDEX(Drinks!$D$4:$D$53,MATCH($B1128,Drinks!$A$4:$A$53,0)),0))</f>
        <v/>
      </c>
    </row>
    <row r="1129" customFormat="false" ht="15" hidden="false" customHeight="false" outlineLevel="0" collapsed="false">
      <c r="A1129" s="22"/>
      <c r="B1129" s="9"/>
      <c r="C1129" s="9"/>
      <c r="D1129" s="9"/>
      <c r="E1129" s="9"/>
      <c r="F1129" s="10" t="str">
        <f aca="false">IF($B1129="","",$C1129+$D1129-$E1129)</f>
        <v/>
      </c>
      <c r="G1129" s="10" t="str">
        <f aca="false">IF($B1129="","",IFERROR(INDEX(Drinks!$C$4:$C$53,MATCH($B1129,Drinks!$A$4:$A$53,0)),0))</f>
        <v/>
      </c>
      <c r="H1129" s="10" t="str">
        <f aca="false">IF($B1129="","",$D1129*$G1129)</f>
        <v/>
      </c>
      <c r="I1129" s="10" t="str">
        <f aca="false">IF($B1129="","",$F1129*$G1129)</f>
        <v/>
      </c>
      <c r="J1129" s="9"/>
      <c r="K1129" s="10" t="str">
        <f aca="false">IF($B1129="","",$E1129*IFERROR(INDEX(Drinks!$B$4:$B$53,MATCH($B1129,Drinks!$A$4:$A$53,0)),0))</f>
        <v/>
      </c>
      <c r="L1129" s="10" t="str">
        <f aca="false">IF($B1129="","",$J1129+$K1129)</f>
        <v/>
      </c>
      <c r="M1129" s="9"/>
      <c r="N1129" s="10" t="str">
        <f aca="false">IF($B1129="","",$L1129-$M1129)</f>
        <v/>
      </c>
      <c r="O1129" s="10" t="str">
        <f aca="false">IF($B1129="","",IFERROR(INDEX(Drinks!$E$4:$E$53,MATCH($B1129,Drinks!$A$4:$A$53,0)),0))</f>
        <v/>
      </c>
      <c r="P1129" s="10" t="str">
        <f aca="false">IF($B1129="","",$N1129*$O1129)</f>
        <v/>
      </c>
      <c r="Q1129" s="10" t="str">
        <f aca="false">IF($B1129="","",$N1129*IFERROR(INDEX(Drinks!$D$4:$D$53,MATCH($B1129,Drinks!$A$4:$A$53,0)),0))</f>
        <v/>
      </c>
      <c r="R1129" s="10" t="str">
        <f aca="false">IF($B1129="","",$P1129-$Q1129)</f>
        <v/>
      </c>
      <c r="S1129" s="23" t="str">
        <f aca="false">IF($B1129="","",IF(COUNTIFS($A$4:$A$2003,$A1129-1,$B$4:$B$2003,$B1129)=0,"first day",IF(SUMIFS($M$4:$M$2003,$A$4:$A$2003,$A1129-1,$B$4:$B$2003,$B1129)=$J1129,"OK","CHECK")))</f>
        <v/>
      </c>
      <c r="T1129" s="10" t="str">
        <f aca="false">IF($B1129="","",IFERROR(INDEX(Drinks!$D$4:$D$53,MATCH($B1129,Drinks!$A$4:$A$53,0)),0))</f>
        <v/>
      </c>
    </row>
    <row r="1130" customFormat="false" ht="15" hidden="false" customHeight="false" outlineLevel="0" collapsed="false">
      <c r="A1130" s="22"/>
      <c r="B1130" s="9"/>
      <c r="C1130" s="9"/>
      <c r="D1130" s="9"/>
      <c r="E1130" s="9"/>
      <c r="F1130" s="10" t="str">
        <f aca="false">IF($B1130="","",$C1130+$D1130-$E1130)</f>
        <v/>
      </c>
      <c r="G1130" s="10" t="str">
        <f aca="false">IF($B1130="","",IFERROR(INDEX(Drinks!$C$4:$C$53,MATCH($B1130,Drinks!$A$4:$A$53,0)),0))</f>
        <v/>
      </c>
      <c r="H1130" s="10" t="str">
        <f aca="false">IF($B1130="","",$D1130*$G1130)</f>
        <v/>
      </c>
      <c r="I1130" s="10" t="str">
        <f aca="false">IF($B1130="","",$F1130*$G1130)</f>
        <v/>
      </c>
      <c r="J1130" s="9"/>
      <c r="K1130" s="10" t="str">
        <f aca="false">IF($B1130="","",$E1130*IFERROR(INDEX(Drinks!$B$4:$B$53,MATCH($B1130,Drinks!$A$4:$A$53,0)),0))</f>
        <v/>
      </c>
      <c r="L1130" s="10" t="str">
        <f aca="false">IF($B1130="","",$J1130+$K1130)</f>
        <v/>
      </c>
      <c r="M1130" s="9"/>
      <c r="N1130" s="10" t="str">
        <f aca="false">IF($B1130="","",$L1130-$M1130)</f>
        <v/>
      </c>
      <c r="O1130" s="10" t="str">
        <f aca="false">IF($B1130="","",IFERROR(INDEX(Drinks!$E$4:$E$53,MATCH($B1130,Drinks!$A$4:$A$53,0)),0))</f>
        <v/>
      </c>
      <c r="P1130" s="10" t="str">
        <f aca="false">IF($B1130="","",$N1130*$O1130)</f>
        <v/>
      </c>
      <c r="Q1130" s="10" t="str">
        <f aca="false">IF($B1130="","",$N1130*IFERROR(INDEX(Drinks!$D$4:$D$53,MATCH($B1130,Drinks!$A$4:$A$53,0)),0))</f>
        <v/>
      </c>
      <c r="R1130" s="10" t="str">
        <f aca="false">IF($B1130="","",$P1130-$Q1130)</f>
        <v/>
      </c>
      <c r="S1130" s="23" t="str">
        <f aca="false">IF($B1130="","",IF(COUNTIFS($A$4:$A$2003,$A1130-1,$B$4:$B$2003,$B1130)=0,"first day",IF(SUMIFS($M$4:$M$2003,$A$4:$A$2003,$A1130-1,$B$4:$B$2003,$B1130)=$J1130,"OK","CHECK")))</f>
        <v/>
      </c>
      <c r="T1130" s="10" t="str">
        <f aca="false">IF($B1130="","",IFERROR(INDEX(Drinks!$D$4:$D$53,MATCH($B1130,Drinks!$A$4:$A$53,0)),0))</f>
        <v/>
      </c>
    </row>
    <row r="1131" customFormat="false" ht="15" hidden="false" customHeight="false" outlineLevel="0" collapsed="false">
      <c r="A1131" s="22"/>
      <c r="B1131" s="9"/>
      <c r="C1131" s="9"/>
      <c r="D1131" s="9"/>
      <c r="E1131" s="9"/>
      <c r="F1131" s="10" t="str">
        <f aca="false">IF($B1131="","",$C1131+$D1131-$E1131)</f>
        <v/>
      </c>
      <c r="G1131" s="10" t="str">
        <f aca="false">IF($B1131="","",IFERROR(INDEX(Drinks!$C$4:$C$53,MATCH($B1131,Drinks!$A$4:$A$53,0)),0))</f>
        <v/>
      </c>
      <c r="H1131" s="10" t="str">
        <f aca="false">IF($B1131="","",$D1131*$G1131)</f>
        <v/>
      </c>
      <c r="I1131" s="10" t="str">
        <f aca="false">IF($B1131="","",$F1131*$G1131)</f>
        <v/>
      </c>
      <c r="J1131" s="9"/>
      <c r="K1131" s="10" t="str">
        <f aca="false">IF($B1131="","",$E1131*IFERROR(INDEX(Drinks!$B$4:$B$53,MATCH($B1131,Drinks!$A$4:$A$53,0)),0))</f>
        <v/>
      </c>
      <c r="L1131" s="10" t="str">
        <f aca="false">IF($B1131="","",$J1131+$K1131)</f>
        <v/>
      </c>
      <c r="M1131" s="9"/>
      <c r="N1131" s="10" t="str">
        <f aca="false">IF($B1131="","",$L1131-$M1131)</f>
        <v/>
      </c>
      <c r="O1131" s="10" t="str">
        <f aca="false">IF($B1131="","",IFERROR(INDEX(Drinks!$E$4:$E$53,MATCH($B1131,Drinks!$A$4:$A$53,0)),0))</f>
        <v/>
      </c>
      <c r="P1131" s="10" t="str">
        <f aca="false">IF($B1131="","",$N1131*$O1131)</f>
        <v/>
      </c>
      <c r="Q1131" s="10" t="str">
        <f aca="false">IF($B1131="","",$N1131*IFERROR(INDEX(Drinks!$D$4:$D$53,MATCH($B1131,Drinks!$A$4:$A$53,0)),0))</f>
        <v/>
      </c>
      <c r="R1131" s="10" t="str">
        <f aca="false">IF($B1131="","",$P1131-$Q1131)</f>
        <v/>
      </c>
      <c r="S1131" s="23" t="str">
        <f aca="false">IF($B1131="","",IF(COUNTIFS($A$4:$A$2003,$A1131-1,$B$4:$B$2003,$B1131)=0,"first day",IF(SUMIFS($M$4:$M$2003,$A$4:$A$2003,$A1131-1,$B$4:$B$2003,$B1131)=$J1131,"OK","CHECK")))</f>
        <v/>
      </c>
      <c r="T1131" s="10" t="str">
        <f aca="false">IF($B1131="","",IFERROR(INDEX(Drinks!$D$4:$D$53,MATCH($B1131,Drinks!$A$4:$A$53,0)),0))</f>
        <v/>
      </c>
    </row>
    <row r="1132" customFormat="false" ht="15" hidden="false" customHeight="false" outlineLevel="0" collapsed="false">
      <c r="A1132" s="22"/>
      <c r="B1132" s="9"/>
      <c r="C1132" s="9"/>
      <c r="D1132" s="9"/>
      <c r="E1132" s="9"/>
      <c r="F1132" s="10" t="str">
        <f aca="false">IF($B1132="","",$C1132+$D1132-$E1132)</f>
        <v/>
      </c>
      <c r="G1132" s="10" t="str">
        <f aca="false">IF($B1132="","",IFERROR(INDEX(Drinks!$C$4:$C$53,MATCH($B1132,Drinks!$A$4:$A$53,0)),0))</f>
        <v/>
      </c>
      <c r="H1132" s="10" t="str">
        <f aca="false">IF($B1132="","",$D1132*$G1132)</f>
        <v/>
      </c>
      <c r="I1132" s="10" t="str">
        <f aca="false">IF($B1132="","",$F1132*$G1132)</f>
        <v/>
      </c>
      <c r="J1132" s="9"/>
      <c r="K1132" s="10" t="str">
        <f aca="false">IF($B1132="","",$E1132*IFERROR(INDEX(Drinks!$B$4:$B$53,MATCH($B1132,Drinks!$A$4:$A$53,0)),0))</f>
        <v/>
      </c>
      <c r="L1132" s="10" t="str">
        <f aca="false">IF($B1132="","",$J1132+$K1132)</f>
        <v/>
      </c>
      <c r="M1132" s="9"/>
      <c r="N1132" s="10" t="str">
        <f aca="false">IF($B1132="","",$L1132-$M1132)</f>
        <v/>
      </c>
      <c r="O1132" s="10" t="str">
        <f aca="false">IF($B1132="","",IFERROR(INDEX(Drinks!$E$4:$E$53,MATCH($B1132,Drinks!$A$4:$A$53,0)),0))</f>
        <v/>
      </c>
      <c r="P1132" s="10" t="str">
        <f aca="false">IF($B1132="","",$N1132*$O1132)</f>
        <v/>
      </c>
      <c r="Q1132" s="10" t="str">
        <f aca="false">IF($B1132="","",$N1132*IFERROR(INDEX(Drinks!$D$4:$D$53,MATCH($B1132,Drinks!$A$4:$A$53,0)),0))</f>
        <v/>
      </c>
      <c r="R1132" s="10" t="str">
        <f aca="false">IF($B1132="","",$P1132-$Q1132)</f>
        <v/>
      </c>
      <c r="S1132" s="23" t="str">
        <f aca="false">IF($B1132="","",IF(COUNTIFS($A$4:$A$2003,$A1132-1,$B$4:$B$2003,$B1132)=0,"first day",IF(SUMIFS($M$4:$M$2003,$A$4:$A$2003,$A1132-1,$B$4:$B$2003,$B1132)=$J1132,"OK","CHECK")))</f>
        <v/>
      </c>
      <c r="T1132" s="10" t="str">
        <f aca="false">IF($B1132="","",IFERROR(INDEX(Drinks!$D$4:$D$53,MATCH($B1132,Drinks!$A$4:$A$53,0)),0))</f>
        <v/>
      </c>
    </row>
    <row r="1133" customFormat="false" ht="15" hidden="false" customHeight="false" outlineLevel="0" collapsed="false">
      <c r="A1133" s="22"/>
      <c r="B1133" s="9"/>
      <c r="C1133" s="9"/>
      <c r="D1133" s="9"/>
      <c r="E1133" s="9"/>
      <c r="F1133" s="10" t="str">
        <f aca="false">IF($B1133="","",$C1133+$D1133-$E1133)</f>
        <v/>
      </c>
      <c r="G1133" s="10" t="str">
        <f aca="false">IF($B1133="","",IFERROR(INDEX(Drinks!$C$4:$C$53,MATCH($B1133,Drinks!$A$4:$A$53,0)),0))</f>
        <v/>
      </c>
      <c r="H1133" s="10" t="str">
        <f aca="false">IF($B1133="","",$D1133*$G1133)</f>
        <v/>
      </c>
      <c r="I1133" s="10" t="str">
        <f aca="false">IF($B1133="","",$F1133*$G1133)</f>
        <v/>
      </c>
      <c r="J1133" s="9"/>
      <c r="K1133" s="10" t="str">
        <f aca="false">IF($B1133="","",$E1133*IFERROR(INDEX(Drinks!$B$4:$B$53,MATCH($B1133,Drinks!$A$4:$A$53,0)),0))</f>
        <v/>
      </c>
      <c r="L1133" s="10" t="str">
        <f aca="false">IF($B1133="","",$J1133+$K1133)</f>
        <v/>
      </c>
      <c r="M1133" s="9"/>
      <c r="N1133" s="10" t="str">
        <f aca="false">IF($B1133="","",$L1133-$M1133)</f>
        <v/>
      </c>
      <c r="O1133" s="10" t="str">
        <f aca="false">IF($B1133="","",IFERROR(INDEX(Drinks!$E$4:$E$53,MATCH($B1133,Drinks!$A$4:$A$53,0)),0))</f>
        <v/>
      </c>
      <c r="P1133" s="10" t="str">
        <f aca="false">IF($B1133="","",$N1133*$O1133)</f>
        <v/>
      </c>
      <c r="Q1133" s="10" t="str">
        <f aca="false">IF($B1133="","",$N1133*IFERROR(INDEX(Drinks!$D$4:$D$53,MATCH($B1133,Drinks!$A$4:$A$53,0)),0))</f>
        <v/>
      </c>
      <c r="R1133" s="10" t="str">
        <f aca="false">IF($B1133="","",$P1133-$Q1133)</f>
        <v/>
      </c>
      <c r="S1133" s="23" t="str">
        <f aca="false">IF($B1133="","",IF(COUNTIFS($A$4:$A$2003,$A1133-1,$B$4:$B$2003,$B1133)=0,"first day",IF(SUMIFS($M$4:$M$2003,$A$4:$A$2003,$A1133-1,$B$4:$B$2003,$B1133)=$J1133,"OK","CHECK")))</f>
        <v/>
      </c>
      <c r="T1133" s="10" t="str">
        <f aca="false">IF($B1133="","",IFERROR(INDEX(Drinks!$D$4:$D$53,MATCH($B1133,Drinks!$A$4:$A$53,0)),0))</f>
        <v/>
      </c>
    </row>
    <row r="1134" customFormat="false" ht="15" hidden="false" customHeight="false" outlineLevel="0" collapsed="false">
      <c r="A1134" s="22"/>
      <c r="B1134" s="9"/>
      <c r="C1134" s="9"/>
      <c r="D1134" s="9"/>
      <c r="E1134" s="9"/>
      <c r="F1134" s="10" t="str">
        <f aca="false">IF($B1134="","",$C1134+$D1134-$E1134)</f>
        <v/>
      </c>
      <c r="G1134" s="10" t="str">
        <f aca="false">IF($B1134="","",IFERROR(INDEX(Drinks!$C$4:$C$53,MATCH($B1134,Drinks!$A$4:$A$53,0)),0))</f>
        <v/>
      </c>
      <c r="H1134" s="10" t="str">
        <f aca="false">IF($B1134="","",$D1134*$G1134)</f>
        <v/>
      </c>
      <c r="I1134" s="10" t="str">
        <f aca="false">IF($B1134="","",$F1134*$G1134)</f>
        <v/>
      </c>
      <c r="J1134" s="9"/>
      <c r="K1134" s="10" t="str">
        <f aca="false">IF($B1134="","",$E1134*IFERROR(INDEX(Drinks!$B$4:$B$53,MATCH($B1134,Drinks!$A$4:$A$53,0)),0))</f>
        <v/>
      </c>
      <c r="L1134" s="10" t="str">
        <f aca="false">IF($B1134="","",$J1134+$K1134)</f>
        <v/>
      </c>
      <c r="M1134" s="9"/>
      <c r="N1134" s="10" t="str">
        <f aca="false">IF($B1134="","",$L1134-$M1134)</f>
        <v/>
      </c>
      <c r="O1134" s="10" t="str">
        <f aca="false">IF($B1134="","",IFERROR(INDEX(Drinks!$E$4:$E$53,MATCH($B1134,Drinks!$A$4:$A$53,0)),0))</f>
        <v/>
      </c>
      <c r="P1134" s="10" t="str">
        <f aca="false">IF($B1134="","",$N1134*$O1134)</f>
        <v/>
      </c>
      <c r="Q1134" s="10" t="str">
        <f aca="false">IF($B1134="","",$N1134*IFERROR(INDEX(Drinks!$D$4:$D$53,MATCH($B1134,Drinks!$A$4:$A$53,0)),0))</f>
        <v/>
      </c>
      <c r="R1134" s="10" t="str">
        <f aca="false">IF($B1134="","",$P1134-$Q1134)</f>
        <v/>
      </c>
      <c r="S1134" s="23" t="str">
        <f aca="false">IF($B1134="","",IF(COUNTIFS($A$4:$A$2003,$A1134-1,$B$4:$B$2003,$B1134)=0,"first day",IF(SUMIFS($M$4:$M$2003,$A$4:$A$2003,$A1134-1,$B$4:$B$2003,$B1134)=$J1134,"OK","CHECK")))</f>
        <v/>
      </c>
      <c r="T1134" s="10" t="str">
        <f aca="false">IF($B1134="","",IFERROR(INDEX(Drinks!$D$4:$D$53,MATCH($B1134,Drinks!$A$4:$A$53,0)),0))</f>
        <v/>
      </c>
    </row>
    <row r="1135" customFormat="false" ht="15" hidden="false" customHeight="false" outlineLevel="0" collapsed="false">
      <c r="A1135" s="22"/>
      <c r="B1135" s="9"/>
      <c r="C1135" s="9"/>
      <c r="D1135" s="9"/>
      <c r="E1135" s="9"/>
      <c r="F1135" s="10" t="str">
        <f aca="false">IF($B1135="","",$C1135+$D1135-$E1135)</f>
        <v/>
      </c>
      <c r="G1135" s="10" t="str">
        <f aca="false">IF($B1135="","",IFERROR(INDEX(Drinks!$C$4:$C$53,MATCH($B1135,Drinks!$A$4:$A$53,0)),0))</f>
        <v/>
      </c>
      <c r="H1135" s="10" t="str">
        <f aca="false">IF($B1135="","",$D1135*$G1135)</f>
        <v/>
      </c>
      <c r="I1135" s="10" t="str">
        <f aca="false">IF($B1135="","",$F1135*$G1135)</f>
        <v/>
      </c>
      <c r="J1135" s="9"/>
      <c r="K1135" s="10" t="str">
        <f aca="false">IF($B1135="","",$E1135*IFERROR(INDEX(Drinks!$B$4:$B$53,MATCH($B1135,Drinks!$A$4:$A$53,0)),0))</f>
        <v/>
      </c>
      <c r="L1135" s="10" t="str">
        <f aca="false">IF($B1135="","",$J1135+$K1135)</f>
        <v/>
      </c>
      <c r="M1135" s="9"/>
      <c r="N1135" s="10" t="str">
        <f aca="false">IF($B1135="","",$L1135-$M1135)</f>
        <v/>
      </c>
      <c r="O1135" s="10" t="str">
        <f aca="false">IF($B1135="","",IFERROR(INDEX(Drinks!$E$4:$E$53,MATCH($B1135,Drinks!$A$4:$A$53,0)),0))</f>
        <v/>
      </c>
      <c r="P1135" s="10" t="str">
        <f aca="false">IF($B1135="","",$N1135*$O1135)</f>
        <v/>
      </c>
      <c r="Q1135" s="10" t="str">
        <f aca="false">IF($B1135="","",$N1135*IFERROR(INDEX(Drinks!$D$4:$D$53,MATCH($B1135,Drinks!$A$4:$A$53,0)),0))</f>
        <v/>
      </c>
      <c r="R1135" s="10" t="str">
        <f aca="false">IF($B1135="","",$P1135-$Q1135)</f>
        <v/>
      </c>
      <c r="S1135" s="23" t="str">
        <f aca="false">IF($B1135="","",IF(COUNTIFS($A$4:$A$2003,$A1135-1,$B$4:$B$2003,$B1135)=0,"first day",IF(SUMIFS($M$4:$M$2003,$A$4:$A$2003,$A1135-1,$B$4:$B$2003,$B1135)=$J1135,"OK","CHECK")))</f>
        <v/>
      </c>
      <c r="T1135" s="10" t="str">
        <f aca="false">IF($B1135="","",IFERROR(INDEX(Drinks!$D$4:$D$53,MATCH($B1135,Drinks!$A$4:$A$53,0)),0))</f>
        <v/>
      </c>
    </row>
    <row r="1136" customFormat="false" ht="15" hidden="false" customHeight="false" outlineLevel="0" collapsed="false">
      <c r="A1136" s="22"/>
      <c r="B1136" s="9"/>
      <c r="C1136" s="9"/>
      <c r="D1136" s="9"/>
      <c r="E1136" s="9"/>
      <c r="F1136" s="10" t="str">
        <f aca="false">IF($B1136="","",$C1136+$D1136-$E1136)</f>
        <v/>
      </c>
      <c r="G1136" s="10" t="str">
        <f aca="false">IF($B1136="","",IFERROR(INDEX(Drinks!$C$4:$C$53,MATCH($B1136,Drinks!$A$4:$A$53,0)),0))</f>
        <v/>
      </c>
      <c r="H1136" s="10" t="str">
        <f aca="false">IF($B1136="","",$D1136*$G1136)</f>
        <v/>
      </c>
      <c r="I1136" s="10" t="str">
        <f aca="false">IF($B1136="","",$F1136*$G1136)</f>
        <v/>
      </c>
      <c r="J1136" s="9"/>
      <c r="K1136" s="10" t="str">
        <f aca="false">IF($B1136="","",$E1136*IFERROR(INDEX(Drinks!$B$4:$B$53,MATCH($B1136,Drinks!$A$4:$A$53,0)),0))</f>
        <v/>
      </c>
      <c r="L1136" s="10" t="str">
        <f aca="false">IF($B1136="","",$J1136+$K1136)</f>
        <v/>
      </c>
      <c r="M1136" s="9"/>
      <c r="N1136" s="10" t="str">
        <f aca="false">IF($B1136="","",$L1136-$M1136)</f>
        <v/>
      </c>
      <c r="O1136" s="10" t="str">
        <f aca="false">IF($B1136="","",IFERROR(INDEX(Drinks!$E$4:$E$53,MATCH($B1136,Drinks!$A$4:$A$53,0)),0))</f>
        <v/>
      </c>
      <c r="P1136" s="10" t="str">
        <f aca="false">IF($B1136="","",$N1136*$O1136)</f>
        <v/>
      </c>
      <c r="Q1136" s="10" t="str">
        <f aca="false">IF($B1136="","",$N1136*IFERROR(INDEX(Drinks!$D$4:$D$53,MATCH($B1136,Drinks!$A$4:$A$53,0)),0))</f>
        <v/>
      </c>
      <c r="R1136" s="10" t="str">
        <f aca="false">IF($B1136="","",$P1136-$Q1136)</f>
        <v/>
      </c>
      <c r="S1136" s="23" t="str">
        <f aca="false">IF($B1136="","",IF(COUNTIFS($A$4:$A$2003,$A1136-1,$B$4:$B$2003,$B1136)=0,"first day",IF(SUMIFS($M$4:$M$2003,$A$4:$A$2003,$A1136-1,$B$4:$B$2003,$B1136)=$J1136,"OK","CHECK")))</f>
        <v/>
      </c>
      <c r="T1136" s="10" t="str">
        <f aca="false">IF($B1136="","",IFERROR(INDEX(Drinks!$D$4:$D$53,MATCH($B1136,Drinks!$A$4:$A$53,0)),0))</f>
        <v/>
      </c>
    </row>
    <row r="1137" customFormat="false" ht="15" hidden="false" customHeight="false" outlineLevel="0" collapsed="false">
      <c r="A1137" s="22"/>
      <c r="B1137" s="9"/>
      <c r="C1137" s="9"/>
      <c r="D1137" s="9"/>
      <c r="E1137" s="9"/>
      <c r="F1137" s="10" t="str">
        <f aca="false">IF($B1137="","",$C1137+$D1137-$E1137)</f>
        <v/>
      </c>
      <c r="G1137" s="10" t="str">
        <f aca="false">IF($B1137="","",IFERROR(INDEX(Drinks!$C$4:$C$53,MATCH($B1137,Drinks!$A$4:$A$53,0)),0))</f>
        <v/>
      </c>
      <c r="H1137" s="10" t="str">
        <f aca="false">IF($B1137="","",$D1137*$G1137)</f>
        <v/>
      </c>
      <c r="I1137" s="10" t="str">
        <f aca="false">IF($B1137="","",$F1137*$G1137)</f>
        <v/>
      </c>
      <c r="J1137" s="9"/>
      <c r="K1137" s="10" t="str">
        <f aca="false">IF($B1137="","",$E1137*IFERROR(INDEX(Drinks!$B$4:$B$53,MATCH($B1137,Drinks!$A$4:$A$53,0)),0))</f>
        <v/>
      </c>
      <c r="L1137" s="10" t="str">
        <f aca="false">IF($B1137="","",$J1137+$K1137)</f>
        <v/>
      </c>
      <c r="M1137" s="9"/>
      <c r="N1137" s="10" t="str">
        <f aca="false">IF($B1137="","",$L1137-$M1137)</f>
        <v/>
      </c>
      <c r="O1137" s="10" t="str">
        <f aca="false">IF($B1137="","",IFERROR(INDEX(Drinks!$E$4:$E$53,MATCH($B1137,Drinks!$A$4:$A$53,0)),0))</f>
        <v/>
      </c>
      <c r="P1137" s="10" t="str">
        <f aca="false">IF($B1137="","",$N1137*$O1137)</f>
        <v/>
      </c>
      <c r="Q1137" s="10" t="str">
        <f aca="false">IF($B1137="","",$N1137*IFERROR(INDEX(Drinks!$D$4:$D$53,MATCH($B1137,Drinks!$A$4:$A$53,0)),0))</f>
        <v/>
      </c>
      <c r="R1137" s="10" t="str">
        <f aca="false">IF($B1137="","",$P1137-$Q1137)</f>
        <v/>
      </c>
      <c r="S1137" s="23" t="str">
        <f aca="false">IF($B1137="","",IF(COUNTIFS($A$4:$A$2003,$A1137-1,$B$4:$B$2003,$B1137)=0,"first day",IF(SUMIFS($M$4:$M$2003,$A$4:$A$2003,$A1137-1,$B$4:$B$2003,$B1137)=$J1137,"OK","CHECK")))</f>
        <v/>
      </c>
      <c r="T1137" s="10" t="str">
        <f aca="false">IF($B1137="","",IFERROR(INDEX(Drinks!$D$4:$D$53,MATCH($B1137,Drinks!$A$4:$A$53,0)),0))</f>
        <v/>
      </c>
    </row>
    <row r="1138" customFormat="false" ht="15" hidden="false" customHeight="false" outlineLevel="0" collapsed="false">
      <c r="A1138" s="22"/>
      <c r="B1138" s="9"/>
      <c r="C1138" s="9"/>
      <c r="D1138" s="9"/>
      <c r="E1138" s="9"/>
      <c r="F1138" s="10" t="str">
        <f aca="false">IF($B1138="","",$C1138+$D1138-$E1138)</f>
        <v/>
      </c>
      <c r="G1138" s="10" t="str">
        <f aca="false">IF($B1138="","",IFERROR(INDEX(Drinks!$C$4:$C$53,MATCH($B1138,Drinks!$A$4:$A$53,0)),0))</f>
        <v/>
      </c>
      <c r="H1138" s="10" t="str">
        <f aca="false">IF($B1138="","",$D1138*$G1138)</f>
        <v/>
      </c>
      <c r="I1138" s="10" t="str">
        <f aca="false">IF($B1138="","",$F1138*$G1138)</f>
        <v/>
      </c>
      <c r="J1138" s="9"/>
      <c r="K1138" s="10" t="str">
        <f aca="false">IF($B1138="","",$E1138*IFERROR(INDEX(Drinks!$B$4:$B$53,MATCH($B1138,Drinks!$A$4:$A$53,0)),0))</f>
        <v/>
      </c>
      <c r="L1138" s="10" t="str">
        <f aca="false">IF($B1138="","",$J1138+$K1138)</f>
        <v/>
      </c>
      <c r="M1138" s="9"/>
      <c r="N1138" s="10" t="str">
        <f aca="false">IF($B1138="","",$L1138-$M1138)</f>
        <v/>
      </c>
      <c r="O1138" s="10" t="str">
        <f aca="false">IF($B1138="","",IFERROR(INDEX(Drinks!$E$4:$E$53,MATCH($B1138,Drinks!$A$4:$A$53,0)),0))</f>
        <v/>
      </c>
      <c r="P1138" s="10" t="str">
        <f aca="false">IF($B1138="","",$N1138*$O1138)</f>
        <v/>
      </c>
      <c r="Q1138" s="10" t="str">
        <f aca="false">IF($B1138="","",$N1138*IFERROR(INDEX(Drinks!$D$4:$D$53,MATCH($B1138,Drinks!$A$4:$A$53,0)),0))</f>
        <v/>
      </c>
      <c r="R1138" s="10" t="str">
        <f aca="false">IF($B1138="","",$P1138-$Q1138)</f>
        <v/>
      </c>
      <c r="S1138" s="23" t="str">
        <f aca="false">IF($B1138="","",IF(COUNTIFS($A$4:$A$2003,$A1138-1,$B$4:$B$2003,$B1138)=0,"first day",IF(SUMIFS($M$4:$M$2003,$A$4:$A$2003,$A1138-1,$B$4:$B$2003,$B1138)=$J1138,"OK","CHECK")))</f>
        <v/>
      </c>
      <c r="T1138" s="10" t="str">
        <f aca="false">IF($B1138="","",IFERROR(INDEX(Drinks!$D$4:$D$53,MATCH($B1138,Drinks!$A$4:$A$53,0)),0))</f>
        <v/>
      </c>
    </row>
    <row r="1139" customFormat="false" ht="15" hidden="false" customHeight="false" outlineLevel="0" collapsed="false">
      <c r="A1139" s="22"/>
      <c r="B1139" s="9"/>
      <c r="C1139" s="9"/>
      <c r="D1139" s="9"/>
      <c r="E1139" s="9"/>
      <c r="F1139" s="10" t="str">
        <f aca="false">IF($B1139="","",$C1139+$D1139-$E1139)</f>
        <v/>
      </c>
      <c r="G1139" s="10" t="str">
        <f aca="false">IF($B1139="","",IFERROR(INDEX(Drinks!$C$4:$C$53,MATCH($B1139,Drinks!$A$4:$A$53,0)),0))</f>
        <v/>
      </c>
      <c r="H1139" s="10" t="str">
        <f aca="false">IF($B1139="","",$D1139*$G1139)</f>
        <v/>
      </c>
      <c r="I1139" s="10" t="str">
        <f aca="false">IF($B1139="","",$F1139*$G1139)</f>
        <v/>
      </c>
      <c r="J1139" s="9"/>
      <c r="K1139" s="10" t="str">
        <f aca="false">IF($B1139="","",$E1139*IFERROR(INDEX(Drinks!$B$4:$B$53,MATCH($B1139,Drinks!$A$4:$A$53,0)),0))</f>
        <v/>
      </c>
      <c r="L1139" s="10" t="str">
        <f aca="false">IF($B1139="","",$J1139+$K1139)</f>
        <v/>
      </c>
      <c r="M1139" s="9"/>
      <c r="N1139" s="10" t="str">
        <f aca="false">IF($B1139="","",$L1139-$M1139)</f>
        <v/>
      </c>
      <c r="O1139" s="10" t="str">
        <f aca="false">IF($B1139="","",IFERROR(INDEX(Drinks!$E$4:$E$53,MATCH($B1139,Drinks!$A$4:$A$53,0)),0))</f>
        <v/>
      </c>
      <c r="P1139" s="10" t="str">
        <f aca="false">IF($B1139="","",$N1139*$O1139)</f>
        <v/>
      </c>
      <c r="Q1139" s="10" t="str">
        <f aca="false">IF($B1139="","",$N1139*IFERROR(INDEX(Drinks!$D$4:$D$53,MATCH($B1139,Drinks!$A$4:$A$53,0)),0))</f>
        <v/>
      </c>
      <c r="R1139" s="10" t="str">
        <f aca="false">IF($B1139="","",$P1139-$Q1139)</f>
        <v/>
      </c>
      <c r="S1139" s="23" t="str">
        <f aca="false">IF($B1139="","",IF(COUNTIFS($A$4:$A$2003,$A1139-1,$B$4:$B$2003,$B1139)=0,"first day",IF(SUMIFS($M$4:$M$2003,$A$4:$A$2003,$A1139-1,$B$4:$B$2003,$B1139)=$J1139,"OK","CHECK")))</f>
        <v/>
      </c>
      <c r="T1139" s="10" t="str">
        <f aca="false">IF($B1139="","",IFERROR(INDEX(Drinks!$D$4:$D$53,MATCH($B1139,Drinks!$A$4:$A$53,0)),0))</f>
        <v/>
      </c>
    </row>
    <row r="1140" customFormat="false" ht="15" hidden="false" customHeight="false" outlineLevel="0" collapsed="false">
      <c r="A1140" s="22"/>
      <c r="B1140" s="9"/>
      <c r="C1140" s="9"/>
      <c r="D1140" s="9"/>
      <c r="E1140" s="9"/>
      <c r="F1140" s="10" t="str">
        <f aca="false">IF($B1140="","",$C1140+$D1140-$E1140)</f>
        <v/>
      </c>
      <c r="G1140" s="10" t="str">
        <f aca="false">IF($B1140="","",IFERROR(INDEX(Drinks!$C$4:$C$53,MATCH($B1140,Drinks!$A$4:$A$53,0)),0))</f>
        <v/>
      </c>
      <c r="H1140" s="10" t="str">
        <f aca="false">IF($B1140="","",$D1140*$G1140)</f>
        <v/>
      </c>
      <c r="I1140" s="10" t="str">
        <f aca="false">IF($B1140="","",$F1140*$G1140)</f>
        <v/>
      </c>
      <c r="J1140" s="9"/>
      <c r="K1140" s="10" t="str">
        <f aca="false">IF($B1140="","",$E1140*IFERROR(INDEX(Drinks!$B$4:$B$53,MATCH($B1140,Drinks!$A$4:$A$53,0)),0))</f>
        <v/>
      </c>
      <c r="L1140" s="10" t="str">
        <f aca="false">IF($B1140="","",$J1140+$K1140)</f>
        <v/>
      </c>
      <c r="M1140" s="9"/>
      <c r="N1140" s="10" t="str">
        <f aca="false">IF($B1140="","",$L1140-$M1140)</f>
        <v/>
      </c>
      <c r="O1140" s="10" t="str">
        <f aca="false">IF($B1140="","",IFERROR(INDEX(Drinks!$E$4:$E$53,MATCH($B1140,Drinks!$A$4:$A$53,0)),0))</f>
        <v/>
      </c>
      <c r="P1140" s="10" t="str">
        <f aca="false">IF($B1140="","",$N1140*$O1140)</f>
        <v/>
      </c>
      <c r="Q1140" s="10" t="str">
        <f aca="false">IF($B1140="","",$N1140*IFERROR(INDEX(Drinks!$D$4:$D$53,MATCH($B1140,Drinks!$A$4:$A$53,0)),0))</f>
        <v/>
      </c>
      <c r="R1140" s="10" t="str">
        <f aca="false">IF($B1140="","",$P1140-$Q1140)</f>
        <v/>
      </c>
      <c r="S1140" s="23" t="str">
        <f aca="false">IF($B1140="","",IF(COUNTIFS($A$4:$A$2003,$A1140-1,$B$4:$B$2003,$B1140)=0,"first day",IF(SUMIFS($M$4:$M$2003,$A$4:$A$2003,$A1140-1,$B$4:$B$2003,$B1140)=$J1140,"OK","CHECK")))</f>
        <v/>
      </c>
      <c r="T1140" s="10" t="str">
        <f aca="false">IF($B1140="","",IFERROR(INDEX(Drinks!$D$4:$D$53,MATCH($B1140,Drinks!$A$4:$A$53,0)),0))</f>
        <v/>
      </c>
    </row>
    <row r="1141" customFormat="false" ht="15" hidden="false" customHeight="false" outlineLevel="0" collapsed="false">
      <c r="A1141" s="22"/>
      <c r="B1141" s="9"/>
      <c r="C1141" s="9"/>
      <c r="D1141" s="9"/>
      <c r="E1141" s="9"/>
      <c r="F1141" s="10" t="str">
        <f aca="false">IF($B1141="","",$C1141+$D1141-$E1141)</f>
        <v/>
      </c>
      <c r="G1141" s="10" t="str">
        <f aca="false">IF($B1141="","",IFERROR(INDEX(Drinks!$C$4:$C$53,MATCH($B1141,Drinks!$A$4:$A$53,0)),0))</f>
        <v/>
      </c>
      <c r="H1141" s="10" t="str">
        <f aca="false">IF($B1141="","",$D1141*$G1141)</f>
        <v/>
      </c>
      <c r="I1141" s="10" t="str">
        <f aca="false">IF($B1141="","",$F1141*$G1141)</f>
        <v/>
      </c>
      <c r="J1141" s="9"/>
      <c r="K1141" s="10" t="str">
        <f aca="false">IF($B1141="","",$E1141*IFERROR(INDEX(Drinks!$B$4:$B$53,MATCH($B1141,Drinks!$A$4:$A$53,0)),0))</f>
        <v/>
      </c>
      <c r="L1141" s="10" t="str">
        <f aca="false">IF($B1141="","",$J1141+$K1141)</f>
        <v/>
      </c>
      <c r="M1141" s="9"/>
      <c r="N1141" s="10" t="str">
        <f aca="false">IF($B1141="","",$L1141-$M1141)</f>
        <v/>
      </c>
      <c r="O1141" s="10" t="str">
        <f aca="false">IF($B1141="","",IFERROR(INDEX(Drinks!$E$4:$E$53,MATCH($B1141,Drinks!$A$4:$A$53,0)),0))</f>
        <v/>
      </c>
      <c r="P1141" s="10" t="str">
        <f aca="false">IF($B1141="","",$N1141*$O1141)</f>
        <v/>
      </c>
      <c r="Q1141" s="10" t="str">
        <f aca="false">IF($B1141="","",$N1141*IFERROR(INDEX(Drinks!$D$4:$D$53,MATCH($B1141,Drinks!$A$4:$A$53,0)),0))</f>
        <v/>
      </c>
      <c r="R1141" s="10" t="str">
        <f aca="false">IF($B1141="","",$P1141-$Q1141)</f>
        <v/>
      </c>
      <c r="S1141" s="23" t="str">
        <f aca="false">IF($B1141="","",IF(COUNTIFS($A$4:$A$2003,$A1141-1,$B$4:$B$2003,$B1141)=0,"first day",IF(SUMIFS($M$4:$M$2003,$A$4:$A$2003,$A1141-1,$B$4:$B$2003,$B1141)=$J1141,"OK","CHECK")))</f>
        <v/>
      </c>
      <c r="T1141" s="10" t="str">
        <f aca="false">IF($B1141="","",IFERROR(INDEX(Drinks!$D$4:$D$53,MATCH($B1141,Drinks!$A$4:$A$53,0)),0))</f>
        <v/>
      </c>
    </row>
    <row r="1142" customFormat="false" ht="15" hidden="false" customHeight="false" outlineLevel="0" collapsed="false">
      <c r="A1142" s="22"/>
      <c r="B1142" s="9"/>
      <c r="C1142" s="9"/>
      <c r="D1142" s="9"/>
      <c r="E1142" s="9"/>
      <c r="F1142" s="10" t="str">
        <f aca="false">IF($B1142="","",$C1142+$D1142-$E1142)</f>
        <v/>
      </c>
      <c r="G1142" s="10" t="str">
        <f aca="false">IF($B1142="","",IFERROR(INDEX(Drinks!$C$4:$C$53,MATCH($B1142,Drinks!$A$4:$A$53,0)),0))</f>
        <v/>
      </c>
      <c r="H1142" s="10" t="str">
        <f aca="false">IF($B1142="","",$D1142*$G1142)</f>
        <v/>
      </c>
      <c r="I1142" s="10" t="str">
        <f aca="false">IF($B1142="","",$F1142*$G1142)</f>
        <v/>
      </c>
      <c r="J1142" s="9"/>
      <c r="K1142" s="10" t="str">
        <f aca="false">IF($B1142="","",$E1142*IFERROR(INDEX(Drinks!$B$4:$B$53,MATCH($B1142,Drinks!$A$4:$A$53,0)),0))</f>
        <v/>
      </c>
      <c r="L1142" s="10" t="str">
        <f aca="false">IF($B1142="","",$J1142+$K1142)</f>
        <v/>
      </c>
      <c r="M1142" s="9"/>
      <c r="N1142" s="10" t="str">
        <f aca="false">IF($B1142="","",$L1142-$M1142)</f>
        <v/>
      </c>
      <c r="O1142" s="10" t="str">
        <f aca="false">IF($B1142="","",IFERROR(INDEX(Drinks!$E$4:$E$53,MATCH($B1142,Drinks!$A$4:$A$53,0)),0))</f>
        <v/>
      </c>
      <c r="P1142" s="10" t="str">
        <f aca="false">IF($B1142="","",$N1142*$O1142)</f>
        <v/>
      </c>
      <c r="Q1142" s="10" t="str">
        <f aca="false">IF($B1142="","",$N1142*IFERROR(INDEX(Drinks!$D$4:$D$53,MATCH($B1142,Drinks!$A$4:$A$53,0)),0))</f>
        <v/>
      </c>
      <c r="R1142" s="10" t="str">
        <f aca="false">IF($B1142="","",$P1142-$Q1142)</f>
        <v/>
      </c>
      <c r="S1142" s="23" t="str">
        <f aca="false">IF($B1142="","",IF(COUNTIFS($A$4:$A$2003,$A1142-1,$B$4:$B$2003,$B1142)=0,"first day",IF(SUMIFS($M$4:$M$2003,$A$4:$A$2003,$A1142-1,$B$4:$B$2003,$B1142)=$J1142,"OK","CHECK")))</f>
        <v/>
      </c>
      <c r="T1142" s="10" t="str">
        <f aca="false">IF($B1142="","",IFERROR(INDEX(Drinks!$D$4:$D$53,MATCH($B1142,Drinks!$A$4:$A$53,0)),0))</f>
        <v/>
      </c>
    </row>
    <row r="1143" customFormat="false" ht="15" hidden="false" customHeight="false" outlineLevel="0" collapsed="false">
      <c r="A1143" s="22"/>
      <c r="B1143" s="9"/>
      <c r="C1143" s="9"/>
      <c r="D1143" s="9"/>
      <c r="E1143" s="9"/>
      <c r="F1143" s="10" t="str">
        <f aca="false">IF($B1143="","",$C1143+$D1143-$E1143)</f>
        <v/>
      </c>
      <c r="G1143" s="10" t="str">
        <f aca="false">IF($B1143="","",IFERROR(INDEX(Drinks!$C$4:$C$53,MATCH($B1143,Drinks!$A$4:$A$53,0)),0))</f>
        <v/>
      </c>
      <c r="H1143" s="10" t="str">
        <f aca="false">IF($B1143="","",$D1143*$G1143)</f>
        <v/>
      </c>
      <c r="I1143" s="10" t="str">
        <f aca="false">IF($B1143="","",$F1143*$G1143)</f>
        <v/>
      </c>
      <c r="J1143" s="9"/>
      <c r="K1143" s="10" t="str">
        <f aca="false">IF($B1143="","",$E1143*IFERROR(INDEX(Drinks!$B$4:$B$53,MATCH($B1143,Drinks!$A$4:$A$53,0)),0))</f>
        <v/>
      </c>
      <c r="L1143" s="10" t="str">
        <f aca="false">IF($B1143="","",$J1143+$K1143)</f>
        <v/>
      </c>
      <c r="M1143" s="9"/>
      <c r="N1143" s="10" t="str">
        <f aca="false">IF($B1143="","",$L1143-$M1143)</f>
        <v/>
      </c>
      <c r="O1143" s="10" t="str">
        <f aca="false">IF($B1143="","",IFERROR(INDEX(Drinks!$E$4:$E$53,MATCH($B1143,Drinks!$A$4:$A$53,0)),0))</f>
        <v/>
      </c>
      <c r="P1143" s="10" t="str">
        <f aca="false">IF($B1143="","",$N1143*$O1143)</f>
        <v/>
      </c>
      <c r="Q1143" s="10" t="str">
        <f aca="false">IF($B1143="","",$N1143*IFERROR(INDEX(Drinks!$D$4:$D$53,MATCH($B1143,Drinks!$A$4:$A$53,0)),0))</f>
        <v/>
      </c>
      <c r="R1143" s="10" t="str">
        <f aca="false">IF($B1143="","",$P1143-$Q1143)</f>
        <v/>
      </c>
      <c r="S1143" s="23" t="str">
        <f aca="false">IF($B1143="","",IF(COUNTIFS($A$4:$A$2003,$A1143-1,$B$4:$B$2003,$B1143)=0,"first day",IF(SUMIFS($M$4:$M$2003,$A$4:$A$2003,$A1143-1,$B$4:$B$2003,$B1143)=$J1143,"OK","CHECK")))</f>
        <v/>
      </c>
      <c r="T1143" s="10" t="str">
        <f aca="false">IF($B1143="","",IFERROR(INDEX(Drinks!$D$4:$D$53,MATCH($B1143,Drinks!$A$4:$A$53,0)),0))</f>
        <v/>
      </c>
    </row>
    <row r="1144" customFormat="false" ht="15" hidden="false" customHeight="false" outlineLevel="0" collapsed="false">
      <c r="A1144" s="22"/>
      <c r="B1144" s="9"/>
      <c r="C1144" s="9"/>
      <c r="D1144" s="9"/>
      <c r="E1144" s="9"/>
      <c r="F1144" s="10" t="str">
        <f aca="false">IF($B1144="","",$C1144+$D1144-$E1144)</f>
        <v/>
      </c>
      <c r="G1144" s="10" t="str">
        <f aca="false">IF($B1144="","",IFERROR(INDEX(Drinks!$C$4:$C$53,MATCH($B1144,Drinks!$A$4:$A$53,0)),0))</f>
        <v/>
      </c>
      <c r="H1144" s="10" t="str">
        <f aca="false">IF($B1144="","",$D1144*$G1144)</f>
        <v/>
      </c>
      <c r="I1144" s="10" t="str">
        <f aca="false">IF($B1144="","",$F1144*$G1144)</f>
        <v/>
      </c>
      <c r="J1144" s="9"/>
      <c r="K1144" s="10" t="str">
        <f aca="false">IF($B1144="","",$E1144*IFERROR(INDEX(Drinks!$B$4:$B$53,MATCH($B1144,Drinks!$A$4:$A$53,0)),0))</f>
        <v/>
      </c>
      <c r="L1144" s="10" t="str">
        <f aca="false">IF($B1144="","",$J1144+$K1144)</f>
        <v/>
      </c>
      <c r="M1144" s="9"/>
      <c r="N1144" s="10" t="str">
        <f aca="false">IF($B1144="","",$L1144-$M1144)</f>
        <v/>
      </c>
      <c r="O1144" s="10" t="str">
        <f aca="false">IF($B1144="","",IFERROR(INDEX(Drinks!$E$4:$E$53,MATCH($B1144,Drinks!$A$4:$A$53,0)),0))</f>
        <v/>
      </c>
      <c r="P1144" s="10" t="str">
        <f aca="false">IF($B1144="","",$N1144*$O1144)</f>
        <v/>
      </c>
      <c r="Q1144" s="10" t="str">
        <f aca="false">IF($B1144="","",$N1144*IFERROR(INDEX(Drinks!$D$4:$D$53,MATCH($B1144,Drinks!$A$4:$A$53,0)),0))</f>
        <v/>
      </c>
      <c r="R1144" s="10" t="str">
        <f aca="false">IF($B1144="","",$P1144-$Q1144)</f>
        <v/>
      </c>
      <c r="S1144" s="23" t="str">
        <f aca="false">IF($B1144="","",IF(COUNTIFS($A$4:$A$2003,$A1144-1,$B$4:$B$2003,$B1144)=0,"first day",IF(SUMIFS($M$4:$M$2003,$A$4:$A$2003,$A1144-1,$B$4:$B$2003,$B1144)=$J1144,"OK","CHECK")))</f>
        <v/>
      </c>
      <c r="T1144" s="10" t="str">
        <f aca="false">IF($B1144="","",IFERROR(INDEX(Drinks!$D$4:$D$53,MATCH($B1144,Drinks!$A$4:$A$53,0)),0))</f>
        <v/>
      </c>
    </row>
    <row r="1145" customFormat="false" ht="15" hidden="false" customHeight="false" outlineLevel="0" collapsed="false">
      <c r="A1145" s="22"/>
      <c r="B1145" s="9"/>
      <c r="C1145" s="9"/>
      <c r="D1145" s="9"/>
      <c r="E1145" s="9"/>
      <c r="F1145" s="10" t="str">
        <f aca="false">IF($B1145="","",$C1145+$D1145-$E1145)</f>
        <v/>
      </c>
      <c r="G1145" s="10" t="str">
        <f aca="false">IF($B1145="","",IFERROR(INDEX(Drinks!$C$4:$C$53,MATCH($B1145,Drinks!$A$4:$A$53,0)),0))</f>
        <v/>
      </c>
      <c r="H1145" s="10" t="str">
        <f aca="false">IF($B1145="","",$D1145*$G1145)</f>
        <v/>
      </c>
      <c r="I1145" s="10" t="str">
        <f aca="false">IF($B1145="","",$F1145*$G1145)</f>
        <v/>
      </c>
      <c r="J1145" s="9"/>
      <c r="K1145" s="10" t="str">
        <f aca="false">IF($B1145="","",$E1145*IFERROR(INDEX(Drinks!$B$4:$B$53,MATCH($B1145,Drinks!$A$4:$A$53,0)),0))</f>
        <v/>
      </c>
      <c r="L1145" s="10" t="str">
        <f aca="false">IF($B1145="","",$J1145+$K1145)</f>
        <v/>
      </c>
      <c r="M1145" s="9"/>
      <c r="N1145" s="10" t="str">
        <f aca="false">IF($B1145="","",$L1145-$M1145)</f>
        <v/>
      </c>
      <c r="O1145" s="10" t="str">
        <f aca="false">IF($B1145="","",IFERROR(INDEX(Drinks!$E$4:$E$53,MATCH($B1145,Drinks!$A$4:$A$53,0)),0))</f>
        <v/>
      </c>
      <c r="P1145" s="10" t="str">
        <f aca="false">IF($B1145="","",$N1145*$O1145)</f>
        <v/>
      </c>
      <c r="Q1145" s="10" t="str">
        <f aca="false">IF($B1145="","",$N1145*IFERROR(INDEX(Drinks!$D$4:$D$53,MATCH($B1145,Drinks!$A$4:$A$53,0)),0))</f>
        <v/>
      </c>
      <c r="R1145" s="10" t="str">
        <f aca="false">IF($B1145="","",$P1145-$Q1145)</f>
        <v/>
      </c>
      <c r="S1145" s="23" t="str">
        <f aca="false">IF($B1145="","",IF(COUNTIFS($A$4:$A$2003,$A1145-1,$B$4:$B$2003,$B1145)=0,"first day",IF(SUMIFS($M$4:$M$2003,$A$4:$A$2003,$A1145-1,$B$4:$B$2003,$B1145)=$J1145,"OK","CHECK")))</f>
        <v/>
      </c>
      <c r="T1145" s="10" t="str">
        <f aca="false">IF($B1145="","",IFERROR(INDEX(Drinks!$D$4:$D$53,MATCH($B1145,Drinks!$A$4:$A$53,0)),0))</f>
        <v/>
      </c>
    </row>
    <row r="1146" customFormat="false" ht="15" hidden="false" customHeight="false" outlineLevel="0" collapsed="false">
      <c r="A1146" s="22"/>
      <c r="B1146" s="9"/>
      <c r="C1146" s="9"/>
      <c r="D1146" s="9"/>
      <c r="E1146" s="9"/>
      <c r="F1146" s="10" t="str">
        <f aca="false">IF($B1146="","",$C1146+$D1146-$E1146)</f>
        <v/>
      </c>
      <c r="G1146" s="10" t="str">
        <f aca="false">IF($B1146="","",IFERROR(INDEX(Drinks!$C$4:$C$53,MATCH($B1146,Drinks!$A$4:$A$53,0)),0))</f>
        <v/>
      </c>
      <c r="H1146" s="10" t="str">
        <f aca="false">IF($B1146="","",$D1146*$G1146)</f>
        <v/>
      </c>
      <c r="I1146" s="10" t="str">
        <f aca="false">IF($B1146="","",$F1146*$G1146)</f>
        <v/>
      </c>
      <c r="J1146" s="9"/>
      <c r="K1146" s="10" t="str">
        <f aca="false">IF($B1146="","",$E1146*IFERROR(INDEX(Drinks!$B$4:$B$53,MATCH($B1146,Drinks!$A$4:$A$53,0)),0))</f>
        <v/>
      </c>
      <c r="L1146" s="10" t="str">
        <f aca="false">IF($B1146="","",$J1146+$K1146)</f>
        <v/>
      </c>
      <c r="M1146" s="9"/>
      <c r="N1146" s="10" t="str">
        <f aca="false">IF($B1146="","",$L1146-$M1146)</f>
        <v/>
      </c>
      <c r="O1146" s="10" t="str">
        <f aca="false">IF($B1146="","",IFERROR(INDEX(Drinks!$E$4:$E$53,MATCH($B1146,Drinks!$A$4:$A$53,0)),0))</f>
        <v/>
      </c>
      <c r="P1146" s="10" t="str">
        <f aca="false">IF($B1146="","",$N1146*$O1146)</f>
        <v/>
      </c>
      <c r="Q1146" s="10" t="str">
        <f aca="false">IF($B1146="","",$N1146*IFERROR(INDEX(Drinks!$D$4:$D$53,MATCH($B1146,Drinks!$A$4:$A$53,0)),0))</f>
        <v/>
      </c>
      <c r="R1146" s="10" t="str">
        <f aca="false">IF($B1146="","",$P1146-$Q1146)</f>
        <v/>
      </c>
      <c r="S1146" s="23" t="str">
        <f aca="false">IF($B1146="","",IF(COUNTIFS($A$4:$A$2003,$A1146-1,$B$4:$B$2003,$B1146)=0,"first day",IF(SUMIFS($M$4:$M$2003,$A$4:$A$2003,$A1146-1,$B$4:$B$2003,$B1146)=$J1146,"OK","CHECK")))</f>
        <v/>
      </c>
      <c r="T1146" s="10" t="str">
        <f aca="false">IF($B1146="","",IFERROR(INDEX(Drinks!$D$4:$D$53,MATCH($B1146,Drinks!$A$4:$A$53,0)),0))</f>
        <v/>
      </c>
    </row>
    <row r="1147" customFormat="false" ht="15" hidden="false" customHeight="false" outlineLevel="0" collapsed="false">
      <c r="A1147" s="22"/>
      <c r="B1147" s="9"/>
      <c r="C1147" s="9"/>
      <c r="D1147" s="9"/>
      <c r="E1147" s="9"/>
      <c r="F1147" s="10" t="str">
        <f aca="false">IF($B1147="","",$C1147+$D1147-$E1147)</f>
        <v/>
      </c>
      <c r="G1147" s="10" t="str">
        <f aca="false">IF($B1147="","",IFERROR(INDEX(Drinks!$C$4:$C$53,MATCH($B1147,Drinks!$A$4:$A$53,0)),0))</f>
        <v/>
      </c>
      <c r="H1147" s="10" t="str">
        <f aca="false">IF($B1147="","",$D1147*$G1147)</f>
        <v/>
      </c>
      <c r="I1147" s="10" t="str">
        <f aca="false">IF($B1147="","",$F1147*$G1147)</f>
        <v/>
      </c>
      <c r="J1147" s="9"/>
      <c r="K1147" s="10" t="str">
        <f aca="false">IF($B1147="","",$E1147*IFERROR(INDEX(Drinks!$B$4:$B$53,MATCH($B1147,Drinks!$A$4:$A$53,0)),0))</f>
        <v/>
      </c>
      <c r="L1147" s="10" t="str">
        <f aca="false">IF($B1147="","",$J1147+$K1147)</f>
        <v/>
      </c>
      <c r="M1147" s="9"/>
      <c r="N1147" s="10" t="str">
        <f aca="false">IF($B1147="","",$L1147-$M1147)</f>
        <v/>
      </c>
      <c r="O1147" s="10" t="str">
        <f aca="false">IF($B1147="","",IFERROR(INDEX(Drinks!$E$4:$E$53,MATCH($B1147,Drinks!$A$4:$A$53,0)),0))</f>
        <v/>
      </c>
      <c r="P1147" s="10" t="str">
        <f aca="false">IF($B1147="","",$N1147*$O1147)</f>
        <v/>
      </c>
      <c r="Q1147" s="10" t="str">
        <f aca="false">IF($B1147="","",$N1147*IFERROR(INDEX(Drinks!$D$4:$D$53,MATCH($B1147,Drinks!$A$4:$A$53,0)),0))</f>
        <v/>
      </c>
      <c r="R1147" s="10" t="str">
        <f aca="false">IF($B1147="","",$P1147-$Q1147)</f>
        <v/>
      </c>
      <c r="S1147" s="23" t="str">
        <f aca="false">IF($B1147="","",IF(COUNTIFS($A$4:$A$2003,$A1147-1,$B$4:$B$2003,$B1147)=0,"first day",IF(SUMIFS($M$4:$M$2003,$A$4:$A$2003,$A1147-1,$B$4:$B$2003,$B1147)=$J1147,"OK","CHECK")))</f>
        <v/>
      </c>
      <c r="T1147" s="10" t="str">
        <f aca="false">IF($B1147="","",IFERROR(INDEX(Drinks!$D$4:$D$53,MATCH($B1147,Drinks!$A$4:$A$53,0)),0))</f>
        <v/>
      </c>
    </row>
    <row r="1148" customFormat="false" ht="15" hidden="false" customHeight="false" outlineLevel="0" collapsed="false">
      <c r="A1148" s="22"/>
      <c r="B1148" s="9"/>
      <c r="C1148" s="9"/>
      <c r="D1148" s="9"/>
      <c r="E1148" s="9"/>
      <c r="F1148" s="10" t="str">
        <f aca="false">IF($B1148="","",$C1148+$D1148-$E1148)</f>
        <v/>
      </c>
      <c r="G1148" s="10" t="str">
        <f aca="false">IF($B1148="","",IFERROR(INDEX(Drinks!$C$4:$C$53,MATCH($B1148,Drinks!$A$4:$A$53,0)),0))</f>
        <v/>
      </c>
      <c r="H1148" s="10" t="str">
        <f aca="false">IF($B1148="","",$D1148*$G1148)</f>
        <v/>
      </c>
      <c r="I1148" s="10" t="str">
        <f aca="false">IF($B1148="","",$F1148*$G1148)</f>
        <v/>
      </c>
      <c r="J1148" s="9"/>
      <c r="K1148" s="10" t="str">
        <f aca="false">IF($B1148="","",$E1148*IFERROR(INDEX(Drinks!$B$4:$B$53,MATCH($B1148,Drinks!$A$4:$A$53,0)),0))</f>
        <v/>
      </c>
      <c r="L1148" s="10" t="str">
        <f aca="false">IF($B1148="","",$J1148+$K1148)</f>
        <v/>
      </c>
      <c r="M1148" s="9"/>
      <c r="N1148" s="10" t="str">
        <f aca="false">IF($B1148="","",$L1148-$M1148)</f>
        <v/>
      </c>
      <c r="O1148" s="10" t="str">
        <f aca="false">IF($B1148="","",IFERROR(INDEX(Drinks!$E$4:$E$53,MATCH($B1148,Drinks!$A$4:$A$53,0)),0))</f>
        <v/>
      </c>
      <c r="P1148" s="10" t="str">
        <f aca="false">IF($B1148="","",$N1148*$O1148)</f>
        <v/>
      </c>
      <c r="Q1148" s="10" t="str">
        <f aca="false">IF($B1148="","",$N1148*IFERROR(INDEX(Drinks!$D$4:$D$53,MATCH($B1148,Drinks!$A$4:$A$53,0)),0))</f>
        <v/>
      </c>
      <c r="R1148" s="10" t="str">
        <f aca="false">IF($B1148="","",$P1148-$Q1148)</f>
        <v/>
      </c>
      <c r="S1148" s="23" t="str">
        <f aca="false">IF($B1148="","",IF(COUNTIFS($A$4:$A$2003,$A1148-1,$B$4:$B$2003,$B1148)=0,"first day",IF(SUMIFS($M$4:$M$2003,$A$4:$A$2003,$A1148-1,$B$4:$B$2003,$B1148)=$J1148,"OK","CHECK")))</f>
        <v/>
      </c>
      <c r="T1148" s="10" t="str">
        <f aca="false">IF($B1148="","",IFERROR(INDEX(Drinks!$D$4:$D$53,MATCH($B1148,Drinks!$A$4:$A$53,0)),0))</f>
        <v/>
      </c>
    </row>
    <row r="1149" customFormat="false" ht="15" hidden="false" customHeight="false" outlineLevel="0" collapsed="false">
      <c r="A1149" s="22"/>
      <c r="B1149" s="9"/>
      <c r="C1149" s="9"/>
      <c r="D1149" s="9"/>
      <c r="E1149" s="9"/>
      <c r="F1149" s="10" t="str">
        <f aca="false">IF($B1149="","",$C1149+$D1149-$E1149)</f>
        <v/>
      </c>
      <c r="G1149" s="10" t="str">
        <f aca="false">IF($B1149="","",IFERROR(INDEX(Drinks!$C$4:$C$53,MATCH($B1149,Drinks!$A$4:$A$53,0)),0))</f>
        <v/>
      </c>
      <c r="H1149" s="10" t="str">
        <f aca="false">IF($B1149="","",$D1149*$G1149)</f>
        <v/>
      </c>
      <c r="I1149" s="10" t="str">
        <f aca="false">IF($B1149="","",$F1149*$G1149)</f>
        <v/>
      </c>
      <c r="J1149" s="9"/>
      <c r="K1149" s="10" t="str">
        <f aca="false">IF($B1149="","",$E1149*IFERROR(INDEX(Drinks!$B$4:$B$53,MATCH($B1149,Drinks!$A$4:$A$53,0)),0))</f>
        <v/>
      </c>
      <c r="L1149" s="10" t="str">
        <f aca="false">IF($B1149="","",$J1149+$K1149)</f>
        <v/>
      </c>
      <c r="M1149" s="9"/>
      <c r="N1149" s="10" t="str">
        <f aca="false">IF($B1149="","",$L1149-$M1149)</f>
        <v/>
      </c>
      <c r="O1149" s="10" t="str">
        <f aca="false">IF($B1149="","",IFERROR(INDEX(Drinks!$E$4:$E$53,MATCH($B1149,Drinks!$A$4:$A$53,0)),0))</f>
        <v/>
      </c>
      <c r="P1149" s="10" t="str">
        <f aca="false">IF($B1149="","",$N1149*$O1149)</f>
        <v/>
      </c>
      <c r="Q1149" s="10" t="str">
        <f aca="false">IF($B1149="","",$N1149*IFERROR(INDEX(Drinks!$D$4:$D$53,MATCH($B1149,Drinks!$A$4:$A$53,0)),0))</f>
        <v/>
      </c>
      <c r="R1149" s="10" t="str">
        <f aca="false">IF($B1149="","",$P1149-$Q1149)</f>
        <v/>
      </c>
      <c r="S1149" s="23" t="str">
        <f aca="false">IF($B1149="","",IF(COUNTIFS($A$4:$A$2003,$A1149-1,$B$4:$B$2003,$B1149)=0,"first day",IF(SUMIFS($M$4:$M$2003,$A$4:$A$2003,$A1149-1,$B$4:$B$2003,$B1149)=$J1149,"OK","CHECK")))</f>
        <v/>
      </c>
      <c r="T1149" s="10" t="str">
        <f aca="false">IF($B1149="","",IFERROR(INDEX(Drinks!$D$4:$D$53,MATCH($B1149,Drinks!$A$4:$A$53,0)),0))</f>
        <v/>
      </c>
    </row>
    <row r="1150" customFormat="false" ht="15" hidden="false" customHeight="false" outlineLevel="0" collapsed="false">
      <c r="A1150" s="22"/>
      <c r="B1150" s="9"/>
      <c r="C1150" s="9"/>
      <c r="D1150" s="9"/>
      <c r="E1150" s="9"/>
      <c r="F1150" s="10" t="str">
        <f aca="false">IF($B1150="","",$C1150+$D1150-$E1150)</f>
        <v/>
      </c>
      <c r="G1150" s="10" t="str">
        <f aca="false">IF($B1150="","",IFERROR(INDEX(Drinks!$C$4:$C$53,MATCH($B1150,Drinks!$A$4:$A$53,0)),0))</f>
        <v/>
      </c>
      <c r="H1150" s="10" t="str">
        <f aca="false">IF($B1150="","",$D1150*$G1150)</f>
        <v/>
      </c>
      <c r="I1150" s="10" t="str">
        <f aca="false">IF($B1150="","",$F1150*$G1150)</f>
        <v/>
      </c>
      <c r="J1150" s="9"/>
      <c r="K1150" s="10" t="str">
        <f aca="false">IF($B1150="","",$E1150*IFERROR(INDEX(Drinks!$B$4:$B$53,MATCH($B1150,Drinks!$A$4:$A$53,0)),0))</f>
        <v/>
      </c>
      <c r="L1150" s="10" t="str">
        <f aca="false">IF($B1150="","",$J1150+$K1150)</f>
        <v/>
      </c>
      <c r="M1150" s="9"/>
      <c r="N1150" s="10" t="str">
        <f aca="false">IF($B1150="","",$L1150-$M1150)</f>
        <v/>
      </c>
      <c r="O1150" s="10" t="str">
        <f aca="false">IF($B1150="","",IFERROR(INDEX(Drinks!$E$4:$E$53,MATCH($B1150,Drinks!$A$4:$A$53,0)),0))</f>
        <v/>
      </c>
      <c r="P1150" s="10" t="str">
        <f aca="false">IF($B1150="","",$N1150*$O1150)</f>
        <v/>
      </c>
      <c r="Q1150" s="10" t="str">
        <f aca="false">IF($B1150="","",$N1150*IFERROR(INDEX(Drinks!$D$4:$D$53,MATCH($B1150,Drinks!$A$4:$A$53,0)),0))</f>
        <v/>
      </c>
      <c r="R1150" s="10" t="str">
        <f aca="false">IF($B1150="","",$P1150-$Q1150)</f>
        <v/>
      </c>
      <c r="S1150" s="23" t="str">
        <f aca="false">IF($B1150="","",IF(COUNTIFS($A$4:$A$2003,$A1150-1,$B$4:$B$2003,$B1150)=0,"first day",IF(SUMIFS($M$4:$M$2003,$A$4:$A$2003,$A1150-1,$B$4:$B$2003,$B1150)=$J1150,"OK","CHECK")))</f>
        <v/>
      </c>
      <c r="T1150" s="10" t="str">
        <f aca="false">IF($B1150="","",IFERROR(INDEX(Drinks!$D$4:$D$53,MATCH($B1150,Drinks!$A$4:$A$53,0)),0))</f>
        <v/>
      </c>
    </row>
    <row r="1151" customFormat="false" ht="15" hidden="false" customHeight="false" outlineLevel="0" collapsed="false">
      <c r="A1151" s="22"/>
      <c r="B1151" s="9"/>
      <c r="C1151" s="9"/>
      <c r="D1151" s="9"/>
      <c r="E1151" s="9"/>
      <c r="F1151" s="10" t="str">
        <f aca="false">IF($B1151="","",$C1151+$D1151-$E1151)</f>
        <v/>
      </c>
      <c r="G1151" s="10" t="str">
        <f aca="false">IF($B1151="","",IFERROR(INDEX(Drinks!$C$4:$C$53,MATCH($B1151,Drinks!$A$4:$A$53,0)),0))</f>
        <v/>
      </c>
      <c r="H1151" s="10" t="str">
        <f aca="false">IF($B1151="","",$D1151*$G1151)</f>
        <v/>
      </c>
      <c r="I1151" s="10" t="str">
        <f aca="false">IF($B1151="","",$F1151*$G1151)</f>
        <v/>
      </c>
      <c r="J1151" s="9"/>
      <c r="K1151" s="10" t="str">
        <f aca="false">IF($B1151="","",$E1151*IFERROR(INDEX(Drinks!$B$4:$B$53,MATCH($B1151,Drinks!$A$4:$A$53,0)),0))</f>
        <v/>
      </c>
      <c r="L1151" s="10" t="str">
        <f aca="false">IF($B1151="","",$J1151+$K1151)</f>
        <v/>
      </c>
      <c r="M1151" s="9"/>
      <c r="N1151" s="10" t="str">
        <f aca="false">IF($B1151="","",$L1151-$M1151)</f>
        <v/>
      </c>
      <c r="O1151" s="10" t="str">
        <f aca="false">IF($B1151="","",IFERROR(INDEX(Drinks!$E$4:$E$53,MATCH($B1151,Drinks!$A$4:$A$53,0)),0))</f>
        <v/>
      </c>
      <c r="P1151" s="10" t="str">
        <f aca="false">IF($B1151="","",$N1151*$O1151)</f>
        <v/>
      </c>
      <c r="Q1151" s="10" t="str">
        <f aca="false">IF($B1151="","",$N1151*IFERROR(INDEX(Drinks!$D$4:$D$53,MATCH($B1151,Drinks!$A$4:$A$53,0)),0))</f>
        <v/>
      </c>
      <c r="R1151" s="10" t="str">
        <f aca="false">IF($B1151="","",$P1151-$Q1151)</f>
        <v/>
      </c>
      <c r="S1151" s="23" t="str">
        <f aca="false">IF($B1151="","",IF(COUNTIFS($A$4:$A$2003,$A1151-1,$B$4:$B$2003,$B1151)=0,"first day",IF(SUMIFS($M$4:$M$2003,$A$4:$A$2003,$A1151-1,$B$4:$B$2003,$B1151)=$J1151,"OK","CHECK")))</f>
        <v/>
      </c>
      <c r="T1151" s="10" t="str">
        <f aca="false">IF($B1151="","",IFERROR(INDEX(Drinks!$D$4:$D$53,MATCH($B1151,Drinks!$A$4:$A$53,0)),0))</f>
        <v/>
      </c>
    </row>
    <row r="1152" customFormat="false" ht="15" hidden="false" customHeight="false" outlineLevel="0" collapsed="false">
      <c r="A1152" s="22"/>
      <c r="B1152" s="9"/>
      <c r="C1152" s="9"/>
      <c r="D1152" s="9"/>
      <c r="E1152" s="9"/>
      <c r="F1152" s="10" t="str">
        <f aca="false">IF($B1152="","",$C1152+$D1152-$E1152)</f>
        <v/>
      </c>
      <c r="G1152" s="10" t="str">
        <f aca="false">IF($B1152="","",IFERROR(INDEX(Drinks!$C$4:$C$53,MATCH($B1152,Drinks!$A$4:$A$53,0)),0))</f>
        <v/>
      </c>
      <c r="H1152" s="10" t="str">
        <f aca="false">IF($B1152="","",$D1152*$G1152)</f>
        <v/>
      </c>
      <c r="I1152" s="10" t="str">
        <f aca="false">IF($B1152="","",$F1152*$G1152)</f>
        <v/>
      </c>
      <c r="J1152" s="9"/>
      <c r="K1152" s="10" t="str">
        <f aca="false">IF($B1152="","",$E1152*IFERROR(INDEX(Drinks!$B$4:$B$53,MATCH($B1152,Drinks!$A$4:$A$53,0)),0))</f>
        <v/>
      </c>
      <c r="L1152" s="10" t="str">
        <f aca="false">IF($B1152="","",$J1152+$K1152)</f>
        <v/>
      </c>
      <c r="M1152" s="9"/>
      <c r="N1152" s="10" t="str">
        <f aca="false">IF($B1152="","",$L1152-$M1152)</f>
        <v/>
      </c>
      <c r="O1152" s="10" t="str">
        <f aca="false">IF($B1152="","",IFERROR(INDEX(Drinks!$E$4:$E$53,MATCH($B1152,Drinks!$A$4:$A$53,0)),0))</f>
        <v/>
      </c>
      <c r="P1152" s="10" t="str">
        <f aca="false">IF($B1152="","",$N1152*$O1152)</f>
        <v/>
      </c>
      <c r="Q1152" s="10" t="str">
        <f aca="false">IF($B1152="","",$N1152*IFERROR(INDEX(Drinks!$D$4:$D$53,MATCH($B1152,Drinks!$A$4:$A$53,0)),0))</f>
        <v/>
      </c>
      <c r="R1152" s="10" t="str">
        <f aca="false">IF($B1152="","",$P1152-$Q1152)</f>
        <v/>
      </c>
      <c r="S1152" s="23" t="str">
        <f aca="false">IF($B1152="","",IF(COUNTIFS($A$4:$A$2003,$A1152-1,$B$4:$B$2003,$B1152)=0,"first day",IF(SUMIFS($M$4:$M$2003,$A$4:$A$2003,$A1152-1,$B$4:$B$2003,$B1152)=$J1152,"OK","CHECK")))</f>
        <v/>
      </c>
      <c r="T1152" s="10" t="str">
        <f aca="false">IF($B1152="","",IFERROR(INDEX(Drinks!$D$4:$D$53,MATCH($B1152,Drinks!$A$4:$A$53,0)),0))</f>
        <v/>
      </c>
    </row>
    <row r="1153" customFormat="false" ht="15" hidden="false" customHeight="false" outlineLevel="0" collapsed="false">
      <c r="A1153" s="22"/>
      <c r="B1153" s="9"/>
      <c r="C1153" s="9"/>
      <c r="D1153" s="9"/>
      <c r="E1153" s="9"/>
      <c r="F1153" s="10" t="str">
        <f aca="false">IF($B1153="","",$C1153+$D1153-$E1153)</f>
        <v/>
      </c>
      <c r="G1153" s="10" t="str">
        <f aca="false">IF($B1153="","",IFERROR(INDEX(Drinks!$C$4:$C$53,MATCH($B1153,Drinks!$A$4:$A$53,0)),0))</f>
        <v/>
      </c>
      <c r="H1153" s="10" t="str">
        <f aca="false">IF($B1153="","",$D1153*$G1153)</f>
        <v/>
      </c>
      <c r="I1153" s="10" t="str">
        <f aca="false">IF($B1153="","",$F1153*$G1153)</f>
        <v/>
      </c>
      <c r="J1153" s="9"/>
      <c r="K1153" s="10" t="str">
        <f aca="false">IF($B1153="","",$E1153*IFERROR(INDEX(Drinks!$B$4:$B$53,MATCH($B1153,Drinks!$A$4:$A$53,0)),0))</f>
        <v/>
      </c>
      <c r="L1153" s="10" t="str">
        <f aca="false">IF($B1153="","",$J1153+$K1153)</f>
        <v/>
      </c>
      <c r="M1153" s="9"/>
      <c r="N1153" s="10" t="str">
        <f aca="false">IF($B1153="","",$L1153-$M1153)</f>
        <v/>
      </c>
      <c r="O1153" s="10" t="str">
        <f aca="false">IF($B1153="","",IFERROR(INDEX(Drinks!$E$4:$E$53,MATCH($B1153,Drinks!$A$4:$A$53,0)),0))</f>
        <v/>
      </c>
      <c r="P1153" s="10" t="str">
        <f aca="false">IF($B1153="","",$N1153*$O1153)</f>
        <v/>
      </c>
      <c r="Q1153" s="10" t="str">
        <f aca="false">IF($B1153="","",$N1153*IFERROR(INDEX(Drinks!$D$4:$D$53,MATCH($B1153,Drinks!$A$4:$A$53,0)),0))</f>
        <v/>
      </c>
      <c r="R1153" s="10" t="str">
        <f aca="false">IF($B1153="","",$P1153-$Q1153)</f>
        <v/>
      </c>
      <c r="S1153" s="23" t="str">
        <f aca="false">IF($B1153="","",IF(COUNTIFS($A$4:$A$2003,$A1153-1,$B$4:$B$2003,$B1153)=0,"first day",IF(SUMIFS($M$4:$M$2003,$A$4:$A$2003,$A1153-1,$B$4:$B$2003,$B1153)=$J1153,"OK","CHECK")))</f>
        <v/>
      </c>
      <c r="T1153" s="10" t="str">
        <f aca="false">IF($B1153="","",IFERROR(INDEX(Drinks!$D$4:$D$53,MATCH($B1153,Drinks!$A$4:$A$53,0)),0))</f>
        <v/>
      </c>
    </row>
    <row r="1154" customFormat="false" ht="15" hidden="false" customHeight="false" outlineLevel="0" collapsed="false">
      <c r="A1154" s="22"/>
      <c r="B1154" s="9"/>
      <c r="C1154" s="9"/>
      <c r="D1154" s="9"/>
      <c r="E1154" s="9"/>
      <c r="F1154" s="10" t="str">
        <f aca="false">IF($B1154="","",$C1154+$D1154-$E1154)</f>
        <v/>
      </c>
      <c r="G1154" s="10" t="str">
        <f aca="false">IF($B1154="","",IFERROR(INDEX(Drinks!$C$4:$C$53,MATCH($B1154,Drinks!$A$4:$A$53,0)),0))</f>
        <v/>
      </c>
      <c r="H1154" s="10" t="str">
        <f aca="false">IF($B1154="","",$D1154*$G1154)</f>
        <v/>
      </c>
      <c r="I1154" s="10" t="str">
        <f aca="false">IF($B1154="","",$F1154*$G1154)</f>
        <v/>
      </c>
      <c r="J1154" s="9"/>
      <c r="K1154" s="10" t="str">
        <f aca="false">IF($B1154="","",$E1154*IFERROR(INDEX(Drinks!$B$4:$B$53,MATCH($B1154,Drinks!$A$4:$A$53,0)),0))</f>
        <v/>
      </c>
      <c r="L1154" s="10" t="str">
        <f aca="false">IF($B1154="","",$J1154+$K1154)</f>
        <v/>
      </c>
      <c r="M1154" s="9"/>
      <c r="N1154" s="10" t="str">
        <f aca="false">IF($B1154="","",$L1154-$M1154)</f>
        <v/>
      </c>
      <c r="O1154" s="10" t="str">
        <f aca="false">IF($B1154="","",IFERROR(INDEX(Drinks!$E$4:$E$53,MATCH($B1154,Drinks!$A$4:$A$53,0)),0))</f>
        <v/>
      </c>
      <c r="P1154" s="10" t="str">
        <f aca="false">IF($B1154="","",$N1154*$O1154)</f>
        <v/>
      </c>
      <c r="Q1154" s="10" t="str">
        <f aca="false">IF($B1154="","",$N1154*IFERROR(INDEX(Drinks!$D$4:$D$53,MATCH($B1154,Drinks!$A$4:$A$53,0)),0))</f>
        <v/>
      </c>
      <c r="R1154" s="10" t="str">
        <f aca="false">IF($B1154="","",$P1154-$Q1154)</f>
        <v/>
      </c>
      <c r="S1154" s="23" t="str">
        <f aca="false">IF($B1154="","",IF(COUNTIFS($A$4:$A$2003,$A1154-1,$B$4:$B$2003,$B1154)=0,"first day",IF(SUMIFS($M$4:$M$2003,$A$4:$A$2003,$A1154-1,$B$4:$B$2003,$B1154)=$J1154,"OK","CHECK")))</f>
        <v/>
      </c>
      <c r="T1154" s="10" t="str">
        <f aca="false">IF($B1154="","",IFERROR(INDEX(Drinks!$D$4:$D$53,MATCH($B1154,Drinks!$A$4:$A$53,0)),0))</f>
        <v/>
      </c>
    </row>
    <row r="1155" customFormat="false" ht="15" hidden="false" customHeight="false" outlineLevel="0" collapsed="false">
      <c r="A1155" s="22"/>
      <c r="B1155" s="9"/>
      <c r="C1155" s="9"/>
      <c r="D1155" s="9"/>
      <c r="E1155" s="9"/>
      <c r="F1155" s="10" t="str">
        <f aca="false">IF($B1155="","",$C1155+$D1155-$E1155)</f>
        <v/>
      </c>
      <c r="G1155" s="10" t="str">
        <f aca="false">IF($B1155="","",IFERROR(INDEX(Drinks!$C$4:$C$53,MATCH($B1155,Drinks!$A$4:$A$53,0)),0))</f>
        <v/>
      </c>
      <c r="H1155" s="10" t="str">
        <f aca="false">IF($B1155="","",$D1155*$G1155)</f>
        <v/>
      </c>
      <c r="I1155" s="10" t="str">
        <f aca="false">IF($B1155="","",$F1155*$G1155)</f>
        <v/>
      </c>
      <c r="J1155" s="9"/>
      <c r="K1155" s="10" t="str">
        <f aca="false">IF($B1155="","",$E1155*IFERROR(INDEX(Drinks!$B$4:$B$53,MATCH($B1155,Drinks!$A$4:$A$53,0)),0))</f>
        <v/>
      </c>
      <c r="L1155" s="10" t="str">
        <f aca="false">IF($B1155="","",$J1155+$K1155)</f>
        <v/>
      </c>
      <c r="M1155" s="9"/>
      <c r="N1155" s="10" t="str">
        <f aca="false">IF($B1155="","",$L1155-$M1155)</f>
        <v/>
      </c>
      <c r="O1155" s="10" t="str">
        <f aca="false">IF($B1155="","",IFERROR(INDEX(Drinks!$E$4:$E$53,MATCH($B1155,Drinks!$A$4:$A$53,0)),0))</f>
        <v/>
      </c>
      <c r="P1155" s="10" t="str">
        <f aca="false">IF($B1155="","",$N1155*$O1155)</f>
        <v/>
      </c>
      <c r="Q1155" s="10" t="str">
        <f aca="false">IF($B1155="","",$N1155*IFERROR(INDEX(Drinks!$D$4:$D$53,MATCH($B1155,Drinks!$A$4:$A$53,0)),0))</f>
        <v/>
      </c>
      <c r="R1155" s="10" t="str">
        <f aca="false">IF($B1155="","",$P1155-$Q1155)</f>
        <v/>
      </c>
      <c r="S1155" s="23" t="str">
        <f aca="false">IF($B1155="","",IF(COUNTIFS($A$4:$A$2003,$A1155-1,$B$4:$B$2003,$B1155)=0,"first day",IF(SUMIFS($M$4:$M$2003,$A$4:$A$2003,$A1155-1,$B$4:$B$2003,$B1155)=$J1155,"OK","CHECK")))</f>
        <v/>
      </c>
      <c r="T1155" s="10" t="str">
        <f aca="false">IF($B1155="","",IFERROR(INDEX(Drinks!$D$4:$D$53,MATCH($B1155,Drinks!$A$4:$A$53,0)),0))</f>
        <v/>
      </c>
    </row>
    <row r="1156" customFormat="false" ht="15" hidden="false" customHeight="false" outlineLevel="0" collapsed="false">
      <c r="A1156" s="22"/>
      <c r="B1156" s="9"/>
      <c r="C1156" s="9"/>
      <c r="D1156" s="9"/>
      <c r="E1156" s="9"/>
      <c r="F1156" s="10" t="str">
        <f aca="false">IF($B1156="","",$C1156+$D1156-$E1156)</f>
        <v/>
      </c>
      <c r="G1156" s="10" t="str">
        <f aca="false">IF($B1156="","",IFERROR(INDEX(Drinks!$C$4:$C$53,MATCH($B1156,Drinks!$A$4:$A$53,0)),0))</f>
        <v/>
      </c>
      <c r="H1156" s="10" t="str">
        <f aca="false">IF($B1156="","",$D1156*$G1156)</f>
        <v/>
      </c>
      <c r="I1156" s="10" t="str">
        <f aca="false">IF($B1156="","",$F1156*$G1156)</f>
        <v/>
      </c>
      <c r="J1156" s="9"/>
      <c r="K1156" s="10" t="str">
        <f aca="false">IF($B1156="","",$E1156*IFERROR(INDEX(Drinks!$B$4:$B$53,MATCH($B1156,Drinks!$A$4:$A$53,0)),0))</f>
        <v/>
      </c>
      <c r="L1156" s="10" t="str">
        <f aca="false">IF($B1156="","",$J1156+$K1156)</f>
        <v/>
      </c>
      <c r="M1156" s="9"/>
      <c r="N1156" s="10" t="str">
        <f aca="false">IF($B1156="","",$L1156-$M1156)</f>
        <v/>
      </c>
      <c r="O1156" s="10" t="str">
        <f aca="false">IF($B1156="","",IFERROR(INDEX(Drinks!$E$4:$E$53,MATCH($B1156,Drinks!$A$4:$A$53,0)),0))</f>
        <v/>
      </c>
      <c r="P1156" s="10" t="str">
        <f aca="false">IF($B1156="","",$N1156*$O1156)</f>
        <v/>
      </c>
      <c r="Q1156" s="10" t="str">
        <f aca="false">IF($B1156="","",$N1156*IFERROR(INDEX(Drinks!$D$4:$D$53,MATCH($B1156,Drinks!$A$4:$A$53,0)),0))</f>
        <v/>
      </c>
      <c r="R1156" s="10" t="str">
        <f aca="false">IF($B1156="","",$P1156-$Q1156)</f>
        <v/>
      </c>
      <c r="S1156" s="23" t="str">
        <f aca="false">IF($B1156="","",IF(COUNTIFS($A$4:$A$2003,$A1156-1,$B$4:$B$2003,$B1156)=0,"first day",IF(SUMIFS($M$4:$M$2003,$A$4:$A$2003,$A1156-1,$B$4:$B$2003,$B1156)=$J1156,"OK","CHECK")))</f>
        <v/>
      </c>
      <c r="T1156" s="10" t="str">
        <f aca="false">IF($B1156="","",IFERROR(INDEX(Drinks!$D$4:$D$53,MATCH($B1156,Drinks!$A$4:$A$53,0)),0))</f>
        <v/>
      </c>
    </row>
    <row r="1157" customFormat="false" ht="15" hidden="false" customHeight="false" outlineLevel="0" collapsed="false">
      <c r="A1157" s="22"/>
      <c r="B1157" s="9"/>
      <c r="C1157" s="9"/>
      <c r="D1157" s="9"/>
      <c r="E1157" s="9"/>
      <c r="F1157" s="10" t="str">
        <f aca="false">IF($B1157="","",$C1157+$D1157-$E1157)</f>
        <v/>
      </c>
      <c r="G1157" s="10" t="str">
        <f aca="false">IF($B1157="","",IFERROR(INDEX(Drinks!$C$4:$C$53,MATCH($B1157,Drinks!$A$4:$A$53,0)),0))</f>
        <v/>
      </c>
      <c r="H1157" s="10" t="str">
        <f aca="false">IF($B1157="","",$D1157*$G1157)</f>
        <v/>
      </c>
      <c r="I1157" s="10" t="str">
        <f aca="false">IF($B1157="","",$F1157*$G1157)</f>
        <v/>
      </c>
      <c r="J1157" s="9"/>
      <c r="K1157" s="10" t="str">
        <f aca="false">IF($B1157="","",$E1157*IFERROR(INDEX(Drinks!$B$4:$B$53,MATCH($B1157,Drinks!$A$4:$A$53,0)),0))</f>
        <v/>
      </c>
      <c r="L1157" s="10" t="str">
        <f aca="false">IF($B1157="","",$J1157+$K1157)</f>
        <v/>
      </c>
      <c r="M1157" s="9"/>
      <c r="N1157" s="10" t="str">
        <f aca="false">IF($B1157="","",$L1157-$M1157)</f>
        <v/>
      </c>
      <c r="O1157" s="10" t="str">
        <f aca="false">IF($B1157="","",IFERROR(INDEX(Drinks!$E$4:$E$53,MATCH($B1157,Drinks!$A$4:$A$53,0)),0))</f>
        <v/>
      </c>
      <c r="P1157" s="10" t="str">
        <f aca="false">IF($B1157="","",$N1157*$O1157)</f>
        <v/>
      </c>
      <c r="Q1157" s="10" t="str">
        <f aca="false">IF($B1157="","",$N1157*IFERROR(INDEX(Drinks!$D$4:$D$53,MATCH($B1157,Drinks!$A$4:$A$53,0)),0))</f>
        <v/>
      </c>
      <c r="R1157" s="10" t="str">
        <f aca="false">IF($B1157="","",$P1157-$Q1157)</f>
        <v/>
      </c>
      <c r="S1157" s="23" t="str">
        <f aca="false">IF($B1157="","",IF(COUNTIFS($A$4:$A$2003,$A1157-1,$B$4:$B$2003,$B1157)=0,"first day",IF(SUMIFS($M$4:$M$2003,$A$4:$A$2003,$A1157-1,$B$4:$B$2003,$B1157)=$J1157,"OK","CHECK")))</f>
        <v/>
      </c>
      <c r="T1157" s="10" t="str">
        <f aca="false">IF($B1157="","",IFERROR(INDEX(Drinks!$D$4:$D$53,MATCH($B1157,Drinks!$A$4:$A$53,0)),0))</f>
        <v/>
      </c>
    </row>
    <row r="1158" customFormat="false" ht="15" hidden="false" customHeight="false" outlineLevel="0" collapsed="false">
      <c r="A1158" s="22"/>
      <c r="B1158" s="9"/>
      <c r="C1158" s="9"/>
      <c r="D1158" s="9"/>
      <c r="E1158" s="9"/>
      <c r="F1158" s="10" t="str">
        <f aca="false">IF($B1158="","",$C1158+$D1158-$E1158)</f>
        <v/>
      </c>
      <c r="G1158" s="10" t="str">
        <f aca="false">IF($B1158="","",IFERROR(INDEX(Drinks!$C$4:$C$53,MATCH($B1158,Drinks!$A$4:$A$53,0)),0))</f>
        <v/>
      </c>
      <c r="H1158" s="10" t="str">
        <f aca="false">IF($B1158="","",$D1158*$G1158)</f>
        <v/>
      </c>
      <c r="I1158" s="10" t="str">
        <f aca="false">IF($B1158="","",$F1158*$G1158)</f>
        <v/>
      </c>
      <c r="J1158" s="9"/>
      <c r="K1158" s="10" t="str">
        <f aca="false">IF($B1158="","",$E1158*IFERROR(INDEX(Drinks!$B$4:$B$53,MATCH($B1158,Drinks!$A$4:$A$53,0)),0))</f>
        <v/>
      </c>
      <c r="L1158" s="10" t="str">
        <f aca="false">IF($B1158="","",$J1158+$K1158)</f>
        <v/>
      </c>
      <c r="M1158" s="9"/>
      <c r="N1158" s="10" t="str">
        <f aca="false">IF($B1158="","",$L1158-$M1158)</f>
        <v/>
      </c>
      <c r="O1158" s="10" t="str">
        <f aca="false">IF($B1158="","",IFERROR(INDEX(Drinks!$E$4:$E$53,MATCH($B1158,Drinks!$A$4:$A$53,0)),0))</f>
        <v/>
      </c>
      <c r="P1158" s="10" t="str">
        <f aca="false">IF($B1158="","",$N1158*$O1158)</f>
        <v/>
      </c>
      <c r="Q1158" s="10" t="str">
        <f aca="false">IF($B1158="","",$N1158*IFERROR(INDEX(Drinks!$D$4:$D$53,MATCH($B1158,Drinks!$A$4:$A$53,0)),0))</f>
        <v/>
      </c>
      <c r="R1158" s="10" t="str">
        <f aca="false">IF($B1158="","",$P1158-$Q1158)</f>
        <v/>
      </c>
      <c r="S1158" s="23" t="str">
        <f aca="false">IF($B1158="","",IF(COUNTIFS($A$4:$A$2003,$A1158-1,$B$4:$B$2003,$B1158)=0,"first day",IF(SUMIFS($M$4:$M$2003,$A$4:$A$2003,$A1158-1,$B$4:$B$2003,$B1158)=$J1158,"OK","CHECK")))</f>
        <v/>
      </c>
      <c r="T1158" s="10" t="str">
        <f aca="false">IF($B1158="","",IFERROR(INDEX(Drinks!$D$4:$D$53,MATCH($B1158,Drinks!$A$4:$A$53,0)),0))</f>
        <v/>
      </c>
    </row>
    <row r="1159" customFormat="false" ht="15" hidden="false" customHeight="false" outlineLevel="0" collapsed="false">
      <c r="A1159" s="22"/>
      <c r="B1159" s="9"/>
      <c r="C1159" s="9"/>
      <c r="D1159" s="9"/>
      <c r="E1159" s="9"/>
      <c r="F1159" s="10" t="str">
        <f aca="false">IF($B1159="","",$C1159+$D1159-$E1159)</f>
        <v/>
      </c>
      <c r="G1159" s="10" t="str">
        <f aca="false">IF($B1159="","",IFERROR(INDEX(Drinks!$C$4:$C$53,MATCH($B1159,Drinks!$A$4:$A$53,0)),0))</f>
        <v/>
      </c>
      <c r="H1159" s="10" t="str">
        <f aca="false">IF($B1159="","",$D1159*$G1159)</f>
        <v/>
      </c>
      <c r="I1159" s="10" t="str">
        <f aca="false">IF($B1159="","",$F1159*$G1159)</f>
        <v/>
      </c>
      <c r="J1159" s="9"/>
      <c r="K1159" s="10" t="str">
        <f aca="false">IF($B1159="","",$E1159*IFERROR(INDEX(Drinks!$B$4:$B$53,MATCH($B1159,Drinks!$A$4:$A$53,0)),0))</f>
        <v/>
      </c>
      <c r="L1159" s="10" t="str">
        <f aca="false">IF($B1159="","",$J1159+$K1159)</f>
        <v/>
      </c>
      <c r="M1159" s="9"/>
      <c r="N1159" s="10" t="str">
        <f aca="false">IF($B1159="","",$L1159-$M1159)</f>
        <v/>
      </c>
      <c r="O1159" s="10" t="str">
        <f aca="false">IF($B1159="","",IFERROR(INDEX(Drinks!$E$4:$E$53,MATCH($B1159,Drinks!$A$4:$A$53,0)),0))</f>
        <v/>
      </c>
      <c r="P1159" s="10" t="str">
        <f aca="false">IF($B1159="","",$N1159*$O1159)</f>
        <v/>
      </c>
      <c r="Q1159" s="10" t="str">
        <f aca="false">IF($B1159="","",$N1159*IFERROR(INDEX(Drinks!$D$4:$D$53,MATCH($B1159,Drinks!$A$4:$A$53,0)),0))</f>
        <v/>
      </c>
      <c r="R1159" s="10" t="str">
        <f aca="false">IF($B1159="","",$P1159-$Q1159)</f>
        <v/>
      </c>
      <c r="S1159" s="23" t="str">
        <f aca="false">IF($B1159="","",IF(COUNTIFS($A$4:$A$2003,$A1159-1,$B$4:$B$2003,$B1159)=0,"first day",IF(SUMIFS($M$4:$M$2003,$A$4:$A$2003,$A1159-1,$B$4:$B$2003,$B1159)=$J1159,"OK","CHECK")))</f>
        <v/>
      </c>
      <c r="T1159" s="10" t="str">
        <f aca="false">IF($B1159="","",IFERROR(INDEX(Drinks!$D$4:$D$53,MATCH($B1159,Drinks!$A$4:$A$53,0)),0))</f>
        <v/>
      </c>
    </row>
    <row r="1160" customFormat="false" ht="15" hidden="false" customHeight="false" outlineLevel="0" collapsed="false">
      <c r="A1160" s="22"/>
      <c r="B1160" s="9"/>
      <c r="C1160" s="9"/>
      <c r="D1160" s="9"/>
      <c r="E1160" s="9"/>
      <c r="F1160" s="10" t="str">
        <f aca="false">IF($B1160="","",$C1160+$D1160-$E1160)</f>
        <v/>
      </c>
      <c r="G1160" s="10" t="str">
        <f aca="false">IF($B1160="","",IFERROR(INDEX(Drinks!$C$4:$C$53,MATCH($B1160,Drinks!$A$4:$A$53,0)),0))</f>
        <v/>
      </c>
      <c r="H1160" s="10" t="str">
        <f aca="false">IF($B1160="","",$D1160*$G1160)</f>
        <v/>
      </c>
      <c r="I1160" s="10" t="str">
        <f aca="false">IF($B1160="","",$F1160*$G1160)</f>
        <v/>
      </c>
      <c r="J1160" s="9"/>
      <c r="K1160" s="10" t="str">
        <f aca="false">IF($B1160="","",$E1160*IFERROR(INDEX(Drinks!$B$4:$B$53,MATCH($B1160,Drinks!$A$4:$A$53,0)),0))</f>
        <v/>
      </c>
      <c r="L1160" s="10" t="str">
        <f aca="false">IF($B1160="","",$J1160+$K1160)</f>
        <v/>
      </c>
      <c r="M1160" s="9"/>
      <c r="N1160" s="10" t="str">
        <f aca="false">IF($B1160="","",$L1160-$M1160)</f>
        <v/>
      </c>
      <c r="O1160" s="10" t="str">
        <f aca="false">IF($B1160="","",IFERROR(INDEX(Drinks!$E$4:$E$53,MATCH($B1160,Drinks!$A$4:$A$53,0)),0))</f>
        <v/>
      </c>
      <c r="P1160" s="10" t="str">
        <f aca="false">IF($B1160="","",$N1160*$O1160)</f>
        <v/>
      </c>
      <c r="Q1160" s="10" t="str">
        <f aca="false">IF($B1160="","",$N1160*IFERROR(INDEX(Drinks!$D$4:$D$53,MATCH($B1160,Drinks!$A$4:$A$53,0)),0))</f>
        <v/>
      </c>
      <c r="R1160" s="10" t="str">
        <f aca="false">IF($B1160="","",$P1160-$Q1160)</f>
        <v/>
      </c>
      <c r="S1160" s="23" t="str">
        <f aca="false">IF($B1160="","",IF(COUNTIFS($A$4:$A$2003,$A1160-1,$B$4:$B$2003,$B1160)=0,"first day",IF(SUMIFS($M$4:$M$2003,$A$4:$A$2003,$A1160-1,$B$4:$B$2003,$B1160)=$J1160,"OK","CHECK")))</f>
        <v/>
      </c>
      <c r="T1160" s="10" t="str">
        <f aca="false">IF($B1160="","",IFERROR(INDEX(Drinks!$D$4:$D$53,MATCH($B1160,Drinks!$A$4:$A$53,0)),0))</f>
        <v/>
      </c>
    </row>
    <row r="1161" customFormat="false" ht="15" hidden="false" customHeight="false" outlineLevel="0" collapsed="false">
      <c r="A1161" s="22"/>
      <c r="B1161" s="9"/>
      <c r="C1161" s="9"/>
      <c r="D1161" s="9"/>
      <c r="E1161" s="9"/>
      <c r="F1161" s="10" t="str">
        <f aca="false">IF($B1161="","",$C1161+$D1161-$E1161)</f>
        <v/>
      </c>
      <c r="G1161" s="10" t="str">
        <f aca="false">IF($B1161="","",IFERROR(INDEX(Drinks!$C$4:$C$53,MATCH($B1161,Drinks!$A$4:$A$53,0)),0))</f>
        <v/>
      </c>
      <c r="H1161" s="10" t="str">
        <f aca="false">IF($B1161="","",$D1161*$G1161)</f>
        <v/>
      </c>
      <c r="I1161" s="10" t="str">
        <f aca="false">IF($B1161="","",$F1161*$G1161)</f>
        <v/>
      </c>
      <c r="J1161" s="9"/>
      <c r="K1161" s="10" t="str">
        <f aca="false">IF($B1161="","",$E1161*IFERROR(INDEX(Drinks!$B$4:$B$53,MATCH($B1161,Drinks!$A$4:$A$53,0)),0))</f>
        <v/>
      </c>
      <c r="L1161" s="10" t="str">
        <f aca="false">IF($B1161="","",$J1161+$K1161)</f>
        <v/>
      </c>
      <c r="M1161" s="9"/>
      <c r="N1161" s="10" t="str">
        <f aca="false">IF($B1161="","",$L1161-$M1161)</f>
        <v/>
      </c>
      <c r="O1161" s="10" t="str">
        <f aca="false">IF($B1161="","",IFERROR(INDEX(Drinks!$E$4:$E$53,MATCH($B1161,Drinks!$A$4:$A$53,0)),0))</f>
        <v/>
      </c>
      <c r="P1161" s="10" t="str">
        <f aca="false">IF($B1161="","",$N1161*$O1161)</f>
        <v/>
      </c>
      <c r="Q1161" s="10" t="str">
        <f aca="false">IF($B1161="","",$N1161*IFERROR(INDEX(Drinks!$D$4:$D$53,MATCH($B1161,Drinks!$A$4:$A$53,0)),0))</f>
        <v/>
      </c>
      <c r="R1161" s="10" t="str">
        <f aca="false">IF($B1161="","",$P1161-$Q1161)</f>
        <v/>
      </c>
      <c r="S1161" s="23" t="str">
        <f aca="false">IF($B1161="","",IF(COUNTIFS($A$4:$A$2003,$A1161-1,$B$4:$B$2003,$B1161)=0,"first day",IF(SUMIFS($M$4:$M$2003,$A$4:$A$2003,$A1161-1,$B$4:$B$2003,$B1161)=$J1161,"OK","CHECK")))</f>
        <v/>
      </c>
      <c r="T1161" s="10" t="str">
        <f aca="false">IF($B1161="","",IFERROR(INDEX(Drinks!$D$4:$D$53,MATCH($B1161,Drinks!$A$4:$A$53,0)),0))</f>
        <v/>
      </c>
    </row>
    <row r="1162" customFormat="false" ht="15" hidden="false" customHeight="false" outlineLevel="0" collapsed="false">
      <c r="A1162" s="22"/>
      <c r="B1162" s="9"/>
      <c r="C1162" s="9"/>
      <c r="D1162" s="9"/>
      <c r="E1162" s="9"/>
      <c r="F1162" s="10" t="str">
        <f aca="false">IF($B1162="","",$C1162+$D1162-$E1162)</f>
        <v/>
      </c>
      <c r="G1162" s="10" t="str">
        <f aca="false">IF($B1162="","",IFERROR(INDEX(Drinks!$C$4:$C$53,MATCH($B1162,Drinks!$A$4:$A$53,0)),0))</f>
        <v/>
      </c>
      <c r="H1162" s="10" t="str">
        <f aca="false">IF($B1162="","",$D1162*$G1162)</f>
        <v/>
      </c>
      <c r="I1162" s="10" t="str">
        <f aca="false">IF($B1162="","",$F1162*$G1162)</f>
        <v/>
      </c>
      <c r="J1162" s="9"/>
      <c r="K1162" s="10" t="str">
        <f aca="false">IF($B1162="","",$E1162*IFERROR(INDEX(Drinks!$B$4:$B$53,MATCH($B1162,Drinks!$A$4:$A$53,0)),0))</f>
        <v/>
      </c>
      <c r="L1162" s="10" t="str">
        <f aca="false">IF($B1162="","",$J1162+$K1162)</f>
        <v/>
      </c>
      <c r="M1162" s="9"/>
      <c r="N1162" s="10" t="str">
        <f aca="false">IF($B1162="","",$L1162-$M1162)</f>
        <v/>
      </c>
      <c r="O1162" s="10" t="str">
        <f aca="false">IF($B1162="","",IFERROR(INDEX(Drinks!$E$4:$E$53,MATCH($B1162,Drinks!$A$4:$A$53,0)),0))</f>
        <v/>
      </c>
      <c r="P1162" s="10" t="str">
        <f aca="false">IF($B1162="","",$N1162*$O1162)</f>
        <v/>
      </c>
      <c r="Q1162" s="10" t="str">
        <f aca="false">IF($B1162="","",$N1162*IFERROR(INDEX(Drinks!$D$4:$D$53,MATCH($B1162,Drinks!$A$4:$A$53,0)),0))</f>
        <v/>
      </c>
      <c r="R1162" s="10" t="str">
        <f aca="false">IF($B1162="","",$P1162-$Q1162)</f>
        <v/>
      </c>
      <c r="S1162" s="23" t="str">
        <f aca="false">IF($B1162="","",IF(COUNTIFS($A$4:$A$2003,$A1162-1,$B$4:$B$2003,$B1162)=0,"first day",IF(SUMIFS($M$4:$M$2003,$A$4:$A$2003,$A1162-1,$B$4:$B$2003,$B1162)=$J1162,"OK","CHECK")))</f>
        <v/>
      </c>
      <c r="T1162" s="10" t="str">
        <f aca="false">IF($B1162="","",IFERROR(INDEX(Drinks!$D$4:$D$53,MATCH($B1162,Drinks!$A$4:$A$53,0)),0))</f>
        <v/>
      </c>
    </row>
    <row r="1163" customFormat="false" ht="15" hidden="false" customHeight="false" outlineLevel="0" collapsed="false">
      <c r="A1163" s="22"/>
      <c r="B1163" s="9"/>
      <c r="C1163" s="9"/>
      <c r="D1163" s="9"/>
      <c r="E1163" s="9"/>
      <c r="F1163" s="10" t="str">
        <f aca="false">IF($B1163="","",$C1163+$D1163-$E1163)</f>
        <v/>
      </c>
      <c r="G1163" s="10" t="str">
        <f aca="false">IF($B1163="","",IFERROR(INDEX(Drinks!$C$4:$C$53,MATCH($B1163,Drinks!$A$4:$A$53,0)),0))</f>
        <v/>
      </c>
      <c r="H1163" s="10" t="str">
        <f aca="false">IF($B1163="","",$D1163*$G1163)</f>
        <v/>
      </c>
      <c r="I1163" s="10" t="str">
        <f aca="false">IF($B1163="","",$F1163*$G1163)</f>
        <v/>
      </c>
      <c r="J1163" s="9"/>
      <c r="K1163" s="10" t="str">
        <f aca="false">IF($B1163="","",$E1163*IFERROR(INDEX(Drinks!$B$4:$B$53,MATCH($B1163,Drinks!$A$4:$A$53,0)),0))</f>
        <v/>
      </c>
      <c r="L1163" s="10" t="str">
        <f aca="false">IF($B1163="","",$J1163+$K1163)</f>
        <v/>
      </c>
      <c r="M1163" s="9"/>
      <c r="N1163" s="10" t="str">
        <f aca="false">IF($B1163="","",$L1163-$M1163)</f>
        <v/>
      </c>
      <c r="O1163" s="10" t="str">
        <f aca="false">IF($B1163="","",IFERROR(INDEX(Drinks!$E$4:$E$53,MATCH($B1163,Drinks!$A$4:$A$53,0)),0))</f>
        <v/>
      </c>
      <c r="P1163" s="10" t="str">
        <f aca="false">IF($B1163="","",$N1163*$O1163)</f>
        <v/>
      </c>
      <c r="Q1163" s="10" t="str">
        <f aca="false">IF($B1163="","",$N1163*IFERROR(INDEX(Drinks!$D$4:$D$53,MATCH($B1163,Drinks!$A$4:$A$53,0)),0))</f>
        <v/>
      </c>
      <c r="R1163" s="10" t="str">
        <f aca="false">IF($B1163="","",$P1163-$Q1163)</f>
        <v/>
      </c>
      <c r="S1163" s="23" t="str">
        <f aca="false">IF($B1163="","",IF(COUNTIFS($A$4:$A$2003,$A1163-1,$B$4:$B$2003,$B1163)=0,"first day",IF(SUMIFS($M$4:$M$2003,$A$4:$A$2003,$A1163-1,$B$4:$B$2003,$B1163)=$J1163,"OK","CHECK")))</f>
        <v/>
      </c>
      <c r="T1163" s="10" t="str">
        <f aca="false">IF($B1163="","",IFERROR(INDEX(Drinks!$D$4:$D$53,MATCH($B1163,Drinks!$A$4:$A$53,0)),0))</f>
        <v/>
      </c>
    </row>
    <row r="1164" customFormat="false" ht="15" hidden="false" customHeight="false" outlineLevel="0" collapsed="false">
      <c r="A1164" s="22"/>
      <c r="B1164" s="9"/>
      <c r="C1164" s="9"/>
      <c r="D1164" s="9"/>
      <c r="E1164" s="9"/>
      <c r="F1164" s="10" t="str">
        <f aca="false">IF($B1164="","",$C1164+$D1164-$E1164)</f>
        <v/>
      </c>
      <c r="G1164" s="10" t="str">
        <f aca="false">IF($B1164="","",IFERROR(INDEX(Drinks!$C$4:$C$53,MATCH($B1164,Drinks!$A$4:$A$53,0)),0))</f>
        <v/>
      </c>
      <c r="H1164" s="10" t="str">
        <f aca="false">IF($B1164="","",$D1164*$G1164)</f>
        <v/>
      </c>
      <c r="I1164" s="10" t="str">
        <f aca="false">IF($B1164="","",$F1164*$G1164)</f>
        <v/>
      </c>
      <c r="J1164" s="9"/>
      <c r="K1164" s="10" t="str">
        <f aca="false">IF($B1164="","",$E1164*IFERROR(INDEX(Drinks!$B$4:$B$53,MATCH($B1164,Drinks!$A$4:$A$53,0)),0))</f>
        <v/>
      </c>
      <c r="L1164" s="10" t="str">
        <f aca="false">IF($B1164="","",$J1164+$K1164)</f>
        <v/>
      </c>
      <c r="M1164" s="9"/>
      <c r="N1164" s="10" t="str">
        <f aca="false">IF($B1164="","",$L1164-$M1164)</f>
        <v/>
      </c>
      <c r="O1164" s="10" t="str">
        <f aca="false">IF($B1164="","",IFERROR(INDEX(Drinks!$E$4:$E$53,MATCH($B1164,Drinks!$A$4:$A$53,0)),0))</f>
        <v/>
      </c>
      <c r="P1164" s="10" t="str">
        <f aca="false">IF($B1164="","",$N1164*$O1164)</f>
        <v/>
      </c>
      <c r="Q1164" s="10" t="str">
        <f aca="false">IF($B1164="","",$N1164*IFERROR(INDEX(Drinks!$D$4:$D$53,MATCH($B1164,Drinks!$A$4:$A$53,0)),0))</f>
        <v/>
      </c>
      <c r="R1164" s="10" t="str">
        <f aca="false">IF($B1164="","",$P1164-$Q1164)</f>
        <v/>
      </c>
      <c r="S1164" s="23" t="str">
        <f aca="false">IF($B1164="","",IF(COUNTIFS($A$4:$A$2003,$A1164-1,$B$4:$B$2003,$B1164)=0,"first day",IF(SUMIFS($M$4:$M$2003,$A$4:$A$2003,$A1164-1,$B$4:$B$2003,$B1164)=$J1164,"OK","CHECK")))</f>
        <v/>
      </c>
      <c r="T1164" s="10" t="str">
        <f aca="false">IF($B1164="","",IFERROR(INDEX(Drinks!$D$4:$D$53,MATCH($B1164,Drinks!$A$4:$A$53,0)),0))</f>
        <v/>
      </c>
    </row>
    <row r="1165" customFormat="false" ht="15" hidden="false" customHeight="false" outlineLevel="0" collapsed="false">
      <c r="A1165" s="22"/>
      <c r="B1165" s="9"/>
      <c r="C1165" s="9"/>
      <c r="D1165" s="9"/>
      <c r="E1165" s="9"/>
      <c r="F1165" s="10" t="str">
        <f aca="false">IF($B1165="","",$C1165+$D1165-$E1165)</f>
        <v/>
      </c>
      <c r="G1165" s="10" t="str">
        <f aca="false">IF($B1165="","",IFERROR(INDEX(Drinks!$C$4:$C$53,MATCH($B1165,Drinks!$A$4:$A$53,0)),0))</f>
        <v/>
      </c>
      <c r="H1165" s="10" t="str">
        <f aca="false">IF($B1165="","",$D1165*$G1165)</f>
        <v/>
      </c>
      <c r="I1165" s="10" t="str">
        <f aca="false">IF($B1165="","",$F1165*$G1165)</f>
        <v/>
      </c>
      <c r="J1165" s="9"/>
      <c r="K1165" s="10" t="str">
        <f aca="false">IF($B1165="","",$E1165*IFERROR(INDEX(Drinks!$B$4:$B$53,MATCH($B1165,Drinks!$A$4:$A$53,0)),0))</f>
        <v/>
      </c>
      <c r="L1165" s="10" t="str">
        <f aca="false">IF($B1165="","",$J1165+$K1165)</f>
        <v/>
      </c>
      <c r="M1165" s="9"/>
      <c r="N1165" s="10" t="str">
        <f aca="false">IF($B1165="","",$L1165-$M1165)</f>
        <v/>
      </c>
      <c r="O1165" s="10" t="str">
        <f aca="false">IF($B1165="","",IFERROR(INDEX(Drinks!$E$4:$E$53,MATCH($B1165,Drinks!$A$4:$A$53,0)),0))</f>
        <v/>
      </c>
      <c r="P1165" s="10" t="str">
        <f aca="false">IF($B1165="","",$N1165*$O1165)</f>
        <v/>
      </c>
      <c r="Q1165" s="10" t="str">
        <f aca="false">IF($B1165="","",$N1165*IFERROR(INDEX(Drinks!$D$4:$D$53,MATCH($B1165,Drinks!$A$4:$A$53,0)),0))</f>
        <v/>
      </c>
      <c r="R1165" s="10" t="str">
        <f aca="false">IF($B1165="","",$P1165-$Q1165)</f>
        <v/>
      </c>
      <c r="S1165" s="23" t="str">
        <f aca="false">IF($B1165="","",IF(COUNTIFS($A$4:$A$2003,$A1165-1,$B$4:$B$2003,$B1165)=0,"first day",IF(SUMIFS($M$4:$M$2003,$A$4:$A$2003,$A1165-1,$B$4:$B$2003,$B1165)=$J1165,"OK","CHECK")))</f>
        <v/>
      </c>
      <c r="T1165" s="10" t="str">
        <f aca="false">IF($B1165="","",IFERROR(INDEX(Drinks!$D$4:$D$53,MATCH($B1165,Drinks!$A$4:$A$53,0)),0))</f>
        <v/>
      </c>
    </row>
    <row r="1166" customFormat="false" ht="15" hidden="false" customHeight="false" outlineLevel="0" collapsed="false">
      <c r="A1166" s="22"/>
      <c r="B1166" s="9"/>
      <c r="C1166" s="9"/>
      <c r="D1166" s="9"/>
      <c r="E1166" s="9"/>
      <c r="F1166" s="10" t="str">
        <f aca="false">IF($B1166="","",$C1166+$D1166-$E1166)</f>
        <v/>
      </c>
      <c r="G1166" s="10" t="str">
        <f aca="false">IF($B1166="","",IFERROR(INDEX(Drinks!$C$4:$C$53,MATCH($B1166,Drinks!$A$4:$A$53,0)),0))</f>
        <v/>
      </c>
      <c r="H1166" s="10" t="str">
        <f aca="false">IF($B1166="","",$D1166*$G1166)</f>
        <v/>
      </c>
      <c r="I1166" s="10" t="str">
        <f aca="false">IF($B1166="","",$F1166*$G1166)</f>
        <v/>
      </c>
      <c r="J1166" s="9"/>
      <c r="K1166" s="10" t="str">
        <f aca="false">IF($B1166="","",$E1166*IFERROR(INDEX(Drinks!$B$4:$B$53,MATCH($B1166,Drinks!$A$4:$A$53,0)),0))</f>
        <v/>
      </c>
      <c r="L1166" s="10" t="str">
        <f aca="false">IF($B1166="","",$J1166+$K1166)</f>
        <v/>
      </c>
      <c r="M1166" s="9"/>
      <c r="N1166" s="10" t="str">
        <f aca="false">IF($B1166="","",$L1166-$M1166)</f>
        <v/>
      </c>
      <c r="O1166" s="10" t="str">
        <f aca="false">IF($B1166="","",IFERROR(INDEX(Drinks!$E$4:$E$53,MATCH($B1166,Drinks!$A$4:$A$53,0)),0))</f>
        <v/>
      </c>
      <c r="P1166" s="10" t="str">
        <f aca="false">IF($B1166="","",$N1166*$O1166)</f>
        <v/>
      </c>
      <c r="Q1166" s="10" t="str">
        <f aca="false">IF($B1166="","",$N1166*IFERROR(INDEX(Drinks!$D$4:$D$53,MATCH($B1166,Drinks!$A$4:$A$53,0)),0))</f>
        <v/>
      </c>
      <c r="R1166" s="10" t="str">
        <f aca="false">IF($B1166="","",$P1166-$Q1166)</f>
        <v/>
      </c>
      <c r="S1166" s="23" t="str">
        <f aca="false">IF($B1166="","",IF(COUNTIFS($A$4:$A$2003,$A1166-1,$B$4:$B$2003,$B1166)=0,"first day",IF(SUMIFS($M$4:$M$2003,$A$4:$A$2003,$A1166-1,$B$4:$B$2003,$B1166)=$J1166,"OK","CHECK")))</f>
        <v/>
      </c>
      <c r="T1166" s="10" t="str">
        <f aca="false">IF($B1166="","",IFERROR(INDEX(Drinks!$D$4:$D$53,MATCH($B1166,Drinks!$A$4:$A$53,0)),0))</f>
        <v/>
      </c>
    </row>
    <row r="1167" customFormat="false" ht="15" hidden="false" customHeight="false" outlineLevel="0" collapsed="false">
      <c r="A1167" s="22"/>
      <c r="B1167" s="9"/>
      <c r="C1167" s="9"/>
      <c r="D1167" s="9"/>
      <c r="E1167" s="9"/>
      <c r="F1167" s="10" t="str">
        <f aca="false">IF($B1167="","",$C1167+$D1167-$E1167)</f>
        <v/>
      </c>
      <c r="G1167" s="10" t="str">
        <f aca="false">IF($B1167="","",IFERROR(INDEX(Drinks!$C$4:$C$53,MATCH($B1167,Drinks!$A$4:$A$53,0)),0))</f>
        <v/>
      </c>
      <c r="H1167" s="10" t="str">
        <f aca="false">IF($B1167="","",$D1167*$G1167)</f>
        <v/>
      </c>
      <c r="I1167" s="10" t="str">
        <f aca="false">IF($B1167="","",$F1167*$G1167)</f>
        <v/>
      </c>
      <c r="J1167" s="9"/>
      <c r="K1167" s="10" t="str">
        <f aca="false">IF($B1167="","",$E1167*IFERROR(INDEX(Drinks!$B$4:$B$53,MATCH($B1167,Drinks!$A$4:$A$53,0)),0))</f>
        <v/>
      </c>
      <c r="L1167" s="10" t="str">
        <f aca="false">IF($B1167="","",$J1167+$K1167)</f>
        <v/>
      </c>
      <c r="M1167" s="9"/>
      <c r="N1167" s="10" t="str">
        <f aca="false">IF($B1167="","",$L1167-$M1167)</f>
        <v/>
      </c>
      <c r="O1167" s="10" t="str">
        <f aca="false">IF($B1167="","",IFERROR(INDEX(Drinks!$E$4:$E$53,MATCH($B1167,Drinks!$A$4:$A$53,0)),0))</f>
        <v/>
      </c>
      <c r="P1167" s="10" t="str">
        <f aca="false">IF($B1167="","",$N1167*$O1167)</f>
        <v/>
      </c>
      <c r="Q1167" s="10" t="str">
        <f aca="false">IF($B1167="","",$N1167*IFERROR(INDEX(Drinks!$D$4:$D$53,MATCH($B1167,Drinks!$A$4:$A$53,0)),0))</f>
        <v/>
      </c>
      <c r="R1167" s="10" t="str">
        <f aca="false">IF($B1167="","",$P1167-$Q1167)</f>
        <v/>
      </c>
      <c r="S1167" s="23" t="str">
        <f aca="false">IF($B1167="","",IF(COUNTIFS($A$4:$A$2003,$A1167-1,$B$4:$B$2003,$B1167)=0,"first day",IF(SUMIFS($M$4:$M$2003,$A$4:$A$2003,$A1167-1,$B$4:$B$2003,$B1167)=$J1167,"OK","CHECK")))</f>
        <v/>
      </c>
      <c r="T1167" s="10" t="str">
        <f aca="false">IF($B1167="","",IFERROR(INDEX(Drinks!$D$4:$D$53,MATCH($B1167,Drinks!$A$4:$A$53,0)),0))</f>
        <v/>
      </c>
    </row>
    <row r="1168" customFormat="false" ht="15" hidden="false" customHeight="false" outlineLevel="0" collapsed="false">
      <c r="A1168" s="22"/>
      <c r="B1168" s="9"/>
      <c r="C1168" s="9"/>
      <c r="D1168" s="9"/>
      <c r="E1168" s="9"/>
      <c r="F1168" s="10" t="str">
        <f aca="false">IF($B1168="","",$C1168+$D1168-$E1168)</f>
        <v/>
      </c>
      <c r="G1168" s="10" t="str">
        <f aca="false">IF($B1168="","",IFERROR(INDEX(Drinks!$C$4:$C$53,MATCH($B1168,Drinks!$A$4:$A$53,0)),0))</f>
        <v/>
      </c>
      <c r="H1168" s="10" t="str">
        <f aca="false">IF($B1168="","",$D1168*$G1168)</f>
        <v/>
      </c>
      <c r="I1168" s="10" t="str">
        <f aca="false">IF($B1168="","",$F1168*$G1168)</f>
        <v/>
      </c>
      <c r="J1168" s="9"/>
      <c r="K1168" s="10" t="str">
        <f aca="false">IF($B1168="","",$E1168*IFERROR(INDEX(Drinks!$B$4:$B$53,MATCH($B1168,Drinks!$A$4:$A$53,0)),0))</f>
        <v/>
      </c>
      <c r="L1168" s="10" t="str">
        <f aca="false">IF($B1168="","",$J1168+$K1168)</f>
        <v/>
      </c>
      <c r="M1168" s="9"/>
      <c r="N1168" s="10" t="str">
        <f aca="false">IF($B1168="","",$L1168-$M1168)</f>
        <v/>
      </c>
      <c r="O1168" s="10" t="str">
        <f aca="false">IF($B1168="","",IFERROR(INDEX(Drinks!$E$4:$E$53,MATCH($B1168,Drinks!$A$4:$A$53,0)),0))</f>
        <v/>
      </c>
      <c r="P1168" s="10" t="str">
        <f aca="false">IF($B1168="","",$N1168*$O1168)</f>
        <v/>
      </c>
      <c r="Q1168" s="10" t="str">
        <f aca="false">IF($B1168="","",$N1168*IFERROR(INDEX(Drinks!$D$4:$D$53,MATCH($B1168,Drinks!$A$4:$A$53,0)),0))</f>
        <v/>
      </c>
      <c r="R1168" s="10" t="str">
        <f aca="false">IF($B1168="","",$P1168-$Q1168)</f>
        <v/>
      </c>
      <c r="S1168" s="23" t="str">
        <f aca="false">IF($B1168="","",IF(COUNTIFS($A$4:$A$2003,$A1168-1,$B$4:$B$2003,$B1168)=0,"first day",IF(SUMIFS($M$4:$M$2003,$A$4:$A$2003,$A1168-1,$B$4:$B$2003,$B1168)=$J1168,"OK","CHECK")))</f>
        <v/>
      </c>
      <c r="T1168" s="10" t="str">
        <f aca="false">IF($B1168="","",IFERROR(INDEX(Drinks!$D$4:$D$53,MATCH($B1168,Drinks!$A$4:$A$53,0)),0))</f>
        <v/>
      </c>
    </row>
    <row r="1169" customFormat="false" ht="15" hidden="false" customHeight="false" outlineLevel="0" collapsed="false">
      <c r="A1169" s="22"/>
      <c r="B1169" s="9"/>
      <c r="C1169" s="9"/>
      <c r="D1169" s="9"/>
      <c r="E1169" s="9"/>
      <c r="F1169" s="10" t="str">
        <f aca="false">IF($B1169="","",$C1169+$D1169-$E1169)</f>
        <v/>
      </c>
      <c r="G1169" s="10" t="str">
        <f aca="false">IF($B1169="","",IFERROR(INDEX(Drinks!$C$4:$C$53,MATCH($B1169,Drinks!$A$4:$A$53,0)),0))</f>
        <v/>
      </c>
      <c r="H1169" s="10" t="str">
        <f aca="false">IF($B1169="","",$D1169*$G1169)</f>
        <v/>
      </c>
      <c r="I1169" s="10" t="str">
        <f aca="false">IF($B1169="","",$F1169*$G1169)</f>
        <v/>
      </c>
      <c r="J1169" s="9"/>
      <c r="K1169" s="10" t="str">
        <f aca="false">IF($B1169="","",$E1169*IFERROR(INDEX(Drinks!$B$4:$B$53,MATCH($B1169,Drinks!$A$4:$A$53,0)),0))</f>
        <v/>
      </c>
      <c r="L1169" s="10" t="str">
        <f aca="false">IF($B1169="","",$J1169+$K1169)</f>
        <v/>
      </c>
      <c r="M1169" s="9"/>
      <c r="N1169" s="10" t="str">
        <f aca="false">IF($B1169="","",$L1169-$M1169)</f>
        <v/>
      </c>
      <c r="O1169" s="10" t="str">
        <f aca="false">IF($B1169="","",IFERROR(INDEX(Drinks!$E$4:$E$53,MATCH($B1169,Drinks!$A$4:$A$53,0)),0))</f>
        <v/>
      </c>
      <c r="P1169" s="10" t="str">
        <f aca="false">IF($B1169="","",$N1169*$O1169)</f>
        <v/>
      </c>
      <c r="Q1169" s="10" t="str">
        <f aca="false">IF($B1169="","",$N1169*IFERROR(INDEX(Drinks!$D$4:$D$53,MATCH($B1169,Drinks!$A$4:$A$53,0)),0))</f>
        <v/>
      </c>
      <c r="R1169" s="10" t="str">
        <f aca="false">IF($B1169="","",$P1169-$Q1169)</f>
        <v/>
      </c>
      <c r="S1169" s="23" t="str">
        <f aca="false">IF($B1169="","",IF(COUNTIFS($A$4:$A$2003,$A1169-1,$B$4:$B$2003,$B1169)=0,"first day",IF(SUMIFS($M$4:$M$2003,$A$4:$A$2003,$A1169-1,$B$4:$B$2003,$B1169)=$J1169,"OK","CHECK")))</f>
        <v/>
      </c>
      <c r="T1169" s="10" t="str">
        <f aca="false">IF($B1169="","",IFERROR(INDEX(Drinks!$D$4:$D$53,MATCH($B1169,Drinks!$A$4:$A$53,0)),0))</f>
        <v/>
      </c>
    </row>
    <row r="1170" customFormat="false" ht="15" hidden="false" customHeight="false" outlineLevel="0" collapsed="false">
      <c r="A1170" s="22"/>
      <c r="B1170" s="9"/>
      <c r="C1170" s="9"/>
      <c r="D1170" s="9"/>
      <c r="E1170" s="9"/>
      <c r="F1170" s="10" t="str">
        <f aca="false">IF($B1170="","",$C1170+$D1170-$E1170)</f>
        <v/>
      </c>
      <c r="G1170" s="10" t="str">
        <f aca="false">IF($B1170="","",IFERROR(INDEX(Drinks!$C$4:$C$53,MATCH($B1170,Drinks!$A$4:$A$53,0)),0))</f>
        <v/>
      </c>
      <c r="H1170" s="10" t="str">
        <f aca="false">IF($B1170="","",$D1170*$G1170)</f>
        <v/>
      </c>
      <c r="I1170" s="10" t="str">
        <f aca="false">IF($B1170="","",$F1170*$G1170)</f>
        <v/>
      </c>
      <c r="J1170" s="9"/>
      <c r="K1170" s="10" t="str">
        <f aca="false">IF($B1170="","",$E1170*IFERROR(INDEX(Drinks!$B$4:$B$53,MATCH($B1170,Drinks!$A$4:$A$53,0)),0))</f>
        <v/>
      </c>
      <c r="L1170" s="10" t="str">
        <f aca="false">IF($B1170="","",$J1170+$K1170)</f>
        <v/>
      </c>
      <c r="M1170" s="9"/>
      <c r="N1170" s="10" t="str">
        <f aca="false">IF($B1170="","",$L1170-$M1170)</f>
        <v/>
      </c>
      <c r="O1170" s="10" t="str">
        <f aca="false">IF($B1170="","",IFERROR(INDEX(Drinks!$E$4:$E$53,MATCH($B1170,Drinks!$A$4:$A$53,0)),0))</f>
        <v/>
      </c>
      <c r="P1170" s="10" t="str">
        <f aca="false">IF($B1170="","",$N1170*$O1170)</f>
        <v/>
      </c>
      <c r="Q1170" s="10" t="str">
        <f aca="false">IF($B1170="","",$N1170*IFERROR(INDEX(Drinks!$D$4:$D$53,MATCH($B1170,Drinks!$A$4:$A$53,0)),0))</f>
        <v/>
      </c>
      <c r="R1170" s="10" t="str">
        <f aca="false">IF($B1170="","",$P1170-$Q1170)</f>
        <v/>
      </c>
      <c r="S1170" s="23" t="str">
        <f aca="false">IF($B1170="","",IF(COUNTIFS($A$4:$A$2003,$A1170-1,$B$4:$B$2003,$B1170)=0,"first day",IF(SUMIFS($M$4:$M$2003,$A$4:$A$2003,$A1170-1,$B$4:$B$2003,$B1170)=$J1170,"OK","CHECK")))</f>
        <v/>
      </c>
      <c r="T1170" s="10" t="str">
        <f aca="false">IF($B1170="","",IFERROR(INDEX(Drinks!$D$4:$D$53,MATCH($B1170,Drinks!$A$4:$A$53,0)),0))</f>
        <v/>
      </c>
    </row>
    <row r="1171" customFormat="false" ht="15" hidden="false" customHeight="false" outlineLevel="0" collapsed="false">
      <c r="A1171" s="22"/>
      <c r="B1171" s="9"/>
      <c r="C1171" s="9"/>
      <c r="D1171" s="9"/>
      <c r="E1171" s="9"/>
      <c r="F1171" s="10" t="str">
        <f aca="false">IF($B1171="","",$C1171+$D1171-$E1171)</f>
        <v/>
      </c>
      <c r="G1171" s="10" t="str">
        <f aca="false">IF($B1171="","",IFERROR(INDEX(Drinks!$C$4:$C$53,MATCH($B1171,Drinks!$A$4:$A$53,0)),0))</f>
        <v/>
      </c>
      <c r="H1171" s="10" t="str">
        <f aca="false">IF($B1171="","",$D1171*$G1171)</f>
        <v/>
      </c>
      <c r="I1171" s="10" t="str">
        <f aca="false">IF($B1171="","",$F1171*$G1171)</f>
        <v/>
      </c>
      <c r="J1171" s="9"/>
      <c r="K1171" s="10" t="str">
        <f aca="false">IF($B1171="","",$E1171*IFERROR(INDEX(Drinks!$B$4:$B$53,MATCH($B1171,Drinks!$A$4:$A$53,0)),0))</f>
        <v/>
      </c>
      <c r="L1171" s="10" t="str">
        <f aca="false">IF($B1171="","",$J1171+$K1171)</f>
        <v/>
      </c>
      <c r="M1171" s="9"/>
      <c r="N1171" s="10" t="str">
        <f aca="false">IF($B1171="","",$L1171-$M1171)</f>
        <v/>
      </c>
      <c r="O1171" s="10" t="str">
        <f aca="false">IF($B1171="","",IFERROR(INDEX(Drinks!$E$4:$E$53,MATCH($B1171,Drinks!$A$4:$A$53,0)),0))</f>
        <v/>
      </c>
      <c r="P1171" s="10" t="str">
        <f aca="false">IF($B1171="","",$N1171*$O1171)</f>
        <v/>
      </c>
      <c r="Q1171" s="10" t="str">
        <f aca="false">IF($B1171="","",$N1171*IFERROR(INDEX(Drinks!$D$4:$D$53,MATCH($B1171,Drinks!$A$4:$A$53,0)),0))</f>
        <v/>
      </c>
      <c r="R1171" s="10" t="str">
        <f aca="false">IF($B1171="","",$P1171-$Q1171)</f>
        <v/>
      </c>
      <c r="S1171" s="23" t="str">
        <f aca="false">IF($B1171="","",IF(COUNTIFS($A$4:$A$2003,$A1171-1,$B$4:$B$2003,$B1171)=0,"first day",IF(SUMIFS($M$4:$M$2003,$A$4:$A$2003,$A1171-1,$B$4:$B$2003,$B1171)=$J1171,"OK","CHECK")))</f>
        <v/>
      </c>
      <c r="T1171" s="10" t="str">
        <f aca="false">IF($B1171="","",IFERROR(INDEX(Drinks!$D$4:$D$53,MATCH($B1171,Drinks!$A$4:$A$53,0)),0))</f>
        <v/>
      </c>
    </row>
    <row r="1172" customFormat="false" ht="15" hidden="false" customHeight="false" outlineLevel="0" collapsed="false">
      <c r="A1172" s="22"/>
      <c r="B1172" s="9"/>
      <c r="C1172" s="9"/>
      <c r="D1172" s="9"/>
      <c r="E1172" s="9"/>
      <c r="F1172" s="10" t="str">
        <f aca="false">IF($B1172="","",$C1172+$D1172-$E1172)</f>
        <v/>
      </c>
      <c r="G1172" s="10" t="str">
        <f aca="false">IF($B1172="","",IFERROR(INDEX(Drinks!$C$4:$C$53,MATCH($B1172,Drinks!$A$4:$A$53,0)),0))</f>
        <v/>
      </c>
      <c r="H1172" s="10" t="str">
        <f aca="false">IF($B1172="","",$D1172*$G1172)</f>
        <v/>
      </c>
      <c r="I1172" s="10" t="str">
        <f aca="false">IF($B1172="","",$F1172*$G1172)</f>
        <v/>
      </c>
      <c r="J1172" s="9"/>
      <c r="K1172" s="10" t="str">
        <f aca="false">IF($B1172="","",$E1172*IFERROR(INDEX(Drinks!$B$4:$B$53,MATCH($B1172,Drinks!$A$4:$A$53,0)),0))</f>
        <v/>
      </c>
      <c r="L1172" s="10" t="str">
        <f aca="false">IF($B1172="","",$J1172+$K1172)</f>
        <v/>
      </c>
      <c r="M1172" s="9"/>
      <c r="N1172" s="10" t="str">
        <f aca="false">IF($B1172="","",$L1172-$M1172)</f>
        <v/>
      </c>
      <c r="O1172" s="10" t="str">
        <f aca="false">IF($B1172="","",IFERROR(INDEX(Drinks!$E$4:$E$53,MATCH($B1172,Drinks!$A$4:$A$53,0)),0))</f>
        <v/>
      </c>
      <c r="P1172" s="10" t="str">
        <f aca="false">IF($B1172="","",$N1172*$O1172)</f>
        <v/>
      </c>
      <c r="Q1172" s="10" t="str">
        <f aca="false">IF($B1172="","",$N1172*IFERROR(INDEX(Drinks!$D$4:$D$53,MATCH($B1172,Drinks!$A$4:$A$53,0)),0))</f>
        <v/>
      </c>
      <c r="R1172" s="10" t="str">
        <f aca="false">IF($B1172="","",$P1172-$Q1172)</f>
        <v/>
      </c>
      <c r="S1172" s="23" t="str">
        <f aca="false">IF($B1172="","",IF(COUNTIFS($A$4:$A$2003,$A1172-1,$B$4:$B$2003,$B1172)=0,"first day",IF(SUMIFS($M$4:$M$2003,$A$4:$A$2003,$A1172-1,$B$4:$B$2003,$B1172)=$J1172,"OK","CHECK")))</f>
        <v/>
      </c>
      <c r="T1172" s="10" t="str">
        <f aca="false">IF($B1172="","",IFERROR(INDEX(Drinks!$D$4:$D$53,MATCH($B1172,Drinks!$A$4:$A$53,0)),0))</f>
        <v/>
      </c>
    </row>
    <row r="1173" customFormat="false" ht="15" hidden="false" customHeight="false" outlineLevel="0" collapsed="false">
      <c r="A1173" s="22"/>
      <c r="B1173" s="9"/>
      <c r="C1173" s="9"/>
      <c r="D1173" s="9"/>
      <c r="E1173" s="9"/>
      <c r="F1173" s="10" t="str">
        <f aca="false">IF($B1173="","",$C1173+$D1173-$E1173)</f>
        <v/>
      </c>
      <c r="G1173" s="10" t="str">
        <f aca="false">IF($B1173="","",IFERROR(INDEX(Drinks!$C$4:$C$53,MATCH($B1173,Drinks!$A$4:$A$53,0)),0))</f>
        <v/>
      </c>
      <c r="H1173" s="10" t="str">
        <f aca="false">IF($B1173="","",$D1173*$G1173)</f>
        <v/>
      </c>
      <c r="I1173" s="10" t="str">
        <f aca="false">IF($B1173="","",$F1173*$G1173)</f>
        <v/>
      </c>
      <c r="J1173" s="9"/>
      <c r="K1173" s="10" t="str">
        <f aca="false">IF($B1173="","",$E1173*IFERROR(INDEX(Drinks!$B$4:$B$53,MATCH($B1173,Drinks!$A$4:$A$53,0)),0))</f>
        <v/>
      </c>
      <c r="L1173" s="10" t="str">
        <f aca="false">IF($B1173="","",$J1173+$K1173)</f>
        <v/>
      </c>
      <c r="M1173" s="9"/>
      <c r="N1173" s="10" t="str">
        <f aca="false">IF($B1173="","",$L1173-$M1173)</f>
        <v/>
      </c>
      <c r="O1173" s="10" t="str">
        <f aca="false">IF($B1173="","",IFERROR(INDEX(Drinks!$E$4:$E$53,MATCH($B1173,Drinks!$A$4:$A$53,0)),0))</f>
        <v/>
      </c>
      <c r="P1173" s="10" t="str">
        <f aca="false">IF($B1173="","",$N1173*$O1173)</f>
        <v/>
      </c>
      <c r="Q1173" s="10" t="str">
        <f aca="false">IF($B1173="","",$N1173*IFERROR(INDEX(Drinks!$D$4:$D$53,MATCH($B1173,Drinks!$A$4:$A$53,0)),0))</f>
        <v/>
      </c>
      <c r="R1173" s="10" t="str">
        <f aca="false">IF($B1173="","",$P1173-$Q1173)</f>
        <v/>
      </c>
      <c r="S1173" s="23" t="str">
        <f aca="false">IF($B1173="","",IF(COUNTIFS($A$4:$A$2003,$A1173-1,$B$4:$B$2003,$B1173)=0,"first day",IF(SUMIFS($M$4:$M$2003,$A$4:$A$2003,$A1173-1,$B$4:$B$2003,$B1173)=$J1173,"OK","CHECK")))</f>
        <v/>
      </c>
      <c r="T1173" s="10" t="str">
        <f aca="false">IF($B1173="","",IFERROR(INDEX(Drinks!$D$4:$D$53,MATCH($B1173,Drinks!$A$4:$A$53,0)),0))</f>
        <v/>
      </c>
    </row>
    <row r="1174" customFormat="false" ht="15" hidden="false" customHeight="false" outlineLevel="0" collapsed="false">
      <c r="A1174" s="22"/>
      <c r="B1174" s="9"/>
      <c r="C1174" s="9"/>
      <c r="D1174" s="9"/>
      <c r="E1174" s="9"/>
      <c r="F1174" s="10" t="str">
        <f aca="false">IF($B1174="","",$C1174+$D1174-$E1174)</f>
        <v/>
      </c>
      <c r="G1174" s="10" t="str">
        <f aca="false">IF($B1174="","",IFERROR(INDEX(Drinks!$C$4:$C$53,MATCH($B1174,Drinks!$A$4:$A$53,0)),0))</f>
        <v/>
      </c>
      <c r="H1174" s="10" t="str">
        <f aca="false">IF($B1174="","",$D1174*$G1174)</f>
        <v/>
      </c>
      <c r="I1174" s="10" t="str">
        <f aca="false">IF($B1174="","",$F1174*$G1174)</f>
        <v/>
      </c>
      <c r="J1174" s="9"/>
      <c r="K1174" s="10" t="str">
        <f aca="false">IF($B1174="","",$E1174*IFERROR(INDEX(Drinks!$B$4:$B$53,MATCH($B1174,Drinks!$A$4:$A$53,0)),0))</f>
        <v/>
      </c>
      <c r="L1174" s="10" t="str">
        <f aca="false">IF($B1174="","",$J1174+$K1174)</f>
        <v/>
      </c>
      <c r="M1174" s="9"/>
      <c r="N1174" s="10" t="str">
        <f aca="false">IF($B1174="","",$L1174-$M1174)</f>
        <v/>
      </c>
      <c r="O1174" s="10" t="str">
        <f aca="false">IF($B1174="","",IFERROR(INDEX(Drinks!$E$4:$E$53,MATCH($B1174,Drinks!$A$4:$A$53,0)),0))</f>
        <v/>
      </c>
      <c r="P1174" s="10" t="str">
        <f aca="false">IF($B1174="","",$N1174*$O1174)</f>
        <v/>
      </c>
      <c r="Q1174" s="10" t="str">
        <f aca="false">IF($B1174="","",$N1174*IFERROR(INDEX(Drinks!$D$4:$D$53,MATCH($B1174,Drinks!$A$4:$A$53,0)),0))</f>
        <v/>
      </c>
      <c r="R1174" s="10" t="str">
        <f aca="false">IF($B1174="","",$P1174-$Q1174)</f>
        <v/>
      </c>
      <c r="S1174" s="23" t="str">
        <f aca="false">IF($B1174="","",IF(COUNTIFS($A$4:$A$2003,$A1174-1,$B$4:$B$2003,$B1174)=0,"first day",IF(SUMIFS($M$4:$M$2003,$A$4:$A$2003,$A1174-1,$B$4:$B$2003,$B1174)=$J1174,"OK","CHECK")))</f>
        <v/>
      </c>
      <c r="T1174" s="10" t="str">
        <f aca="false">IF($B1174="","",IFERROR(INDEX(Drinks!$D$4:$D$53,MATCH($B1174,Drinks!$A$4:$A$53,0)),0))</f>
        <v/>
      </c>
    </row>
    <row r="1175" customFormat="false" ht="15" hidden="false" customHeight="false" outlineLevel="0" collapsed="false">
      <c r="A1175" s="22"/>
      <c r="B1175" s="9"/>
      <c r="C1175" s="9"/>
      <c r="D1175" s="9"/>
      <c r="E1175" s="9"/>
      <c r="F1175" s="10" t="str">
        <f aca="false">IF($B1175="","",$C1175+$D1175-$E1175)</f>
        <v/>
      </c>
      <c r="G1175" s="10" t="str">
        <f aca="false">IF($B1175="","",IFERROR(INDEX(Drinks!$C$4:$C$53,MATCH($B1175,Drinks!$A$4:$A$53,0)),0))</f>
        <v/>
      </c>
      <c r="H1175" s="10" t="str">
        <f aca="false">IF($B1175="","",$D1175*$G1175)</f>
        <v/>
      </c>
      <c r="I1175" s="10" t="str">
        <f aca="false">IF($B1175="","",$F1175*$G1175)</f>
        <v/>
      </c>
      <c r="J1175" s="9"/>
      <c r="K1175" s="10" t="str">
        <f aca="false">IF($B1175="","",$E1175*IFERROR(INDEX(Drinks!$B$4:$B$53,MATCH($B1175,Drinks!$A$4:$A$53,0)),0))</f>
        <v/>
      </c>
      <c r="L1175" s="10" t="str">
        <f aca="false">IF($B1175="","",$J1175+$K1175)</f>
        <v/>
      </c>
      <c r="M1175" s="9"/>
      <c r="N1175" s="10" t="str">
        <f aca="false">IF($B1175="","",$L1175-$M1175)</f>
        <v/>
      </c>
      <c r="O1175" s="10" t="str">
        <f aca="false">IF($B1175="","",IFERROR(INDEX(Drinks!$E$4:$E$53,MATCH($B1175,Drinks!$A$4:$A$53,0)),0))</f>
        <v/>
      </c>
      <c r="P1175" s="10" t="str">
        <f aca="false">IF($B1175="","",$N1175*$O1175)</f>
        <v/>
      </c>
      <c r="Q1175" s="10" t="str">
        <f aca="false">IF($B1175="","",$N1175*IFERROR(INDEX(Drinks!$D$4:$D$53,MATCH($B1175,Drinks!$A$4:$A$53,0)),0))</f>
        <v/>
      </c>
      <c r="R1175" s="10" t="str">
        <f aca="false">IF($B1175="","",$P1175-$Q1175)</f>
        <v/>
      </c>
      <c r="S1175" s="23" t="str">
        <f aca="false">IF($B1175="","",IF(COUNTIFS($A$4:$A$2003,$A1175-1,$B$4:$B$2003,$B1175)=0,"first day",IF(SUMIFS($M$4:$M$2003,$A$4:$A$2003,$A1175-1,$B$4:$B$2003,$B1175)=$J1175,"OK","CHECK")))</f>
        <v/>
      </c>
      <c r="T1175" s="10" t="str">
        <f aca="false">IF($B1175="","",IFERROR(INDEX(Drinks!$D$4:$D$53,MATCH($B1175,Drinks!$A$4:$A$53,0)),0))</f>
        <v/>
      </c>
    </row>
    <row r="1176" customFormat="false" ht="15" hidden="false" customHeight="false" outlineLevel="0" collapsed="false">
      <c r="A1176" s="22"/>
      <c r="B1176" s="9"/>
      <c r="C1176" s="9"/>
      <c r="D1176" s="9"/>
      <c r="E1176" s="9"/>
      <c r="F1176" s="10" t="str">
        <f aca="false">IF($B1176="","",$C1176+$D1176-$E1176)</f>
        <v/>
      </c>
      <c r="G1176" s="10" t="str">
        <f aca="false">IF($B1176="","",IFERROR(INDEX(Drinks!$C$4:$C$53,MATCH($B1176,Drinks!$A$4:$A$53,0)),0))</f>
        <v/>
      </c>
      <c r="H1176" s="10" t="str">
        <f aca="false">IF($B1176="","",$D1176*$G1176)</f>
        <v/>
      </c>
      <c r="I1176" s="10" t="str">
        <f aca="false">IF($B1176="","",$F1176*$G1176)</f>
        <v/>
      </c>
      <c r="J1176" s="9"/>
      <c r="K1176" s="10" t="str">
        <f aca="false">IF($B1176="","",$E1176*IFERROR(INDEX(Drinks!$B$4:$B$53,MATCH($B1176,Drinks!$A$4:$A$53,0)),0))</f>
        <v/>
      </c>
      <c r="L1176" s="10" t="str">
        <f aca="false">IF($B1176="","",$J1176+$K1176)</f>
        <v/>
      </c>
      <c r="M1176" s="9"/>
      <c r="N1176" s="10" t="str">
        <f aca="false">IF($B1176="","",$L1176-$M1176)</f>
        <v/>
      </c>
      <c r="O1176" s="10" t="str">
        <f aca="false">IF($B1176="","",IFERROR(INDEX(Drinks!$E$4:$E$53,MATCH($B1176,Drinks!$A$4:$A$53,0)),0))</f>
        <v/>
      </c>
      <c r="P1176" s="10" t="str">
        <f aca="false">IF($B1176="","",$N1176*$O1176)</f>
        <v/>
      </c>
      <c r="Q1176" s="10" t="str">
        <f aca="false">IF($B1176="","",$N1176*IFERROR(INDEX(Drinks!$D$4:$D$53,MATCH($B1176,Drinks!$A$4:$A$53,0)),0))</f>
        <v/>
      </c>
      <c r="R1176" s="10" t="str">
        <f aca="false">IF($B1176="","",$P1176-$Q1176)</f>
        <v/>
      </c>
      <c r="S1176" s="23" t="str">
        <f aca="false">IF($B1176="","",IF(COUNTIFS($A$4:$A$2003,$A1176-1,$B$4:$B$2003,$B1176)=0,"first day",IF(SUMIFS($M$4:$M$2003,$A$4:$A$2003,$A1176-1,$B$4:$B$2003,$B1176)=$J1176,"OK","CHECK")))</f>
        <v/>
      </c>
      <c r="T1176" s="10" t="str">
        <f aca="false">IF($B1176="","",IFERROR(INDEX(Drinks!$D$4:$D$53,MATCH($B1176,Drinks!$A$4:$A$53,0)),0))</f>
        <v/>
      </c>
    </row>
    <row r="1177" customFormat="false" ht="15" hidden="false" customHeight="false" outlineLevel="0" collapsed="false">
      <c r="A1177" s="22"/>
      <c r="B1177" s="9"/>
      <c r="C1177" s="9"/>
      <c r="D1177" s="9"/>
      <c r="E1177" s="9"/>
      <c r="F1177" s="10" t="str">
        <f aca="false">IF($B1177="","",$C1177+$D1177-$E1177)</f>
        <v/>
      </c>
      <c r="G1177" s="10" t="str">
        <f aca="false">IF($B1177="","",IFERROR(INDEX(Drinks!$C$4:$C$53,MATCH($B1177,Drinks!$A$4:$A$53,0)),0))</f>
        <v/>
      </c>
      <c r="H1177" s="10" t="str">
        <f aca="false">IF($B1177="","",$D1177*$G1177)</f>
        <v/>
      </c>
      <c r="I1177" s="10" t="str">
        <f aca="false">IF($B1177="","",$F1177*$G1177)</f>
        <v/>
      </c>
      <c r="J1177" s="9"/>
      <c r="K1177" s="10" t="str">
        <f aca="false">IF($B1177="","",$E1177*IFERROR(INDEX(Drinks!$B$4:$B$53,MATCH($B1177,Drinks!$A$4:$A$53,0)),0))</f>
        <v/>
      </c>
      <c r="L1177" s="10" t="str">
        <f aca="false">IF($B1177="","",$J1177+$K1177)</f>
        <v/>
      </c>
      <c r="M1177" s="9"/>
      <c r="N1177" s="10" t="str">
        <f aca="false">IF($B1177="","",$L1177-$M1177)</f>
        <v/>
      </c>
      <c r="O1177" s="10" t="str">
        <f aca="false">IF($B1177="","",IFERROR(INDEX(Drinks!$E$4:$E$53,MATCH($B1177,Drinks!$A$4:$A$53,0)),0))</f>
        <v/>
      </c>
      <c r="P1177" s="10" t="str">
        <f aca="false">IF($B1177="","",$N1177*$O1177)</f>
        <v/>
      </c>
      <c r="Q1177" s="10" t="str">
        <f aca="false">IF($B1177="","",$N1177*IFERROR(INDEX(Drinks!$D$4:$D$53,MATCH($B1177,Drinks!$A$4:$A$53,0)),0))</f>
        <v/>
      </c>
      <c r="R1177" s="10" t="str">
        <f aca="false">IF($B1177="","",$P1177-$Q1177)</f>
        <v/>
      </c>
      <c r="S1177" s="23" t="str">
        <f aca="false">IF($B1177="","",IF(COUNTIFS($A$4:$A$2003,$A1177-1,$B$4:$B$2003,$B1177)=0,"first day",IF(SUMIFS($M$4:$M$2003,$A$4:$A$2003,$A1177-1,$B$4:$B$2003,$B1177)=$J1177,"OK","CHECK")))</f>
        <v/>
      </c>
      <c r="T1177" s="10" t="str">
        <f aca="false">IF($B1177="","",IFERROR(INDEX(Drinks!$D$4:$D$53,MATCH($B1177,Drinks!$A$4:$A$53,0)),0))</f>
        <v/>
      </c>
    </row>
    <row r="1178" customFormat="false" ht="15" hidden="false" customHeight="false" outlineLevel="0" collapsed="false">
      <c r="A1178" s="22"/>
      <c r="B1178" s="9"/>
      <c r="C1178" s="9"/>
      <c r="D1178" s="9"/>
      <c r="E1178" s="9"/>
      <c r="F1178" s="10" t="str">
        <f aca="false">IF($B1178="","",$C1178+$D1178-$E1178)</f>
        <v/>
      </c>
      <c r="G1178" s="10" t="str">
        <f aca="false">IF($B1178="","",IFERROR(INDEX(Drinks!$C$4:$C$53,MATCH($B1178,Drinks!$A$4:$A$53,0)),0))</f>
        <v/>
      </c>
      <c r="H1178" s="10" t="str">
        <f aca="false">IF($B1178="","",$D1178*$G1178)</f>
        <v/>
      </c>
      <c r="I1178" s="10" t="str">
        <f aca="false">IF($B1178="","",$F1178*$G1178)</f>
        <v/>
      </c>
      <c r="J1178" s="9"/>
      <c r="K1178" s="10" t="str">
        <f aca="false">IF($B1178="","",$E1178*IFERROR(INDEX(Drinks!$B$4:$B$53,MATCH($B1178,Drinks!$A$4:$A$53,0)),0))</f>
        <v/>
      </c>
      <c r="L1178" s="10" t="str">
        <f aca="false">IF($B1178="","",$J1178+$K1178)</f>
        <v/>
      </c>
      <c r="M1178" s="9"/>
      <c r="N1178" s="10" t="str">
        <f aca="false">IF($B1178="","",$L1178-$M1178)</f>
        <v/>
      </c>
      <c r="O1178" s="10" t="str">
        <f aca="false">IF($B1178="","",IFERROR(INDEX(Drinks!$E$4:$E$53,MATCH($B1178,Drinks!$A$4:$A$53,0)),0))</f>
        <v/>
      </c>
      <c r="P1178" s="10" t="str">
        <f aca="false">IF($B1178="","",$N1178*$O1178)</f>
        <v/>
      </c>
      <c r="Q1178" s="10" t="str">
        <f aca="false">IF($B1178="","",$N1178*IFERROR(INDEX(Drinks!$D$4:$D$53,MATCH($B1178,Drinks!$A$4:$A$53,0)),0))</f>
        <v/>
      </c>
      <c r="R1178" s="10" t="str">
        <f aca="false">IF($B1178="","",$P1178-$Q1178)</f>
        <v/>
      </c>
      <c r="S1178" s="23" t="str">
        <f aca="false">IF($B1178="","",IF(COUNTIFS($A$4:$A$2003,$A1178-1,$B$4:$B$2003,$B1178)=0,"first day",IF(SUMIFS($M$4:$M$2003,$A$4:$A$2003,$A1178-1,$B$4:$B$2003,$B1178)=$J1178,"OK","CHECK")))</f>
        <v/>
      </c>
      <c r="T1178" s="10" t="str">
        <f aca="false">IF($B1178="","",IFERROR(INDEX(Drinks!$D$4:$D$53,MATCH($B1178,Drinks!$A$4:$A$53,0)),0))</f>
        <v/>
      </c>
    </row>
    <row r="1179" customFormat="false" ht="15" hidden="false" customHeight="false" outlineLevel="0" collapsed="false">
      <c r="A1179" s="22"/>
      <c r="B1179" s="9"/>
      <c r="C1179" s="9"/>
      <c r="D1179" s="9"/>
      <c r="E1179" s="9"/>
      <c r="F1179" s="10" t="str">
        <f aca="false">IF($B1179="","",$C1179+$D1179-$E1179)</f>
        <v/>
      </c>
      <c r="G1179" s="10" t="str">
        <f aca="false">IF($B1179="","",IFERROR(INDEX(Drinks!$C$4:$C$53,MATCH($B1179,Drinks!$A$4:$A$53,0)),0))</f>
        <v/>
      </c>
      <c r="H1179" s="10" t="str">
        <f aca="false">IF($B1179="","",$D1179*$G1179)</f>
        <v/>
      </c>
      <c r="I1179" s="10" t="str">
        <f aca="false">IF($B1179="","",$F1179*$G1179)</f>
        <v/>
      </c>
      <c r="J1179" s="9"/>
      <c r="K1179" s="10" t="str">
        <f aca="false">IF($B1179="","",$E1179*IFERROR(INDEX(Drinks!$B$4:$B$53,MATCH($B1179,Drinks!$A$4:$A$53,0)),0))</f>
        <v/>
      </c>
      <c r="L1179" s="10" t="str">
        <f aca="false">IF($B1179="","",$J1179+$K1179)</f>
        <v/>
      </c>
      <c r="M1179" s="9"/>
      <c r="N1179" s="10" t="str">
        <f aca="false">IF($B1179="","",$L1179-$M1179)</f>
        <v/>
      </c>
      <c r="O1179" s="10" t="str">
        <f aca="false">IF($B1179="","",IFERROR(INDEX(Drinks!$E$4:$E$53,MATCH($B1179,Drinks!$A$4:$A$53,0)),0))</f>
        <v/>
      </c>
      <c r="P1179" s="10" t="str">
        <f aca="false">IF($B1179="","",$N1179*$O1179)</f>
        <v/>
      </c>
      <c r="Q1179" s="10" t="str">
        <f aca="false">IF($B1179="","",$N1179*IFERROR(INDEX(Drinks!$D$4:$D$53,MATCH($B1179,Drinks!$A$4:$A$53,0)),0))</f>
        <v/>
      </c>
      <c r="R1179" s="10" t="str">
        <f aca="false">IF($B1179="","",$P1179-$Q1179)</f>
        <v/>
      </c>
      <c r="S1179" s="23" t="str">
        <f aca="false">IF($B1179="","",IF(COUNTIFS($A$4:$A$2003,$A1179-1,$B$4:$B$2003,$B1179)=0,"first day",IF(SUMIFS($M$4:$M$2003,$A$4:$A$2003,$A1179-1,$B$4:$B$2003,$B1179)=$J1179,"OK","CHECK")))</f>
        <v/>
      </c>
      <c r="T1179" s="10" t="str">
        <f aca="false">IF($B1179="","",IFERROR(INDEX(Drinks!$D$4:$D$53,MATCH($B1179,Drinks!$A$4:$A$53,0)),0))</f>
        <v/>
      </c>
    </row>
    <row r="1180" customFormat="false" ht="15" hidden="false" customHeight="false" outlineLevel="0" collapsed="false">
      <c r="A1180" s="22"/>
      <c r="B1180" s="9"/>
      <c r="C1180" s="9"/>
      <c r="D1180" s="9"/>
      <c r="E1180" s="9"/>
      <c r="F1180" s="10" t="str">
        <f aca="false">IF($B1180="","",$C1180+$D1180-$E1180)</f>
        <v/>
      </c>
      <c r="G1180" s="10" t="str">
        <f aca="false">IF($B1180="","",IFERROR(INDEX(Drinks!$C$4:$C$53,MATCH($B1180,Drinks!$A$4:$A$53,0)),0))</f>
        <v/>
      </c>
      <c r="H1180" s="10" t="str">
        <f aca="false">IF($B1180="","",$D1180*$G1180)</f>
        <v/>
      </c>
      <c r="I1180" s="10" t="str">
        <f aca="false">IF($B1180="","",$F1180*$G1180)</f>
        <v/>
      </c>
      <c r="J1180" s="9"/>
      <c r="K1180" s="10" t="str">
        <f aca="false">IF($B1180="","",$E1180*IFERROR(INDEX(Drinks!$B$4:$B$53,MATCH($B1180,Drinks!$A$4:$A$53,0)),0))</f>
        <v/>
      </c>
      <c r="L1180" s="10" t="str">
        <f aca="false">IF($B1180="","",$J1180+$K1180)</f>
        <v/>
      </c>
      <c r="M1180" s="9"/>
      <c r="N1180" s="10" t="str">
        <f aca="false">IF($B1180="","",$L1180-$M1180)</f>
        <v/>
      </c>
      <c r="O1180" s="10" t="str">
        <f aca="false">IF($B1180="","",IFERROR(INDEX(Drinks!$E$4:$E$53,MATCH($B1180,Drinks!$A$4:$A$53,0)),0))</f>
        <v/>
      </c>
      <c r="P1180" s="10" t="str">
        <f aca="false">IF($B1180="","",$N1180*$O1180)</f>
        <v/>
      </c>
      <c r="Q1180" s="10" t="str">
        <f aca="false">IF($B1180="","",$N1180*IFERROR(INDEX(Drinks!$D$4:$D$53,MATCH($B1180,Drinks!$A$4:$A$53,0)),0))</f>
        <v/>
      </c>
      <c r="R1180" s="10" t="str">
        <f aca="false">IF($B1180="","",$P1180-$Q1180)</f>
        <v/>
      </c>
      <c r="S1180" s="23" t="str">
        <f aca="false">IF($B1180="","",IF(COUNTIFS($A$4:$A$2003,$A1180-1,$B$4:$B$2003,$B1180)=0,"first day",IF(SUMIFS($M$4:$M$2003,$A$4:$A$2003,$A1180-1,$B$4:$B$2003,$B1180)=$J1180,"OK","CHECK")))</f>
        <v/>
      </c>
      <c r="T1180" s="10" t="str">
        <f aca="false">IF($B1180="","",IFERROR(INDEX(Drinks!$D$4:$D$53,MATCH($B1180,Drinks!$A$4:$A$53,0)),0))</f>
        <v/>
      </c>
    </row>
    <row r="1181" customFormat="false" ht="15" hidden="false" customHeight="false" outlineLevel="0" collapsed="false">
      <c r="A1181" s="22"/>
      <c r="B1181" s="9"/>
      <c r="C1181" s="9"/>
      <c r="D1181" s="9"/>
      <c r="E1181" s="9"/>
      <c r="F1181" s="10" t="str">
        <f aca="false">IF($B1181="","",$C1181+$D1181-$E1181)</f>
        <v/>
      </c>
      <c r="G1181" s="10" t="str">
        <f aca="false">IF($B1181="","",IFERROR(INDEX(Drinks!$C$4:$C$53,MATCH($B1181,Drinks!$A$4:$A$53,0)),0))</f>
        <v/>
      </c>
      <c r="H1181" s="10" t="str">
        <f aca="false">IF($B1181="","",$D1181*$G1181)</f>
        <v/>
      </c>
      <c r="I1181" s="10" t="str">
        <f aca="false">IF($B1181="","",$F1181*$G1181)</f>
        <v/>
      </c>
      <c r="J1181" s="9"/>
      <c r="K1181" s="10" t="str">
        <f aca="false">IF($B1181="","",$E1181*IFERROR(INDEX(Drinks!$B$4:$B$53,MATCH($B1181,Drinks!$A$4:$A$53,0)),0))</f>
        <v/>
      </c>
      <c r="L1181" s="10" t="str">
        <f aca="false">IF($B1181="","",$J1181+$K1181)</f>
        <v/>
      </c>
      <c r="M1181" s="9"/>
      <c r="N1181" s="10" t="str">
        <f aca="false">IF($B1181="","",$L1181-$M1181)</f>
        <v/>
      </c>
      <c r="O1181" s="10" t="str">
        <f aca="false">IF($B1181="","",IFERROR(INDEX(Drinks!$E$4:$E$53,MATCH($B1181,Drinks!$A$4:$A$53,0)),0))</f>
        <v/>
      </c>
      <c r="P1181" s="10" t="str">
        <f aca="false">IF($B1181="","",$N1181*$O1181)</f>
        <v/>
      </c>
      <c r="Q1181" s="10" t="str">
        <f aca="false">IF($B1181="","",$N1181*IFERROR(INDEX(Drinks!$D$4:$D$53,MATCH($B1181,Drinks!$A$4:$A$53,0)),0))</f>
        <v/>
      </c>
      <c r="R1181" s="10" t="str">
        <f aca="false">IF($B1181="","",$P1181-$Q1181)</f>
        <v/>
      </c>
      <c r="S1181" s="23" t="str">
        <f aca="false">IF($B1181="","",IF(COUNTIFS($A$4:$A$2003,$A1181-1,$B$4:$B$2003,$B1181)=0,"first day",IF(SUMIFS($M$4:$M$2003,$A$4:$A$2003,$A1181-1,$B$4:$B$2003,$B1181)=$J1181,"OK","CHECK")))</f>
        <v/>
      </c>
      <c r="T1181" s="10" t="str">
        <f aca="false">IF($B1181="","",IFERROR(INDEX(Drinks!$D$4:$D$53,MATCH($B1181,Drinks!$A$4:$A$53,0)),0))</f>
        <v/>
      </c>
    </row>
    <row r="1182" customFormat="false" ht="15" hidden="false" customHeight="false" outlineLevel="0" collapsed="false">
      <c r="A1182" s="22"/>
      <c r="B1182" s="9"/>
      <c r="C1182" s="9"/>
      <c r="D1182" s="9"/>
      <c r="E1182" s="9"/>
      <c r="F1182" s="10" t="str">
        <f aca="false">IF($B1182="","",$C1182+$D1182-$E1182)</f>
        <v/>
      </c>
      <c r="G1182" s="10" t="str">
        <f aca="false">IF($B1182="","",IFERROR(INDEX(Drinks!$C$4:$C$53,MATCH($B1182,Drinks!$A$4:$A$53,0)),0))</f>
        <v/>
      </c>
      <c r="H1182" s="10" t="str">
        <f aca="false">IF($B1182="","",$D1182*$G1182)</f>
        <v/>
      </c>
      <c r="I1182" s="10" t="str">
        <f aca="false">IF($B1182="","",$F1182*$G1182)</f>
        <v/>
      </c>
      <c r="J1182" s="9"/>
      <c r="K1182" s="10" t="str">
        <f aca="false">IF($B1182="","",$E1182*IFERROR(INDEX(Drinks!$B$4:$B$53,MATCH($B1182,Drinks!$A$4:$A$53,0)),0))</f>
        <v/>
      </c>
      <c r="L1182" s="10" t="str">
        <f aca="false">IF($B1182="","",$J1182+$K1182)</f>
        <v/>
      </c>
      <c r="M1182" s="9"/>
      <c r="N1182" s="10" t="str">
        <f aca="false">IF($B1182="","",$L1182-$M1182)</f>
        <v/>
      </c>
      <c r="O1182" s="10" t="str">
        <f aca="false">IF($B1182="","",IFERROR(INDEX(Drinks!$E$4:$E$53,MATCH($B1182,Drinks!$A$4:$A$53,0)),0))</f>
        <v/>
      </c>
      <c r="P1182" s="10" t="str">
        <f aca="false">IF($B1182="","",$N1182*$O1182)</f>
        <v/>
      </c>
      <c r="Q1182" s="10" t="str">
        <f aca="false">IF($B1182="","",$N1182*IFERROR(INDEX(Drinks!$D$4:$D$53,MATCH($B1182,Drinks!$A$4:$A$53,0)),0))</f>
        <v/>
      </c>
      <c r="R1182" s="10" t="str">
        <f aca="false">IF($B1182="","",$P1182-$Q1182)</f>
        <v/>
      </c>
      <c r="S1182" s="23" t="str">
        <f aca="false">IF($B1182="","",IF(COUNTIFS($A$4:$A$2003,$A1182-1,$B$4:$B$2003,$B1182)=0,"first day",IF(SUMIFS($M$4:$M$2003,$A$4:$A$2003,$A1182-1,$B$4:$B$2003,$B1182)=$J1182,"OK","CHECK")))</f>
        <v/>
      </c>
      <c r="T1182" s="10" t="str">
        <f aca="false">IF($B1182="","",IFERROR(INDEX(Drinks!$D$4:$D$53,MATCH($B1182,Drinks!$A$4:$A$53,0)),0))</f>
        <v/>
      </c>
    </row>
    <row r="1183" customFormat="false" ht="15" hidden="false" customHeight="false" outlineLevel="0" collapsed="false">
      <c r="A1183" s="22"/>
      <c r="B1183" s="9"/>
      <c r="C1183" s="9"/>
      <c r="D1183" s="9"/>
      <c r="E1183" s="9"/>
      <c r="F1183" s="10" t="str">
        <f aca="false">IF($B1183="","",$C1183+$D1183-$E1183)</f>
        <v/>
      </c>
      <c r="G1183" s="10" t="str">
        <f aca="false">IF($B1183="","",IFERROR(INDEX(Drinks!$C$4:$C$53,MATCH($B1183,Drinks!$A$4:$A$53,0)),0))</f>
        <v/>
      </c>
      <c r="H1183" s="10" t="str">
        <f aca="false">IF($B1183="","",$D1183*$G1183)</f>
        <v/>
      </c>
      <c r="I1183" s="10" t="str">
        <f aca="false">IF($B1183="","",$F1183*$G1183)</f>
        <v/>
      </c>
      <c r="J1183" s="9"/>
      <c r="K1183" s="10" t="str">
        <f aca="false">IF($B1183="","",$E1183*IFERROR(INDEX(Drinks!$B$4:$B$53,MATCH($B1183,Drinks!$A$4:$A$53,0)),0))</f>
        <v/>
      </c>
      <c r="L1183" s="10" t="str">
        <f aca="false">IF($B1183="","",$J1183+$K1183)</f>
        <v/>
      </c>
      <c r="M1183" s="9"/>
      <c r="N1183" s="10" t="str">
        <f aca="false">IF($B1183="","",$L1183-$M1183)</f>
        <v/>
      </c>
      <c r="O1183" s="10" t="str">
        <f aca="false">IF($B1183="","",IFERROR(INDEX(Drinks!$E$4:$E$53,MATCH($B1183,Drinks!$A$4:$A$53,0)),0))</f>
        <v/>
      </c>
      <c r="P1183" s="10" t="str">
        <f aca="false">IF($B1183="","",$N1183*$O1183)</f>
        <v/>
      </c>
      <c r="Q1183" s="10" t="str">
        <f aca="false">IF($B1183="","",$N1183*IFERROR(INDEX(Drinks!$D$4:$D$53,MATCH($B1183,Drinks!$A$4:$A$53,0)),0))</f>
        <v/>
      </c>
      <c r="R1183" s="10" t="str">
        <f aca="false">IF($B1183="","",$P1183-$Q1183)</f>
        <v/>
      </c>
      <c r="S1183" s="23" t="str">
        <f aca="false">IF($B1183="","",IF(COUNTIFS($A$4:$A$2003,$A1183-1,$B$4:$B$2003,$B1183)=0,"first day",IF(SUMIFS($M$4:$M$2003,$A$4:$A$2003,$A1183-1,$B$4:$B$2003,$B1183)=$J1183,"OK","CHECK")))</f>
        <v/>
      </c>
      <c r="T1183" s="10" t="str">
        <f aca="false">IF($B1183="","",IFERROR(INDEX(Drinks!$D$4:$D$53,MATCH($B1183,Drinks!$A$4:$A$53,0)),0))</f>
        <v/>
      </c>
    </row>
    <row r="1184" customFormat="false" ht="15" hidden="false" customHeight="false" outlineLevel="0" collapsed="false">
      <c r="A1184" s="22"/>
      <c r="B1184" s="9"/>
      <c r="C1184" s="9"/>
      <c r="D1184" s="9"/>
      <c r="E1184" s="9"/>
      <c r="F1184" s="10" t="str">
        <f aca="false">IF($B1184="","",$C1184+$D1184-$E1184)</f>
        <v/>
      </c>
      <c r="G1184" s="10" t="str">
        <f aca="false">IF($B1184="","",IFERROR(INDEX(Drinks!$C$4:$C$53,MATCH($B1184,Drinks!$A$4:$A$53,0)),0))</f>
        <v/>
      </c>
      <c r="H1184" s="10" t="str">
        <f aca="false">IF($B1184="","",$D1184*$G1184)</f>
        <v/>
      </c>
      <c r="I1184" s="10" t="str">
        <f aca="false">IF($B1184="","",$F1184*$G1184)</f>
        <v/>
      </c>
      <c r="J1184" s="9"/>
      <c r="K1184" s="10" t="str">
        <f aca="false">IF($B1184="","",$E1184*IFERROR(INDEX(Drinks!$B$4:$B$53,MATCH($B1184,Drinks!$A$4:$A$53,0)),0))</f>
        <v/>
      </c>
      <c r="L1184" s="10" t="str">
        <f aca="false">IF($B1184="","",$J1184+$K1184)</f>
        <v/>
      </c>
      <c r="M1184" s="9"/>
      <c r="N1184" s="10" t="str">
        <f aca="false">IF($B1184="","",$L1184-$M1184)</f>
        <v/>
      </c>
      <c r="O1184" s="10" t="str">
        <f aca="false">IF($B1184="","",IFERROR(INDEX(Drinks!$E$4:$E$53,MATCH($B1184,Drinks!$A$4:$A$53,0)),0))</f>
        <v/>
      </c>
      <c r="P1184" s="10" t="str">
        <f aca="false">IF($B1184="","",$N1184*$O1184)</f>
        <v/>
      </c>
      <c r="Q1184" s="10" t="str">
        <f aca="false">IF($B1184="","",$N1184*IFERROR(INDEX(Drinks!$D$4:$D$53,MATCH($B1184,Drinks!$A$4:$A$53,0)),0))</f>
        <v/>
      </c>
      <c r="R1184" s="10" t="str">
        <f aca="false">IF($B1184="","",$P1184-$Q1184)</f>
        <v/>
      </c>
      <c r="S1184" s="23" t="str">
        <f aca="false">IF($B1184="","",IF(COUNTIFS($A$4:$A$2003,$A1184-1,$B$4:$B$2003,$B1184)=0,"first day",IF(SUMIFS($M$4:$M$2003,$A$4:$A$2003,$A1184-1,$B$4:$B$2003,$B1184)=$J1184,"OK","CHECK")))</f>
        <v/>
      </c>
      <c r="T1184" s="10" t="str">
        <f aca="false">IF($B1184="","",IFERROR(INDEX(Drinks!$D$4:$D$53,MATCH($B1184,Drinks!$A$4:$A$53,0)),0))</f>
        <v/>
      </c>
    </row>
    <row r="1185" customFormat="false" ht="15" hidden="false" customHeight="false" outlineLevel="0" collapsed="false">
      <c r="A1185" s="22"/>
      <c r="B1185" s="9"/>
      <c r="C1185" s="9"/>
      <c r="D1185" s="9"/>
      <c r="E1185" s="9"/>
      <c r="F1185" s="10" t="str">
        <f aca="false">IF($B1185="","",$C1185+$D1185-$E1185)</f>
        <v/>
      </c>
      <c r="G1185" s="10" t="str">
        <f aca="false">IF($B1185="","",IFERROR(INDEX(Drinks!$C$4:$C$53,MATCH($B1185,Drinks!$A$4:$A$53,0)),0))</f>
        <v/>
      </c>
      <c r="H1185" s="10" t="str">
        <f aca="false">IF($B1185="","",$D1185*$G1185)</f>
        <v/>
      </c>
      <c r="I1185" s="10" t="str">
        <f aca="false">IF($B1185="","",$F1185*$G1185)</f>
        <v/>
      </c>
      <c r="J1185" s="9"/>
      <c r="K1185" s="10" t="str">
        <f aca="false">IF($B1185="","",$E1185*IFERROR(INDEX(Drinks!$B$4:$B$53,MATCH($B1185,Drinks!$A$4:$A$53,0)),0))</f>
        <v/>
      </c>
      <c r="L1185" s="10" t="str">
        <f aca="false">IF($B1185="","",$J1185+$K1185)</f>
        <v/>
      </c>
      <c r="M1185" s="9"/>
      <c r="N1185" s="10" t="str">
        <f aca="false">IF($B1185="","",$L1185-$M1185)</f>
        <v/>
      </c>
      <c r="O1185" s="10" t="str">
        <f aca="false">IF($B1185="","",IFERROR(INDEX(Drinks!$E$4:$E$53,MATCH($B1185,Drinks!$A$4:$A$53,0)),0))</f>
        <v/>
      </c>
      <c r="P1185" s="10" t="str">
        <f aca="false">IF($B1185="","",$N1185*$O1185)</f>
        <v/>
      </c>
      <c r="Q1185" s="10" t="str">
        <f aca="false">IF($B1185="","",$N1185*IFERROR(INDEX(Drinks!$D$4:$D$53,MATCH($B1185,Drinks!$A$4:$A$53,0)),0))</f>
        <v/>
      </c>
      <c r="R1185" s="10" t="str">
        <f aca="false">IF($B1185="","",$P1185-$Q1185)</f>
        <v/>
      </c>
      <c r="S1185" s="23" t="str">
        <f aca="false">IF($B1185="","",IF(COUNTIFS($A$4:$A$2003,$A1185-1,$B$4:$B$2003,$B1185)=0,"first day",IF(SUMIFS($M$4:$M$2003,$A$4:$A$2003,$A1185-1,$B$4:$B$2003,$B1185)=$J1185,"OK","CHECK")))</f>
        <v/>
      </c>
      <c r="T1185" s="10" t="str">
        <f aca="false">IF($B1185="","",IFERROR(INDEX(Drinks!$D$4:$D$53,MATCH($B1185,Drinks!$A$4:$A$53,0)),0))</f>
        <v/>
      </c>
    </row>
    <row r="1186" customFormat="false" ht="15" hidden="false" customHeight="false" outlineLevel="0" collapsed="false">
      <c r="A1186" s="22"/>
      <c r="B1186" s="9"/>
      <c r="C1186" s="9"/>
      <c r="D1186" s="9"/>
      <c r="E1186" s="9"/>
      <c r="F1186" s="10" t="str">
        <f aca="false">IF($B1186="","",$C1186+$D1186-$E1186)</f>
        <v/>
      </c>
      <c r="G1186" s="10" t="str">
        <f aca="false">IF($B1186="","",IFERROR(INDEX(Drinks!$C$4:$C$53,MATCH($B1186,Drinks!$A$4:$A$53,0)),0))</f>
        <v/>
      </c>
      <c r="H1186" s="10" t="str">
        <f aca="false">IF($B1186="","",$D1186*$G1186)</f>
        <v/>
      </c>
      <c r="I1186" s="10" t="str">
        <f aca="false">IF($B1186="","",$F1186*$G1186)</f>
        <v/>
      </c>
      <c r="J1186" s="9"/>
      <c r="K1186" s="10" t="str">
        <f aca="false">IF($B1186="","",$E1186*IFERROR(INDEX(Drinks!$B$4:$B$53,MATCH($B1186,Drinks!$A$4:$A$53,0)),0))</f>
        <v/>
      </c>
      <c r="L1186" s="10" t="str">
        <f aca="false">IF($B1186="","",$J1186+$K1186)</f>
        <v/>
      </c>
      <c r="M1186" s="9"/>
      <c r="N1186" s="10" t="str">
        <f aca="false">IF($B1186="","",$L1186-$M1186)</f>
        <v/>
      </c>
      <c r="O1186" s="10" t="str">
        <f aca="false">IF($B1186="","",IFERROR(INDEX(Drinks!$E$4:$E$53,MATCH($B1186,Drinks!$A$4:$A$53,0)),0))</f>
        <v/>
      </c>
      <c r="P1186" s="10" t="str">
        <f aca="false">IF($B1186="","",$N1186*$O1186)</f>
        <v/>
      </c>
      <c r="Q1186" s="10" t="str">
        <f aca="false">IF($B1186="","",$N1186*IFERROR(INDEX(Drinks!$D$4:$D$53,MATCH($B1186,Drinks!$A$4:$A$53,0)),0))</f>
        <v/>
      </c>
      <c r="R1186" s="10" t="str">
        <f aca="false">IF($B1186="","",$P1186-$Q1186)</f>
        <v/>
      </c>
      <c r="S1186" s="23" t="str">
        <f aca="false">IF($B1186="","",IF(COUNTIFS($A$4:$A$2003,$A1186-1,$B$4:$B$2003,$B1186)=0,"first day",IF(SUMIFS($M$4:$M$2003,$A$4:$A$2003,$A1186-1,$B$4:$B$2003,$B1186)=$J1186,"OK","CHECK")))</f>
        <v/>
      </c>
      <c r="T1186" s="10" t="str">
        <f aca="false">IF($B1186="","",IFERROR(INDEX(Drinks!$D$4:$D$53,MATCH($B1186,Drinks!$A$4:$A$53,0)),0))</f>
        <v/>
      </c>
    </row>
    <row r="1187" customFormat="false" ht="15" hidden="false" customHeight="false" outlineLevel="0" collapsed="false">
      <c r="A1187" s="22"/>
      <c r="B1187" s="9"/>
      <c r="C1187" s="9"/>
      <c r="D1187" s="9"/>
      <c r="E1187" s="9"/>
      <c r="F1187" s="10" t="str">
        <f aca="false">IF($B1187="","",$C1187+$D1187-$E1187)</f>
        <v/>
      </c>
      <c r="G1187" s="10" t="str">
        <f aca="false">IF($B1187="","",IFERROR(INDEX(Drinks!$C$4:$C$53,MATCH($B1187,Drinks!$A$4:$A$53,0)),0))</f>
        <v/>
      </c>
      <c r="H1187" s="10" t="str">
        <f aca="false">IF($B1187="","",$D1187*$G1187)</f>
        <v/>
      </c>
      <c r="I1187" s="10" t="str">
        <f aca="false">IF($B1187="","",$F1187*$G1187)</f>
        <v/>
      </c>
      <c r="J1187" s="9"/>
      <c r="K1187" s="10" t="str">
        <f aca="false">IF($B1187="","",$E1187*IFERROR(INDEX(Drinks!$B$4:$B$53,MATCH($B1187,Drinks!$A$4:$A$53,0)),0))</f>
        <v/>
      </c>
      <c r="L1187" s="10" t="str">
        <f aca="false">IF($B1187="","",$J1187+$K1187)</f>
        <v/>
      </c>
      <c r="M1187" s="9"/>
      <c r="N1187" s="10" t="str">
        <f aca="false">IF($B1187="","",$L1187-$M1187)</f>
        <v/>
      </c>
      <c r="O1187" s="10" t="str">
        <f aca="false">IF($B1187="","",IFERROR(INDEX(Drinks!$E$4:$E$53,MATCH($B1187,Drinks!$A$4:$A$53,0)),0))</f>
        <v/>
      </c>
      <c r="P1187" s="10" t="str">
        <f aca="false">IF($B1187="","",$N1187*$O1187)</f>
        <v/>
      </c>
      <c r="Q1187" s="10" t="str">
        <f aca="false">IF($B1187="","",$N1187*IFERROR(INDEX(Drinks!$D$4:$D$53,MATCH($B1187,Drinks!$A$4:$A$53,0)),0))</f>
        <v/>
      </c>
      <c r="R1187" s="10" t="str">
        <f aca="false">IF($B1187="","",$P1187-$Q1187)</f>
        <v/>
      </c>
      <c r="S1187" s="23" t="str">
        <f aca="false">IF($B1187="","",IF(COUNTIFS($A$4:$A$2003,$A1187-1,$B$4:$B$2003,$B1187)=0,"first day",IF(SUMIFS($M$4:$M$2003,$A$4:$A$2003,$A1187-1,$B$4:$B$2003,$B1187)=$J1187,"OK","CHECK")))</f>
        <v/>
      </c>
      <c r="T1187" s="10" t="str">
        <f aca="false">IF($B1187="","",IFERROR(INDEX(Drinks!$D$4:$D$53,MATCH($B1187,Drinks!$A$4:$A$53,0)),0))</f>
        <v/>
      </c>
    </row>
    <row r="1188" customFormat="false" ht="15" hidden="false" customHeight="false" outlineLevel="0" collapsed="false">
      <c r="A1188" s="22"/>
      <c r="B1188" s="9"/>
      <c r="C1188" s="9"/>
      <c r="D1188" s="9"/>
      <c r="E1188" s="9"/>
      <c r="F1188" s="10" t="str">
        <f aca="false">IF($B1188="","",$C1188+$D1188-$E1188)</f>
        <v/>
      </c>
      <c r="G1188" s="10" t="str">
        <f aca="false">IF($B1188="","",IFERROR(INDEX(Drinks!$C$4:$C$53,MATCH($B1188,Drinks!$A$4:$A$53,0)),0))</f>
        <v/>
      </c>
      <c r="H1188" s="10" t="str">
        <f aca="false">IF($B1188="","",$D1188*$G1188)</f>
        <v/>
      </c>
      <c r="I1188" s="10" t="str">
        <f aca="false">IF($B1188="","",$F1188*$G1188)</f>
        <v/>
      </c>
      <c r="J1188" s="9"/>
      <c r="K1188" s="10" t="str">
        <f aca="false">IF($B1188="","",$E1188*IFERROR(INDEX(Drinks!$B$4:$B$53,MATCH($B1188,Drinks!$A$4:$A$53,0)),0))</f>
        <v/>
      </c>
      <c r="L1188" s="10" t="str">
        <f aca="false">IF($B1188="","",$J1188+$K1188)</f>
        <v/>
      </c>
      <c r="M1188" s="9"/>
      <c r="N1188" s="10" t="str">
        <f aca="false">IF($B1188="","",$L1188-$M1188)</f>
        <v/>
      </c>
      <c r="O1188" s="10" t="str">
        <f aca="false">IF($B1188="","",IFERROR(INDEX(Drinks!$E$4:$E$53,MATCH($B1188,Drinks!$A$4:$A$53,0)),0))</f>
        <v/>
      </c>
      <c r="P1188" s="10" t="str">
        <f aca="false">IF($B1188="","",$N1188*$O1188)</f>
        <v/>
      </c>
      <c r="Q1188" s="10" t="str">
        <f aca="false">IF($B1188="","",$N1188*IFERROR(INDEX(Drinks!$D$4:$D$53,MATCH($B1188,Drinks!$A$4:$A$53,0)),0))</f>
        <v/>
      </c>
      <c r="R1188" s="10" t="str">
        <f aca="false">IF($B1188="","",$P1188-$Q1188)</f>
        <v/>
      </c>
      <c r="S1188" s="23" t="str">
        <f aca="false">IF($B1188="","",IF(COUNTIFS($A$4:$A$2003,$A1188-1,$B$4:$B$2003,$B1188)=0,"first day",IF(SUMIFS($M$4:$M$2003,$A$4:$A$2003,$A1188-1,$B$4:$B$2003,$B1188)=$J1188,"OK","CHECK")))</f>
        <v/>
      </c>
      <c r="T1188" s="10" t="str">
        <f aca="false">IF($B1188="","",IFERROR(INDEX(Drinks!$D$4:$D$53,MATCH($B1188,Drinks!$A$4:$A$53,0)),0))</f>
        <v/>
      </c>
    </row>
    <row r="1189" customFormat="false" ht="15" hidden="false" customHeight="false" outlineLevel="0" collapsed="false">
      <c r="A1189" s="22"/>
      <c r="B1189" s="9"/>
      <c r="C1189" s="9"/>
      <c r="D1189" s="9"/>
      <c r="E1189" s="9"/>
      <c r="F1189" s="10" t="str">
        <f aca="false">IF($B1189="","",$C1189+$D1189-$E1189)</f>
        <v/>
      </c>
      <c r="G1189" s="10" t="str">
        <f aca="false">IF($B1189="","",IFERROR(INDEX(Drinks!$C$4:$C$53,MATCH($B1189,Drinks!$A$4:$A$53,0)),0))</f>
        <v/>
      </c>
      <c r="H1189" s="10" t="str">
        <f aca="false">IF($B1189="","",$D1189*$G1189)</f>
        <v/>
      </c>
      <c r="I1189" s="10" t="str">
        <f aca="false">IF($B1189="","",$F1189*$G1189)</f>
        <v/>
      </c>
      <c r="J1189" s="9"/>
      <c r="K1189" s="10" t="str">
        <f aca="false">IF($B1189="","",$E1189*IFERROR(INDEX(Drinks!$B$4:$B$53,MATCH($B1189,Drinks!$A$4:$A$53,0)),0))</f>
        <v/>
      </c>
      <c r="L1189" s="10" t="str">
        <f aca="false">IF($B1189="","",$J1189+$K1189)</f>
        <v/>
      </c>
      <c r="M1189" s="9"/>
      <c r="N1189" s="10" t="str">
        <f aca="false">IF($B1189="","",$L1189-$M1189)</f>
        <v/>
      </c>
      <c r="O1189" s="10" t="str">
        <f aca="false">IF($B1189="","",IFERROR(INDEX(Drinks!$E$4:$E$53,MATCH($B1189,Drinks!$A$4:$A$53,0)),0))</f>
        <v/>
      </c>
      <c r="P1189" s="10" t="str">
        <f aca="false">IF($B1189="","",$N1189*$O1189)</f>
        <v/>
      </c>
      <c r="Q1189" s="10" t="str">
        <f aca="false">IF($B1189="","",$N1189*IFERROR(INDEX(Drinks!$D$4:$D$53,MATCH($B1189,Drinks!$A$4:$A$53,0)),0))</f>
        <v/>
      </c>
      <c r="R1189" s="10" t="str">
        <f aca="false">IF($B1189="","",$P1189-$Q1189)</f>
        <v/>
      </c>
      <c r="S1189" s="23" t="str">
        <f aca="false">IF($B1189="","",IF(COUNTIFS($A$4:$A$2003,$A1189-1,$B$4:$B$2003,$B1189)=0,"first day",IF(SUMIFS($M$4:$M$2003,$A$4:$A$2003,$A1189-1,$B$4:$B$2003,$B1189)=$J1189,"OK","CHECK")))</f>
        <v/>
      </c>
      <c r="T1189" s="10" t="str">
        <f aca="false">IF($B1189="","",IFERROR(INDEX(Drinks!$D$4:$D$53,MATCH($B1189,Drinks!$A$4:$A$53,0)),0))</f>
        <v/>
      </c>
    </row>
    <row r="1190" customFormat="false" ht="15" hidden="false" customHeight="false" outlineLevel="0" collapsed="false">
      <c r="A1190" s="22"/>
      <c r="B1190" s="9"/>
      <c r="C1190" s="9"/>
      <c r="D1190" s="9"/>
      <c r="E1190" s="9"/>
      <c r="F1190" s="10" t="str">
        <f aca="false">IF($B1190="","",$C1190+$D1190-$E1190)</f>
        <v/>
      </c>
      <c r="G1190" s="10" t="str">
        <f aca="false">IF($B1190="","",IFERROR(INDEX(Drinks!$C$4:$C$53,MATCH($B1190,Drinks!$A$4:$A$53,0)),0))</f>
        <v/>
      </c>
      <c r="H1190" s="10" t="str">
        <f aca="false">IF($B1190="","",$D1190*$G1190)</f>
        <v/>
      </c>
      <c r="I1190" s="10" t="str">
        <f aca="false">IF($B1190="","",$F1190*$G1190)</f>
        <v/>
      </c>
      <c r="J1190" s="9"/>
      <c r="K1190" s="10" t="str">
        <f aca="false">IF($B1190="","",$E1190*IFERROR(INDEX(Drinks!$B$4:$B$53,MATCH($B1190,Drinks!$A$4:$A$53,0)),0))</f>
        <v/>
      </c>
      <c r="L1190" s="10" t="str">
        <f aca="false">IF($B1190="","",$J1190+$K1190)</f>
        <v/>
      </c>
      <c r="M1190" s="9"/>
      <c r="N1190" s="10" t="str">
        <f aca="false">IF($B1190="","",$L1190-$M1190)</f>
        <v/>
      </c>
      <c r="O1190" s="10" t="str">
        <f aca="false">IF($B1190="","",IFERROR(INDEX(Drinks!$E$4:$E$53,MATCH($B1190,Drinks!$A$4:$A$53,0)),0))</f>
        <v/>
      </c>
      <c r="P1190" s="10" t="str">
        <f aca="false">IF($B1190="","",$N1190*$O1190)</f>
        <v/>
      </c>
      <c r="Q1190" s="10" t="str">
        <f aca="false">IF($B1190="","",$N1190*IFERROR(INDEX(Drinks!$D$4:$D$53,MATCH($B1190,Drinks!$A$4:$A$53,0)),0))</f>
        <v/>
      </c>
      <c r="R1190" s="10" t="str">
        <f aca="false">IF($B1190="","",$P1190-$Q1190)</f>
        <v/>
      </c>
      <c r="S1190" s="23" t="str">
        <f aca="false">IF($B1190="","",IF(COUNTIFS($A$4:$A$2003,$A1190-1,$B$4:$B$2003,$B1190)=0,"first day",IF(SUMIFS($M$4:$M$2003,$A$4:$A$2003,$A1190-1,$B$4:$B$2003,$B1190)=$J1190,"OK","CHECK")))</f>
        <v/>
      </c>
      <c r="T1190" s="10" t="str">
        <f aca="false">IF($B1190="","",IFERROR(INDEX(Drinks!$D$4:$D$53,MATCH($B1190,Drinks!$A$4:$A$53,0)),0))</f>
        <v/>
      </c>
    </row>
    <row r="1191" customFormat="false" ht="15" hidden="false" customHeight="false" outlineLevel="0" collapsed="false">
      <c r="A1191" s="22"/>
      <c r="B1191" s="9"/>
      <c r="C1191" s="9"/>
      <c r="D1191" s="9"/>
      <c r="E1191" s="9"/>
      <c r="F1191" s="10" t="str">
        <f aca="false">IF($B1191="","",$C1191+$D1191-$E1191)</f>
        <v/>
      </c>
      <c r="G1191" s="10" t="str">
        <f aca="false">IF($B1191="","",IFERROR(INDEX(Drinks!$C$4:$C$53,MATCH($B1191,Drinks!$A$4:$A$53,0)),0))</f>
        <v/>
      </c>
      <c r="H1191" s="10" t="str">
        <f aca="false">IF($B1191="","",$D1191*$G1191)</f>
        <v/>
      </c>
      <c r="I1191" s="10" t="str">
        <f aca="false">IF($B1191="","",$F1191*$G1191)</f>
        <v/>
      </c>
      <c r="J1191" s="9"/>
      <c r="K1191" s="10" t="str">
        <f aca="false">IF($B1191="","",$E1191*IFERROR(INDEX(Drinks!$B$4:$B$53,MATCH($B1191,Drinks!$A$4:$A$53,0)),0))</f>
        <v/>
      </c>
      <c r="L1191" s="10" t="str">
        <f aca="false">IF($B1191="","",$J1191+$K1191)</f>
        <v/>
      </c>
      <c r="M1191" s="9"/>
      <c r="N1191" s="10" t="str">
        <f aca="false">IF($B1191="","",$L1191-$M1191)</f>
        <v/>
      </c>
      <c r="O1191" s="10" t="str">
        <f aca="false">IF($B1191="","",IFERROR(INDEX(Drinks!$E$4:$E$53,MATCH($B1191,Drinks!$A$4:$A$53,0)),0))</f>
        <v/>
      </c>
      <c r="P1191" s="10" t="str">
        <f aca="false">IF($B1191="","",$N1191*$O1191)</f>
        <v/>
      </c>
      <c r="Q1191" s="10" t="str">
        <f aca="false">IF($B1191="","",$N1191*IFERROR(INDEX(Drinks!$D$4:$D$53,MATCH($B1191,Drinks!$A$4:$A$53,0)),0))</f>
        <v/>
      </c>
      <c r="R1191" s="10" t="str">
        <f aca="false">IF($B1191="","",$P1191-$Q1191)</f>
        <v/>
      </c>
      <c r="S1191" s="23" t="str">
        <f aca="false">IF($B1191="","",IF(COUNTIFS($A$4:$A$2003,$A1191-1,$B$4:$B$2003,$B1191)=0,"first day",IF(SUMIFS($M$4:$M$2003,$A$4:$A$2003,$A1191-1,$B$4:$B$2003,$B1191)=$J1191,"OK","CHECK")))</f>
        <v/>
      </c>
      <c r="T1191" s="10" t="str">
        <f aca="false">IF($B1191="","",IFERROR(INDEX(Drinks!$D$4:$D$53,MATCH($B1191,Drinks!$A$4:$A$53,0)),0))</f>
        <v/>
      </c>
    </row>
    <row r="1192" customFormat="false" ht="15" hidden="false" customHeight="false" outlineLevel="0" collapsed="false">
      <c r="A1192" s="22"/>
      <c r="B1192" s="9"/>
      <c r="C1192" s="9"/>
      <c r="D1192" s="9"/>
      <c r="E1192" s="9"/>
      <c r="F1192" s="10" t="str">
        <f aca="false">IF($B1192="","",$C1192+$D1192-$E1192)</f>
        <v/>
      </c>
      <c r="G1192" s="10" t="str">
        <f aca="false">IF($B1192="","",IFERROR(INDEX(Drinks!$C$4:$C$53,MATCH($B1192,Drinks!$A$4:$A$53,0)),0))</f>
        <v/>
      </c>
      <c r="H1192" s="10" t="str">
        <f aca="false">IF($B1192="","",$D1192*$G1192)</f>
        <v/>
      </c>
      <c r="I1192" s="10" t="str">
        <f aca="false">IF($B1192="","",$F1192*$G1192)</f>
        <v/>
      </c>
      <c r="J1192" s="9"/>
      <c r="K1192" s="10" t="str">
        <f aca="false">IF($B1192="","",$E1192*IFERROR(INDEX(Drinks!$B$4:$B$53,MATCH($B1192,Drinks!$A$4:$A$53,0)),0))</f>
        <v/>
      </c>
      <c r="L1192" s="10" t="str">
        <f aca="false">IF($B1192="","",$J1192+$K1192)</f>
        <v/>
      </c>
      <c r="M1192" s="9"/>
      <c r="N1192" s="10" t="str">
        <f aca="false">IF($B1192="","",$L1192-$M1192)</f>
        <v/>
      </c>
      <c r="O1192" s="10" t="str">
        <f aca="false">IF($B1192="","",IFERROR(INDEX(Drinks!$E$4:$E$53,MATCH($B1192,Drinks!$A$4:$A$53,0)),0))</f>
        <v/>
      </c>
      <c r="P1192" s="10" t="str">
        <f aca="false">IF($B1192="","",$N1192*$O1192)</f>
        <v/>
      </c>
      <c r="Q1192" s="10" t="str">
        <f aca="false">IF($B1192="","",$N1192*IFERROR(INDEX(Drinks!$D$4:$D$53,MATCH($B1192,Drinks!$A$4:$A$53,0)),0))</f>
        <v/>
      </c>
      <c r="R1192" s="10" t="str">
        <f aca="false">IF($B1192="","",$P1192-$Q1192)</f>
        <v/>
      </c>
      <c r="S1192" s="23" t="str">
        <f aca="false">IF($B1192="","",IF(COUNTIFS($A$4:$A$2003,$A1192-1,$B$4:$B$2003,$B1192)=0,"first day",IF(SUMIFS($M$4:$M$2003,$A$4:$A$2003,$A1192-1,$B$4:$B$2003,$B1192)=$J1192,"OK","CHECK")))</f>
        <v/>
      </c>
      <c r="T1192" s="10" t="str">
        <f aca="false">IF($B1192="","",IFERROR(INDEX(Drinks!$D$4:$D$53,MATCH($B1192,Drinks!$A$4:$A$53,0)),0))</f>
        <v/>
      </c>
    </row>
    <row r="1193" customFormat="false" ht="15" hidden="false" customHeight="false" outlineLevel="0" collapsed="false">
      <c r="A1193" s="22"/>
      <c r="B1193" s="9"/>
      <c r="C1193" s="9"/>
      <c r="D1193" s="9"/>
      <c r="E1193" s="9"/>
      <c r="F1193" s="10" t="str">
        <f aca="false">IF($B1193="","",$C1193+$D1193-$E1193)</f>
        <v/>
      </c>
      <c r="G1193" s="10" t="str">
        <f aca="false">IF($B1193="","",IFERROR(INDEX(Drinks!$C$4:$C$53,MATCH($B1193,Drinks!$A$4:$A$53,0)),0))</f>
        <v/>
      </c>
      <c r="H1193" s="10" t="str">
        <f aca="false">IF($B1193="","",$D1193*$G1193)</f>
        <v/>
      </c>
      <c r="I1193" s="10" t="str">
        <f aca="false">IF($B1193="","",$F1193*$G1193)</f>
        <v/>
      </c>
      <c r="J1193" s="9"/>
      <c r="K1193" s="10" t="str">
        <f aca="false">IF($B1193="","",$E1193*IFERROR(INDEX(Drinks!$B$4:$B$53,MATCH($B1193,Drinks!$A$4:$A$53,0)),0))</f>
        <v/>
      </c>
      <c r="L1193" s="10" t="str">
        <f aca="false">IF($B1193="","",$J1193+$K1193)</f>
        <v/>
      </c>
      <c r="M1193" s="9"/>
      <c r="N1193" s="10" t="str">
        <f aca="false">IF($B1193="","",$L1193-$M1193)</f>
        <v/>
      </c>
      <c r="O1193" s="10" t="str">
        <f aca="false">IF($B1193="","",IFERROR(INDEX(Drinks!$E$4:$E$53,MATCH($B1193,Drinks!$A$4:$A$53,0)),0))</f>
        <v/>
      </c>
      <c r="P1193" s="10" t="str">
        <f aca="false">IF($B1193="","",$N1193*$O1193)</f>
        <v/>
      </c>
      <c r="Q1193" s="10" t="str">
        <f aca="false">IF($B1193="","",$N1193*IFERROR(INDEX(Drinks!$D$4:$D$53,MATCH($B1193,Drinks!$A$4:$A$53,0)),0))</f>
        <v/>
      </c>
      <c r="R1193" s="10" t="str">
        <f aca="false">IF($B1193="","",$P1193-$Q1193)</f>
        <v/>
      </c>
      <c r="S1193" s="23" t="str">
        <f aca="false">IF($B1193="","",IF(COUNTIFS($A$4:$A$2003,$A1193-1,$B$4:$B$2003,$B1193)=0,"first day",IF(SUMIFS($M$4:$M$2003,$A$4:$A$2003,$A1193-1,$B$4:$B$2003,$B1193)=$J1193,"OK","CHECK")))</f>
        <v/>
      </c>
      <c r="T1193" s="10" t="str">
        <f aca="false">IF($B1193="","",IFERROR(INDEX(Drinks!$D$4:$D$53,MATCH($B1193,Drinks!$A$4:$A$53,0)),0))</f>
        <v/>
      </c>
    </row>
    <row r="1194" customFormat="false" ht="15" hidden="false" customHeight="false" outlineLevel="0" collapsed="false">
      <c r="A1194" s="22"/>
      <c r="B1194" s="9"/>
      <c r="C1194" s="9"/>
      <c r="D1194" s="9"/>
      <c r="E1194" s="9"/>
      <c r="F1194" s="10" t="str">
        <f aca="false">IF($B1194="","",$C1194+$D1194-$E1194)</f>
        <v/>
      </c>
      <c r="G1194" s="10" t="str">
        <f aca="false">IF($B1194="","",IFERROR(INDEX(Drinks!$C$4:$C$53,MATCH($B1194,Drinks!$A$4:$A$53,0)),0))</f>
        <v/>
      </c>
      <c r="H1194" s="10" t="str">
        <f aca="false">IF($B1194="","",$D1194*$G1194)</f>
        <v/>
      </c>
      <c r="I1194" s="10" t="str">
        <f aca="false">IF($B1194="","",$F1194*$G1194)</f>
        <v/>
      </c>
      <c r="J1194" s="9"/>
      <c r="K1194" s="10" t="str">
        <f aca="false">IF($B1194="","",$E1194*IFERROR(INDEX(Drinks!$B$4:$B$53,MATCH($B1194,Drinks!$A$4:$A$53,0)),0))</f>
        <v/>
      </c>
      <c r="L1194" s="10" t="str">
        <f aca="false">IF($B1194="","",$J1194+$K1194)</f>
        <v/>
      </c>
      <c r="M1194" s="9"/>
      <c r="N1194" s="10" t="str">
        <f aca="false">IF($B1194="","",$L1194-$M1194)</f>
        <v/>
      </c>
      <c r="O1194" s="10" t="str">
        <f aca="false">IF($B1194="","",IFERROR(INDEX(Drinks!$E$4:$E$53,MATCH($B1194,Drinks!$A$4:$A$53,0)),0))</f>
        <v/>
      </c>
      <c r="P1194" s="10" t="str">
        <f aca="false">IF($B1194="","",$N1194*$O1194)</f>
        <v/>
      </c>
      <c r="Q1194" s="10" t="str">
        <f aca="false">IF($B1194="","",$N1194*IFERROR(INDEX(Drinks!$D$4:$D$53,MATCH($B1194,Drinks!$A$4:$A$53,0)),0))</f>
        <v/>
      </c>
      <c r="R1194" s="10" t="str">
        <f aca="false">IF($B1194="","",$P1194-$Q1194)</f>
        <v/>
      </c>
      <c r="S1194" s="23" t="str">
        <f aca="false">IF($B1194="","",IF(COUNTIFS($A$4:$A$2003,$A1194-1,$B$4:$B$2003,$B1194)=0,"first day",IF(SUMIFS($M$4:$M$2003,$A$4:$A$2003,$A1194-1,$B$4:$B$2003,$B1194)=$J1194,"OK","CHECK")))</f>
        <v/>
      </c>
      <c r="T1194" s="10" t="str">
        <f aca="false">IF($B1194="","",IFERROR(INDEX(Drinks!$D$4:$D$53,MATCH($B1194,Drinks!$A$4:$A$53,0)),0))</f>
        <v/>
      </c>
    </row>
    <row r="1195" customFormat="false" ht="15" hidden="false" customHeight="false" outlineLevel="0" collapsed="false">
      <c r="A1195" s="22"/>
      <c r="B1195" s="9"/>
      <c r="C1195" s="9"/>
      <c r="D1195" s="9"/>
      <c r="E1195" s="9"/>
      <c r="F1195" s="10" t="str">
        <f aca="false">IF($B1195="","",$C1195+$D1195-$E1195)</f>
        <v/>
      </c>
      <c r="G1195" s="10" t="str">
        <f aca="false">IF($B1195="","",IFERROR(INDEX(Drinks!$C$4:$C$53,MATCH($B1195,Drinks!$A$4:$A$53,0)),0))</f>
        <v/>
      </c>
      <c r="H1195" s="10" t="str">
        <f aca="false">IF($B1195="","",$D1195*$G1195)</f>
        <v/>
      </c>
      <c r="I1195" s="10" t="str">
        <f aca="false">IF($B1195="","",$F1195*$G1195)</f>
        <v/>
      </c>
      <c r="J1195" s="9"/>
      <c r="K1195" s="10" t="str">
        <f aca="false">IF($B1195="","",$E1195*IFERROR(INDEX(Drinks!$B$4:$B$53,MATCH($B1195,Drinks!$A$4:$A$53,0)),0))</f>
        <v/>
      </c>
      <c r="L1195" s="10" t="str">
        <f aca="false">IF($B1195="","",$J1195+$K1195)</f>
        <v/>
      </c>
      <c r="M1195" s="9"/>
      <c r="N1195" s="10" t="str">
        <f aca="false">IF($B1195="","",$L1195-$M1195)</f>
        <v/>
      </c>
      <c r="O1195" s="10" t="str">
        <f aca="false">IF($B1195="","",IFERROR(INDEX(Drinks!$E$4:$E$53,MATCH($B1195,Drinks!$A$4:$A$53,0)),0))</f>
        <v/>
      </c>
      <c r="P1195" s="10" t="str">
        <f aca="false">IF($B1195="","",$N1195*$O1195)</f>
        <v/>
      </c>
      <c r="Q1195" s="10" t="str">
        <f aca="false">IF($B1195="","",$N1195*IFERROR(INDEX(Drinks!$D$4:$D$53,MATCH($B1195,Drinks!$A$4:$A$53,0)),0))</f>
        <v/>
      </c>
      <c r="R1195" s="10" t="str">
        <f aca="false">IF($B1195="","",$P1195-$Q1195)</f>
        <v/>
      </c>
      <c r="S1195" s="23" t="str">
        <f aca="false">IF($B1195="","",IF(COUNTIFS($A$4:$A$2003,$A1195-1,$B$4:$B$2003,$B1195)=0,"first day",IF(SUMIFS($M$4:$M$2003,$A$4:$A$2003,$A1195-1,$B$4:$B$2003,$B1195)=$J1195,"OK","CHECK")))</f>
        <v/>
      </c>
      <c r="T1195" s="10" t="str">
        <f aca="false">IF($B1195="","",IFERROR(INDEX(Drinks!$D$4:$D$53,MATCH($B1195,Drinks!$A$4:$A$53,0)),0))</f>
        <v/>
      </c>
    </row>
    <row r="1196" customFormat="false" ht="15" hidden="false" customHeight="false" outlineLevel="0" collapsed="false">
      <c r="A1196" s="22"/>
      <c r="B1196" s="9"/>
      <c r="C1196" s="9"/>
      <c r="D1196" s="9"/>
      <c r="E1196" s="9"/>
      <c r="F1196" s="10" t="str">
        <f aca="false">IF($B1196="","",$C1196+$D1196-$E1196)</f>
        <v/>
      </c>
      <c r="G1196" s="10" t="str">
        <f aca="false">IF($B1196="","",IFERROR(INDEX(Drinks!$C$4:$C$53,MATCH($B1196,Drinks!$A$4:$A$53,0)),0))</f>
        <v/>
      </c>
      <c r="H1196" s="10" t="str">
        <f aca="false">IF($B1196="","",$D1196*$G1196)</f>
        <v/>
      </c>
      <c r="I1196" s="10" t="str">
        <f aca="false">IF($B1196="","",$F1196*$G1196)</f>
        <v/>
      </c>
      <c r="J1196" s="9"/>
      <c r="K1196" s="10" t="str">
        <f aca="false">IF($B1196="","",$E1196*IFERROR(INDEX(Drinks!$B$4:$B$53,MATCH($B1196,Drinks!$A$4:$A$53,0)),0))</f>
        <v/>
      </c>
      <c r="L1196" s="10" t="str">
        <f aca="false">IF($B1196="","",$J1196+$K1196)</f>
        <v/>
      </c>
      <c r="M1196" s="9"/>
      <c r="N1196" s="10" t="str">
        <f aca="false">IF($B1196="","",$L1196-$M1196)</f>
        <v/>
      </c>
      <c r="O1196" s="10" t="str">
        <f aca="false">IF($B1196="","",IFERROR(INDEX(Drinks!$E$4:$E$53,MATCH($B1196,Drinks!$A$4:$A$53,0)),0))</f>
        <v/>
      </c>
      <c r="P1196" s="10" t="str">
        <f aca="false">IF($B1196="","",$N1196*$O1196)</f>
        <v/>
      </c>
      <c r="Q1196" s="10" t="str">
        <f aca="false">IF($B1196="","",$N1196*IFERROR(INDEX(Drinks!$D$4:$D$53,MATCH($B1196,Drinks!$A$4:$A$53,0)),0))</f>
        <v/>
      </c>
      <c r="R1196" s="10" t="str">
        <f aca="false">IF($B1196="","",$P1196-$Q1196)</f>
        <v/>
      </c>
      <c r="S1196" s="23" t="str">
        <f aca="false">IF($B1196="","",IF(COUNTIFS($A$4:$A$2003,$A1196-1,$B$4:$B$2003,$B1196)=0,"first day",IF(SUMIFS($M$4:$M$2003,$A$4:$A$2003,$A1196-1,$B$4:$B$2003,$B1196)=$J1196,"OK","CHECK")))</f>
        <v/>
      </c>
      <c r="T1196" s="10" t="str">
        <f aca="false">IF($B1196="","",IFERROR(INDEX(Drinks!$D$4:$D$53,MATCH($B1196,Drinks!$A$4:$A$53,0)),0))</f>
        <v/>
      </c>
    </row>
    <row r="1197" customFormat="false" ht="15" hidden="false" customHeight="false" outlineLevel="0" collapsed="false">
      <c r="A1197" s="22"/>
      <c r="B1197" s="9"/>
      <c r="C1197" s="9"/>
      <c r="D1197" s="9"/>
      <c r="E1197" s="9"/>
      <c r="F1197" s="10" t="str">
        <f aca="false">IF($B1197="","",$C1197+$D1197-$E1197)</f>
        <v/>
      </c>
      <c r="G1197" s="10" t="str">
        <f aca="false">IF($B1197="","",IFERROR(INDEX(Drinks!$C$4:$C$53,MATCH($B1197,Drinks!$A$4:$A$53,0)),0))</f>
        <v/>
      </c>
      <c r="H1197" s="10" t="str">
        <f aca="false">IF($B1197="","",$D1197*$G1197)</f>
        <v/>
      </c>
      <c r="I1197" s="10" t="str">
        <f aca="false">IF($B1197="","",$F1197*$G1197)</f>
        <v/>
      </c>
      <c r="J1197" s="9"/>
      <c r="K1197" s="10" t="str">
        <f aca="false">IF($B1197="","",$E1197*IFERROR(INDEX(Drinks!$B$4:$B$53,MATCH($B1197,Drinks!$A$4:$A$53,0)),0))</f>
        <v/>
      </c>
      <c r="L1197" s="10" t="str">
        <f aca="false">IF($B1197="","",$J1197+$K1197)</f>
        <v/>
      </c>
      <c r="M1197" s="9"/>
      <c r="N1197" s="10" t="str">
        <f aca="false">IF($B1197="","",$L1197-$M1197)</f>
        <v/>
      </c>
      <c r="O1197" s="10" t="str">
        <f aca="false">IF($B1197="","",IFERROR(INDEX(Drinks!$E$4:$E$53,MATCH($B1197,Drinks!$A$4:$A$53,0)),0))</f>
        <v/>
      </c>
      <c r="P1197" s="10" t="str">
        <f aca="false">IF($B1197="","",$N1197*$O1197)</f>
        <v/>
      </c>
      <c r="Q1197" s="10" t="str">
        <f aca="false">IF($B1197="","",$N1197*IFERROR(INDEX(Drinks!$D$4:$D$53,MATCH($B1197,Drinks!$A$4:$A$53,0)),0))</f>
        <v/>
      </c>
      <c r="R1197" s="10" t="str">
        <f aca="false">IF($B1197="","",$P1197-$Q1197)</f>
        <v/>
      </c>
      <c r="S1197" s="23" t="str">
        <f aca="false">IF($B1197="","",IF(COUNTIFS($A$4:$A$2003,$A1197-1,$B$4:$B$2003,$B1197)=0,"first day",IF(SUMIFS($M$4:$M$2003,$A$4:$A$2003,$A1197-1,$B$4:$B$2003,$B1197)=$J1197,"OK","CHECK")))</f>
        <v/>
      </c>
      <c r="T1197" s="10" t="str">
        <f aca="false">IF($B1197="","",IFERROR(INDEX(Drinks!$D$4:$D$53,MATCH($B1197,Drinks!$A$4:$A$53,0)),0))</f>
        <v/>
      </c>
    </row>
    <row r="1198" customFormat="false" ht="15" hidden="false" customHeight="false" outlineLevel="0" collapsed="false">
      <c r="A1198" s="22"/>
      <c r="B1198" s="9"/>
      <c r="C1198" s="9"/>
      <c r="D1198" s="9"/>
      <c r="E1198" s="9"/>
      <c r="F1198" s="10" t="str">
        <f aca="false">IF($B1198="","",$C1198+$D1198-$E1198)</f>
        <v/>
      </c>
      <c r="G1198" s="10" t="str">
        <f aca="false">IF($B1198="","",IFERROR(INDEX(Drinks!$C$4:$C$53,MATCH($B1198,Drinks!$A$4:$A$53,0)),0))</f>
        <v/>
      </c>
      <c r="H1198" s="10" t="str">
        <f aca="false">IF($B1198="","",$D1198*$G1198)</f>
        <v/>
      </c>
      <c r="I1198" s="10" t="str">
        <f aca="false">IF($B1198="","",$F1198*$G1198)</f>
        <v/>
      </c>
      <c r="J1198" s="9"/>
      <c r="K1198" s="10" t="str">
        <f aca="false">IF($B1198="","",$E1198*IFERROR(INDEX(Drinks!$B$4:$B$53,MATCH($B1198,Drinks!$A$4:$A$53,0)),0))</f>
        <v/>
      </c>
      <c r="L1198" s="10" t="str">
        <f aca="false">IF($B1198="","",$J1198+$K1198)</f>
        <v/>
      </c>
      <c r="M1198" s="9"/>
      <c r="N1198" s="10" t="str">
        <f aca="false">IF($B1198="","",$L1198-$M1198)</f>
        <v/>
      </c>
      <c r="O1198" s="10" t="str">
        <f aca="false">IF($B1198="","",IFERROR(INDEX(Drinks!$E$4:$E$53,MATCH($B1198,Drinks!$A$4:$A$53,0)),0))</f>
        <v/>
      </c>
      <c r="P1198" s="10" t="str">
        <f aca="false">IF($B1198="","",$N1198*$O1198)</f>
        <v/>
      </c>
      <c r="Q1198" s="10" t="str">
        <f aca="false">IF($B1198="","",$N1198*IFERROR(INDEX(Drinks!$D$4:$D$53,MATCH($B1198,Drinks!$A$4:$A$53,0)),0))</f>
        <v/>
      </c>
      <c r="R1198" s="10" t="str">
        <f aca="false">IF($B1198="","",$P1198-$Q1198)</f>
        <v/>
      </c>
      <c r="S1198" s="23" t="str">
        <f aca="false">IF($B1198="","",IF(COUNTIFS($A$4:$A$2003,$A1198-1,$B$4:$B$2003,$B1198)=0,"first day",IF(SUMIFS($M$4:$M$2003,$A$4:$A$2003,$A1198-1,$B$4:$B$2003,$B1198)=$J1198,"OK","CHECK")))</f>
        <v/>
      </c>
      <c r="T1198" s="10" t="str">
        <f aca="false">IF($B1198="","",IFERROR(INDEX(Drinks!$D$4:$D$53,MATCH($B1198,Drinks!$A$4:$A$53,0)),0))</f>
        <v/>
      </c>
    </row>
    <row r="1199" customFormat="false" ht="15" hidden="false" customHeight="false" outlineLevel="0" collapsed="false">
      <c r="A1199" s="22"/>
      <c r="B1199" s="9"/>
      <c r="C1199" s="9"/>
      <c r="D1199" s="9"/>
      <c r="E1199" s="9"/>
      <c r="F1199" s="10" t="str">
        <f aca="false">IF($B1199="","",$C1199+$D1199-$E1199)</f>
        <v/>
      </c>
      <c r="G1199" s="10" t="str">
        <f aca="false">IF($B1199="","",IFERROR(INDEX(Drinks!$C$4:$C$53,MATCH($B1199,Drinks!$A$4:$A$53,0)),0))</f>
        <v/>
      </c>
      <c r="H1199" s="10" t="str">
        <f aca="false">IF($B1199="","",$D1199*$G1199)</f>
        <v/>
      </c>
      <c r="I1199" s="10" t="str">
        <f aca="false">IF($B1199="","",$F1199*$G1199)</f>
        <v/>
      </c>
      <c r="J1199" s="9"/>
      <c r="K1199" s="10" t="str">
        <f aca="false">IF($B1199="","",$E1199*IFERROR(INDEX(Drinks!$B$4:$B$53,MATCH($B1199,Drinks!$A$4:$A$53,0)),0))</f>
        <v/>
      </c>
      <c r="L1199" s="10" t="str">
        <f aca="false">IF($B1199="","",$J1199+$K1199)</f>
        <v/>
      </c>
      <c r="M1199" s="9"/>
      <c r="N1199" s="10" t="str">
        <f aca="false">IF($B1199="","",$L1199-$M1199)</f>
        <v/>
      </c>
      <c r="O1199" s="10" t="str">
        <f aca="false">IF($B1199="","",IFERROR(INDEX(Drinks!$E$4:$E$53,MATCH($B1199,Drinks!$A$4:$A$53,0)),0))</f>
        <v/>
      </c>
      <c r="P1199" s="10" t="str">
        <f aca="false">IF($B1199="","",$N1199*$O1199)</f>
        <v/>
      </c>
      <c r="Q1199" s="10" t="str">
        <f aca="false">IF($B1199="","",$N1199*IFERROR(INDEX(Drinks!$D$4:$D$53,MATCH($B1199,Drinks!$A$4:$A$53,0)),0))</f>
        <v/>
      </c>
      <c r="R1199" s="10" t="str">
        <f aca="false">IF($B1199="","",$P1199-$Q1199)</f>
        <v/>
      </c>
      <c r="S1199" s="23" t="str">
        <f aca="false">IF($B1199="","",IF(COUNTIFS($A$4:$A$2003,$A1199-1,$B$4:$B$2003,$B1199)=0,"first day",IF(SUMIFS($M$4:$M$2003,$A$4:$A$2003,$A1199-1,$B$4:$B$2003,$B1199)=$J1199,"OK","CHECK")))</f>
        <v/>
      </c>
      <c r="T1199" s="10" t="str">
        <f aca="false">IF($B1199="","",IFERROR(INDEX(Drinks!$D$4:$D$53,MATCH($B1199,Drinks!$A$4:$A$53,0)),0))</f>
        <v/>
      </c>
    </row>
    <row r="1200" customFormat="false" ht="15" hidden="false" customHeight="false" outlineLevel="0" collapsed="false">
      <c r="A1200" s="22"/>
      <c r="B1200" s="9"/>
      <c r="C1200" s="9"/>
      <c r="D1200" s="9"/>
      <c r="E1200" s="9"/>
      <c r="F1200" s="10" t="str">
        <f aca="false">IF($B1200="","",$C1200+$D1200-$E1200)</f>
        <v/>
      </c>
      <c r="G1200" s="10" t="str">
        <f aca="false">IF($B1200="","",IFERROR(INDEX(Drinks!$C$4:$C$53,MATCH($B1200,Drinks!$A$4:$A$53,0)),0))</f>
        <v/>
      </c>
      <c r="H1200" s="10" t="str">
        <f aca="false">IF($B1200="","",$D1200*$G1200)</f>
        <v/>
      </c>
      <c r="I1200" s="10" t="str">
        <f aca="false">IF($B1200="","",$F1200*$G1200)</f>
        <v/>
      </c>
      <c r="J1200" s="9"/>
      <c r="K1200" s="10" t="str">
        <f aca="false">IF($B1200="","",$E1200*IFERROR(INDEX(Drinks!$B$4:$B$53,MATCH($B1200,Drinks!$A$4:$A$53,0)),0))</f>
        <v/>
      </c>
      <c r="L1200" s="10" t="str">
        <f aca="false">IF($B1200="","",$J1200+$K1200)</f>
        <v/>
      </c>
      <c r="M1200" s="9"/>
      <c r="N1200" s="10" t="str">
        <f aca="false">IF($B1200="","",$L1200-$M1200)</f>
        <v/>
      </c>
      <c r="O1200" s="10" t="str">
        <f aca="false">IF($B1200="","",IFERROR(INDEX(Drinks!$E$4:$E$53,MATCH($B1200,Drinks!$A$4:$A$53,0)),0))</f>
        <v/>
      </c>
      <c r="P1200" s="10" t="str">
        <f aca="false">IF($B1200="","",$N1200*$O1200)</f>
        <v/>
      </c>
      <c r="Q1200" s="10" t="str">
        <f aca="false">IF($B1200="","",$N1200*IFERROR(INDEX(Drinks!$D$4:$D$53,MATCH($B1200,Drinks!$A$4:$A$53,0)),0))</f>
        <v/>
      </c>
      <c r="R1200" s="10" t="str">
        <f aca="false">IF($B1200="","",$P1200-$Q1200)</f>
        <v/>
      </c>
      <c r="S1200" s="23" t="str">
        <f aca="false">IF($B1200="","",IF(COUNTIFS($A$4:$A$2003,$A1200-1,$B$4:$B$2003,$B1200)=0,"first day",IF(SUMIFS($M$4:$M$2003,$A$4:$A$2003,$A1200-1,$B$4:$B$2003,$B1200)=$J1200,"OK","CHECK")))</f>
        <v/>
      </c>
      <c r="T1200" s="10" t="str">
        <f aca="false">IF($B1200="","",IFERROR(INDEX(Drinks!$D$4:$D$53,MATCH($B1200,Drinks!$A$4:$A$53,0)),0))</f>
        <v/>
      </c>
    </row>
    <row r="1201" customFormat="false" ht="15" hidden="false" customHeight="false" outlineLevel="0" collapsed="false">
      <c r="A1201" s="22"/>
      <c r="B1201" s="9"/>
      <c r="C1201" s="9"/>
      <c r="D1201" s="9"/>
      <c r="E1201" s="9"/>
      <c r="F1201" s="10" t="str">
        <f aca="false">IF($B1201="","",$C1201+$D1201-$E1201)</f>
        <v/>
      </c>
      <c r="G1201" s="10" t="str">
        <f aca="false">IF($B1201="","",IFERROR(INDEX(Drinks!$C$4:$C$53,MATCH($B1201,Drinks!$A$4:$A$53,0)),0))</f>
        <v/>
      </c>
      <c r="H1201" s="10" t="str">
        <f aca="false">IF($B1201="","",$D1201*$G1201)</f>
        <v/>
      </c>
      <c r="I1201" s="10" t="str">
        <f aca="false">IF($B1201="","",$F1201*$G1201)</f>
        <v/>
      </c>
      <c r="J1201" s="9"/>
      <c r="K1201" s="10" t="str">
        <f aca="false">IF($B1201="","",$E1201*IFERROR(INDEX(Drinks!$B$4:$B$53,MATCH($B1201,Drinks!$A$4:$A$53,0)),0))</f>
        <v/>
      </c>
      <c r="L1201" s="10" t="str">
        <f aca="false">IF($B1201="","",$J1201+$K1201)</f>
        <v/>
      </c>
      <c r="M1201" s="9"/>
      <c r="N1201" s="10" t="str">
        <f aca="false">IF($B1201="","",$L1201-$M1201)</f>
        <v/>
      </c>
      <c r="O1201" s="10" t="str">
        <f aca="false">IF($B1201="","",IFERROR(INDEX(Drinks!$E$4:$E$53,MATCH($B1201,Drinks!$A$4:$A$53,0)),0))</f>
        <v/>
      </c>
      <c r="P1201" s="10" t="str">
        <f aca="false">IF($B1201="","",$N1201*$O1201)</f>
        <v/>
      </c>
      <c r="Q1201" s="10" t="str">
        <f aca="false">IF($B1201="","",$N1201*IFERROR(INDEX(Drinks!$D$4:$D$53,MATCH($B1201,Drinks!$A$4:$A$53,0)),0))</f>
        <v/>
      </c>
      <c r="R1201" s="10" t="str">
        <f aca="false">IF($B1201="","",$P1201-$Q1201)</f>
        <v/>
      </c>
      <c r="S1201" s="23" t="str">
        <f aca="false">IF($B1201="","",IF(COUNTIFS($A$4:$A$2003,$A1201-1,$B$4:$B$2003,$B1201)=0,"first day",IF(SUMIFS($M$4:$M$2003,$A$4:$A$2003,$A1201-1,$B$4:$B$2003,$B1201)=$J1201,"OK","CHECK")))</f>
        <v/>
      </c>
      <c r="T1201" s="10" t="str">
        <f aca="false">IF($B1201="","",IFERROR(INDEX(Drinks!$D$4:$D$53,MATCH($B1201,Drinks!$A$4:$A$53,0)),0))</f>
        <v/>
      </c>
    </row>
    <row r="1202" customFormat="false" ht="15" hidden="false" customHeight="false" outlineLevel="0" collapsed="false">
      <c r="A1202" s="22"/>
      <c r="B1202" s="9"/>
      <c r="C1202" s="9"/>
      <c r="D1202" s="9"/>
      <c r="E1202" s="9"/>
      <c r="F1202" s="10" t="str">
        <f aca="false">IF($B1202="","",$C1202+$D1202-$E1202)</f>
        <v/>
      </c>
      <c r="G1202" s="10" t="str">
        <f aca="false">IF($B1202="","",IFERROR(INDEX(Drinks!$C$4:$C$53,MATCH($B1202,Drinks!$A$4:$A$53,0)),0))</f>
        <v/>
      </c>
      <c r="H1202" s="10" t="str">
        <f aca="false">IF($B1202="","",$D1202*$G1202)</f>
        <v/>
      </c>
      <c r="I1202" s="10" t="str">
        <f aca="false">IF($B1202="","",$F1202*$G1202)</f>
        <v/>
      </c>
      <c r="J1202" s="9"/>
      <c r="K1202" s="10" t="str">
        <f aca="false">IF($B1202="","",$E1202*IFERROR(INDEX(Drinks!$B$4:$B$53,MATCH($B1202,Drinks!$A$4:$A$53,0)),0))</f>
        <v/>
      </c>
      <c r="L1202" s="10" t="str">
        <f aca="false">IF($B1202="","",$J1202+$K1202)</f>
        <v/>
      </c>
      <c r="M1202" s="9"/>
      <c r="N1202" s="10" t="str">
        <f aca="false">IF($B1202="","",$L1202-$M1202)</f>
        <v/>
      </c>
      <c r="O1202" s="10" t="str">
        <f aca="false">IF($B1202="","",IFERROR(INDEX(Drinks!$E$4:$E$53,MATCH($B1202,Drinks!$A$4:$A$53,0)),0))</f>
        <v/>
      </c>
      <c r="P1202" s="10" t="str">
        <f aca="false">IF($B1202="","",$N1202*$O1202)</f>
        <v/>
      </c>
      <c r="Q1202" s="10" t="str">
        <f aca="false">IF($B1202="","",$N1202*IFERROR(INDEX(Drinks!$D$4:$D$53,MATCH($B1202,Drinks!$A$4:$A$53,0)),0))</f>
        <v/>
      </c>
      <c r="R1202" s="10" t="str">
        <f aca="false">IF($B1202="","",$P1202-$Q1202)</f>
        <v/>
      </c>
      <c r="S1202" s="23" t="str">
        <f aca="false">IF($B1202="","",IF(COUNTIFS($A$4:$A$2003,$A1202-1,$B$4:$B$2003,$B1202)=0,"first day",IF(SUMIFS($M$4:$M$2003,$A$4:$A$2003,$A1202-1,$B$4:$B$2003,$B1202)=$J1202,"OK","CHECK")))</f>
        <v/>
      </c>
      <c r="T1202" s="10" t="str">
        <f aca="false">IF($B1202="","",IFERROR(INDEX(Drinks!$D$4:$D$53,MATCH($B1202,Drinks!$A$4:$A$53,0)),0))</f>
        <v/>
      </c>
    </row>
    <row r="1203" customFormat="false" ht="15" hidden="false" customHeight="false" outlineLevel="0" collapsed="false">
      <c r="A1203" s="22"/>
      <c r="B1203" s="9"/>
      <c r="C1203" s="9"/>
      <c r="D1203" s="9"/>
      <c r="E1203" s="9"/>
      <c r="F1203" s="10" t="str">
        <f aca="false">IF($B1203="","",$C1203+$D1203-$E1203)</f>
        <v/>
      </c>
      <c r="G1203" s="10" t="str">
        <f aca="false">IF($B1203="","",IFERROR(INDEX(Drinks!$C$4:$C$53,MATCH($B1203,Drinks!$A$4:$A$53,0)),0))</f>
        <v/>
      </c>
      <c r="H1203" s="10" t="str">
        <f aca="false">IF($B1203="","",$D1203*$G1203)</f>
        <v/>
      </c>
      <c r="I1203" s="10" t="str">
        <f aca="false">IF($B1203="","",$F1203*$G1203)</f>
        <v/>
      </c>
      <c r="J1203" s="9"/>
      <c r="K1203" s="10" t="str">
        <f aca="false">IF($B1203="","",$E1203*IFERROR(INDEX(Drinks!$B$4:$B$53,MATCH($B1203,Drinks!$A$4:$A$53,0)),0))</f>
        <v/>
      </c>
      <c r="L1203" s="10" t="str">
        <f aca="false">IF($B1203="","",$J1203+$K1203)</f>
        <v/>
      </c>
      <c r="M1203" s="9"/>
      <c r="N1203" s="10" t="str">
        <f aca="false">IF($B1203="","",$L1203-$M1203)</f>
        <v/>
      </c>
      <c r="O1203" s="10" t="str">
        <f aca="false">IF($B1203="","",IFERROR(INDEX(Drinks!$E$4:$E$53,MATCH($B1203,Drinks!$A$4:$A$53,0)),0))</f>
        <v/>
      </c>
      <c r="P1203" s="10" t="str">
        <f aca="false">IF($B1203="","",$N1203*$O1203)</f>
        <v/>
      </c>
      <c r="Q1203" s="10" t="str">
        <f aca="false">IF($B1203="","",$N1203*IFERROR(INDEX(Drinks!$D$4:$D$53,MATCH($B1203,Drinks!$A$4:$A$53,0)),0))</f>
        <v/>
      </c>
      <c r="R1203" s="10" t="str">
        <f aca="false">IF($B1203="","",$P1203-$Q1203)</f>
        <v/>
      </c>
      <c r="S1203" s="23" t="str">
        <f aca="false">IF($B1203="","",IF(COUNTIFS($A$4:$A$2003,$A1203-1,$B$4:$B$2003,$B1203)=0,"first day",IF(SUMIFS($M$4:$M$2003,$A$4:$A$2003,$A1203-1,$B$4:$B$2003,$B1203)=$J1203,"OK","CHECK")))</f>
        <v/>
      </c>
      <c r="T1203" s="10" t="str">
        <f aca="false">IF($B1203="","",IFERROR(INDEX(Drinks!$D$4:$D$53,MATCH($B1203,Drinks!$A$4:$A$53,0)),0))</f>
        <v/>
      </c>
    </row>
    <row r="1204" customFormat="false" ht="15" hidden="false" customHeight="false" outlineLevel="0" collapsed="false">
      <c r="A1204" s="22"/>
      <c r="B1204" s="9"/>
      <c r="C1204" s="9"/>
      <c r="D1204" s="9"/>
      <c r="E1204" s="9"/>
      <c r="F1204" s="10" t="str">
        <f aca="false">IF($B1204="","",$C1204+$D1204-$E1204)</f>
        <v/>
      </c>
      <c r="G1204" s="10" t="str">
        <f aca="false">IF($B1204="","",IFERROR(INDEX(Drinks!$C$4:$C$53,MATCH($B1204,Drinks!$A$4:$A$53,0)),0))</f>
        <v/>
      </c>
      <c r="H1204" s="10" t="str">
        <f aca="false">IF($B1204="","",$D1204*$G1204)</f>
        <v/>
      </c>
      <c r="I1204" s="10" t="str">
        <f aca="false">IF($B1204="","",$F1204*$G1204)</f>
        <v/>
      </c>
      <c r="J1204" s="9"/>
      <c r="K1204" s="10" t="str">
        <f aca="false">IF($B1204="","",$E1204*IFERROR(INDEX(Drinks!$B$4:$B$53,MATCH($B1204,Drinks!$A$4:$A$53,0)),0))</f>
        <v/>
      </c>
      <c r="L1204" s="10" t="str">
        <f aca="false">IF($B1204="","",$J1204+$K1204)</f>
        <v/>
      </c>
      <c r="M1204" s="9"/>
      <c r="N1204" s="10" t="str">
        <f aca="false">IF($B1204="","",$L1204-$M1204)</f>
        <v/>
      </c>
      <c r="O1204" s="10" t="str">
        <f aca="false">IF($B1204="","",IFERROR(INDEX(Drinks!$E$4:$E$53,MATCH($B1204,Drinks!$A$4:$A$53,0)),0))</f>
        <v/>
      </c>
      <c r="P1204" s="10" t="str">
        <f aca="false">IF($B1204="","",$N1204*$O1204)</f>
        <v/>
      </c>
      <c r="Q1204" s="10" t="str">
        <f aca="false">IF($B1204="","",$N1204*IFERROR(INDEX(Drinks!$D$4:$D$53,MATCH($B1204,Drinks!$A$4:$A$53,0)),0))</f>
        <v/>
      </c>
      <c r="R1204" s="10" t="str">
        <f aca="false">IF($B1204="","",$P1204-$Q1204)</f>
        <v/>
      </c>
      <c r="S1204" s="23" t="str">
        <f aca="false">IF($B1204="","",IF(COUNTIFS($A$4:$A$2003,$A1204-1,$B$4:$B$2003,$B1204)=0,"first day",IF(SUMIFS($M$4:$M$2003,$A$4:$A$2003,$A1204-1,$B$4:$B$2003,$B1204)=$J1204,"OK","CHECK")))</f>
        <v/>
      </c>
      <c r="T1204" s="10" t="str">
        <f aca="false">IF($B1204="","",IFERROR(INDEX(Drinks!$D$4:$D$53,MATCH($B1204,Drinks!$A$4:$A$53,0)),0))</f>
        <v/>
      </c>
    </row>
    <row r="1205" customFormat="false" ht="15" hidden="false" customHeight="false" outlineLevel="0" collapsed="false">
      <c r="A1205" s="22"/>
      <c r="B1205" s="9"/>
      <c r="C1205" s="9"/>
      <c r="D1205" s="9"/>
      <c r="E1205" s="9"/>
      <c r="F1205" s="10" t="str">
        <f aca="false">IF($B1205="","",$C1205+$D1205-$E1205)</f>
        <v/>
      </c>
      <c r="G1205" s="10" t="str">
        <f aca="false">IF($B1205="","",IFERROR(INDEX(Drinks!$C$4:$C$53,MATCH($B1205,Drinks!$A$4:$A$53,0)),0))</f>
        <v/>
      </c>
      <c r="H1205" s="10" t="str">
        <f aca="false">IF($B1205="","",$D1205*$G1205)</f>
        <v/>
      </c>
      <c r="I1205" s="10" t="str">
        <f aca="false">IF($B1205="","",$F1205*$G1205)</f>
        <v/>
      </c>
      <c r="J1205" s="9"/>
      <c r="K1205" s="10" t="str">
        <f aca="false">IF($B1205="","",$E1205*IFERROR(INDEX(Drinks!$B$4:$B$53,MATCH($B1205,Drinks!$A$4:$A$53,0)),0))</f>
        <v/>
      </c>
      <c r="L1205" s="10" t="str">
        <f aca="false">IF($B1205="","",$J1205+$K1205)</f>
        <v/>
      </c>
      <c r="M1205" s="9"/>
      <c r="N1205" s="10" t="str">
        <f aca="false">IF($B1205="","",$L1205-$M1205)</f>
        <v/>
      </c>
      <c r="O1205" s="10" t="str">
        <f aca="false">IF($B1205="","",IFERROR(INDEX(Drinks!$E$4:$E$53,MATCH($B1205,Drinks!$A$4:$A$53,0)),0))</f>
        <v/>
      </c>
      <c r="P1205" s="10" t="str">
        <f aca="false">IF($B1205="","",$N1205*$O1205)</f>
        <v/>
      </c>
      <c r="Q1205" s="10" t="str">
        <f aca="false">IF($B1205="","",$N1205*IFERROR(INDEX(Drinks!$D$4:$D$53,MATCH($B1205,Drinks!$A$4:$A$53,0)),0))</f>
        <v/>
      </c>
      <c r="R1205" s="10" t="str">
        <f aca="false">IF($B1205="","",$P1205-$Q1205)</f>
        <v/>
      </c>
      <c r="S1205" s="23" t="str">
        <f aca="false">IF($B1205="","",IF(COUNTIFS($A$4:$A$2003,$A1205-1,$B$4:$B$2003,$B1205)=0,"first day",IF(SUMIFS($M$4:$M$2003,$A$4:$A$2003,$A1205-1,$B$4:$B$2003,$B1205)=$J1205,"OK","CHECK")))</f>
        <v/>
      </c>
      <c r="T1205" s="10" t="str">
        <f aca="false">IF($B1205="","",IFERROR(INDEX(Drinks!$D$4:$D$53,MATCH($B1205,Drinks!$A$4:$A$53,0)),0))</f>
        <v/>
      </c>
    </row>
    <row r="1206" customFormat="false" ht="15" hidden="false" customHeight="false" outlineLevel="0" collapsed="false">
      <c r="A1206" s="22"/>
      <c r="B1206" s="9"/>
      <c r="C1206" s="9"/>
      <c r="D1206" s="9"/>
      <c r="E1206" s="9"/>
      <c r="F1206" s="10" t="str">
        <f aca="false">IF($B1206="","",$C1206+$D1206-$E1206)</f>
        <v/>
      </c>
      <c r="G1206" s="10" t="str">
        <f aca="false">IF($B1206="","",IFERROR(INDEX(Drinks!$C$4:$C$53,MATCH($B1206,Drinks!$A$4:$A$53,0)),0))</f>
        <v/>
      </c>
      <c r="H1206" s="10" t="str">
        <f aca="false">IF($B1206="","",$D1206*$G1206)</f>
        <v/>
      </c>
      <c r="I1206" s="10" t="str">
        <f aca="false">IF($B1206="","",$F1206*$G1206)</f>
        <v/>
      </c>
      <c r="J1206" s="9"/>
      <c r="K1206" s="10" t="str">
        <f aca="false">IF($B1206="","",$E1206*IFERROR(INDEX(Drinks!$B$4:$B$53,MATCH($B1206,Drinks!$A$4:$A$53,0)),0))</f>
        <v/>
      </c>
      <c r="L1206" s="10" t="str">
        <f aca="false">IF($B1206="","",$J1206+$K1206)</f>
        <v/>
      </c>
      <c r="M1206" s="9"/>
      <c r="N1206" s="10" t="str">
        <f aca="false">IF($B1206="","",$L1206-$M1206)</f>
        <v/>
      </c>
      <c r="O1206" s="10" t="str">
        <f aca="false">IF($B1206="","",IFERROR(INDEX(Drinks!$E$4:$E$53,MATCH($B1206,Drinks!$A$4:$A$53,0)),0))</f>
        <v/>
      </c>
      <c r="P1206" s="10" t="str">
        <f aca="false">IF($B1206="","",$N1206*$O1206)</f>
        <v/>
      </c>
      <c r="Q1206" s="10" t="str">
        <f aca="false">IF($B1206="","",$N1206*IFERROR(INDEX(Drinks!$D$4:$D$53,MATCH($B1206,Drinks!$A$4:$A$53,0)),0))</f>
        <v/>
      </c>
      <c r="R1206" s="10" t="str">
        <f aca="false">IF($B1206="","",$P1206-$Q1206)</f>
        <v/>
      </c>
      <c r="S1206" s="23" t="str">
        <f aca="false">IF($B1206="","",IF(COUNTIFS($A$4:$A$2003,$A1206-1,$B$4:$B$2003,$B1206)=0,"first day",IF(SUMIFS($M$4:$M$2003,$A$4:$A$2003,$A1206-1,$B$4:$B$2003,$B1206)=$J1206,"OK","CHECK")))</f>
        <v/>
      </c>
      <c r="T1206" s="10" t="str">
        <f aca="false">IF($B1206="","",IFERROR(INDEX(Drinks!$D$4:$D$53,MATCH($B1206,Drinks!$A$4:$A$53,0)),0))</f>
        <v/>
      </c>
    </row>
    <row r="1207" customFormat="false" ht="15" hidden="false" customHeight="false" outlineLevel="0" collapsed="false">
      <c r="A1207" s="22"/>
      <c r="B1207" s="9"/>
      <c r="C1207" s="9"/>
      <c r="D1207" s="9"/>
      <c r="E1207" s="9"/>
      <c r="F1207" s="10" t="str">
        <f aca="false">IF($B1207="","",$C1207+$D1207-$E1207)</f>
        <v/>
      </c>
      <c r="G1207" s="10" t="str">
        <f aca="false">IF($B1207="","",IFERROR(INDEX(Drinks!$C$4:$C$53,MATCH($B1207,Drinks!$A$4:$A$53,0)),0))</f>
        <v/>
      </c>
      <c r="H1207" s="10" t="str">
        <f aca="false">IF($B1207="","",$D1207*$G1207)</f>
        <v/>
      </c>
      <c r="I1207" s="10" t="str">
        <f aca="false">IF($B1207="","",$F1207*$G1207)</f>
        <v/>
      </c>
      <c r="J1207" s="9"/>
      <c r="K1207" s="10" t="str">
        <f aca="false">IF($B1207="","",$E1207*IFERROR(INDEX(Drinks!$B$4:$B$53,MATCH($B1207,Drinks!$A$4:$A$53,0)),0))</f>
        <v/>
      </c>
      <c r="L1207" s="10" t="str">
        <f aca="false">IF($B1207="","",$J1207+$K1207)</f>
        <v/>
      </c>
      <c r="M1207" s="9"/>
      <c r="N1207" s="10" t="str">
        <f aca="false">IF($B1207="","",$L1207-$M1207)</f>
        <v/>
      </c>
      <c r="O1207" s="10" t="str">
        <f aca="false">IF($B1207="","",IFERROR(INDEX(Drinks!$E$4:$E$53,MATCH($B1207,Drinks!$A$4:$A$53,0)),0))</f>
        <v/>
      </c>
      <c r="P1207" s="10" t="str">
        <f aca="false">IF($B1207="","",$N1207*$O1207)</f>
        <v/>
      </c>
      <c r="Q1207" s="10" t="str">
        <f aca="false">IF($B1207="","",$N1207*IFERROR(INDEX(Drinks!$D$4:$D$53,MATCH($B1207,Drinks!$A$4:$A$53,0)),0))</f>
        <v/>
      </c>
      <c r="R1207" s="10" t="str">
        <f aca="false">IF($B1207="","",$P1207-$Q1207)</f>
        <v/>
      </c>
      <c r="S1207" s="23" t="str">
        <f aca="false">IF($B1207="","",IF(COUNTIFS($A$4:$A$2003,$A1207-1,$B$4:$B$2003,$B1207)=0,"first day",IF(SUMIFS($M$4:$M$2003,$A$4:$A$2003,$A1207-1,$B$4:$B$2003,$B1207)=$J1207,"OK","CHECK")))</f>
        <v/>
      </c>
      <c r="T1207" s="10" t="str">
        <f aca="false">IF($B1207="","",IFERROR(INDEX(Drinks!$D$4:$D$53,MATCH($B1207,Drinks!$A$4:$A$53,0)),0))</f>
        <v/>
      </c>
    </row>
    <row r="1208" customFormat="false" ht="15" hidden="false" customHeight="false" outlineLevel="0" collapsed="false">
      <c r="A1208" s="22"/>
      <c r="B1208" s="9"/>
      <c r="C1208" s="9"/>
      <c r="D1208" s="9"/>
      <c r="E1208" s="9"/>
      <c r="F1208" s="10" t="str">
        <f aca="false">IF($B1208="","",$C1208+$D1208-$E1208)</f>
        <v/>
      </c>
      <c r="G1208" s="10" t="str">
        <f aca="false">IF($B1208="","",IFERROR(INDEX(Drinks!$C$4:$C$53,MATCH($B1208,Drinks!$A$4:$A$53,0)),0))</f>
        <v/>
      </c>
      <c r="H1208" s="10" t="str">
        <f aca="false">IF($B1208="","",$D1208*$G1208)</f>
        <v/>
      </c>
      <c r="I1208" s="10" t="str">
        <f aca="false">IF($B1208="","",$F1208*$G1208)</f>
        <v/>
      </c>
      <c r="J1208" s="9"/>
      <c r="K1208" s="10" t="str">
        <f aca="false">IF($B1208="","",$E1208*IFERROR(INDEX(Drinks!$B$4:$B$53,MATCH($B1208,Drinks!$A$4:$A$53,0)),0))</f>
        <v/>
      </c>
      <c r="L1208" s="10" t="str">
        <f aca="false">IF($B1208="","",$J1208+$K1208)</f>
        <v/>
      </c>
      <c r="M1208" s="9"/>
      <c r="N1208" s="10" t="str">
        <f aca="false">IF($B1208="","",$L1208-$M1208)</f>
        <v/>
      </c>
      <c r="O1208" s="10" t="str">
        <f aca="false">IF($B1208="","",IFERROR(INDEX(Drinks!$E$4:$E$53,MATCH($B1208,Drinks!$A$4:$A$53,0)),0))</f>
        <v/>
      </c>
      <c r="P1208" s="10" t="str">
        <f aca="false">IF($B1208="","",$N1208*$O1208)</f>
        <v/>
      </c>
      <c r="Q1208" s="10" t="str">
        <f aca="false">IF($B1208="","",$N1208*IFERROR(INDEX(Drinks!$D$4:$D$53,MATCH($B1208,Drinks!$A$4:$A$53,0)),0))</f>
        <v/>
      </c>
      <c r="R1208" s="10" t="str">
        <f aca="false">IF($B1208="","",$P1208-$Q1208)</f>
        <v/>
      </c>
      <c r="S1208" s="23" t="str">
        <f aca="false">IF($B1208="","",IF(COUNTIFS($A$4:$A$2003,$A1208-1,$B$4:$B$2003,$B1208)=0,"first day",IF(SUMIFS($M$4:$M$2003,$A$4:$A$2003,$A1208-1,$B$4:$B$2003,$B1208)=$J1208,"OK","CHECK")))</f>
        <v/>
      </c>
      <c r="T1208" s="10" t="str">
        <f aca="false">IF($B1208="","",IFERROR(INDEX(Drinks!$D$4:$D$53,MATCH($B1208,Drinks!$A$4:$A$53,0)),0))</f>
        <v/>
      </c>
    </row>
    <row r="1209" customFormat="false" ht="15" hidden="false" customHeight="false" outlineLevel="0" collapsed="false">
      <c r="A1209" s="22"/>
      <c r="B1209" s="9"/>
      <c r="C1209" s="9"/>
      <c r="D1209" s="9"/>
      <c r="E1209" s="9"/>
      <c r="F1209" s="10" t="str">
        <f aca="false">IF($B1209="","",$C1209+$D1209-$E1209)</f>
        <v/>
      </c>
      <c r="G1209" s="10" t="str">
        <f aca="false">IF($B1209="","",IFERROR(INDEX(Drinks!$C$4:$C$53,MATCH($B1209,Drinks!$A$4:$A$53,0)),0))</f>
        <v/>
      </c>
      <c r="H1209" s="10" t="str">
        <f aca="false">IF($B1209="","",$D1209*$G1209)</f>
        <v/>
      </c>
      <c r="I1209" s="10" t="str">
        <f aca="false">IF($B1209="","",$F1209*$G1209)</f>
        <v/>
      </c>
      <c r="J1209" s="9"/>
      <c r="K1209" s="10" t="str">
        <f aca="false">IF($B1209="","",$E1209*IFERROR(INDEX(Drinks!$B$4:$B$53,MATCH($B1209,Drinks!$A$4:$A$53,0)),0))</f>
        <v/>
      </c>
      <c r="L1209" s="10" t="str">
        <f aca="false">IF($B1209="","",$J1209+$K1209)</f>
        <v/>
      </c>
      <c r="M1209" s="9"/>
      <c r="N1209" s="10" t="str">
        <f aca="false">IF($B1209="","",$L1209-$M1209)</f>
        <v/>
      </c>
      <c r="O1209" s="10" t="str">
        <f aca="false">IF($B1209="","",IFERROR(INDEX(Drinks!$E$4:$E$53,MATCH($B1209,Drinks!$A$4:$A$53,0)),0))</f>
        <v/>
      </c>
      <c r="P1209" s="10" t="str">
        <f aca="false">IF($B1209="","",$N1209*$O1209)</f>
        <v/>
      </c>
      <c r="Q1209" s="10" t="str">
        <f aca="false">IF($B1209="","",$N1209*IFERROR(INDEX(Drinks!$D$4:$D$53,MATCH($B1209,Drinks!$A$4:$A$53,0)),0))</f>
        <v/>
      </c>
      <c r="R1209" s="10" t="str">
        <f aca="false">IF($B1209="","",$P1209-$Q1209)</f>
        <v/>
      </c>
      <c r="S1209" s="23" t="str">
        <f aca="false">IF($B1209="","",IF(COUNTIFS($A$4:$A$2003,$A1209-1,$B$4:$B$2003,$B1209)=0,"first day",IF(SUMIFS($M$4:$M$2003,$A$4:$A$2003,$A1209-1,$B$4:$B$2003,$B1209)=$J1209,"OK","CHECK")))</f>
        <v/>
      </c>
      <c r="T1209" s="10" t="str">
        <f aca="false">IF($B1209="","",IFERROR(INDEX(Drinks!$D$4:$D$53,MATCH($B1209,Drinks!$A$4:$A$53,0)),0))</f>
        <v/>
      </c>
    </row>
    <row r="1210" customFormat="false" ht="15" hidden="false" customHeight="false" outlineLevel="0" collapsed="false">
      <c r="A1210" s="22"/>
      <c r="B1210" s="9"/>
      <c r="C1210" s="9"/>
      <c r="D1210" s="9"/>
      <c r="E1210" s="9"/>
      <c r="F1210" s="10" t="str">
        <f aca="false">IF($B1210="","",$C1210+$D1210-$E1210)</f>
        <v/>
      </c>
      <c r="G1210" s="10" t="str">
        <f aca="false">IF($B1210="","",IFERROR(INDEX(Drinks!$C$4:$C$53,MATCH($B1210,Drinks!$A$4:$A$53,0)),0))</f>
        <v/>
      </c>
      <c r="H1210" s="10" t="str">
        <f aca="false">IF($B1210="","",$D1210*$G1210)</f>
        <v/>
      </c>
      <c r="I1210" s="10" t="str">
        <f aca="false">IF($B1210="","",$F1210*$G1210)</f>
        <v/>
      </c>
      <c r="J1210" s="9"/>
      <c r="K1210" s="10" t="str">
        <f aca="false">IF($B1210="","",$E1210*IFERROR(INDEX(Drinks!$B$4:$B$53,MATCH($B1210,Drinks!$A$4:$A$53,0)),0))</f>
        <v/>
      </c>
      <c r="L1210" s="10" t="str">
        <f aca="false">IF($B1210="","",$J1210+$K1210)</f>
        <v/>
      </c>
      <c r="M1210" s="9"/>
      <c r="N1210" s="10" t="str">
        <f aca="false">IF($B1210="","",$L1210-$M1210)</f>
        <v/>
      </c>
      <c r="O1210" s="10" t="str">
        <f aca="false">IF($B1210="","",IFERROR(INDEX(Drinks!$E$4:$E$53,MATCH($B1210,Drinks!$A$4:$A$53,0)),0))</f>
        <v/>
      </c>
      <c r="P1210" s="10" t="str">
        <f aca="false">IF($B1210="","",$N1210*$O1210)</f>
        <v/>
      </c>
      <c r="Q1210" s="10" t="str">
        <f aca="false">IF($B1210="","",$N1210*IFERROR(INDEX(Drinks!$D$4:$D$53,MATCH($B1210,Drinks!$A$4:$A$53,0)),0))</f>
        <v/>
      </c>
      <c r="R1210" s="10" t="str">
        <f aca="false">IF($B1210="","",$P1210-$Q1210)</f>
        <v/>
      </c>
      <c r="S1210" s="23" t="str">
        <f aca="false">IF($B1210="","",IF(COUNTIFS($A$4:$A$2003,$A1210-1,$B$4:$B$2003,$B1210)=0,"first day",IF(SUMIFS($M$4:$M$2003,$A$4:$A$2003,$A1210-1,$B$4:$B$2003,$B1210)=$J1210,"OK","CHECK")))</f>
        <v/>
      </c>
      <c r="T1210" s="10" t="str">
        <f aca="false">IF($B1210="","",IFERROR(INDEX(Drinks!$D$4:$D$53,MATCH($B1210,Drinks!$A$4:$A$53,0)),0))</f>
        <v/>
      </c>
    </row>
    <row r="1211" customFormat="false" ht="15" hidden="false" customHeight="false" outlineLevel="0" collapsed="false">
      <c r="A1211" s="22"/>
      <c r="B1211" s="9"/>
      <c r="C1211" s="9"/>
      <c r="D1211" s="9"/>
      <c r="E1211" s="9"/>
      <c r="F1211" s="10" t="str">
        <f aca="false">IF($B1211="","",$C1211+$D1211-$E1211)</f>
        <v/>
      </c>
      <c r="G1211" s="10" t="str">
        <f aca="false">IF($B1211="","",IFERROR(INDEX(Drinks!$C$4:$C$53,MATCH($B1211,Drinks!$A$4:$A$53,0)),0))</f>
        <v/>
      </c>
      <c r="H1211" s="10" t="str">
        <f aca="false">IF($B1211="","",$D1211*$G1211)</f>
        <v/>
      </c>
      <c r="I1211" s="10" t="str">
        <f aca="false">IF($B1211="","",$F1211*$G1211)</f>
        <v/>
      </c>
      <c r="J1211" s="9"/>
      <c r="K1211" s="10" t="str">
        <f aca="false">IF($B1211="","",$E1211*IFERROR(INDEX(Drinks!$B$4:$B$53,MATCH($B1211,Drinks!$A$4:$A$53,0)),0))</f>
        <v/>
      </c>
      <c r="L1211" s="10" t="str">
        <f aca="false">IF($B1211="","",$J1211+$K1211)</f>
        <v/>
      </c>
      <c r="M1211" s="9"/>
      <c r="N1211" s="10" t="str">
        <f aca="false">IF($B1211="","",$L1211-$M1211)</f>
        <v/>
      </c>
      <c r="O1211" s="10" t="str">
        <f aca="false">IF($B1211="","",IFERROR(INDEX(Drinks!$E$4:$E$53,MATCH($B1211,Drinks!$A$4:$A$53,0)),0))</f>
        <v/>
      </c>
      <c r="P1211" s="10" t="str">
        <f aca="false">IF($B1211="","",$N1211*$O1211)</f>
        <v/>
      </c>
      <c r="Q1211" s="10" t="str">
        <f aca="false">IF($B1211="","",$N1211*IFERROR(INDEX(Drinks!$D$4:$D$53,MATCH($B1211,Drinks!$A$4:$A$53,0)),0))</f>
        <v/>
      </c>
      <c r="R1211" s="10" t="str">
        <f aca="false">IF($B1211="","",$P1211-$Q1211)</f>
        <v/>
      </c>
      <c r="S1211" s="23" t="str">
        <f aca="false">IF($B1211="","",IF(COUNTIFS($A$4:$A$2003,$A1211-1,$B$4:$B$2003,$B1211)=0,"first day",IF(SUMIFS($M$4:$M$2003,$A$4:$A$2003,$A1211-1,$B$4:$B$2003,$B1211)=$J1211,"OK","CHECK")))</f>
        <v/>
      </c>
      <c r="T1211" s="10" t="str">
        <f aca="false">IF($B1211="","",IFERROR(INDEX(Drinks!$D$4:$D$53,MATCH($B1211,Drinks!$A$4:$A$53,0)),0))</f>
        <v/>
      </c>
    </row>
    <row r="1212" customFormat="false" ht="15" hidden="false" customHeight="false" outlineLevel="0" collapsed="false">
      <c r="A1212" s="22"/>
      <c r="B1212" s="9"/>
      <c r="C1212" s="9"/>
      <c r="D1212" s="9"/>
      <c r="E1212" s="9"/>
      <c r="F1212" s="10" t="str">
        <f aca="false">IF($B1212="","",$C1212+$D1212-$E1212)</f>
        <v/>
      </c>
      <c r="G1212" s="10" t="str">
        <f aca="false">IF($B1212="","",IFERROR(INDEX(Drinks!$C$4:$C$53,MATCH($B1212,Drinks!$A$4:$A$53,0)),0))</f>
        <v/>
      </c>
      <c r="H1212" s="10" t="str">
        <f aca="false">IF($B1212="","",$D1212*$G1212)</f>
        <v/>
      </c>
      <c r="I1212" s="10" t="str">
        <f aca="false">IF($B1212="","",$F1212*$G1212)</f>
        <v/>
      </c>
      <c r="J1212" s="9"/>
      <c r="K1212" s="10" t="str">
        <f aca="false">IF($B1212="","",$E1212*IFERROR(INDEX(Drinks!$B$4:$B$53,MATCH($B1212,Drinks!$A$4:$A$53,0)),0))</f>
        <v/>
      </c>
      <c r="L1212" s="10" t="str">
        <f aca="false">IF($B1212="","",$J1212+$K1212)</f>
        <v/>
      </c>
      <c r="M1212" s="9"/>
      <c r="N1212" s="10" t="str">
        <f aca="false">IF($B1212="","",$L1212-$M1212)</f>
        <v/>
      </c>
      <c r="O1212" s="10" t="str">
        <f aca="false">IF($B1212="","",IFERROR(INDEX(Drinks!$E$4:$E$53,MATCH($B1212,Drinks!$A$4:$A$53,0)),0))</f>
        <v/>
      </c>
      <c r="P1212" s="10" t="str">
        <f aca="false">IF($B1212="","",$N1212*$O1212)</f>
        <v/>
      </c>
      <c r="Q1212" s="10" t="str">
        <f aca="false">IF($B1212="","",$N1212*IFERROR(INDEX(Drinks!$D$4:$D$53,MATCH($B1212,Drinks!$A$4:$A$53,0)),0))</f>
        <v/>
      </c>
      <c r="R1212" s="10" t="str">
        <f aca="false">IF($B1212="","",$P1212-$Q1212)</f>
        <v/>
      </c>
      <c r="S1212" s="23" t="str">
        <f aca="false">IF($B1212="","",IF(COUNTIFS($A$4:$A$2003,$A1212-1,$B$4:$B$2003,$B1212)=0,"first day",IF(SUMIFS($M$4:$M$2003,$A$4:$A$2003,$A1212-1,$B$4:$B$2003,$B1212)=$J1212,"OK","CHECK")))</f>
        <v/>
      </c>
      <c r="T1212" s="10" t="str">
        <f aca="false">IF($B1212="","",IFERROR(INDEX(Drinks!$D$4:$D$53,MATCH($B1212,Drinks!$A$4:$A$53,0)),0))</f>
        <v/>
      </c>
    </row>
    <row r="1213" customFormat="false" ht="15" hidden="false" customHeight="false" outlineLevel="0" collapsed="false">
      <c r="A1213" s="22"/>
      <c r="B1213" s="9"/>
      <c r="C1213" s="9"/>
      <c r="D1213" s="9"/>
      <c r="E1213" s="9"/>
      <c r="F1213" s="10" t="str">
        <f aca="false">IF($B1213="","",$C1213+$D1213-$E1213)</f>
        <v/>
      </c>
      <c r="G1213" s="10" t="str">
        <f aca="false">IF($B1213="","",IFERROR(INDEX(Drinks!$C$4:$C$53,MATCH($B1213,Drinks!$A$4:$A$53,0)),0))</f>
        <v/>
      </c>
      <c r="H1213" s="10" t="str">
        <f aca="false">IF($B1213="","",$D1213*$G1213)</f>
        <v/>
      </c>
      <c r="I1213" s="10" t="str">
        <f aca="false">IF($B1213="","",$F1213*$G1213)</f>
        <v/>
      </c>
      <c r="J1213" s="9"/>
      <c r="K1213" s="10" t="str">
        <f aca="false">IF($B1213="","",$E1213*IFERROR(INDEX(Drinks!$B$4:$B$53,MATCH($B1213,Drinks!$A$4:$A$53,0)),0))</f>
        <v/>
      </c>
      <c r="L1213" s="10" t="str">
        <f aca="false">IF($B1213="","",$J1213+$K1213)</f>
        <v/>
      </c>
      <c r="M1213" s="9"/>
      <c r="N1213" s="10" t="str">
        <f aca="false">IF($B1213="","",$L1213-$M1213)</f>
        <v/>
      </c>
      <c r="O1213" s="10" t="str">
        <f aca="false">IF($B1213="","",IFERROR(INDEX(Drinks!$E$4:$E$53,MATCH($B1213,Drinks!$A$4:$A$53,0)),0))</f>
        <v/>
      </c>
      <c r="P1213" s="10" t="str">
        <f aca="false">IF($B1213="","",$N1213*$O1213)</f>
        <v/>
      </c>
      <c r="Q1213" s="10" t="str">
        <f aca="false">IF($B1213="","",$N1213*IFERROR(INDEX(Drinks!$D$4:$D$53,MATCH($B1213,Drinks!$A$4:$A$53,0)),0))</f>
        <v/>
      </c>
      <c r="R1213" s="10" t="str">
        <f aca="false">IF($B1213="","",$P1213-$Q1213)</f>
        <v/>
      </c>
      <c r="S1213" s="23" t="str">
        <f aca="false">IF($B1213="","",IF(COUNTIFS($A$4:$A$2003,$A1213-1,$B$4:$B$2003,$B1213)=0,"first day",IF(SUMIFS($M$4:$M$2003,$A$4:$A$2003,$A1213-1,$B$4:$B$2003,$B1213)=$J1213,"OK","CHECK")))</f>
        <v/>
      </c>
      <c r="T1213" s="10" t="str">
        <f aca="false">IF($B1213="","",IFERROR(INDEX(Drinks!$D$4:$D$53,MATCH($B1213,Drinks!$A$4:$A$53,0)),0))</f>
        <v/>
      </c>
    </row>
    <row r="1214" customFormat="false" ht="15" hidden="false" customHeight="false" outlineLevel="0" collapsed="false">
      <c r="A1214" s="22"/>
      <c r="B1214" s="9"/>
      <c r="C1214" s="9"/>
      <c r="D1214" s="9"/>
      <c r="E1214" s="9"/>
      <c r="F1214" s="10" t="str">
        <f aca="false">IF($B1214="","",$C1214+$D1214-$E1214)</f>
        <v/>
      </c>
      <c r="G1214" s="10" t="str">
        <f aca="false">IF($B1214="","",IFERROR(INDEX(Drinks!$C$4:$C$53,MATCH($B1214,Drinks!$A$4:$A$53,0)),0))</f>
        <v/>
      </c>
      <c r="H1214" s="10" t="str">
        <f aca="false">IF($B1214="","",$D1214*$G1214)</f>
        <v/>
      </c>
      <c r="I1214" s="10" t="str">
        <f aca="false">IF($B1214="","",$F1214*$G1214)</f>
        <v/>
      </c>
      <c r="J1214" s="9"/>
      <c r="K1214" s="10" t="str">
        <f aca="false">IF($B1214="","",$E1214*IFERROR(INDEX(Drinks!$B$4:$B$53,MATCH($B1214,Drinks!$A$4:$A$53,0)),0))</f>
        <v/>
      </c>
      <c r="L1214" s="10" t="str">
        <f aca="false">IF($B1214="","",$J1214+$K1214)</f>
        <v/>
      </c>
      <c r="M1214" s="9"/>
      <c r="N1214" s="10" t="str">
        <f aca="false">IF($B1214="","",$L1214-$M1214)</f>
        <v/>
      </c>
      <c r="O1214" s="10" t="str">
        <f aca="false">IF($B1214="","",IFERROR(INDEX(Drinks!$E$4:$E$53,MATCH($B1214,Drinks!$A$4:$A$53,0)),0))</f>
        <v/>
      </c>
      <c r="P1214" s="10" t="str">
        <f aca="false">IF($B1214="","",$N1214*$O1214)</f>
        <v/>
      </c>
      <c r="Q1214" s="10" t="str">
        <f aca="false">IF($B1214="","",$N1214*IFERROR(INDEX(Drinks!$D$4:$D$53,MATCH($B1214,Drinks!$A$4:$A$53,0)),0))</f>
        <v/>
      </c>
      <c r="R1214" s="10" t="str">
        <f aca="false">IF($B1214="","",$P1214-$Q1214)</f>
        <v/>
      </c>
      <c r="S1214" s="23" t="str">
        <f aca="false">IF($B1214="","",IF(COUNTIFS($A$4:$A$2003,$A1214-1,$B$4:$B$2003,$B1214)=0,"first day",IF(SUMIFS($M$4:$M$2003,$A$4:$A$2003,$A1214-1,$B$4:$B$2003,$B1214)=$J1214,"OK","CHECK")))</f>
        <v/>
      </c>
      <c r="T1214" s="10" t="str">
        <f aca="false">IF($B1214="","",IFERROR(INDEX(Drinks!$D$4:$D$53,MATCH($B1214,Drinks!$A$4:$A$53,0)),0))</f>
        <v/>
      </c>
    </row>
    <row r="1215" customFormat="false" ht="15" hidden="false" customHeight="false" outlineLevel="0" collapsed="false">
      <c r="A1215" s="22"/>
      <c r="B1215" s="9"/>
      <c r="C1215" s="9"/>
      <c r="D1215" s="9"/>
      <c r="E1215" s="9"/>
      <c r="F1215" s="10" t="str">
        <f aca="false">IF($B1215="","",$C1215+$D1215-$E1215)</f>
        <v/>
      </c>
      <c r="G1215" s="10" t="str">
        <f aca="false">IF($B1215="","",IFERROR(INDEX(Drinks!$C$4:$C$53,MATCH($B1215,Drinks!$A$4:$A$53,0)),0))</f>
        <v/>
      </c>
      <c r="H1215" s="10" t="str">
        <f aca="false">IF($B1215="","",$D1215*$G1215)</f>
        <v/>
      </c>
      <c r="I1215" s="10" t="str">
        <f aca="false">IF($B1215="","",$F1215*$G1215)</f>
        <v/>
      </c>
      <c r="J1215" s="9"/>
      <c r="K1215" s="10" t="str">
        <f aca="false">IF($B1215="","",$E1215*IFERROR(INDEX(Drinks!$B$4:$B$53,MATCH($B1215,Drinks!$A$4:$A$53,0)),0))</f>
        <v/>
      </c>
      <c r="L1215" s="10" t="str">
        <f aca="false">IF($B1215="","",$J1215+$K1215)</f>
        <v/>
      </c>
      <c r="M1215" s="9"/>
      <c r="N1215" s="10" t="str">
        <f aca="false">IF($B1215="","",$L1215-$M1215)</f>
        <v/>
      </c>
      <c r="O1215" s="10" t="str">
        <f aca="false">IF($B1215="","",IFERROR(INDEX(Drinks!$E$4:$E$53,MATCH($B1215,Drinks!$A$4:$A$53,0)),0))</f>
        <v/>
      </c>
      <c r="P1215" s="10" t="str">
        <f aca="false">IF($B1215="","",$N1215*$O1215)</f>
        <v/>
      </c>
      <c r="Q1215" s="10" t="str">
        <f aca="false">IF($B1215="","",$N1215*IFERROR(INDEX(Drinks!$D$4:$D$53,MATCH($B1215,Drinks!$A$4:$A$53,0)),0))</f>
        <v/>
      </c>
      <c r="R1215" s="10" t="str">
        <f aca="false">IF($B1215="","",$P1215-$Q1215)</f>
        <v/>
      </c>
      <c r="S1215" s="23" t="str">
        <f aca="false">IF($B1215="","",IF(COUNTIFS($A$4:$A$2003,$A1215-1,$B$4:$B$2003,$B1215)=0,"first day",IF(SUMIFS($M$4:$M$2003,$A$4:$A$2003,$A1215-1,$B$4:$B$2003,$B1215)=$J1215,"OK","CHECK")))</f>
        <v/>
      </c>
      <c r="T1215" s="10" t="str">
        <f aca="false">IF($B1215="","",IFERROR(INDEX(Drinks!$D$4:$D$53,MATCH($B1215,Drinks!$A$4:$A$53,0)),0))</f>
        <v/>
      </c>
    </row>
    <row r="1216" customFormat="false" ht="15" hidden="false" customHeight="false" outlineLevel="0" collapsed="false">
      <c r="A1216" s="22"/>
      <c r="B1216" s="9"/>
      <c r="C1216" s="9"/>
      <c r="D1216" s="9"/>
      <c r="E1216" s="9"/>
      <c r="F1216" s="10" t="str">
        <f aca="false">IF($B1216="","",$C1216+$D1216-$E1216)</f>
        <v/>
      </c>
      <c r="G1216" s="10" t="str">
        <f aca="false">IF($B1216="","",IFERROR(INDEX(Drinks!$C$4:$C$53,MATCH($B1216,Drinks!$A$4:$A$53,0)),0))</f>
        <v/>
      </c>
      <c r="H1216" s="10" t="str">
        <f aca="false">IF($B1216="","",$D1216*$G1216)</f>
        <v/>
      </c>
      <c r="I1216" s="10" t="str">
        <f aca="false">IF($B1216="","",$F1216*$G1216)</f>
        <v/>
      </c>
      <c r="J1216" s="9"/>
      <c r="K1216" s="10" t="str">
        <f aca="false">IF($B1216="","",$E1216*IFERROR(INDEX(Drinks!$B$4:$B$53,MATCH($B1216,Drinks!$A$4:$A$53,0)),0))</f>
        <v/>
      </c>
      <c r="L1216" s="10" t="str">
        <f aca="false">IF($B1216="","",$J1216+$K1216)</f>
        <v/>
      </c>
      <c r="M1216" s="9"/>
      <c r="N1216" s="10" t="str">
        <f aca="false">IF($B1216="","",$L1216-$M1216)</f>
        <v/>
      </c>
      <c r="O1216" s="10" t="str">
        <f aca="false">IF($B1216="","",IFERROR(INDEX(Drinks!$E$4:$E$53,MATCH($B1216,Drinks!$A$4:$A$53,0)),0))</f>
        <v/>
      </c>
      <c r="P1216" s="10" t="str">
        <f aca="false">IF($B1216="","",$N1216*$O1216)</f>
        <v/>
      </c>
      <c r="Q1216" s="10" t="str">
        <f aca="false">IF($B1216="","",$N1216*IFERROR(INDEX(Drinks!$D$4:$D$53,MATCH($B1216,Drinks!$A$4:$A$53,0)),0))</f>
        <v/>
      </c>
      <c r="R1216" s="10" t="str">
        <f aca="false">IF($B1216="","",$P1216-$Q1216)</f>
        <v/>
      </c>
      <c r="S1216" s="23" t="str">
        <f aca="false">IF($B1216="","",IF(COUNTIFS($A$4:$A$2003,$A1216-1,$B$4:$B$2003,$B1216)=0,"first day",IF(SUMIFS($M$4:$M$2003,$A$4:$A$2003,$A1216-1,$B$4:$B$2003,$B1216)=$J1216,"OK","CHECK")))</f>
        <v/>
      </c>
      <c r="T1216" s="10" t="str">
        <f aca="false">IF($B1216="","",IFERROR(INDEX(Drinks!$D$4:$D$53,MATCH($B1216,Drinks!$A$4:$A$53,0)),0))</f>
        <v/>
      </c>
    </row>
    <row r="1217" customFormat="false" ht="15" hidden="false" customHeight="false" outlineLevel="0" collapsed="false">
      <c r="A1217" s="22"/>
      <c r="B1217" s="9"/>
      <c r="C1217" s="9"/>
      <c r="D1217" s="9"/>
      <c r="E1217" s="9"/>
      <c r="F1217" s="10" t="str">
        <f aca="false">IF($B1217="","",$C1217+$D1217-$E1217)</f>
        <v/>
      </c>
      <c r="G1217" s="10" t="str">
        <f aca="false">IF($B1217="","",IFERROR(INDEX(Drinks!$C$4:$C$53,MATCH($B1217,Drinks!$A$4:$A$53,0)),0))</f>
        <v/>
      </c>
      <c r="H1217" s="10" t="str">
        <f aca="false">IF($B1217="","",$D1217*$G1217)</f>
        <v/>
      </c>
      <c r="I1217" s="10" t="str">
        <f aca="false">IF($B1217="","",$F1217*$G1217)</f>
        <v/>
      </c>
      <c r="J1217" s="9"/>
      <c r="K1217" s="10" t="str">
        <f aca="false">IF($B1217="","",$E1217*IFERROR(INDEX(Drinks!$B$4:$B$53,MATCH($B1217,Drinks!$A$4:$A$53,0)),0))</f>
        <v/>
      </c>
      <c r="L1217" s="10" t="str">
        <f aca="false">IF($B1217="","",$J1217+$K1217)</f>
        <v/>
      </c>
      <c r="M1217" s="9"/>
      <c r="N1217" s="10" t="str">
        <f aca="false">IF($B1217="","",$L1217-$M1217)</f>
        <v/>
      </c>
      <c r="O1217" s="10" t="str">
        <f aca="false">IF($B1217="","",IFERROR(INDEX(Drinks!$E$4:$E$53,MATCH($B1217,Drinks!$A$4:$A$53,0)),0))</f>
        <v/>
      </c>
      <c r="P1217" s="10" t="str">
        <f aca="false">IF($B1217="","",$N1217*$O1217)</f>
        <v/>
      </c>
      <c r="Q1217" s="10" t="str">
        <f aca="false">IF($B1217="","",$N1217*IFERROR(INDEX(Drinks!$D$4:$D$53,MATCH($B1217,Drinks!$A$4:$A$53,0)),0))</f>
        <v/>
      </c>
      <c r="R1217" s="10" t="str">
        <f aca="false">IF($B1217="","",$P1217-$Q1217)</f>
        <v/>
      </c>
      <c r="S1217" s="23" t="str">
        <f aca="false">IF($B1217="","",IF(COUNTIFS($A$4:$A$2003,$A1217-1,$B$4:$B$2003,$B1217)=0,"first day",IF(SUMIFS($M$4:$M$2003,$A$4:$A$2003,$A1217-1,$B$4:$B$2003,$B1217)=$J1217,"OK","CHECK")))</f>
        <v/>
      </c>
      <c r="T1217" s="10" t="str">
        <f aca="false">IF($B1217="","",IFERROR(INDEX(Drinks!$D$4:$D$53,MATCH($B1217,Drinks!$A$4:$A$53,0)),0))</f>
        <v/>
      </c>
    </row>
    <row r="1218" customFormat="false" ht="15" hidden="false" customHeight="false" outlineLevel="0" collapsed="false">
      <c r="A1218" s="22"/>
      <c r="B1218" s="9"/>
      <c r="C1218" s="9"/>
      <c r="D1218" s="9"/>
      <c r="E1218" s="9"/>
      <c r="F1218" s="10" t="str">
        <f aca="false">IF($B1218="","",$C1218+$D1218-$E1218)</f>
        <v/>
      </c>
      <c r="G1218" s="10" t="str">
        <f aca="false">IF($B1218="","",IFERROR(INDEX(Drinks!$C$4:$C$53,MATCH($B1218,Drinks!$A$4:$A$53,0)),0))</f>
        <v/>
      </c>
      <c r="H1218" s="10" t="str">
        <f aca="false">IF($B1218="","",$D1218*$G1218)</f>
        <v/>
      </c>
      <c r="I1218" s="10" t="str">
        <f aca="false">IF($B1218="","",$F1218*$G1218)</f>
        <v/>
      </c>
      <c r="J1218" s="9"/>
      <c r="K1218" s="10" t="str">
        <f aca="false">IF($B1218="","",$E1218*IFERROR(INDEX(Drinks!$B$4:$B$53,MATCH($B1218,Drinks!$A$4:$A$53,0)),0))</f>
        <v/>
      </c>
      <c r="L1218" s="10" t="str">
        <f aca="false">IF($B1218="","",$J1218+$K1218)</f>
        <v/>
      </c>
      <c r="M1218" s="9"/>
      <c r="N1218" s="10" t="str">
        <f aca="false">IF($B1218="","",$L1218-$M1218)</f>
        <v/>
      </c>
      <c r="O1218" s="10" t="str">
        <f aca="false">IF($B1218="","",IFERROR(INDEX(Drinks!$E$4:$E$53,MATCH($B1218,Drinks!$A$4:$A$53,0)),0))</f>
        <v/>
      </c>
      <c r="P1218" s="10" t="str">
        <f aca="false">IF($B1218="","",$N1218*$O1218)</f>
        <v/>
      </c>
      <c r="Q1218" s="10" t="str">
        <f aca="false">IF($B1218="","",$N1218*IFERROR(INDEX(Drinks!$D$4:$D$53,MATCH($B1218,Drinks!$A$4:$A$53,0)),0))</f>
        <v/>
      </c>
      <c r="R1218" s="10" t="str">
        <f aca="false">IF($B1218="","",$P1218-$Q1218)</f>
        <v/>
      </c>
      <c r="S1218" s="23" t="str">
        <f aca="false">IF($B1218="","",IF(COUNTIFS($A$4:$A$2003,$A1218-1,$B$4:$B$2003,$B1218)=0,"first day",IF(SUMIFS($M$4:$M$2003,$A$4:$A$2003,$A1218-1,$B$4:$B$2003,$B1218)=$J1218,"OK","CHECK")))</f>
        <v/>
      </c>
      <c r="T1218" s="10" t="str">
        <f aca="false">IF($B1218="","",IFERROR(INDEX(Drinks!$D$4:$D$53,MATCH($B1218,Drinks!$A$4:$A$53,0)),0))</f>
        <v/>
      </c>
    </row>
    <row r="1219" customFormat="false" ht="15" hidden="false" customHeight="false" outlineLevel="0" collapsed="false">
      <c r="A1219" s="22"/>
      <c r="B1219" s="9"/>
      <c r="C1219" s="9"/>
      <c r="D1219" s="9"/>
      <c r="E1219" s="9"/>
      <c r="F1219" s="10" t="str">
        <f aca="false">IF($B1219="","",$C1219+$D1219-$E1219)</f>
        <v/>
      </c>
      <c r="G1219" s="10" t="str">
        <f aca="false">IF($B1219="","",IFERROR(INDEX(Drinks!$C$4:$C$53,MATCH($B1219,Drinks!$A$4:$A$53,0)),0))</f>
        <v/>
      </c>
      <c r="H1219" s="10" t="str">
        <f aca="false">IF($B1219="","",$D1219*$G1219)</f>
        <v/>
      </c>
      <c r="I1219" s="10" t="str">
        <f aca="false">IF($B1219="","",$F1219*$G1219)</f>
        <v/>
      </c>
      <c r="J1219" s="9"/>
      <c r="K1219" s="10" t="str">
        <f aca="false">IF($B1219="","",$E1219*IFERROR(INDEX(Drinks!$B$4:$B$53,MATCH($B1219,Drinks!$A$4:$A$53,0)),0))</f>
        <v/>
      </c>
      <c r="L1219" s="10" t="str">
        <f aca="false">IF($B1219="","",$J1219+$K1219)</f>
        <v/>
      </c>
      <c r="M1219" s="9"/>
      <c r="N1219" s="10" t="str">
        <f aca="false">IF($B1219="","",$L1219-$M1219)</f>
        <v/>
      </c>
      <c r="O1219" s="10" t="str">
        <f aca="false">IF($B1219="","",IFERROR(INDEX(Drinks!$E$4:$E$53,MATCH($B1219,Drinks!$A$4:$A$53,0)),0))</f>
        <v/>
      </c>
      <c r="P1219" s="10" t="str">
        <f aca="false">IF($B1219="","",$N1219*$O1219)</f>
        <v/>
      </c>
      <c r="Q1219" s="10" t="str">
        <f aca="false">IF($B1219="","",$N1219*IFERROR(INDEX(Drinks!$D$4:$D$53,MATCH($B1219,Drinks!$A$4:$A$53,0)),0))</f>
        <v/>
      </c>
      <c r="R1219" s="10" t="str">
        <f aca="false">IF($B1219="","",$P1219-$Q1219)</f>
        <v/>
      </c>
      <c r="S1219" s="23" t="str">
        <f aca="false">IF($B1219="","",IF(COUNTIFS($A$4:$A$2003,$A1219-1,$B$4:$B$2003,$B1219)=0,"first day",IF(SUMIFS($M$4:$M$2003,$A$4:$A$2003,$A1219-1,$B$4:$B$2003,$B1219)=$J1219,"OK","CHECK")))</f>
        <v/>
      </c>
      <c r="T1219" s="10" t="str">
        <f aca="false">IF($B1219="","",IFERROR(INDEX(Drinks!$D$4:$D$53,MATCH($B1219,Drinks!$A$4:$A$53,0)),0))</f>
        <v/>
      </c>
    </row>
    <row r="1220" customFormat="false" ht="15" hidden="false" customHeight="false" outlineLevel="0" collapsed="false">
      <c r="A1220" s="22"/>
      <c r="B1220" s="9"/>
      <c r="C1220" s="9"/>
      <c r="D1220" s="9"/>
      <c r="E1220" s="9"/>
      <c r="F1220" s="10" t="str">
        <f aca="false">IF($B1220="","",$C1220+$D1220-$E1220)</f>
        <v/>
      </c>
      <c r="G1220" s="10" t="str">
        <f aca="false">IF($B1220="","",IFERROR(INDEX(Drinks!$C$4:$C$53,MATCH($B1220,Drinks!$A$4:$A$53,0)),0))</f>
        <v/>
      </c>
      <c r="H1220" s="10" t="str">
        <f aca="false">IF($B1220="","",$D1220*$G1220)</f>
        <v/>
      </c>
      <c r="I1220" s="10" t="str">
        <f aca="false">IF($B1220="","",$F1220*$G1220)</f>
        <v/>
      </c>
      <c r="J1220" s="9"/>
      <c r="K1220" s="10" t="str">
        <f aca="false">IF($B1220="","",$E1220*IFERROR(INDEX(Drinks!$B$4:$B$53,MATCH($B1220,Drinks!$A$4:$A$53,0)),0))</f>
        <v/>
      </c>
      <c r="L1220" s="10" t="str">
        <f aca="false">IF($B1220="","",$J1220+$K1220)</f>
        <v/>
      </c>
      <c r="M1220" s="9"/>
      <c r="N1220" s="10" t="str">
        <f aca="false">IF($B1220="","",$L1220-$M1220)</f>
        <v/>
      </c>
      <c r="O1220" s="10" t="str">
        <f aca="false">IF($B1220="","",IFERROR(INDEX(Drinks!$E$4:$E$53,MATCH($B1220,Drinks!$A$4:$A$53,0)),0))</f>
        <v/>
      </c>
      <c r="P1220" s="10" t="str">
        <f aca="false">IF($B1220="","",$N1220*$O1220)</f>
        <v/>
      </c>
      <c r="Q1220" s="10" t="str">
        <f aca="false">IF($B1220="","",$N1220*IFERROR(INDEX(Drinks!$D$4:$D$53,MATCH($B1220,Drinks!$A$4:$A$53,0)),0))</f>
        <v/>
      </c>
      <c r="R1220" s="10" t="str">
        <f aca="false">IF($B1220="","",$P1220-$Q1220)</f>
        <v/>
      </c>
      <c r="S1220" s="23" t="str">
        <f aca="false">IF($B1220="","",IF(COUNTIFS($A$4:$A$2003,$A1220-1,$B$4:$B$2003,$B1220)=0,"first day",IF(SUMIFS($M$4:$M$2003,$A$4:$A$2003,$A1220-1,$B$4:$B$2003,$B1220)=$J1220,"OK","CHECK")))</f>
        <v/>
      </c>
      <c r="T1220" s="10" t="str">
        <f aca="false">IF($B1220="","",IFERROR(INDEX(Drinks!$D$4:$D$53,MATCH($B1220,Drinks!$A$4:$A$53,0)),0))</f>
        <v/>
      </c>
    </row>
    <row r="1221" customFormat="false" ht="15" hidden="false" customHeight="false" outlineLevel="0" collapsed="false">
      <c r="A1221" s="22"/>
      <c r="B1221" s="9"/>
      <c r="C1221" s="9"/>
      <c r="D1221" s="9"/>
      <c r="E1221" s="9"/>
      <c r="F1221" s="10" t="str">
        <f aca="false">IF($B1221="","",$C1221+$D1221-$E1221)</f>
        <v/>
      </c>
      <c r="G1221" s="10" t="str">
        <f aca="false">IF($B1221="","",IFERROR(INDEX(Drinks!$C$4:$C$53,MATCH($B1221,Drinks!$A$4:$A$53,0)),0))</f>
        <v/>
      </c>
      <c r="H1221" s="10" t="str">
        <f aca="false">IF($B1221="","",$D1221*$G1221)</f>
        <v/>
      </c>
      <c r="I1221" s="10" t="str">
        <f aca="false">IF($B1221="","",$F1221*$G1221)</f>
        <v/>
      </c>
      <c r="J1221" s="9"/>
      <c r="K1221" s="10" t="str">
        <f aca="false">IF($B1221="","",$E1221*IFERROR(INDEX(Drinks!$B$4:$B$53,MATCH($B1221,Drinks!$A$4:$A$53,0)),0))</f>
        <v/>
      </c>
      <c r="L1221" s="10" t="str">
        <f aca="false">IF($B1221="","",$J1221+$K1221)</f>
        <v/>
      </c>
      <c r="M1221" s="9"/>
      <c r="N1221" s="10" t="str">
        <f aca="false">IF($B1221="","",$L1221-$M1221)</f>
        <v/>
      </c>
      <c r="O1221" s="10" t="str">
        <f aca="false">IF($B1221="","",IFERROR(INDEX(Drinks!$E$4:$E$53,MATCH($B1221,Drinks!$A$4:$A$53,0)),0))</f>
        <v/>
      </c>
      <c r="P1221" s="10" t="str">
        <f aca="false">IF($B1221="","",$N1221*$O1221)</f>
        <v/>
      </c>
      <c r="Q1221" s="10" t="str">
        <f aca="false">IF($B1221="","",$N1221*IFERROR(INDEX(Drinks!$D$4:$D$53,MATCH($B1221,Drinks!$A$4:$A$53,0)),0))</f>
        <v/>
      </c>
      <c r="R1221" s="10" t="str">
        <f aca="false">IF($B1221="","",$P1221-$Q1221)</f>
        <v/>
      </c>
      <c r="S1221" s="23" t="str">
        <f aca="false">IF($B1221="","",IF(COUNTIFS($A$4:$A$2003,$A1221-1,$B$4:$B$2003,$B1221)=0,"first day",IF(SUMIFS($M$4:$M$2003,$A$4:$A$2003,$A1221-1,$B$4:$B$2003,$B1221)=$J1221,"OK","CHECK")))</f>
        <v/>
      </c>
      <c r="T1221" s="10" t="str">
        <f aca="false">IF($B1221="","",IFERROR(INDEX(Drinks!$D$4:$D$53,MATCH($B1221,Drinks!$A$4:$A$53,0)),0))</f>
        <v/>
      </c>
    </row>
    <row r="1222" customFormat="false" ht="15" hidden="false" customHeight="false" outlineLevel="0" collapsed="false">
      <c r="A1222" s="22"/>
      <c r="B1222" s="9"/>
      <c r="C1222" s="9"/>
      <c r="D1222" s="9"/>
      <c r="E1222" s="9"/>
      <c r="F1222" s="10" t="str">
        <f aca="false">IF($B1222="","",$C1222+$D1222-$E1222)</f>
        <v/>
      </c>
      <c r="G1222" s="10" t="str">
        <f aca="false">IF($B1222="","",IFERROR(INDEX(Drinks!$C$4:$C$53,MATCH($B1222,Drinks!$A$4:$A$53,0)),0))</f>
        <v/>
      </c>
      <c r="H1222" s="10" t="str">
        <f aca="false">IF($B1222="","",$D1222*$G1222)</f>
        <v/>
      </c>
      <c r="I1222" s="10" t="str">
        <f aca="false">IF($B1222="","",$F1222*$G1222)</f>
        <v/>
      </c>
      <c r="J1222" s="9"/>
      <c r="K1222" s="10" t="str">
        <f aca="false">IF($B1222="","",$E1222*IFERROR(INDEX(Drinks!$B$4:$B$53,MATCH($B1222,Drinks!$A$4:$A$53,0)),0))</f>
        <v/>
      </c>
      <c r="L1222" s="10" t="str">
        <f aca="false">IF($B1222="","",$J1222+$K1222)</f>
        <v/>
      </c>
      <c r="M1222" s="9"/>
      <c r="N1222" s="10" t="str">
        <f aca="false">IF($B1222="","",$L1222-$M1222)</f>
        <v/>
      </c>
      <c r="O1222" s="10" t="str">
        <f aca="false">IF($B1222="","",IFERROR(INDEX(Drinks!$E$4:$E$53,MATCH($B1222,Drinks!$A$4:$A$53,0)),0))</f>
        <v/>
      </c>
      <c r="P1222" s="10" t="str">
        <f aca="false">IF($B1222="","",$N1222*$O1222)</f>
        <v/>
      </c>
      <c r="Q1222" s="10" t="str">
        <f aca="false">IF($B1222="","",$N1222*IFERROR(INDEX(Drinks!$D$4:$D$53,MATCH($B1222,Drinks!$A$4:$A$53,0)),0))</f>
        <v/>
      </c>
      <c r="R1222" s="10" t="str">
        <f aca="false">IF($B1222="","",$P1222-$Q1222)</f>
        <v/>
      </c>
      <c r="S1222" s="23" t="str">
        <f aca="false">IF($B1222="","",IF(COUNTIFS($A$4:$A$2003,$A1222-1,$B$4:$B$2003,$B1222)=0,"first day",IF(SUMIFS($M$4:$M$2003,$A$4:$A$2003,$A1222-1,$B$4:$B$2003,$B1222)=$J1222,"OK","CHECK")))</f>
        <v/>
      </c>
      <c r="T1222" s="10" t="str">
        <f aca="false">IF($B1222="","",IFERROR(INDEX(Drinks!$D$4:$D$53,MATCH($B1222,Drinks!$A$4:$A$53,0)),0))</f>
        <v/>
      </c>
    </row>
    <row r="1223" customFormat="false" ht="15" hidden="false" customHeight="false" outlineLevel="0" collapsed="false">
      <c r="A1223" s="22"/>
      <c r="B1223" s="9"/>
      <c r="C1223" s="9"/>
      <c r="D1223" s="9"/>
      <c r="E1223" s="9"/>
      <c r="F1223" s="10" t="str">
        <f aca="false">IF($B1223="","",$C1223+$D1223-$E1223)</f>
        <v/>
      </c>
      <c r="G1223" s="10" t="str">
        <f aca="false">IF($B1223="","",IFERROR(INDEX(Drinks!$C$4:$C$53,MATCH($B1223,Drinks!$A$4:$A$53,0)),0))</f>
        <v/>
      </c>
      <c r="H1223" s="10" t="str">
        <f aca="false">IF($B1223="","",$D1223*$G1223)</f>
        <v/>
      </c>
      <c r="I1223" s="10" t="str">
        <f aca="false">IF($B1223="","",$F1223*$G1223)</f>
        <v/>
      </c>
      <c r="J1223" s="9"/>
      <c r="K1223" s="10" t="str">
        <f aca="false">IF($B1223="","",$E1223*IFERROR(INDEX(Drinks!$B$4:$B$53,MATCH($B1223,Drinks!$A$4:$A$53,0)),0))</f>
        <v/>
      </c>
      <c r="L1223" s="10" t="str">
        <f aca="false">IF($B1223="","",$J1223+$K1223)</f>
        <v/>
      </c>
      <c r="M1223" s="9"/>
      <c r="N1223" s="10" t="str">
        <f aca="false">IF($B1223="","",$L1223-$M1223)</f>
        <v/>
      </c>
      <c r="O1223" s="10" t="str">
        <f aca="false">IF($B1223="","",IFERROR(INDEX(Drinks!$E$4:$E$53,MATCH($B1223,Drinks!$A$4:$A$53,0)),0))</f>
        <v/>
      </c>
      <c r="P1223" s="10" t="str">
        <f aca="false">IF($B1223="","",$N1223*$O1223)</f>
        <v/>
      </c>
      <c r="Q1223" s="10" t="str">
        <f aca="false">IF($B1223="","",$N1223*IFERROR(INDEX(Drinks!$D$4:$D$53,MATCH($B1223,Drinks!$A$4:$A$53,0)),0))</f>
        <v/>
      </c>
      <c r="R1223" s="10" t="str">
        <f aca="false">IF($B1223="","",$P1223-$Q1223)</f>
        <v/>
      </c>
      <c r="S1223" s="23" t="str">
        <f aca="false">IF($B1223="","",IF(COUNTIFS($A$4:$A$2003,$A1223-1,$B$4:$B$2003,$B1223)=0,"first day",IF(SUMIFS($M$4:$M$2003,$A$4:$A$2003,$A1223-1,$B$4:$B$2003,$B1223)=$J1223,"OK","CHECK")))</f>
        <v/>
      </c>
      <c r="T1223" s="10" t="str">
        <f aca="false">IF($B1223="","",IFERROR(INDEX(Drinks!$D$4:$D$53,MATCH($B1223,Drinks!$A$4:$A$53,0)),0))</f>
        <v/>
      </c>
    </row>
    <row r="1224" customFormat="false" ht="15" hidden="false" customHeight="false" outlineLevel="0" collapsed="false">
      <c r="A1224" s="22"/>
      <c r="B1224" s="9"/>
      <c r="C1224" s="9"/>
      <c r="D1224" s="9"/>
      <c r="E1224" s="9"/>
      <c r="F1224" s="10" t="str">
        <f aca="false">IF($B1224="","",$C1224+$D1224-$E1224)</f>
        <v/>
      </c>
      <c r="G1224" s="10" t="str">
        <f aca="false">IF($B1224="","",IFERROR(INDEX(Drinks!$C$4:$C$53,MATCH($B1224,Drinks!$A$4:$A$53,0)),0))</f>
        <v/>
      </c>
      <c r="H1224" s="10" t="str">
        <f aca="false">IF($B1224="","",$D1224*$G1224)</f>
        <v/>
      </c>
      <c r="I1224" s="10" t="str">
        <f aca="false">IF($B1224="","",$F1224*$G1224)</f>
        <v/>
      </c>
      <c r="J1224" s="9"/>
      <c r="K1224" s="10" t="str">
        <f aca="false">IF($B1224="","",$E1224*IFERROR(INDEX(Drinks!$B$4:$B$53,MATCH($B1224,Drinks!$A$4:$A$53,0)),0))</f>
        <v/>
      </c>
      <c r="L1224" s="10" t="str">
        <f aca="false">IF($B1224="","",$J1224+$K1224)</f>
        <v/>
      </c>
      <c r="M1224" s="9"/>
      <c r="N1224" s="10" t="str">
        <f aca="false">IF($B1224="","",$L1224-$M1224)</f>
        <v/>
      </c>
      <c r="O1224" s="10" t="str">
        <f aca="false">IF($B1224="","",IFERROR(INDEX(Drinks!$E$4:$E$53,MATCH($B1224,Drinks!$A$4:$A$53,0)),0))</f>
        <v/>
      </c>
      <c r="P1224" s="10" t="str">
        <f aca="false">IF($B1224="","",$N1224*$O1224)</f>
        <v/>
      </c>
      <c r="Q1224" s="10" t="str">
        <f aca="false">IF($B1224="","",$N1224*IFERROR(INDEX(Drinks!$D$4:$D$53,MATCH($B1224,Drinks!$A$4:$A$53,0)),0))</f>
        <v/>
      </c>
      <c r="R1224" s="10" t="str">
        <f aca="false">IF($B1224="","",$P1224-$Q1224)</f>
        <v/>
      </c>
      <c r="S1224" s="23" t="str">
        <f aca="false">IF($B1224="","",IF(COUNTIFS($A$4:$A$2003,$A1224-1,$B$4:$B$2003,$B1224)=0,"first day",IF(SUMIFS($M$4:$M$2003,$A$4:$A$2003,$A1224-1,$B$4:$B$2003,$B1224)=$J1224,"OK","CHECK")))</f>
        <v/>
      </c>
      <c r="T1224" s="10" t="str">
        <f aca="false">IF($B1224="","",IFERROR(INDEX(Drinks!$D$4:$D$53,MATCH($B1224,Drinks!$A$4:$A$53,0)),0))</f>
        <v/>
      </c>
    </row>
    <row r="1225" customFormat="false" ht="15" hidden="false" customHeight="false" outlineLevel="0" collapsed="false">
      <c r="A1225" s="22"/>
      <c r="B1225" s="9"/>
      <c r="C1225" s="9"/>
      <c r="D1225" s="9"/>
      <c r="E1225" s="9"/>
      <c r="F1225" s="10" t="str">
        <f aca="false">IF($B1225="","",$C1225+$D1225-$E1225)</f>
        <v/>
      </c>
      <c r="G1225" s="10" t="str">
        <f aca="false">IF($B1225="","",IFERROR(INDEX(Drinks!$C$4:$C$53,MATCH($B1225,Drinks!$A$4:$A$53,0)),0))</f>
        <v/>
      </c>
      <c r="H1225" s="10" t="str">
        <f aca="false">IF($B1225="","",$D1225*$G1225)</f>
        <v/>
      </c>
      <c r="I1225" s="10" t="str">
        <f aca="false">IF($B1225="","",$F1225*$G1225)</f>
        <v/>
      </c>
      <c r="J1225" s="9"/>
      <c r="K1225" s="10" t="str">
        <f aca="false">IF($B1225="","",$E1225*IFERROR(INDEX(Drinks!$B$4:$B$53,MATCH($B1225,Drinks!$A$4:$A$53,0)),0))</f>
        <v/>
      </c>
      <c r="L1225" s="10" t="str">
        <f aca="false">IF($B1225="","",$J1225+$K1225)</f>
        <v/>
      </c>
      <c r="M1225" s="9"/>
      <c r="N1225" s="10" t="str">
        <f aca="false">IF($B1225="","",$L1225-$M1225)</f>
        <v/>
      </c>
      <c r="O1225" s="10" t="str">
        <f aca="false">IF($B1225="","",IFERROR(INDEX(Drinks!$E$4:$E$53,MATCH($B1225,Drinks!$A$4:$A$53,0)),0))</f>
        <v/>
      </c>
      <c r="P1225" s="10" t="str">
        <f aca="false">IF($B1225="","",$N1225*$O1225)</f>
        <v/>
      </c>
      <c r="Q1225" s="10" t="str">
        <f aca="false">IF($B1225="","",$N1225*IFERROR(INDEX(Drinks!$D$4:$D$53,MATCH($B1225,Drinks!$A$4:$A$53,0)),0))</f>
        <v/>
      </c>
      <c r="R1225" s="10" t="str">
        <f aca="false">IF($B1225="","",$P1225-$Q1225)</f>
        <v/>
      </c>
      <c r="S1225" s="23" t="str">
        <f aca="false">IF($B1225="","",IF(COUNTIFS($A$4:$A$2003,$A1225-1,$B$4:$B$2003,$B1225)=0,"first day",IF(SUMIFS($M$4:$M$2003,$A$4:$A$2003,$A1225-1,$B$4:$B$2003,$B1225)=$J1225,"OK","CHECK")))</f>
        <v/>
      </c>
      <c r="T1225" s="10" t="str">
        <f aca="false">IF($B1225="","",IFERROR(INDEX(Drinks!$D$4:$D$53,MATCH($B1225,Drinks!$A$4:$A$53,0)),0))</f>
        <v/>
      </c>
    </row>
    <row r="1226" customFormat="false" ht="15" hidden="false" customHeight="false" outlineLevel="0" collapsed="false">
      <c r="A1226" s="22"/>
      <c r="B1226" s="9"/>
      <c r="C1226" s="9"/>
      <c r="D1226" s="9"/>
      <c r="E1226" s="9"/>
      <c r="F1226" s="10" t="str">
        <f aca="false">IF($B1226="","",$C1226+$D1226-$E1226)</f>
        <v/>
      </c>
      <c r="G1226" s="10" t="str">
        <f aca="false">IF($B1226="","",IFERROR(INDEX(Drinks!$C$4:$C$53,MATCH($B1226,Drinks!$A$4:$A$53,0)),0))</f>
        <v/>
      </c>
      <c r="H1226" s="10" t="str">
        <f aca="false">IF($B1226="","",$D1226*$G1226)</f>
        <v/>
      </c>
      <c r="I1226" s="10" t="str">
        <f aca="false">IF($B1226="","",$F1226*$G1226)</f>
        <v/>
      </c>
      <c r="J1226" s="9"/>
      <c r="K1226" s="10" t="str">
        <f aca="false">IF($B1226="","",$E1226*IFERROR(INDEX(Drinks!$B$4:$B$53,MATCH($B1226,Drinks!$A$4:$A$53,0)),0))</f>
        <v/>
      </c>
      <c r="L1226" s="10" t="str">
        <f aca="false">IF($B1226="","",$J1226+$K1226)</f>
        <v/>
      </c>
      <c r="M1226" s="9"/>
      <c r="N1226" s="10" t="str">
        <f aca="false">IF($B1226="","",$L1226-$M1226)</f>
        <v/>
      </c>
      <c r="O1226" s="10" t="str">
        <f aca="false">IF($B1226="","",IFERROR(INDEX(Drinks!$E$4:$E$53,MATCH($B1226,Drinks!$A$4:$A$53,0)),0))</f>
        <v/>
      </c>
      <c r="P1226" s="10" t="str">
        <f aca="false">IF($B1226="","",$N1226*$O1226)</f>
        <v/>
      </c>
      <c r="Q1226" s="10" t="str">
        <f aca="false">IF($B1226="","",$N1226*IFERROR(INDEX(Drinks!$D$4:$D$53,MATCH($B1226,Drinks!$A$4:$A$53,0)),0))</f>
        <v/>
      </c>
      <c r="R1226" s="10" t="str">
        <f aca="false">IF($B1226="","",$P1226-$Q1226)</f>
        <v/>
      </c>
      <c r="S1226" s="23" t="str">
        <f aca="false">IF($B1226="","",IF(COUNTIFS($A$4:$A$2003,$A1226-1,$B$4:$B$2003,$B1226)=0,"first day",IF(SUMIFS($M$4:$M$2003,$A$4:$A$2003,$A1226-1,$B$4:$B$2003,$B1226)=$J1226,"OK","CHECK")))</f>
        <v/>
      </c>
      <c r="T1226" s="10" t="str">
        <f aca="false">IF($B1226="","",IFERROR(INDEX(Drinks!$D$4:$D$53,MATCH($B1226,Drinks!$A$4:$A$53,0)),0))</f>
        <v/>
      </c>
    </row>
    <row r="1227" customFormat="false" ht="15" hidden="false" customHeight="false" outlineLevel="0" collapsed="false">
      <c r="A1227" s="22"/>
      <c r="B1227" s="9"/>
      <c r="C1227" s="9"/>
      <c r="D1227" s="9"/>
      <c r="E1227" s="9"/>
      <c r="F1227" s="10" t="str">
        <f aca="false">IF($B1227="","",$C1227+$D1227-$E1227)</f>
        <v/>
      </c>
      <c r="G1227" s="10" t="str">
        <f aca="false">IF($B1227="","",IFERROR(INDEX(Drinks!$C$4:$C$53,MATCH($B1227,Drinks!$A$4:$A$53,0)),0))</f>
        <v/>
      </c>
      <c r="H1227" s="10" t="str">
        <f aca="false">IF($B1227="","",$D1227*$G1227)</f>
        <v/>
      </c>
      <c r="I1227" s="10" t="str">
        <f aca="false">IF($B1227="","",$F1227*$G1227)</f>
        <v/>
      </c>
      <c r="J1227" s="9"/>
      <c r="K1227" s="10" t="str">
        <f aca="false">IF($B1227="","",$E1227*IFERROR(INDEX(Drinks!$B$4:$B$53,MATCH($B1227,Drinks!$A$4:$A$53,0)),0))</f>
        <v/>
      </c>
      <c r="L1227" s="10" t="str">
        <f aca="false">IF($B1227="","",$J1227+$K1227)</f>
        <v/>
      </c>
      <c r="M1227" s="9"/>
      <c r="N1227" s="10" t="str">
        <f aca="false">IF($B1227="","",$L1227-$M1227)</f>
        <v/>
      </c>
      <c r="O1227" s="10" t="str">
        <f aca="false">IF($B1227="","",IFERROR(INDEX(Drinks!$E$4:$E$53,MATCH($B1227,Drinks!$A$4:$A$53,0)),0))</f>
        <v/>
      </c>
      <c r="P1227" s="10" t="str">
        <f aca="false">IF($B1227="","",$N1227*$O1227)</f>
        <v/>
      </c>
      <c r="Q1227" s="10" t="str">
        <f aca="false">IF($B1227="","",$N1227*IFERROR(INDEX(Drinks!$D$4:$D$53,MATCH($B1227,Drinks!$A$4:$A$53,0)),0))</f>
        <v/>
      </c>
      <c r="R1227" s="10" t="str">
        <f aca="false">IF($B1227="","",$P1227-$Q1227)</f>
        <v/>
      </c>
      <c r="S1227" s="23" t="str">
        <f aca="false">IF($B1227="","",IF(COUNTIFS($A$4:$A$2003,$A1227-1,$B$4:$B$2003,$B1227)=0,"first day",IF(SUMIFS($M$4:$M$2003,$A$4:$A$2003,$A1227-1,$B$4:$B$2003,$B1227)=$J1227,"OK","CHECK")))</f>
        <v/>
      </c>
      <c r="T1227" s="10" t="str">
        <f aca="false">IF($B1227="","",IFERROR(INDEX(Drinks!$D$4:$D$53,MATCH($B1227,Drinks!$A$4:$A$53,0)),0))</f>
        <v/>
      </c>
    </row>
    <row r="1228" customFormat="false" ht="15" hidden="false" customHeight="false" outlineLevel="0" collapsed="false">
      <c r="A1228" s="22"/>
      <c r="B1228" s="9"/>
      <c r="C1228" s="9"/>
      <c r="D1228" s="9"/>
      <c r="E1228" s="9"/>
      <c r="F1228" s="10" t="str">
        <f aca="false">IF($B1228="","",$C1228+$D1228-$E1228)</f>
        <v/>
      </c>
      <c r="G1228" s="10" t="str">
        <f aca="false">IF($B1228="","",IFERROR(INDEX(Drinks!$C$4:$C$53,MATCH($B1228,Drinks!$A$4:$A$53,0)),0))</f>
        <v/>
      </c>
      <c r="H1228" s="10" t="str">
        <f aca="false">IF($B1228="","",$D1228*$G1228)</f>
        <v/>
      </c>
      <c r="I1228" s="10" t="str">
        <f aca="false">IF($B1228="","",$F1228*$G1228)</f>
        <v/>
      </c>
      <c r="J1228" s="9"/>
      <c r="K1228" s="10" t="str">
        <f aca="false">IF($B1228="","",$E1228*IFERROR(INDEX(Drinks!$B$4:$B$53,MATCH($B1228,Drinks!$A$4:$A$53,0)),0))</f>
        <v/>
      </c>
      <c r="L1228" s="10" t="str">
        <f aca="false">IF($B1228="","",$J1228+$K1228)</f>
        <v/>
      </c>
      <c r="M1228" s="9"/>
      <c r="N1228" s="10" t="str">
        <f aca="false">IF($B1228="","",$L1228-$M1228)</f>
        <v/>
      </c>
      <c r="O1228" s="10" t="str">
        <f aca="false">IF($B1228="","",IFERROR(INDEX(Drinks!$E$4:$E$53,MATCH($B1228,Drinks!$A$4:$A$53,0)),0))</f>
        <v/>
      </c>
      <c r="P1228" s="10" t="str">
        <f aca="false">IF($B1228="","",$N1228*$O1228)</f>
        <v/>
      </c>
      <c r="Q1228" s="10" t="str">
        <f aca="false">IF($B1228="","",$N1228*IFERROR(INDEX(Drinks!$D$4:$D$53,MATCH($B1228,Drinks!$A$4:$A$53,0)),0))</f>
        <v/>
      </c>
      <c r="R1228" s="10" t="str">
        <f aca="false">IF($B1228="","",$P1228-$Q1228)</f>
        <v/>
      </c>
      <c r="S1228" s="23" t="str">
        <f aca="false">IF($B1228="","",IF(COUNTIFS($A$4:$A$2003,$A1228-1,$B$4:$B$2003,$B1228)=0,"first day",IF(SUMIFS($M$4:$M$2003,$A$4:$A$2003,$A1228-1,$B$4:$B$2003,$B1228)=$J1228,"OK","CHECK")))</f>
        <v/>
      </c>
      <c r="T1228" s="10" t="str">
        <f aca="false">IF($B1228="","",IFERROR(INDEX(Drinks!$D$4:$D$53,MATCH($B1228,Drinks!$A$4:$A$53,0)),0))</f>
        <v/>
      </c>
    </row>
    <row r="1229" customFormat="false" ht="15" hidden="false" customHeight="false" outlineLevel="0" collapsed="false">
      <c r="A1229" s="22"/>
      <c r="B1229" s="9"/>
      <c r="C1229" s="9"/>
      <c r="D1229" s="9"/>
      <c r="E1229" s="9"/>
      <c r="F1229" s="10" t="str">
        <f aca="false">IF($B1229="","",$C1229+$D1229-$E1229)</f>
        <v/>
      </c>
      <c r="G1229" s="10" t="str">
        <f aca="false">IF($B1229="","",IFERROR(INDEX(Drinks!$C$4:$C$53,MATCH($B1229,Drinks!$A$4:$A$53,0)),0))</f>
        <v/>
      </c>
      <c r="H1229" s="10" t="str">
        <f aca="false">IF($B1229="","",$D1229*$G1229)</f>
        <v/>
      </c>
      <c r="I1229" s="10" t="str">
        <f aca="false">IF($B1229="","",$F1229*$G1229)</f>
        <v/>
      </c>
      <c r="J1229" s="9"/>
      <c r="K1229" s="10" t="str">
        <f aca="false">IF($B1229="","",$E1229*IFERROR(INDEX(Drinks!$B$4:$B$53,MATCH($B1229,Drinks!$A$4:$A$53,0)),0))</f>
        <v/>
      </c>
      <c r="L1229" s="10" t="str">
        <f aca="false">IF($B1229="","",$J1229+$K1229)</f>
        <v/>
      </c>
      <c r="M1229" s="9"/>
      <c r="N1229" s="10" t="str">
        <f aca="false">IF($B1229="","",$L1229-$M1229)</f>
        <v/>
      </c>
      <c r="O1229" s="10" t="str">
        <f aca="false">IF($B1229="","",IFERROR(INDEX(Drinks!$E$4:$E$53,MATCH($B1229,Drinks!$A$4:$A$53,0)),0))</f>
        <v/>
      </c>
      <c r="P1229" s="10" t="str">
        <f aca="false">IF($B1229="","",$N1229*$O1229)</f>
        <v/>
      </c>
      <c r="Q1229" s="10" t="str">
        <f aca="false">IF($B1229="","",$N1229*IFERROR(INDEX(Drinks!$D$4:$D$53,MATCH($B1229,Drinks!$A$4:$A$53,0)),0))</f>
        <v/>
      </c>
      <c r="R1229" s="10" t="str">
        <f aca="false">IF($B1229="","",$P1229-$Q1229)</f>
        <v/>
      </c>
      <c r="S1229" s="23" t="str">
        <f aca="false">IF($B1229="","",IF(COUNTIFS($A$4:$A$2003,$A1229-1,$B$4:$B$2003,$B1229)=0,"first day",IF(SUMIFS($M$4:$M$2003,$A$4:$A$2003,$A1229-1,$B$4:$B$2003,$B1229)=$J1229,"OK","CHECK")))</f>
        <v/>
      </c>
      <c r="T1229" s="10" t="str">
        <f aca="false">IF($B1229="","",IFERROR(INDEX(Drinks!$D$4:$D$53,MATCH($B1229,Drinks!$A$4:$A$53,0)),0))</f>
        <v/>
      </c>
    </row>
    <row r="1230" customFormat="false" ht="15" hidden="false" customHeight="false" outlineLevel="0" collapsed="false">
      <c r="A1230" s="22"/>
      <c r="B1230" s="9"/>
      <c r="C1230" s="9"/>
      <c r="D1230" s="9"/>
      <c r="E1230" s="9"/>
      <c r="F1230" s="10" t="str">
        <f aca="false">IF($B1230="","",$C1230+$D1230-$E1230)</f>
        <v/>
      </c>
      <c r="G1230" s="10" t="str">
        <f aca="false">IF($B1230="","",IFERROR(INDEX(Drinks!$C$4:$C$53,MATCH($B1230,Drinks!$A$4:$A$53,0)),0))</f>
        <v/>
      </c>
      <c r="H1230" s="10" t="str">
        <f aca="false">IF($B1230="","",$D1230*$G1230)</f>
        <v/>
      </c>
      <c r="I1230" s="10" t="str">
        <f aca="false">IF($B1230="","",$F1230*$G1230)</f>
        <v/>
      </c>
      <c r="J1230" s="9"/>
      <c r="K1230" s="10" t="str">
        <f aca="false">IF($B1230="","",$E1230*IFERROR(INDEX(Drinks!$B$4:$B$53,MATCH($B1230,Drinks!$A$4:$A$53,0)),0))</f>
        <v/>
      </c>
      <c r="L1230" s="10" t="str">
        <f aca="false">IF($B1230="","",$J1230+$K1230)</f>
        <v/>
      </c>
      <c r="M1230" s="9"/>
      <c r="N1230" s="10" t="str">
        <f aca="false">IF($B1230="","",$L1230-$M1230)</f>
        <v/>
      </c>
      <c r="O1230" s="10" t="str">
        <f aca="false">IF($B1230="","",IFERROR(INDEX(Drinks!$E$4:$E$53,MATCH($B1230,Drinks!$A$4:$A$53,0)),0))</f>
        <v/>
      </c>
      <c r="P1230" s="10" t="str">
        <f aca="false">IF($B1230="","",$N1230*$O1230)</f>
        <v/>
      </c>
      <c r="Q1230" s="10" t="str">
        <f aca="false">IF($B1230="","",$N1230*IFERROR(INDEX(Drinks!$D$4:$D$53,MATCH($B1230,Drinks!$A$4:$A$53,0)),0))</f>
        <v/>
      </c>
      <c r="R1230" s="10" t="str">
        <f aca="false">IF($B1230="","",$P1230-$Q1230)</f>
        <v/>
      </c>
      <c r="S1230" s="23" t="str">
        <f aca="false">IF($B1230="","",IF(COUNTIFS($A$4:$A$2003,$A1230-1,$B$4:$B$2003,$B1230)=0,"first day",IF(SUMIFS($M$4:$M$2003,$A$4:$A$2003,$A1230-1,$B$4:$B$2003,$B1230)=$J1230,"OK","CHECK")))</f>
        <v/>
      </c>
      <c r="T1230" s="10" t="str">
        <f aca="false">IF($B1230="","",IFERROR(INDEX(Drinks!$D$4:$D$53,MATCH($B1230,Drinks!$A$4:$A$53,0)),0))</f>
        <v/>
      </c>
    </row>
    <row r="1231" customFormat="false" ht="15" hidden="false" customHeight="false" outlineLevel="0" collapsed="false">
      <c r="A1231" s="22"/>
      <c r="B1231" s="9"/>
      <c r="C1231" s="9"/>
      <c r="D1231" s="9"/>
      <c r="E1231" s="9"/>
      <c r="F1231" s="10" t="str">
        <f aca="false">IF($B1231="","",$C1231+$D1231-$E1231)</f>
        <v/>
      </c>
      <c r="G1231" s="10" t="str">
        <f aca="false">IF($B1231="","",IFERROR(INDEX(Drinks!$C$4:$C$53,MATCH($B1231,Drinks!$A$4:$A$53,0)),0))</f>
        <v/>
      </c>
      <c r="H1231" s="10" t="str">
        <f aca="false">IF($B1231="","",$D1231*$G1231)</f>
        <v/>
      </c>
      <c r="I1231" s="10" t="str">
        <f aca="false">IF($B1231="","",$F1231*$G1231)</f>
        <v/>
      </c>
      <c r="J1231" s="9"/>
      <c r="K1231" s="10" t="str">
        <f aca="false">IF($B1231="","",$E1231*IFERROR(INDEX(Drinks!$B$4:$B$53,MATCH($B1231,Drinks!$A$4:$A$53,0)),0))</f>
        <v/>
      </c>
      <c r="L1231" s="10" t="str">
        <f aca="false">IF($B1231="","",$J1231+$K1231)</f>
        <v/>
      </c>
      <c r="M1231" s="9"/>
      <c r="N1231" s="10" t="str">
        <f aca="false">IF($B1231="","",$L1231-$M1231)</f>
        <v/>
      </c>
      <c r="O1231" s="10" t="str">
        <f aca="false">IF($B1231="","",IFERROR(INDEX(Drinks!$E$4:$E$53,MATCH($B1231,Drinks!$A$4:$A$53,0)),0))</f>
        <v/>
      </c>
      <c r="P1231" s="10" t="str">
        <f aca="false">IF($B1231="","",$N1231*$O1231)</f>
        <v/>
      </c>
      <c r="Q1231" s="10" t="str">
        <f aca="false">IF($B1231="","",$N1231*IFERROR(INDEX(Drinks!$D$4:$D$53,MATCH($B1231,Drinks!$A$4:$A$53,0)),0))</f>
        <v/>
      </c>
      <c r="R1231" s="10" t="str">
        <f aca="false">IF($B1231="","",$P1231-$Q1231)</f>
        <v/>
      </c>
      <c r="S1231" s="23" t="str">
        <f aca="false">IF($B1231="","",IF(COUNTIFS($A$4:$A$2003,$A1231-1,$B$4:$B$2003,$B1231)=0,"first day",IF(SUMIFS($M$4:$M$2003,$A$4:$A$2003,$A1231-1,$B$4:$B$2003,$B1231)=$J1231,"OK","CHECK")))</f>
        <v/>
      </c>
      <c r="T1231" s="10" t="str">
        <f aca="false">IF($B1231="","",IFERROR(INDEX(Drinks!$D$4:$D$53,MATCH($B1231,Drinks!$A$4:$A$53,0)),0))</f>
        <v/>
      </c>
    </row>
    <row r="1232" customFormat="false" ht="15" hidden="false" customHeight="false" outlineLevel="0" collapsed="false">
      <c r="A1232" s="22"/>
      <c r="B1232" s="9"/>
      <c r="C1232" s="9"/>
      <c r="D1232" s="9"/>
      <c r="E1232" s="9"/>
      <c r="F1232" s="10" t="str">
        <f aca="false">IF($B1232="","",$C1232+$D1232-$E1232)</f>
        <v/>
      </c>
      <c r="G1232" s="10" t="str">
        <f aca="false">IF($B1232="","",IFERROR(INDEX(Drinks!$C$4:$C$53,MATCH($B1232,Drinks!$A$4:$A$53,0)),0))</f>
        <v/>
      </c>
      <c r="H1232" s="10" t="str">
        <f aca="false">IF($B1232="","",$D1232*$G1232)</f>
        <v/>
      </c>
      <c r="I1232" s="10" t="str">
        <f aca="false">IF($B1232="","",$F1232*$G1232)</f>
        <v/>
      </c>
      <c r="J1232" s="9"/>
      <c r="K1232" s="10" t="str">
        <f aca="false">IF($B1232="","",$E1232*IFERROR(INDEX(Drinks!$B$4:$B$53,MATCH($B1232,Drinks!$A$4:$A$53,0)),0))</f>
        <v/>
      </c>
      <c r="L1232" s="10" t="str">
        <f aca="false">IF($B1232="","",$J1232+$K1232)</f>
        <v/>
      </c>
      <c r="M1232" s="9"/>
      <c r="N1232" s="10" t="str">
        <f aca="false">IF($B1232="","",$L1232-$M1232)</f>
        <v/>
      </c>
      <c r="O1232" s="10" t="str">
        <f aca="false">IF($B1232="","",IFERROR(INDEX(Drinks!$E$4:$E$53,MATCH($B1232,Drinks!$A$4:$A$53,0)),0))</f>
        <v/>
      </c>
      <c r="P1232" s="10" t="str">
        <f aca="false">IF($B1232="","",$N1232*$O1232)</f>
        <v/>
      </c>
      <c r="Q1232" s="10" t="str">
        <f aca="false">IF($B1232="","",$N1232*IFERROR(INDEX(Drinks!$D$4:$D$53,MATCH($B1232,Drinks!$A$4:$A$53,0)),0))</f>
        <v/>
      </c>
      <c r="R1232" s="10" t="str">
        <f aca="false">IF($B1232="","",$P1232-$Q1232)</f>
        <v/>
      </c>
      <c r="S1232" s="23" t="str">
        <f aca="false">IF($B1232="","",IF(COUNTIFS($A$4:$A$2003,$A1232-1,$B$4:$B$2003,$B1232)=0,"first day",IF(SUMIFS($M$4:$M$2003,$A$4:$A$2003,$A1232-1,$B$4:$B$2003,$B1232)=$J1232,"OK","CHECK")))</f>
        <v/>
      </c>
      <c r="T1232" s="10" t="str">
        <f aca="false">IF($B1232="","",IFERROR(INDEX(Drinks!$D$4:$D$53,MATCH($B1232,Drinks!$A$4:$A$53,0)),0))</f>
        <v/>
      </c>
    </row>
    <row r="1233" customFormat="false" ht="15" hidden="false" customHeight="false" outlineLevel="0" collapsed="false">
      <c r="A1233" s="22"/>
      <c r="B1233" s="9"/>
      <c r="C1233" s="9"/>
      <c r="D1233" s="9"/>
      <c r="E1233" s="9"/>
      <c r="F1233" s="10" t="str">
        <f aca="false">IF($B1233="","",$C1233+$D1233-$E1233)</f>
        <v/>
      </c>
      <c r="G1233" s="10" t="str">
        <f aca="false">IF($B1233="","",IFERROR(INDEX(Drinks!$C$4:$C$53,MATCH($B1233,Drinks!$A$4:$A$53,0)),0))</f>
        <v/>
      </c>
      <c r="H1233" s="10" t="str">
        <f aca="false">IF($B1233="","",$D1233*$G1233)</f>
        <v/>
      </c>
      <c r="I1233" s="10" t="str">
        <f aca="false">IF($B1233="","",$F1233*$G1233)</f>
        <v/>
      </c>
      <c r="J1233" s="9"/>
      <c r="K1233" s="10" t="str">
        <f aca="false">IF($B1233="","",$E1233*IFERROR(INDEX(Drinks!$B$4:$B$53,MATCH($B1233,Drinks!$A$4:$A$53,0)),0))</f>
        <v/>
      </c>
      <c r="L1233" s="10" t="str">
        <f aca="false">IF($B1233="","",$J1233+$K1233)</f>
        <v/>
      </c>
      <c r="M1233" s="9"/>
      <c r="N1233" s="10" t="str">
        <f aca="false">IF($B1233="","",$L1233-$M1233)</f>
        <v/>
      </c>
      <c r="O1233" s="10" t="str">
        <f aca="false">IF($B1233="","",IFERROR(INDEX(Drinks!$E$4:$E$53,MATCH($B1233,Drinks!$A$4:$A$53,0)),0))</f>
        <v/>
      </c>
      <c r="P1233" s="10" t="str">
        <f aca="false">IF($B1233="","",$N1233*$O1233)</f>
        <v/>
      </c>
      <c r="Q1233" s="10" t="str">
        <f aca="false">IF($B1233="","",$N1233*IFERROR(INDEX(Drinks!$D$4:$D$53,MATCH($B1233,Drinks!$A$4:$A$53,0)),0))</f>
        <v/>
      </c>
      <c r="R1233" s="10" t="str">
        <f aca="false">IF($B1233="","",$P1233-$Q1233)</f>
        <v/>
      </c>
      <c r="S1233" s="23" t="str">
        <f aca="false">IF($B1233="","",IF(COUNTIFS($A$4:$A$2003,$A1233-1,$B$4:$B$2003,$B1233)=0,"first day",IF(SUMIFS($M$4:$M$2003,$A$4:$A$2003,$A1233-1,$B$4:$B$2003,$B1233)=$J1233,"OK","CHECK")))</f>
        <v/>
      </c>
      <c r="T1233" s="10" t="str">
        <f aca="false">IF($B1233="","",IFERROR(INDEX(Drinks!$D$4:$D$53,MATCH($B1233,Drinks!$A$4:$A$53,0)),0))</f>
        <v/>
      </c>
    </row>
    <row r="1234" customFormat="false" ht="15" hidden="false" customHeight="false" outlineLevel="0" collapsed="false">
      <c r="A1234" s="22"/>
      <c r="B1234" s="9"/>
      <c r="C1234" s="9"/>
      <c r="D1234" s="9"/>
      <c r="E1234" s="9"/>
      <c r="F1234" s="10" t="str">
        <f aca="false">IF($B1234="","",$C1234+$D1234-$E1234)</f>
        <v/>
      </c>
      <c r="G1234" s="10" t="str">
        <f aca="false">IF($B1234="","",IFERROR(INDEX(Drinks!$C$4:$C$53,MATCH($B1234,Drinks!$A$4:$A$53,0)),0))</f>
        <v/>
      </c>
      <c r="H1234" s="10" t="str">
        <f aca="false">IF($B1234="","",$D1234*$G1234)</f>
        <v/>
      </c>
      <c r="I1234" s="10" t="str">
        <f aca="false">IF($B1234="","",$F1234*$G1234)</f>
        <v/>
      </c>
      <c r="J1234" s="9"/>
      <c r="K1234" s="10" t="str">
        <f aca="false">IF($B1234="","",$E1234*IFERROR(INDEX(Drinks!$B$4:$B$53,MATCH($B1234,Drinks!$A$4:$A$53,0)),0))</f>
        <v/>
      </c>
      <c r="L1234" s="10" t="str">
        <f aca="false">IF($B1234="","",$J1234+$K1234)</f>
        <v/>
      </c>
      <c r="M1234" s="9"/>
      <c r="N1234" s="10" t="str">
        <f aca="false">IF($B1234="","",$L1234-$M1234)</f>
        <v/>
      </c>
      <c r="O1234" s="10" t="str">
        <f aca="false">IF($B1234="","",IFERROR(INDEX(Drinks!$E$4:$E$53,MATCH($B1234,Drinks!$A$4:$A$53,0)),0))</f>
        <v/>
      </c>
      <c r="P1234" s="10" t="str">
        <f aca="false">IF($B1234="","",$N1234*$O1234)</f>
        <v/>
      </c>
      <c r="Q1234" s="10" t="str">
        <f aca="false">IF($B1234="","",$N1234*IFERROR(INDEX(Drinks!$D$4:$D$53,MATCH($B1234,Drinks!$A$4:$A$53,0)),0))</f>
        <v/>
      </c>
      <c r="R1234" s="10" t="str">
        <f aca="false">IF($B1234="","",$P1234-$Q1234)</f>
        <v/>
      </c>
      <c r="S1234" s="23" t="str">
        <f aca="false">IF($B1234="","",IF(COUNTIFS($A$4:$A$2003,$A1234-1,$B$4:$B$2003,$B1234)=0,"first day",IF(SUMIFS($M$4:$M$2003,$A$4:$A$2003,$A1234-1,$B$4:$B$2003,$B1234)=$J1234,"OK","CHECK")))</f>
        <v/>
      </c>
      <c r="T1234" s="10" t="str">
        <f aca="false">IF($B1234="","",IFERROR(INDEX(Drinks!$D$4:$D$53,MATCH($B1234,Drinks!$A$4:$A$53,0)),0))</f>
        <v/>
      </c>
    </row>
    <row r="1235" customFormat="false" ht="15" hidden="false" customHeight="false" outlineLevel="0" collapsed="false">
      <c r="A1235" s="22"/>
      <c r="B1235" s="9"/>
      <c r="C1235" s="9"/>
      <c r="D1235" s="9"/>
      <c r="E1235" s="9"/>
      <c r="F1235" s="10" t="str">
        <f aca="false">IF($B1235="","",$C1235+$D1235-$E1235)</f>
        <v/>
      </c>
      <c r="G1235" s="10" t="str">
        <f aca="false">IF($B1235="","",IFERROR(INDEX(Drinks!$C$4:$C$53,MATCH($B1235,Drinks!$A$4:$A$53,0)),0))</f>
        <v/>
      </c>
      <c r="H1235" s="10" t="str">
        <f aca="false">IF($B1235="","",$D1235*$G1235)</f>
        <v/>
      </c>
      <c r="I1235" s="10" t="str">
        <f aca="false">IF($B1235="","",$F1235*$G1235)</f>
        <v/>
      </c>
      <c r="J1235" s="9"/>
      <c r="K1235" s="10" t="str">
        <f aca="false">IF($B1235="","",$E1235*IFERROR(INDEX(Drinks!$B$4:$B$53,MATCH($B1235,Drinks!$A$4:$A$53,0)),0))</f>
        <v/>
      </c>
      <c r="L1235" s="10" t="str">
        <f aca="false">IF($B1235="","",$J1235+$K1235)</f>
        <v/>
      </c>
      <c r="M1235" s="9"/>
      <c r="N1235" s="10" t="str">
        <f aca="false">IF($B1235="","",$L1235-$M1235)</f>
        <v/>
      </c>
      <c r="O1235" s="10" t="str">
        <f aca="false">IF($B1235="","",IFERROR(INDEX(Drinks!$E$4:$E$53,MATCH($B1235,Drinks!$A$4:$A$53,0)),0))</f>
        <v/>
      </c>
      <c r="P1235" s="10" t="str">
        <f aca="false">IF($B1235="","",$N1235*$O1235)</f>
        <v/>
      </c>
      <c r="Q1235" s="10" t="str">
        <f aca="false">IF($B1235="","",$N1235*IFERROR(INDEX(Drinks!$D$4:$D$53,MATCH($B1235,Drinks!$A$4:$A$53,0)),0))</f>
        <v/>
      </c>
      <c r="R1235" s="10" t="str">
        <f aca="false">IF($B1235="","",$P1235-$Q1235)</f>
        <v/>
      </c>
      <c r="S1235" s="23" t="str">
        <f aca="false">IF($B1235="","",IF(COUNTIFS($A$4:$A$2003,$A1235-1,$B$4:$B$2003,$B1235)=0,"first day",IF(SUMIFS($M$4:$M$2003,$A$4:$A$2003,$A1235-1,$B$4:$B$2003,$B1235)=$J1235,"OK","CHECK")))</f>
        <v/>
      </c>
      <c r="T1235" s="10" t="str">
        <f aca="false">IF($B1235="","",IFERROR(INDEX(Drinks!$D$4:$D$53,MATCH($B1235,Drinks!$A$4:$A$53,0)),0))</f>
        <v/>
      </c>
    </row>
    <row r="1236" customFormat="false" ht="15" hidden="false" customHeight="false" outlineLevel="0" collapsed="false">
      <c r="A1236" s="22"/>
      <c r="B1236" s="9"/>
      <c r="C1236" s="9"/>
      <c r="D1236" s="9"/>
      <c r="E1236" s="9"/>
      <c r="F1236" s="10" t="str">
        <f aca="false">IF($B1236="","",$C1236+$D1236-$E1236)</f>
        <v/>
      </c>
      <c r="G1236" s="10" t="str">
        <f aca="false">IF($B1236="","",IFERROR(INDEX(Drinks!$C$4:$C$53,MATCH($B1236,Drinks!$A$4:$A$53,0)),0))</f>
        <v/>
      </c>
      <c r="H1236" s="10" t="str">
        <f aca="false">IF($B1236="","",$D1236*$G1236)</f>
        <v/>
      </c>
      <c r="I1236" s="10" t="str">
        <f aca="false">IF($B1236="","",$F1236*$G1236)</f>
        <v/>
      </c>
      <c r="J1236" s="9"/>
      <c r="K1236" s="10" t="str">
        <f aca="false">IF($B1236="","",$E1236*IFERROR(INDEX(Drinks!$B$4:$B$53,MATCH($B1236,Drinks!$A$4:$A$53,0)),0))</f>
        <v/>
      </c>
      <c r="L1236" s="10" t="str">
        <f aca="false">IF($B1236="","",$J1236+$K1236)</f>
        <v/>
      </c>
      <c r="M1236" s="9"/>
      <c r="N1236" s="10" t="str">
        <f aca="false">IF($B1236="","",$L1236-$M1236)</f>
        <v/>
      </c>
      <c r="O1236" s="10" t="str">
        <f aca="false">IF($B1236="","",IFERROR(INDEX(Drinks!$E$4:$E$53,MATCH($B1236,Drinks!$A$4:$A$53,0)),0))</f>
        <v/>
      </c>
      <c r="P1236" s="10" t="str">
        <f aca="false">IF($B1236="","",$N1236*$O1236)</f>
        <v/>
      </c>
      <c r="Q1236" s="10" t="str">
        <f aca="false">IF($B1236="","",$N1236*IFERROR(INDEX(Drinks!$D$4:$D$53,MATCH($B1236,Drinks!$A$4:$A$53,0)),0))</f>
        <v/>
      </c>
      <c r="R1236" s="10" t="str">
        <f aca="false">IF($B1236="","",$P1236-$Q1236)</f>
        <v/>
      </c>
      <c r="S1236" s="23" t="str">
        <f aca="false">IF($B1236="","",IF(COUNTIFS($A$4:$A$2003,$A1236-1,$B$4:$B$2003,$B1236)=0,"first day",IF(SUMIFS($M$4:$M$2003,$A$4:$A$2003,$A1236-1,$B$4:$B$2003,$B1236)=$J1236,"OK","CHECK")))</f>
        <v/>
      </c>
      <c r="T1236" s="10" t="str">
        <f aca="false">IF($B1236="","",IFERROR(INDEX(Drinks!$D$4:$D$53,MATCH($B1236,Drinks!$A$4:$A$53,0)),0))</f>
        <v/>
      </c>
    </row>
    <row r="1237" customFormat="false" ht="15" hidden="false" customHeight="false" outlineLevel="0" collapsed="false">
      <c r="A1237" s="22"/>
      <c r="B1237" s="9"/>
      <c r="C1237" s="9"/>
      <c r="D1237" s="9"/>
      <c r="E1237" s="9"/>
      <c r="F1237" s="10" t="str">
        <f aca="false">IF($B1237="","",$C1237+$D1237-$E1237)</f>
        <v/>
      </c>
      <c r="G1237" s="10" t="str">
        <f aca="false">IF($B1237="","",IFERROR(INDEX(Drinks!$C$4:$C$53,MATCH($B1237,Drinks!$A$4:$A$53,0)),0))</f>
        <v/>
      </c>
      <c r="H1237" s="10" t="str">
        <f aca="false">IF($B1237="","",$D1237*$G1237)</f>
        <v/>
      </c>
      <c r="I1237" s="10" t="str">
        <f aca="false">IF($B1237="","",$F1237*$G1237)</f>
        <v/>
      </c>
      <c r="J1237" s="9"/>
      <c r="K1237" s="10" t="str">
        <f aca="false">IF($B1237="","",$E1237*IFERROR(INDEX(Drinks!$B$4:$B$53,MATCH($B1237,Drinks!$A$4:$A$53,0)),0))</f>
        <v/>
      </c>
      <c r="L1237" s="10" t="str">
        <f aca="false">IF($B1237="","",$J1237+$K1237)</f>
        <v/>
      </c>
      <c r="M1237" s="9"/>
      <c r="N1237" s="10" t="str">
        <f aca="false">IF($B1237="","",$L1237-$M1237)</f>
        <v/>
      </c>
      <c r="O1237" s="10" t="str">
        <f aca="false">IF($B1237="","",IFERROR(INDEX(Drinks!$E$4:$E$53,MATCH($B1237,Drinks!$A$4:$A$53,0)),0))</f>
        <v/>
      </c>
      <c r="P1237" s="10" t="str">
        <f aca="false">IF($B1237="","",$N1237*$O1237)</f>
        <v/>
      </c>
      <c r="Q1237" s="10" t="str">
        <f aca="false">IF($B1237="","",$N1237*IFERROR(INDEX(Drinks!$D$4:$D$53,MATCH($B1237,Drinks!$A$4:$A$53,0)),0))</f>
        <v/>
      </c>
      <c r="R1237" s="10" t="str">
        <f aca="false">IF($B1237="","",$P1237-$Q1237)</f>
        <v/>
      </c>
      <c r="S1237" s="23" t="str">
        <f aca="false">IF($B1237="","",IF(COUNTIFS($A$4:$A$2003,$A1237-1,$B$4:$B$2003,$B1237)=0,"first day",IF(SUMIFS($M$4:$M$2003,$A$4:$A$2003,$A1237-1,$B$4:$B$2003,$B1237)=$J1237,"OK","CHECK")))</f>
        <v/>
      </c>
      <c r="T1237" s="10" t="str">
        <f aca="false">IF($B1237="","",IFERROR(INDEX(Drinks!$D$4:$D$53,MATCH($B1237,Drinks!$A$4:$A$53,0)),0))</f>
        <v/>
      </c>
    </row>
    <row r="1238" customFormat="false" ht="15" hidden="false" customHeight="false" outlineLevel="0" collapsed="false">
      <c r="A1238" s="22"/>
      <c r="B1238" s="9"/>
      <c r="C1238" s="9"/>
      <c r="D1238" s="9"/>
      <c r="E1238" s="9"/>
      <c r="F1238" s="10" t="str">
        <f aca="false">IF($B1238="","",$C1238+$D1238-$E1238)</f>
        <v/>
      </c>
      <c r="G1238" s="10" t="str">
        <f aca="false">IF($B1238="","",IFERROR(INDEX(Drinks!$C$4:$C$53,MATCH($B1238,Drinks!$A$4:$A$53,0)),0))</f>
        <v/>
      </c>
      <c r="H1238" s="10" t="str">
        <f aca="false">IF($B1238="","",$D1238*$G1238)</f>
        <v/>
      </c>
      <c r="I1238" s="10" t="str">
        <f aca="false">IF($B1238="","",$F1238*$G1238)</f>
        <v/>
      </c>
      <c r="J1238" s="9"/>
      <c r="K1238" s="10" t="str">
        <f aca="false">IF($B1238="","",$E1238*IFERROR(INDEX(Drinks!$B$4:$B$53,MATCH($B1238,Drinks!$A$4:$A$53,0)),0))</f>
        <v/>
      </c>
      <c r="L1238" s="10" t="str">
        <f aca="false">IF($B1238="","",$J1238+$K1238)</f>
        <v/>
      </c>
      <c r="M1238" s="9"/>
      <c r="N1238" s="10" t="str">
        <f aca="false">IF($B1238="","",$L1238-$M1238)</f>
        <v/>
      </c>
      <c r="O1238" s="10" t="str">
        <f aca="false">IF($B1238="","",IFERROR(INDEX(Drinks!$E$4:$E$53,MATCH($B1238,Drinks!$A$4:$A$53,0)),0))</f>
        <v/>
      </c>
      <c r="P1238" s="10" t="str">
        <f aca="false">IF($B1238="","",$N1238*$O1238)</f>
        <v/>
      </c>
      <c r="Q1238" s="10" t="str">
        <f aca="false">IF($B1238="","",$N1238*IFERROR(INDEX(Drinks!$D$4:$D$53,MATCH($B1238,Drinks!$A$4:$A$53,0)),0))</f>
        <v/>
      </c>
      <c r="R1238" s="10" t="str">
        <f aca="false">IF($B1238="","",$P1238-$Q1238)</f>
        <v/>
      </c>
      <c r="S1238" s="23" t="str">
        <f aca="false">IF($B1238="","",IF(COUNTIFS($A$4:$A$2003,$A1238-1,$B$4:$B$2003,$B1238)=0,"first day",IF(SUMIFS($M$4:$M$2003,$A$4:$A$2003,$A1238-1,$B$4:$B$2003,$B1238)=$J1238,"OK","CHECK")))</f>
        <v/>
      </c>
      <c r="T1238" s="10" t="str">
        <f aca="false">IF($B1238="","",IFERROR(INDEX(Drinks!$D$4:$D$53,MATCH($B1238,Drinks!$A$4:$A$53,0)),0))</f>
        <v/>
      </c>
    </row>
    <row r="1239" customFormat="false" ht="15" hidden="false" customHeight="false" outlineLevel="0" collapsed="false">
      <c r="A1239" s="22"/>
      <c r="B1239" s="9"/>
      <c r="C1239" s="9"/>
      <c r="D1239" s="9"/>
      <c r="E1239" s="9"/>
      <c r="F1239" s="10" t="str">
        <f aca="false">IF($B1239="","",$C1239+$D1239-$E1239)</f>
        <v/>
      </c>
      <c r="G1239" s="10" t="str">
        <f aca="false">IF($B1239="","",IFERROR(INDEX(Drinks!$C$4:$C$53,MATCH($B1239,Drinks!$A$4:$A$53,0)),0))</f>
        <v/>
      </c>
      <c r="H1239" s="10" t="str">
        <f aca="false">IF($B1239="","",$D1239*$G1239)</f>
        <v/>
      </c>
      <c r="I1239" s="10" t="str">
        <f aca="false">IF($B1239="","",$F1239*$G1239)</f>
        <v/>
      </c>
      <c r="J1239" s="9"/>
      <c r="K1239" s="10" t="str">
        <f aca="false">IF($B1239="","",$E1239*IFERROR(INDEX(Drinks!$B$4:$B$53,MATCH($B1239,Drinks!$A$4:$A$53,0)),0))</f>
        <v/>
      </c>
      <c r="L1239" s="10" t="str">
        <f aca="false">IF($B1239="","",$J1239+$K1239)</f>
        <v/>
      </c>
      <c r="M1239" s="9"/>
      <c r="N1239" s="10" t="str">
        <f aca="false">IF($B1239="","",$L1239-$M1239)</f>
        <v/>
      </c>
      <c r="O1239" s="10" t="str">
        <f aca="false">IF($B1239="","",IFERROR(INDEX(Drinks!$E$4:$E$53,MATCH($B1239,Drinks!$A$4:$A$53,0)),0))</f>
        <v/>
      </c>
      <c r="P1239" s="10" t="str">
        <f aca="false">IF($B1239="","",$N1239*$O1239)</f>
        <v/>
      </c>
      <c r="Q1239" s="10" t="str">
        <f aca="false">IF($B1239="","",$N1239*IFERROR(INDEX(Drinks!$D$4:$D$53,MATCH($B1239,Drinks!$A$4:$A$53,0)),0))</f>
        <v/>
      </c>
      <c r="R1239" s="10" t="str">
        <f aca="false">IF($B1239="","",$P1239-$Q1239)</f>
        <v/>
      </c>
      <c r="S1239" s="23" t="str">
        <f aca="false">IF($B1239="","",IF(COUNTIFS($A$4:$A$2003,$A1239-1,$B$4:$B$2003,$B1239)=0,"first day",IF(SUMIFS($M$4:$M$2003,$A$4:$A$2003,$A1239-1,$B$4:$B$2003,$B1239)=$J1239,"OK","CHECK")))</f>
        <v/>
      </c>
      <c r="T1239" s="10" t="str">
        <f aca="false">IF($B1239="","",IFERROR(INDEX(Drinks!$D$4:$D$53,MATCH($B1239,Drinks!$A$4:$A$53,0)),0))</f>
        <v/>
      </c>
    </row>
    <row r="1240" customFormat="false" ht="15" hidden="false" customHeight="false" outlineLevel="0" collapsed="false">
      <c r="A1240" s="22"/>
      <c r="B1240" s="9"/>
      <c r="C1240" s="9"/>
      <c r="D1240" s="9"/>
      <c r="E1240" s="9"/>
      <c r="F1240" s="10" t="str">
        <f aca="false">IF($B1240="","",$C1240+$D1240-$E1240)</f>
        <v/>
      </c>
      <c r="G1240" s="10" t="str">
        <f aca="false">IF($B1240="","",IFERROR(INDEX(Drinks!$C$4:$C$53,MATCH($B1240,Drinks!$A$4:$A$53,0)),0))</f>
        <v/>
      </c>
      <c r="H1240" s="10" t="str">
        <f aca="false">IF($B1240="","",$D1240*$G1240)</f>
        <v/>
      </c>
      <c r="I1240" s="10" t="str">
        <f aca="false">IF($B1240="","",$F1240*$G1240)</f>
        <v/>
      </c>
      <c r="J1240" s="9"/>
      <c r="K1240" s="10" t="str">
        <f aca="false">IF($B1240="","",$E1240*IFERROR(INDEX(Drinks!$B$4:$B$53,MATCH($B1240,Drinks!$A$4:$A$53,0)),0))</f>
        <v/>
      </c>
      <c r="L1240" s="10" t="str">
        <f aca="false">IF($B1240="","",$J1240+$K1240)</f>
        <v/>
      </c>
      <c r="M1240" s="9"/>
      <c r="N1240" s="10" t="str">
        <f aca="false">IF($B1240="","",$L1240-$M1240)</f>
        <v/>
      </c>
      <c r="O1240" s="10" t="str">
        <f aca="false">IF($B1240="","",IFERROR(INDEX(Drinks!$E$4:$E$53,MATCH($B1240,Drinks!$A$4:$A$53,0)),0))</f>
        <v/>
      </c>
      <c r="P1240" s="10" t="str">
        <f aca="false">IF($B1240="","",$N1240*$O1240)</f>
        <v/>
      </c>
      <c r="Q1240" s="10" t="str">
        <f aca="false">IF($B1240="","",$N1240*IFERROR(INDEX(Drinks!$D$4:$D$53,MATCH($B1240,Drinks!$A$4:$A$53,0)),0))</f>
        <v/>
      </c>
      <c r="R1240" s="10" t="str">
        <f aca="false">IF($B1240="","",$P1240-$Q1240)</f>
        <v/>
      </c>
      <c r="S1240" s="23" t="str">
        <f aca="false">IF($B1240="","",IF(COUNTIFS($A$4:$A$2003,$A1240-1,$B$4:$B$2003,$B1240)=0,"first day",IF(SUMIFS($M$4:$M$2003,$A$4:$A$2003,$A1240-1,$B$4:$B$2003,$B1240)=$J1240,"OK","CHECK")))</f>
        <v/>
      </c>
      <c r="T1240" s="10" t="str">
        <f aca="false">IF($B1240="","",IFERROR(INDEX(Drinks!$D$4:$D$53,MATCH($B1240,Drinks!$A$4:$A$53,0)),0))</f>
        <v/>
      </c>
    </row>
    <row r="1241" customFormat="false" ht="15" hidden="false" customHeight="false" outlineLevel="0" collapsed="false">
      <c r="A1241" s="22"/>
      <c r="B1241" s="9"/>
      <c r="C1241" s="9"/>
      <c r="D1241" s="9"/>
      <c r="E1241" s="9"/>
      <c r="F1241" s="10" t="str">
        <f aca="false">IF($B1241="","",$C1241+$D1241-$E1241)</f>
        <v/>
      </c>
      <c r="G1241" s="10" t="str">
        <f aca="false">IF($B1241="","",IFERROR(INDEX(Drinks!$C$4:$C$53,MATCH($B1241,Drinks!$A$4:$A$53,0)),0))</f>
        <v/>
      </c>
      <c r="H1241" s="10" t="str">
        <f aca="false">IF($B1241="","",$D1241*$G1241)</f>
        <v/>
      </c>
      <c r="I1241" s="10" t="str">
        <f aca="false">IF($B1241="","",$F1241*$G1241)</f>
        <v/>
      </c>
      <c r="J1241" s="9"/>
      <c r="K1241" s="10" t="str">
        <f aca="false">IF($B1241="","",$E1241*IFERROR(INDEX(Drinks!$B$4:$B$53,MATCH($B1241,Drinks!$A$4:$A$53,0)),0))</f>
        <v/>
      </c>
      <c r="L1241" s="10" t="str">
        <f aca="false">IF($B1241="","",$J1241+$K1241)</f>
        <v/>
      </c>
      <c r="M1241" s="9"/>
      <c r="N1241" s="10" t="str">
        <f aca="false">IF($B1241="","",$L1241-$M1241)</f>
        <v/>
      </c>
      <c r="O1241" s="10" t="str">
        <f aca="false">IF($B1241="","",IFERROR(INDEX(Drinks!$E$4:$E$53,MATCH($B1241,Drinks!$A$4:$A$53,0)),0))</f>
        <v/>
      </c>
      <c r="P1241" s="10" t="str">
        <f aca="false">IF($B1241="","",$N1241*$O1241)</f>
        <v/>
      </c>
      <c r="Q1241" s="10" t="str">
        <f aca="false">IF($B1241="","",$N1241*IFERROR(INDEX(Drinks!$D$4:$D$53,MATCH($B1241,Drinks!$A$4:$A$53,0)),0))</f>
        <v/>
      </c>
      <c r="R1241" s="10" t="str">
        <f aca="false">IF($B1241="","",$P1241-$Q1241)</f>
        <v/>
      </c>
      <c r="S1241" s="23" t="str">
        <f aca="false">IF($B1241="","",IF(COUNTIFS($A$4:$A$2003,$A1241-1,$B$4:$B$2003,$B1241)=0,"first day",IF(SUMIFS($M$4:$M$2003,$A$4:$A$2003,$A1241-1,$B$4:$B$2003,$B1241)=$J1241,"OK","CHECK")))</f>
        <v/>
      </c>
      <c r="T1241" s="10" t="str">
        <f aca="false">IF($B1241="","",IFERROR(INDEX(Drinks!$D$4:$D$53,MATCH($B1241,Drinks!$A$4:$A$53,0)),0))</f>
        <v/>
      </c>
    </row>
    <row r="1242" customFormat="false" ht="15" hidden="false" customHeight="false" outlineLevel="0" collapsed="false">
      <c r="A1242" s="22"/>
      <c r="B1242" s="9"/>
      <c r="C1242" s="9"/>
      <c r="D1242" s="9"/>
      <c r="E1242" s="9"/>
      <c r="F1242" s="10" t="str">
        <f aca="false">IF($B1242="","",$C1242+$D1242-$E1242)</f>
        <v/>
      </c>
      <c r="G1242" s="10" t="str">
        <f aca="false">IF($B1242="","",IFERROR(INDEX(Drinks!$C$4:$C$53,MATCH($B1242,Drinks!$A$4:$A$53,0)),0))</f>
        <v/>
      </c>
      <c r="H1242" s="10" t="str">
        <f aca="false">IF($B1242="","",$D1242*$G1242)</f>
        <v/>
      </c>
      <c r="I1242" s="10" t="str">
        <f aca="false">IF($B1242="","",$F1242*$G1242)</f>
        <v/>
      </c>
      <c r="J1242" s="9"/>
      <c r="K1242" s="10" t="str">
        <f aca="false">IF($B1242="","",$E1242*IFERROR(INDEX(Drinks!$B$4:$B$53,MATCH($B1242,Drinks!$A$4:$A$53,0)),0))</f>
        <v/>
      </c>
      <c r="L1242" s="10" t="str">
        <f aca="false">IF($B1242="","",$J1242+$K1242)</f>
        <v/>
      </c>
      <c r="M1242" s="9"/>
      <c r="N1242" s="10" t="str">
        <f aca="false">IF($B1242="","",$L1242-$M1242)</f>
        <v/>
      </c>
      <c r="O1242" s="10" t="str">
        <f aca="false">IF($B1242="","",IFERROR(INDEX(Drinks!$E$4:$E$53,MATCH($B1242,Drinks!$A$4:$A$53,0)),0))</f>
        <v/>
      </c>
      <c r="P1242" s="10" t="str">
        <f aca="false">IF($B1242="","",$N1242*$O1242)</f>
        <v/>
      </c>
      <c r="Q1242" s="10" t="str">
        <f aca="false">IF($B1242="","",$N1242*IFERROR(INDEX(Drinks!$D$4:$D$53,MATCH($B1242,Drinks!$A$4:$A$53,0)),0))</f>
        <v/>
      </c>
      <c r="R1242" s="10" t="str">
        <f aca="false">IF($B1242="","",$P1242-$Q1242)</f>
        <v/>
      </c>
      <c r="S1242" s="23" t="str">
        <f aca="false">IF($B1242="","",IF(COUNTIFS($A$4:$A$2003,$A1242-1,$B$4:$B$2003,$B1242)=0,"first day",IF(SUMIFS($M$4:$M$2003,$A$4:$A$2003,$A1242-1,$B$4:$B$2003,$B1242)=$J1242,"OK","CHECK")))</f>
        <v/>
      </c>
      <c r="T1242" s="10" t="str">
        <f aca="false">IF($B1242="","",IFERROR(INDEX(Drinks!$D$4:$D$53,MATCH($B1242,Drinks!$A$4:$A$53,0)),0))</f>
        <v/>
      </c>
    </row>
    <row r="1243" customFormat="false" ht="15" hidden="false" customHeight="false" outlineLevel="0" collapsed="false">
      <c r="A1243" s="22"/>
      <c r="B1243" s="9"/>
      <c r="C1243" s="9"/>
      <c r="D1243" s="9"/>
      <c r="E1243" s="9"/>
      <c r="F1243" s="10" t="str">
        <f aca="false">IF($B1243="","",$C1243+$D1243-$E1243)</f>
        <v/>
      </c>
      <c r="G1243" s="10" t="str">
        <f aca="false">IF($B1243="","",IFERROR(INDEX(Drinks!$C$4:$C$53,MATCH($B1243,Drinks!$A$4:$A$53,0)),0))</f>
        <v/>
      </c>
      <c r="H1243" s="10" t="str">
        <f aca="false">IF($B1243="","",$D1243*$G1243)</f>
        <v/>
      </c>
      <c r="I1243" s="10" t="str">
        <f aca="false">IF($B1243="","",$F1243*$G1243)</f>
        <v/>
      </c>
      <c r="J1243" s="9"/>
      <c r="K1243" s="10" t="str">
        <f aca="false">IF($B1243="","",$E1243*IFERROR(INDEX(Drinks!$B$4:$B$53,MATCH($B1243,Drinks!$A$4:$A$53,0)),0))</f>
        <v/>
      </c>
      <c r="L1243" s="10" t="str">
        <f aca="false">IF($B1243="","",$J1243+$K1243)</f>
        <v/>
      </c>
      <c r="M1243" s="9"/>
      <c r="N1243" s="10" t="str">
        <f aca="false">IF($B1243="","",$L1243-$M1243)</f>
        <v/>
      </c>
      <c r="O1243" s="10" t="str">
        <f aca="false">IF($B1243="","",IFERROR(INDEX(Drinks!$E$4:$E$53,MATCH($B1243,Drinks!$A$4:$A$53,0)),0))</f>
        <v/>
      </c>
      <c r="P1243" s="10" t="str">
        <f aca="false">IF($B1243="","",$N1243*$O1243)</f>
        <v/>
      </c>
      <c r="Q1243" s="10" t="str">
        <f aca="false">IF($B1243="","",$N1243*IFERROR(INDEX(Drinks!$D$4:$D$53,MATCH($B1243,Drinks!$A$4:$A$53,0)),0))</f>
        <v/>
      </c>
      <c r="R1243" s="10" t="str">
        <f aca="false">IF($B1243="","",$P1243-$Q1243)</f>
        <v/>
      </c>
      <c r="S1243" s="23" t="str">
        <f aca="false">IF($B1243="","",IF(COUNTIFS($A$4:$A$2003,$A1243-1,$B$4:$B$2003,$B1243)=0,"first day",IF(SUMIFS($M$4:$M$2003,$A$4:$A$2003,$A1243-1,$B$4:$B$2003,$B1243)=$J1243,"OK","CHECK")))</f>
        <v/>
      </c>
      <c r="T1243" s="10" t="str">
        <f aca="false">IF($B1243="","",IFERROR(INDEX(Drinks!$D$4:$D$53,MATCH($B1243,Drinks!$A$4:$A$53,0)),0))</f>
        <v/>
      </c>
    </row>
    <row r="1244" customFormat="false" ht="15" hidden="false" customHeight="false" outlineLevel="0" collapsed="false">
      <c r="A1244" s="22"/>
      <c r="B1244" s="9"/>
      <c r="C1244" s="9"/>
      <c r="D1244" s="9"/>
      <c r="E1244" s="9"/>
      <c r="F1244" s="10" t="str">
        <f aca="false">IF($B1244="","",$C1244+$D1244-$E1244)</f>
        <v/>
      </c>
      <c r="G1244" s="10" t="str">
        <f aca="false">IF($B1244="","",IFERROR(INDEX(Drinks!$C$4:$C$53,MATCH($B1244,Drinks!$A$4:$A$53,0)),0))</f>
        <v/>
      </c>
      <c r="H1244" s="10" t="str">
        <f aca="false">IF($B1244="","",$D1244*$G1244)</f>
        <v/>
      </c>
      <c r="I1244" s="10" t="str">
        <f aca="false">IF($B1244="","",$F1244*$G1244)</f>
        <v/>
      </c>
      <c r="J1244" s="9"/>
      <c r="K1244" s="10" t="str">
        <f aca="false">IF($B1244="","",$E1244*IFERROR(INDEX(Drinks!$B$4:$B$53,MATCH($B1244,Drinks!$A$4:$A$53,0)),0))</f>
        <v/>
      </c>
      <c r="L1244" s="10" t="str">
        <f aca="false">IF($B1244="","",$J1244+$K1244)</f>
        <v/>
      </c>
      <c r="M1244" s="9"/>
      <c r="N1244" s="10" t="str">
        <f aca="false">IF($B1244="","",$L1244-$M1244)</f>
        <v/>
      </c>
      <c r="O1244" s="10" t="str">
        <f aca="false">IF($B1244="","",IFERROR(INDEX(Drinks!$E$4:$E$53,MATCH($B1244,Drinks!$A$4:$A$53,0)),0))</f>
        <v/>
      </c>
      <c r="P1244" s="10" t="str">
        <f aca="false">IF($B1244="","",$N1244*$O1244)</f>
        <v/>
      </c>
      <c r="Q1244" s="10" t="str">
        <f aca="false">IF($B1244="","",$N1244*IFERROR(INDEX(Drinks!$D$4:$D$53,MATCH($B1244,Drinks!$A$4:$A$53,0)),0))</f>
        <v/>
      </c>
      <c r="R1244" s="10" t="str">
        <f aca="false">IF($B1244="","",$P1244-$Q1244)</f>
        <v/>
      </c>
      <c r="S1244" s="23" t="str">
        <f aca="false">IF($B1244="","",IF(COUNTIFS($A$4:$A$2003,$A1244-1,$B$4:$B$2003,$B1244)=0,"first day",IF(SUMIFS($M$4:$M$2003,$A$4:$A$2003,$A1244-1,$B$4:$B$2003,$B1244)=$J1244,"OK","CHECK")))</f>
        <v/>
      </c>
      <c r="T1244" s="10" t="str">
        <f aca="false">IF($B1244="","",IFERROR(INDEX(Drinks!$D$4:$D$53,MATCH($B1244,Drinks!$A$4:$A$53,0)),0))</f>
        <v/>
      </c>
    </row>
    <row r="1245" customFormat="false" ht="15" hidden="false" customHeight="false" outlineLevel="0" collapsed="false">
      <c r="A1245" s="22"/>
      <c r="B1245" s="9"/>
      <c r="C1245" s="9"/>
      <c r="D1245" s="9"/>
      <c r="E1245" s="9"/>
      <c r="F1245" s="10" t="str">
        <f aca="false">IF($B1245="","",$C1245+$D1245-$E1245)</f>
        <v/>
      </c>
      <c r="G1245" s="10" t="str">
        <f aca="false">IF($B1245="","",IFERROR(INDEX(Drinks!$C$4:$C$53,MATCH($B1245,Drinks!$A$4:$A$53,0)),0))</f>
        <v/>
      </c>
      <c r="H1245" s="10" t="str">
        <f aca="false">IF($B1245="","",$D1245*$G1245)</f>
        <v/>
      </c>
      <c r="I1245" s="10" t="str">
        <f aca="false">IF($B1245="","",$F1245*$G1245)</f>
        <v/>
      </c>
      <c r="J1245" s="9"/>
      <c r="K1245" s="10" t="str">
        <f aca="false">IF($B1245="","",$E1245*IFERROR(INDEX(Drinks!$B$4:$B$53,MATCH($B1245,Drinks!$A$4:$A$53,0)),0))</f>
        <v/>
      </c>
      <c r="L1245" s="10" t="str">
        <f aca="false">IF($B1245="","",$J1245+$K1245)</f>
        <v/>
      </c>
      <c r="M1245" s="9"/>
      <c r="N1245" s="10" t="str">
        <f aca="false">IF($B1245="","",$L1245-$M1245)</f>
        <v/>
      </c>
      <c r="O1245" s="10" t="str">
        <f aca="false">IF($B1245="","",IFERROR(INDEX(Drinks!$E$4:$E$53,MATCH($B1245,Drinks!$A$4:$A$53,0)),0))</f>
        <v/>
      </c>
      <c r="P1245" s="10" t="str">
        <f aca="false">IF($B1245="","",$N1245*$O1245)</f>
        <v/>
      </c>
      <c r="Q1245" s="10" t="str">
        <f aca="false">IF($B1245="","",$N1245*IFERROR(INDEX(Drinks!$D$4:$D$53,MATCH($B1245,Drinks!$A$4:$A$53,0)),0))</f>
        <v/>
      </c>
      <c r="R1245" s="10" t="str">
        <f aca="false">IF($B1245="","",$P1245-$Q1245)</f>
        <v/>
      </c>
      <c r="S1245" s="23" t="str">
        <f aca="false">IF($B1245="","",IF(COUNTIFS($A$4:$A$2003,$A1245-1,$B$4:$B$2003,$B1245)=0,"first day",IF(SUMIFS($M$4:$M$2003,$A$4:$A$2003,$A1245-1,$B$4:$B$2003,$B1245)=$J1245,"OK","CHECK")))</f>
        <v/>
      </c>
      <c r="T1245" s="10" t="str">
        <f aca="false">IF($B1245="","",IFERROR(INDEX(Drinks!$D$4:$D$53,MATCH($B1245,Drinks!$A$4:$A$53,0)),0))</f>
        <v/>
      </c>
    </row>
    <row r="1246" customFormat="false" ht="15" hidden="false" customHeight="false" outlineLevel="0" collapsed="false">
      <c r="A1246" s="22"/>
      <c r="B1246" s="9"/>
      <c r="C1246" s="9"/>
      <c r="D1246" s="9"/>
      <c r="E1246" s="9"/>
      <c r="F1246" s="10" t="str">
        <f aca="false">IF($B1246="","",$C1246+$D1246-$E1246)</f>
        <v/>
      </c>
      <c r="G1246" s="10" t="str">
        <f aca="false">IF($B1246="","",IFERROR(INDEX(Drinks!$C$4:$C$53,MATCH($B1246,Drinks!$A$4:$A$53,0)),0))</f>
        <v/>
      </c>
      <c r="H1246" s="10" t="str">
        <f aca="false">IF($B1246="","",$D1246*$G1246)</f>
        <v/>
      </c>
      <c r="I1246" s="10" t="str">
        <f aca="false">IF($B1246="","",$F1246*$G1246)</f>
        <v/>
      </c>
      <c r="J1246" s="9"/>
      <c r="K1246" s="10" t="str">
        <f aca="false">IF($B1246="","",$E1246*IFERROR(INDEX(Drinks!$B$4:$B$53,MATCH($B1246,Drinks!$A$4:$A$53,0)),0))</f>
        <v/>
      </c>
      <c r="L1246" s="10" t="str">
        <f aca="false">IF($B1246="","",$J1246+$K1246)</f>
        <v/>
      </c>
      <c r="M1246" s="9"/>
      <c r="N1246" s="10" t="str">
        <f aca="false">IF($B1246="","",$L1246-$M1246)</f>
        <v/>
      </c>
      <c r="O1246" s="10" t="str">
        <f aca="false">IF($B1246="","",IFERROR(INDEX(Drinks!$E$4:$E$53,MATCH($B1246,Drinks!$A$4:$A$53,0)),0))</f>
        <v/>
      </c>
      <c r="P1246" s="10" t="str">
        <f aca="false">IF($B1246="","",$N1246*$O1246)</f>
        <v/>
      </c>
      <c r="Q1246" s="10" t="str">
        <f aca="false">IF($B1246="","",$N1246*IFERROR(INDEX(Drinks!$D$4:$D$53,MATCH($B1246,Drinks!$A$4:$A$53,0)),0))</f>
        <v/>
      </c>
      <c r="R1246" s="10" t="str">
        <f aca="false">IF($B1246="","",$P1246-$Q1246)</f>
        <v/>
      </c>
      <c r="S1246" s="23" t="str">
        <f aca="false">IF($B1246="","",IF(COUNTIFS($A$4:$A$2003,$A1246-1,$B$4:$B$2003,$B1246)=0,"first day",IF(SUMIFS($M$4:$M$2003,$A$4:$A$2003,$A1246-1,$B$4:$B$2003,$B1246)=$J1246,"OK","CHECK")))</f>
        <v/>
      </c>
      <c r="T1246" s="10" t="str">
        <f aca="false">IF($B1246="","",IFERROR(INDEX(Drinks!$D$4:$D$53,MATCH($B1246,Drinks!$A$4:$A$53,0)),0))</f>
        <v/>
      </c>
    </row>
    <row r="1247" customFormat="false" ht="15" hidden="false" customHeight="false" outlineLevel="0" collapsed="false">
      <c r="A1247" s="22"/>
      <c r="B1247" s="9"/>
      <c r="C1247" s="9"/>
      <c r="D1247" s="9"/>
      <c r="E1247" s="9"/>
      <c r="F1247" s="10" t="str">
        <f aca="false">IF($B1247="","",$C1247+$D1247-$E1247)</f>
        <v/>
      </c>
      <c r="G1247" s="10" t="str">
        <f aca="false">IF($B1247="","",IFERROR(INDEX(Drinks!$C$4:$C$53,MATCH($B1247,Drinks!$A$4:$A$53,0)),0))</f>
        <v/>
      </c>
      <c r="H1247" s="10" t="str">
        <f aca="false">IF($B1247="","",$D1247*$G1247)</f>
        <v/>
      </c>
      <c r="I1247" s="10" t="str">
        <f aca="false">IF($B1247="","",$F1247*$G1247)</f>
        <v/>
      </c>
      <c r="J1247" s="9"/>
      <c r="K1247" s="10" t="str">
        <f aca="false">IF($B1247="","",$E1247*IFERROR(INDEX(Drinks!$B$4:$B$53,MATCH($B1247,Drinks!$A$4:$A$53,0)),0))</f>
        <v/>
      </c>
      <c r="L1247" s="10" t="str">
        <f aca="false">IF($B1247="","",$J1247+$K1247)</f>
        <v/>
      </c>
      <c r="M1247" s="9"/>
      <c r="N1247" s="10" t="str">
        <f aca="false">IF($B1247="","",$L1247-$M1247)</f>
        <v/>
      </c>
      <c r="O1247" s="10" t="str">
        <f aca="false">IF($B1247="","",IFERROR(INDEX(Drinks!$E$4:$E$53,MATCH($B1247,Drinks!$A$4:$A$53,0)),0))</f>
        <v/>
      </c>
      <c r="P1247" s="10" t="str">
        <f aca="false">IF($B1247="","",$N1247*$O1247)</f>
        <v/>
      </c>
      <c r="Q1247" s="10" t="str">
        <f aca="false">IF($B1247="","",$N1247*IFERROR(INDEX(Drinks!$D$4:$D$53,MATCH($B1247,Drinks!$A$4:$A$53,0)),0))</f>
        <v/>
      </c>
      <c r="R1247" s="10" t="str">
        <f aca="false">IF($B1247="","",$P1247-$Q1247)</f>
        <v/>
      </c>
      <c r="S1247" s="23" t="str">
        <f aca="false">IF($B1247="","",IF(COUNTIFS($A$4:$A$2003,$A1247-1,$B$4:$B$2003,$B1247)=0,"first day",IF(SUMIFS($M$4:$M$2003,$A$4:$A$2003,$A1247-1,$B$4:$B$2003,$B1247)=$J1247,"OK","CHECK")))</f>
        <v/>
      </c>
      <c r="T1247" s="10" t="str">
        <f aca="false">IF($B1247="","",IFERROR(INDEX(Drinks!$D$4:$D$53,MATCH($B1247,Drinks!$A$4:$A$53,0)),0))</f>
        <v/>
      </c>
    </row>
    <row r="1248" customFormat="false" ht="15" hidden="false" customHeight="false" outlineLevel="0" collapsed="false">
      <c r="A1248" s="22"/>
      <c r="B1248" s="9"/>
      <c r="C1248" s="9"/>
      <c r="D1248" s="9"/>
      <c r="E1248" s="9"/>
      <c r="F1248" s="10" t="str">
        <f aca="false">IF($B1248="","",$C1248+$D1248-$E1248)</f>
        <v/>
      </c>
      <c r="G1248" s="10" t="str">
        <f aca="false">IF($B1248="","",IFERROR(INDEX(Drinks!$C$4:$C$53,MATCH($B1248,Drinks!$A$4:$A$53,0)),0))</f>
        <v/>
      </c>
      <c r="H1248" s="10" t="str">
        <f aca="false">IF($B1248="","",$D1248*$G1248)</f>
        <v/>
      </c>
      <c r="I1248" s="10" t="str">
        <f aca="false">IF($B1248="","",$F1248*$G1248)</f>
        <v/>
      </c>
      <c r="J1248" s="9"/>
      <c r="K1248" s="10" t="str">
        <f aca="false">IF($B1248="","",$E1248*IFERROR(INDEX(Drinks!$B$4:$B$53,MATCH($B1248,Drinks!$A$4:$A$53,0)),0))</f>
        <v/>
      </c>
      <c r="L1248" s="10" t="str">
        <f aca="false">IF($B1248="","",$J1248+$K1248)</f>
        <v/>
      </c>
      <c r="M1248" s="9"/>
      <c r="N1248" s="10" t="str">
        <f aca="false">IF($B1248="","",$L1248-$M1248)</f>
        <v/>
      </c>
      <c r="O1248" s="10" t="str">
        <f aca="false">IF($B1248="","",IFERROR(INDEX(Drinks!$E$4:$E$53,MATCH($B1248,Drinks!$A$4:$A$53,0)),0))</f>
        <v/>
      </c>
      <c r="P1248" s="10" t="str">
        <f aca="false">IF($B1248="","",$N1248*$O1248)</f>
        <v/>
      </c>
      <c r="Q1248" s="10" t="str">
        <f aca="false">IF($B1248="","",$N1248*IFERROR(INDEX(Drinks!$D$4:$D$53,MATCH($B1248,Drinks!$A$4:$A$53,0)),0))</f>
        <v/>
      </c>
      <c r="R1248" s="10" t="str">
        <f aca="false">IF($B1248="","",$P1248-$Q1248)</f>
        <v/>
      </c>
      <c r="S1248" s="23" t="str">
        <f aca="false">IF($B1248="","",IF(COUNTIFS($A$4:$A$2003,$A1248-1,$B$4:$B$2003,$B1248)=0,"first day",IF(SUMIFS($M$4:$M$2003,$A$4:$A$2003,$A1248-1,$B$4:$B$2003,$B1248)=$J1248,"OK","CHECK")))</f>
        <v/>
      </c>
      <c r="T1248" s="10" t="str">
        <f aca="false">IF($B1248="","",IFERROR(INDEX(Drinks!$D$4:$D$53,MATCH($B1248,Drinks!$A$4:$A$53,0)),0))</f>
        <v/>
      </c>
    </row>
    <row r="1249" customFormat="false" ht="15" hidden="false" customHeight="false" outlineLevel="0" collapsed="false">
      <c r="A1249" s="22"/>
      <c r="B1249" s="9"/>
      <c r="C1249" s="9"/>
      <c r="D1249" s="9"/>
      <c r="E1249" s="9"/>
      <c r="F1249" s="10" t="str">
        <f aca="false">IF($B1249="","",$C1249+$D1249-$E1249)</f>
        <v/>
      </c>
      <c r="G1249" s="10" t="str">
        <f aca="false">IF($B1249="","",IFERROR(INDEX(Drinks!$C$4:$C$53,MATCH($B1249,Drinks!$A$4:$A$53,0)),0))</f>
        <v/>
      </c>
      <c r="H1249" s="10" t="str">
        <f aca="false">IF($B1249="","",$D1249*$G1249)</f>
        <v/>
      </c>
      <c r="I1249" s="10" t="str">
        <f aca="false">IF($B1249="","",$F1249*$G1249)</f>
        <v/>
      </c>
      <c r="J1249" s="9"/>
      <c r="K1249" s="10" t="str">
        <f aca="false">IF($B1249="","",$E1249*IFERROR(INDEX(Drinks!$B$4:$B$53,MATCH($B1249,Drinks!$A$4:$A$53,0)),0))</f>
        <v/>
      </c>
      <c r="L1249" s="10" t="str">
        <f aca="false">IF($B1249="","",$J1249+$K1249)</f>
        <v/>
      </c>
      <c r="M1249" s="9"/>
      <c r="N1249" s="10" t="str">
        <f aca="false">IF($B1249="","",$L1249-$M1249)</f>
        <v/>
      </c>
      <c r="O1249" s="10" t="str">
        <f aca="false">IF($B1249="","",IFERROR(INDEX(Drinks!$E$4:$E$53,MATCH($B1249,Drinks!$A$4:$A$53,0)),0))</f>
        <v/>
      </c>
      <c r="P1249" s="10" t="str">
        <f aca="false">IF($B1249="","",$N1249*$O1249)</f>
        <v/>
      </c>
      <c r="Q1249" s="10" t="str">
        <f aca="false">IF($B1249="","",$N1249*IFERROR(INDEX(Drinks!$D$4:$D$53,MATCH($B1249,Drinks!$A$4:$A$53,0)),0))</f>
        <v/>
      </c>
      <c r="R1249" s="10" t="str">
        <f aca="false">IF($B1249="","",$P1249-$Q1249)</f>
        <v/>
      </c>
      <c r="S1249" s="23" t="str">
        <f aca="false">IF($B1249="","",IF(COUNTIFS($A$4:$A$2003,$A1249-1,$B$4:$B$2003,$B1249)=0,"first day",IF(SUMIFS($M$4:$M$2003,$A$4:$A$2003,$A1249-1,$B$4:$B$2003,$B1249)=$J1249,"OK","CHECK")))</f>
        <v/>
      </c>
      <c r="T1249" s="10" t="str">
        <f aca="false">IF($B1249="","",IFERROR(INDEX(Drinks!$D$4:$D$53,MATCH($B1249,Drinks!$A$4:$A$53,0)),0))</f>
        <v/>
      </c>
    </row>
    <row r="1250" customFormat="false" ht="15" hidden="false" customHeight="false" outlineLevel="0" collapsed="false">
      <c r="A1250" s="22"/>
      <c r="B1250" s="9"/>
      <c r="C1250" s="9"/>
      <c r="D1250" s="9"/>
      <c r="E1250" s="9"/>
      <c r="F1250" s="10" t="str">
        <f aca="false">IF($B1250="","",$C1250+$D1250-$E1250)</f>
        <v/>
      </c>
      <c r="G1250" s="10" t="str">
        <f aca="false">IF($B1250="","",IFERROR(INDEX(Drinks!$C$4:$C$53,MATCH($B1250,Drinks!$A$4:$A$53,0)),0))</f>
        <v/>
      </c>
      <c r="H1250" s="10" t="str">
        <f aca="false">IF($B1250="","",$D1250*$G1250)</f>
        <v/>
      </c>
      <c r="I1250" s="10" t="str">
        <f aca="false">IF($B1250="","",$F1250*$G1250)</f>
        <v/>
      </c>
      <c r="J1250" s="9"/>
      <c r="K1250" s="10" t="str">
        <f aca="false">IF($B1250="","",$E1250*IFERROR(INDEX(Drinks!$B$4:$B$53,MATCH($B1250,Drinks!$A$4:$A$53,0)),0))</f>
        <v/>
      </c>
      <c r="L1250" s="10" t="str">
        <f aca="false">IF($B1250="","",$J1250+$K1250)</f>
        <v/>
      </c>
      <c r="M1250" s="9"/>
      <c r="N1250" s="10" t="str">
        <f aca="false">IF($B1250="","",$L1250-$M1250)</f>
        <v/>
      </c>
      <c r="O1250" s="10" t="str">
        <f aca="false">IF($B1250="","",IFERROR(INDEX(Drinks!$E$4:$E$53,MATCH($B1250,Drinks!$A$4:$A$53,0)),0))</f>
        <v/>
      </c>
      <c r="P1250" s="10" t="str">
        <f aca="false">IF($B1250="","",$N1250*$O1250)</f>
        <v/>
      </c>
      <c r="Q1250" s="10" t="str">
        <f aca="false">IF($B1250="","",$N1250*IFERROR(INDEX(Drinks!$D$4:$D$53,MATCH($B1250,Drinks!$A$4:$A$53,0)),0))</f>
        <v/>
      </c>
      <c r="R1250" s="10" t="str">
        <f aca="false">IF($B1250="","",$P1250-$Q1250)</f>
        <v/>
      </c>
      <c r="S1250" s="23" t="str">
        <f aca="false">IF($B1250="","",IF(COUNTIFS($A$4:$A$2003,$A1250-1,$B$4:$B$2003,$B1250)=0,"first day",IF(SUMIFS($M$4:$M$2003,$A$4:$A$2003,$A1250-1,$B$4:$B$2003,$B1250)=$J1250,"OK","CHECK")))</f>
        <v/>
      </c>
      <c r="T1250" s="10" t="str">
        <f aca="false">IF($B1250="","",IFERROR(INDEX(Drinks!$D$4:$D$53,MATCH($B1250,Drinks!$A$4:$A$53,0)),0))</f>
        <v/>
      </c>
    </row>
    <row r="1251" customFormat="false" ht="15" hidden="false" customHeight="false" outlineLevel="0" collapsed="false">
      <c r="A1251" s="22"/>
      <c r="B1251" s="9"/>
      <c r="C1251" s="9"/>
      <c r="D1251" s="9"/>
      <c r="E1251" s="9"/>
      <c r="F1251" s="10" t="str">
        <f aca="false">IF($B1251="","",$C1251+$D1251-$E1251)</f>
        <v/>
      </c>
      <c r="G1251" s="10" t="str">
        <f aca="false">IF($B1251="","",IFERROR(INDEX(Drinks!$C$4:$C$53,MATCH($B1251,Drinks!$A$4:$A$53,0)),0))</f>
        <v/>
      </c>
      <c r="H1251" s="10" t="str">
        <f aca="false">IF($B1251="","",$D1251*$G1251)</f>
        <v/>
      </c>
      <c r="I1251" s="10" t="str">
        <f aca="false">IF($B1251="","",$F1251*$G1251)</f>
        <v/>
      </c>
      <c r="J1251" s="9"/>
      <c r="K1251" s="10" t="str">
        <f aca="false">IF($B1251="","",$E1251*IFERROR(INDEX(Drinks!$B$4:$B$53,MATCH($B1251,Drinks!$A$4:$A$53,0)),0))</f>
        <v/>
      </c>
      <c r="L1251" s="10" t="str">
        <f aca="false">IF($B1251="","",$J1251+$K1251)</f>
        <v/>
      </c>
      <c r="M1251" s="9"/>
      <c r="N1251" s="10" t="str">
        <f aca="false">IF($B1251="","",$L1251-$M1251)</f>
        <v/>
      </c>
      <c r="O1251" s="10" t="str">
        <f aca="false">IF($B1251="","",IFERROR(INDEX(Drinks!$E$4:$E$53,MATCH($B1251,Drinks!$A$4:$A$53,0)),0))</f>
        <v/>
      </c>
      <c r="P1251" s="10" t="str">
        <f aca="false">IF($B1251="","",$N1251*$O1251)</f>
        <v/>
      </c>
      <c r="Q1251" s="10" t="str">
        <f aca="false">IF($B1251="","",$N1251*IFERROR(INDEX(Drinks!$D$4:$D$53,MATCH($B1251,Drinks!$A$4:$A$53,0)),0))</f>
        <v/>
      </c>
      <c r="R1251" s="10" t="str">
        <f aca="false">IF($B1251="","",$P1251-$Q1251)</f>
        <v/>
      </c>
      <c r="S1251" s="23" t="str">
        <f aca="false">IF($B1251="","",IF(COUNTIFS($A$4:$A$2003,$A1251-1,$B$4:$B$2003,$B1251)=0,"first day",IF(SUMIFS($M$4:$M$2003,$A$4:$A$2003,$A1251-1,$B$4:$B$2003,$B1251)=$J1251,"OK","CHECK")))</f>
        <v/>
      </c>
      <c r="T1251" s="10" t="str">
        <f aca="false">IF($B1251="","",IFERROR(INDEX(Drinks!$D$4:$D$53,MATCH($B1251,Drinks!$A$4:$A$53,0)),0))</f>
        <v/>
      </c>
    </row>
    <row r="1252" customFormat="false" ht="15" hidden="false" customHeight="false" outlineLevel="0" collapsed="false">
      <c r="A1252" s="22"/>
      <c r="B1252" s="9"/>
      <c r="C1252" s="9"/>
      <c r="D1252" s="9"/>
      <c r="E1252" s="9"/>
      <c r="F1252" s="10" t="str">
        <f aca="false">IF($B1252="","",$C1252+$D1252-$E1252)</f>
        <v/>
      </c>
      <c r="G1252" s="10" t="str">
        <f aca="false">IF($B1252="","",IFERROR(INDEX(Drinks!$C$4:$C$53,MATCH($B1252,Drinks!$A$4:$A$53,0)),0))</f>
        <v/>
      </c>
      <c r="H1252" s="10" t="str">
        <f aca="false">IF($B1252="","",$D1252*$G1252)</f>
        <v/>
      </c>
      <c r="I1252" s="10" t="str">
        <f aca="false">IF($B1252="","",$F1252*$G1252)</f>
        <v/>
      </c>
      <c r="J1252" s="9"/>
      <c r="K1252" s="10" t="str">
        <f aca="false">IF($B1252="","",$E1252*IFERROR(INDEX(Drinks!$B$4:$B$53,MATCH($B1252,Drinks!$A$4:$A$53,0)),0))</f>
        <v/>
      </c>
      <c r="L1252" s="10" t="str">
        <f aca="false">IF($B1252="","",$J1252+$K1252)</f>
        <v/>
      </c>
      <c r="M1252" s="9"/>
      <c r="N1252" s="10" t="str">
        <f aca="false">IF($B1252="","",$L1252-$M1252)</f>
        <v/>
      </c>
      <c r="O1252" s="10" t="str">
        <f aca="false">IF($B1252="","",IFERROR(INDEX(Drinks!$E$4:$E$53,MATCH($B1252,Drinks!$A$4:$A$53,0)),0))</f>
        <v/>
      </c>
      <c r="P1252" s="10" t="str">
        <f aca="false">IF($B1252="","",$N1252*$O1252)</f>
        <v/>
      </c>
      <c r="Q1252" s="10" t="str">
        <f aca="false">IF($B1252="","",$N1252*IFERROR(INDEX(Drinks!$D$4:$D$53,MATCH($B1252,Drinks!$A$4:$A$53,0)),0))</f>
        <v/>
      </c>
      <c r="R1252" s="10" t="str">
        <f aca="false">IF($B1252="","",$P1252-$Q1252)</f>
        <v/>
      </c>
      <c r="S1252" s="23" t="str">
        <f aca="false">IF($B1252="","",IF(COUNTIFS($A$4:$A$2003,$A1252-1,$B$4:$B$2003,$B1252)=0,"first day",IF(SUMIFS($M$4:$M$2003,$A$4:$A$2003,$A1252-1,$B$4:$B$2003,$B1252)=$J1252,"OK","CHECK")))</f>
        <v/>
      </c>
      <c r="T1252" s="10" t="str">
        <f aca="false">IF($B1252="","",IFERROR(INDEX(Drinks!$D$4:$D$53,MATCH($B1252,Drinks!$A$4:$A$53,0)),0))</f>
        <v/>
      </c>
    </row>
    <row r="1253" customFormat="false" ht="15" hidden="false" customHeight="false" outlineLevel="0" collapsed="false">
      <c r="A1253" s="22"/>
      <c r="B1253" s="9"/>
      <c r="C1253" s="9"/>
      <c r="D1253" s="9"/>
      <c r="E1253" s="9"/>
      <c r="F1253" s="10" t="str">
        <f aca="false">IF($B1253="","",$C1253+$D1253-$E1253)</f>
        <v/>
      </c>
      <c r="G1253" s="10" t="str">
        <f aca="false">IF($B1253="","",IFERROR(INDEX(Drinks!$C$4:$C$53,MATCH($B1253,Drinks!$A$4:$A$53,0)),0))</f>
        <v/>
      </c>
      <c r="H1253" s="10" t="str">
        <f aca="false">IF($B1253="","",$D1253*$G1253)</f>
        <v/>
      </c>
      <c r="I1253" s="10" t="str">
        <f aca="false">IF($B1253="","",$F1253*$G1253)</f>
        <v/>
      </c>
      <c r="J1253" s="9"/>
      <c r="K1253" s="10" t="str">
        <f aca="false">IF($B1253="","",$E1253*IFERROR(INDEX(Drinks!$B$4:$B$53,MATCH($B1253,Drinks!$A$4:$A$53,0)),0))</f>
        <v/>
      </c>
      <c r="L1253" s="10" t="str">
        <f aca="false">IF($B1253="","",$J1253+$K1253)</f>
        <v/>
      </c>
      <c r="M1253" s="9"/>
      <c r="N1253" s="10" t="str">
        <f aca="false">IF($B1253="","",$L1253-$M1253)</f>
        <v/>
      </c>
      <c r="O1253" s="10" t="str">
        <f aca="false">IF($B1253="","",IFERROR(INDEX(Drinks!$E$4:$E$53,MATCH($B1253,Drinks!$A$4:$A$53,0)),0))</f>
        <v/>
      </c>
      <c r="P1253" s="10" t="str">
        <f aca="false">IF($B1253="","",$N1253*$O1253)</f>
        <v/>
      </c>
      <c r="Q1253" s="10" t="str">
        <f aca="false">IF($B1253="","",$N1253*IFERROR(INDEX(Drinks!$D$4:$D$53,MATCH($B1253,Drinks!$A$4:$A$53,0)),0))</f>
        <v/>
      </c>
      <c r="R1253" s="10" t="str">
        <f aca="false">IF($B1253="","",$P1253-$Q1253)</f>
        <v/>
      </c>
      <c r="S1253" s="23" t="str">
        <f aca="false">IF($B1253="","",IF(COUNTIFS($A$4:$A$2003,$A1253-1,$B$4:$B$2003,$B1253)=0,"first day",IF(SUMIFS($M$4:$M$2003,$A$4:$A$2003,$A1253-1,$B$4:$B$2003,$B1253)=$J1253,"OK","CHECK")))</f>
        <v/>
      </c>
      <c r="T1253" s="10" t="str">
        <f aca="false">IF($B1253="","",IFERROR(INDEX(Drinks!$D$4:$D$53,MATCH($B1253,Drinks!$A$4:$A$53,0)),0))</f>
        <v/>
      </c>
    </row>
    <row r="1254" customFormat="false" ht="15" hidden="false" customHeight="false" outlineLevel="0" collapsed="false">
      <c r="A1254" s="22"/>
      <c r="B1254" s="9"/>
      <c r="C1254" s="9"/>
      <c r="D1254" s="9"/>
      <c r="E1254" s="9"/>
      <c r="F1254" s="10" t="str">
        <f aca="false">IF($B1254="","",$C1254+$D1254-$E1254)</f>
        <v/>
      </c>
      <c r="G1254" s="10" t="str">
        <f aca="false">IF($B1254="","",IFERROR(INDEX(Drinks!$C$4:$C$53,MATCH($B1254,Drinks!$A$4:$A$53,0)),0))</f>
        <v/>
      </c>
      <c r="H1254" s="10" t="str">
        <f aca="false">IF($B1254="","",$D1254*$G1254)</f>
        <v/>
      </c>
      <c r="I1254" s="10" t="str">
        <f aca="false">IF($B1254="","",$F1254*$G1254)</f>
        <v/>
      </c>
      <c r="J1254" s="9"/>
      <c r="K1254" s="10" t="str">
        <f aca="false">IF($B1254="","",$E1254*IFERROR(INDEX(Drinks!$B$4:$B$53,MATCH($B1254,Drinks!$A$4:$A$53,0)),0))</f>
        <v/>
      </c>
      <c r="L1254" s="10" t="str">
        <f aca="false">IF($B1254="","",$J1254+$K1254)</f>
        <v/>
      </c>
      <c r="M1254" s="9"/>
      <c r="N1254" s="10" t="str">
        <f aca="false">IF($B1254="","",$L1254-$M1254)</f>
        <v/>
      </c>
      <c r="O1254" s="10" t="str">
        <f aca="false">IF($B1254="","",IFERROR(INDEX(Drinks!$E$4:$E$53,MATCH($B1254,Drinks!$A$4:$A$53,0)),0))</f>
        <v/>
      </c>
      <c r="P1254" s="10" t="str">
        <f aca="false">IF($B1254="","",$N1254*$O1254)</f>
        <v/>
      </c>
      <c r="Q1254" s="10" t="str">
        <f aca="false">IF($B1254="","",$N1254*IFERROR(INDEX(Drinks!$D$4:$D$53,MATCH($B1254,Drinks!$A$4:$A$53,0)),0))</f>
        <v/>
      </c>
      <c r="R1254" s="10" t="str">
        <f aca="false">IF($B1254="","",$P1254-$Q1254)</f>
        <v/>
      </c>
      <c r="S1254" s="23" t="str">
        <f aca="false">IF($B1254="","",IF(COUNTIFS($A$4:$A$2003,$A1254-1,$B$4:$B$2003,$B1254)=0,"first day",IF(SUMIFS($M$4:$M$2003,$A$4:$A$2003,$A1254-1,$B$4:$B$2003,$B1254)=$J1254,"OK","CHECK")))</f>
        <v/>
      </c>
      <c r="T1254" s="10" t="str">
        <f aca="false">IF($B1254="","",IFERROR(INDEX(Drinks!$D$4:$D$53,MATCH($B1254,Drinks!$A$4:$A$53,0)),0))</f>
        <v/>
      </c>
    </row>
    <row r="1255" customFormat="false" ht="15" hidden="false" customHeight="false" outlineLevel="0" collapsed="false">
      <c r="A1255" s="22"/>
      <c r="B1255" s="9"/>
      <c r="C1255" s="9"/>
      <c r="D1255" s="9"/>
      <c r="E1255" s="9"/>
      <c r="F1255" s="10" t="str">
        <f aca="false">IF($B1255="","",$C1255+$D1255-$E1255)</f>
        <v/>
      </c>
      <c r="G1255" s="10" t="str">
        <f aca="false">IF($B1255="","",IFERROR(INDEX(Drinks!$C$4:$C$53,MATCH($B1255,Drinks!$A$4:$A$53,0)),0))</f>
        <v/>
      </c>
      <c r="H1255" s="10" t="str">
        <f aca="false">IF($B1255="","",$D1255*$G1255)</f>
        <v/>
      </c>
      <c r="I1255" s="10" t="str">
        <f aca="false">IF($B1255="","",$F1255*$G1255)</f>
        <v/>
      </c>
      <c r="J1255" s="9"/>
      <c r="K1255" s="10" t="str">
        <f aca="false">IF($B1255="","",$E1255*IFERROR(INDEX(Drinks!$B$4:$B$53,MATCH($B1255,Drinks!$A$4:$A$53,0)),0))</f>
        <v/>
      </c>
      <c r="L1255" s="10" t="str">
        <f aca="false">IF($B1255="","",$J1255+$K1255)</f>
        <v/>
      </c>
      <c r="M1255" s="9"/>
      <c r="N1255" s="10" t="str">
        <f aca="false">IF($B1255="","",$L1255-$M1255)</f>
        <v/>
      </c>
      <c r="O1255" s="10" t="str">
        <f aca="false">IF($B1255="","",IFERROR(INDEX(Drinks!$E$4:$E$53,MATCH($B1255,Drinks!$A$4:$A$53,0)),0))</f>
        <v/>
      </c>
      <c r="P1255" s="10" t="str">
        <f aca="false">IF($B1255="","",$N1255*$O1255)</f>
        <v/>
      </c>
      <c r="Q1255" s="10" t="str">
        <f aca="false">IF($B1255="","",$N1255*IFERROR(INDEX(Drinks!$D$4:$D$53,MATCH($B1255,Drinks!$A$4:$A$53,0)),0))</f>
        <v/>
      </c>
      <c r="R1255" s="10" t="str">
        <f aca="false">IF($B1255="","",$P1255-$Q1255)</f>
        <v/>
      </c>
      <c r="S1255" s="23" t="str">
        <f aca="false">IF($B1255="","",IF(COUNTIFS($A$4:$A$2003,$A1255-1,$B$4:$B$2003,$B1255)=0,"first day",IF(SUMIFS($M$4:$M$2003,$A$4:$A$2003,$A1255-1,$B$4:$B$2003,$B1255)=$J1255,"OK","CHECK")))</f>
        <v/>
      </c>
      <c r="T1255" s="10" t="str">
        <f aca="false">IF($B1255="","",IFERROR(INDEX(Drinks!$D$4:$D$53,MATCH($B1255,Drinks!$A$4:$A$53,0)),0))</f>
        <v/>
      </c>
    </row>
    <row r="1256" customFormat="false" ht="15" hidden="false" customHeight="false" outlineLevel="0" collapsed="false">
      <c r="A1256" s="22"/>
      <c r="B1256" s="9"/>
      <c r="C1256" s="9"/>
      <c r="D1256" s="9"/>
      <c r="E1256" s="9"/>
      <c r="F1256" s="10" t="str">
        <f aca="false">IF($B1256="","",$C1256+$D1256-$E1256)</f>
        <v/>
      </c>
      <c r="G1256" s="10" t="str">
        <f aca="false">IF($B1256="","",IFERROR(INDEX(Drinks!$C$4:$C$53,MATCH($B1256,Drinks!$A$4:$A$53,0)),0))</f>
        <v/>
      </c>
      <c r="H1256" s="10" t="str">
        <f aca="false">IF($B1256="","",$D1256*$G1256)</f>
        <v/>
      </c>
      <c r="I1256" s="10" t="str">
        <f aca="false">IF($B1256="","",$F1256*$G1256)</f>
        <v/>
      </c>
      <c r="J1256" s="9"/>
      <c r="K1256" s="10" t="str">
        <f aca="false">IF($B1256="","",$E1256*IFERROR(INDEX(Drinks!$B$4:$B$53,MATCH($B1256,Drinks!$A$4:$A$53,0)),0))</f>
        <v/>
      </c>
      <c r="L1256" s="10" t="str">
        <f aca="false">IF($B1256="","",$J1256+$K1256)</f>
        <v/>
      </c>
      <c r="M1256" s="9"/>
      <c r="N1256" s="10" t="str">
        <f aca="false">IF($B1256="","",$L1256-$M1256)</f>
        <v/>
      </c>
      <c r="O1256" s="10" t="str">
        <f aca="false">IF($B1256="","",IFERROR(INDEX(Drinks!$E$4:$E$53,MATCH($B1256,Drinks!$A$4:$A$53,0)),0))</f>
        <v/>
      </c>
      <c r="P1256" s="10" t="str">
        <f aca="false">IF($B1256="","",$N1256*$O1256)</f>
        <v/>
      </c>
      <c r="Q1256" s="10" t="str">
        <f aca="false">IF($B1256="","",$N1256*IFERROR(INDEX(Drinks!$D$4:$D$53,MATCH($B1256,Drinks!$A$4:$A$53,0)),0))</f>
        <v/>
      </c>
      <c r="R1256" s="10" t="str">
        <f aca="false">IF($B1256="","",$P1256-$Q1256)</f>
        <v/>
      </c>
      <c r="S1256" s="23" t="str">
        <f aca="false">IF($B1256="","",IF(COUNTIFS($A$4:$A$2003,$A1256-1,$B$4:$B$2003,$B1256)=0,"first day",IF(SUMIFS($M$4:$M$2003,$A$4:$A$2003,$A1256-1,$B$4:$B$2003,$B1256)=$J1256,"OK","CHECK")))</f>
        <v/>
      </c>
      <c r="T1256" s="10" t="str">
        <f aca="false">IF($B1256="","",IFERROR(INDEX(Drinks!$D$4:$D$53,MATCH($B1256,Drinks!$A$4:$A$53,0)),0))</f>
        <v/>
      </c>
    </row>
    <row r="1257" customFormat="false" ht="15" hidden="false" customHeight="false" outlineLevel="0" collapsed="false">
      <c r="A1257" s="22"/>
      <c r="B1257" s="9"/>
      <c r="C1257" s="9"/>
      <c r="D1257" s="9"/>
      <c r="E1257" s="9"/>
      <c r="F1257" s="10" t="str">
        <f aca="false">IF($B1257="","",$C1257+$D1257-$E1257)</f>
        <v/>
      </c>
      <c r="G1257" s="10" t="str">
        <f aca="false">IF($B1257="","",IFERROR(INDEX(Drinks!$C$4:$C$53,MATCH($B1257,Drinks!$A$4:$A$53,0)),0))</f>
        <v/>
      </c>
      <c r="H1257" s="10" t="str">
        <f aca="false">IF($B1257="","",$D1257*$G1257)</f>
        <v/>
      </c>
      <c r="I1257" s="10" t="str">
        <f aca="false">IF($B1257="","",$F1257*$G1257)</f>
        <v/>
      </c>
      <c r="J1257" s="9"/>
      <c r="K1257" s="10" t="str">
        <f aca="false">IF($B1257="","",$E1257*IFERROR(INDEX(Drinks!$B$4:$B$53,MATCH($B1257,Drinks!$A$4:$A$53,0)),0))</f>
        <v/>
      </c>
      <c r="L1257" s="10" t="str">
        <f aca="false">IF($B1257="","",$J1257+$K1257)</f>
        <v/>
      </c>
      <c r="M1257" s="9"/>
      <c r="N1257" s="10" t="str">
        <f aca="false">IF($B1257="","",$L1257-$M1257)</f>
        <v/>
      </c>
      <c r="O1257" s="10" t="str">
        <f aca="false">IF($B1257="","",IFERROR(INDEX(Drinks!$E$4:$E$53,MATCH($B1257,Drinks!$A$4:$A$53,0)),0))</f>
        <v/>
      </c>
      <c r="P1257" s="10" t="str">
        <f aca="false">IF($B1257="","",$N1257*$O1257)</f>
        <v/>
      </c>
      <c r="Q1257" s="10" t="str">
        <f aca="false">IF($B1257="","",$N1257*IFERROR(INDEX(Drinks!$D$4:$D$53,MATCH($B1257,Drinks!$A$4:$A$53,0)),0))</f>
        <v/>
      </c>
      <c r="R1257" s="10" t="str">
        <f aca="false">IF($B1257="","",$P1257-$Q1257)</f>
        <v/>
      </c>
      <c r="S1257" s="23" t="str">
        <f aca="false">IF($B1257="","",IF(COUNTIFS($A$4:$A$2003,$A1257-1,$B$4:$B$2003,$B1257)=0,"first day",IF(SUMIFS($M$4:$M$2003,$A$4:$A$2003,$A1257-1,$B$4:$B$2003,$B1257)=$J1257,"OK","CHECK")))</f>
        <v/>
      </c>
      <c r="T1257" s="10" t="str">
        <f aca="false">IF($B1257="","",IFERROR(INDEX(Drinks!$D$4:$D$53,MATCH($B1257,Drinks!$A$4:$A$53,0)),0))</f>
        <v/>
      </c>
    </row>
    <row r="1258" customFormat="false" ht="15" hidden="false" customHeight="false" outlineLevel="0" collapsed="false">
      <c r="A1258" s="22"/>
      <c r="B1258" s="9"/>
      <c r="C1258" s="9"/>
      <c r="D1258" s="9"/>
      <c r="E1258" s="9"/>
      <c r="F1258" s="10" t="str">
        <f aca="false">IF($B1258="","",$C1258+$D1258-$E1258)</f>
        <v/>
      </c>
      <c r="G1258" s="10" t="str">
        <f aca="false">IF($B1258="","",IFERROR(INDEX(Drinks!$C$4:$C$53,MATCH($B1258,Drinks!$A$4:$A$53,0)),0))</f>
        <v/>
      </c>
      <c r="H1258" s="10" t="str">
        <f aca="false">IF($B1258="","",$D1258*$G1258)</f>
        <v/>
      </c>
      <c r="I1258" s="10" t="str">
        <f aca="false">IF($B1258="","",$F1258*$G1258)</f>
        <v/>
      </c>
      <c r="J1258" s="9"/>
      <c r="K1258" s="10" t="str">
        <f aca="false">IF($B1258="","",$E1258*IFERROR(INDEX(Drinks!$B$4:$B$53,MATCH($B1258,Drinks!$A$4:$A$53,0)),0))</f>
        <v/>
      </c>
      <c r="L1258" s="10" t="str">
        <f aca="false">IF($B1258="","",$J1258+$K1258)</f>
        <v/>
      </c>
      <c r="M1258" s="9"/>
      <c r="N1258" s="10" t="str">
        <f aca="false">IF($B1258="","",$L1258-$M1258)</f>
        <v/>
      </c>
      <c r="O1258" s="10" t="str">
        <f aca="false">IF($B1258="","",IFERROR(INDEX(Drinks!$E$4:$E$53,MATCH($B1258,Drinks!$A$4:$A$53,0)),0))</f>
        <v/>
      </c>
      <c r="P1258" s="10" t="str">
        <f aca="false">IF($B1258="","",$N1258*$O1258)</f>
        <v/>
      </c>
      <c r="Q1258" s="10" t="str">
        <f aca="false">IF($B1258="","",$N1258*IFERROR(INDEX(Drinks!$D$4:$D$53,MATCH($B1258,Drinks!$A$4:$A$53,0)),0))</f>
        <v/>
      </c>
      <c r="R1258" s="10" t="str">
        <f aca="false">IF($B1258="","",$P1258-$Q1258)</f>
        <v/>
      </c>
      <c r="S1258" s="23" t="str">
        <f aca="false">IF($B1258="","",IF(COUNTIFS($A$4:$A$2003,$A1258-1,$B$4:$B$2003,$B1258)=0,"first day",IF(SUMIFS($M$4:$M$2003,$A$4:$A$2003,$A1258-1,$B$4:$B$2003,$B1258)=$J1258,"OK","CHECK")))</f>
        <v/>
      </c>
      <c r="T1258" s="10" t="str">
        <f aca="false">IF($B1258="","",IFERROR(INDEX(Drinks!$D$4:$D$53,MATCH($B1258,Drinks!$A$4:$A$53,0)),0))</f>
        <v/>
      </c>
    </row>
    <row r="1259" customFormat="false" ht="15" hidden="false" customHeight="false" outlineLevel="0" collapsed="false">
      <c r="A1259" s="22"/>
      <c r="B1259" s="9"/>
      <c r="C1259" s="9"/>
      <c r="D1259" s="9"/>
      <c r="E1259" s="9"/>
      <c r="F1259" s="10" t="str">
        <f aca="false">IF($B1259="","",$C1259+$D1259-$E1259)</f>
        <v/>
      </c>
      <c r="G1259" s="10" t="str">
        <f aca="false">IF($B1259="","",IFERROR(INDEX(Drinks!$C$4:$C$53,MATCH($B1259,Drinks!$A$4:$A$53,0)),0))</f>
        <v/>
      </c>
      <c r="H1259" s="10" t="str">
        <f aca="false">IF($B1259="","",$D1259*$G1259)</f>
        <v/>
      </c>
      <c r="I1259" s="10" t="str">
        <f aca="false">IF($B1259="","",$F1259*$G1259)</f>
        <v/>
      </c>
      <c r="J1259" s="9"/>
      <c r="K1259" s="10" t="str">
        <f aca="false">IF($B1259="","",$E1259*IFERROR(INDEX(Drinks!$B$4:$B$53,MATCH($B1259,Drinks!$A$4:$A$53,0)),0))</f>
        <v/>
      </c>
      <c r="L1259" s="10" t="str">
        <f aca="false">IF($B1259="","",$J1259+$K1259)</f>
        <v/>
      </c>
      <c r="M1259" s="9"/>
      <c r="N1259" s="10" t="str">
        <f aca="false">IF($B1259="","",$L1259-$M1259)</f>
        <v/>
      </c>
      <c r="O1259" s="10" t="str">
        <f aca="false">IF($B1259="","",IFERROR(INDEX(Drinks!$E$4:$E$53,MATCH($B1259,Drinks!$A$4:$A$53,0)),0))</f>
        <v/>
      </c>
      <c r="P1259" s="10" t="str">
        <f aca="false">IF($B1259="","",$N1259*$O1259)</f>
        <v/>
      </c>
      <c r="Q1259" s="10" t="str">
        <f aca="false">IF($B1259="","",$N1259*IFERROR(INDEX(Drinks!$D$4:$D$53,MATCH($B1259,Drinks!$A$4:$A$53,0)),0))</f>
        <v/>
      </c>
      <c r="R1259" s="10" t="str">
        <f aca="false">IF($B1259="","",$P1259-$Q1259)</f>
        <v/>
      </c>
      <c r="S1259" s="23" t="str">
        <f aca="false">IF($B1259="","",IF(COUNTIFS($A$4:$A$2003,$A1259-1,$B$4:$B$2003,$B1259)=0,"first day",IF(SUMIFS($M$4:$M$2003,$A$4:$A$2003,$A1259-1,$B$4:$B$2003,$B1259)=$J1259,"OK","CHECK")))</f>
        <v/>
      </c>
      <c r="T1259" s="10" t="str">
        <f aca="false">IF($B1259="","",IFERROR(INDEX(Drinks!$D$4:$D$53,MATCH($B1259,Drinks!$A$4:$A$53,0)),0))</f>
        <v/>
      </c>
    </row>
    <row r="1260" customFormat="false" ht="15" hidden="false" customHeight="false" outlineLevel="0" collapsed="false">
      <c r="A1260" s="22"/>
      <c r="B1260" s="9"/>
      <c r="C1260" s="9"/>
      <c r="D1260" s="9"/>
      <c r="E1260" s="9"/>
      <c r="F1260" s="10" t="str">
        <f aca="false">IF($B1260="","",$C1260+$D1260-$E1260)</f>
        <v/>
      </c>
      <c r="G1260" s="10" t="str">
        <f aca="false">IF($B1260="","",IFERROR(INDEX(Drinks!$C$4:$C$53,MATCH($B1260,Drinks!$A$4:$A$53,0)),0))</f>
        <v/>
      </c>
      <c r="H1260" s="10" t="str">
        <f aca="false">IF($B1260="","",$D1260*$G1260)</f>
        <v/>
      </c>
      <c r="I1260" s="10" t="str">
        <f aca="false">IF($B1260="","",$F1260*$G1260)</f>
        <v/>
      </c>
      <c r="J1260" s="9"/>
      <c r="K1260" s="10" t="str">
        <f aca="false">IF($B1260="","",$E1260*IFERROR(INDEX(Drinks!$B$4:$B$53,MATCH($B1260,Drinks!$A$4:$A$53,0)),0))</f>
        <v/>
      </c>
      <c r="L1260" s="10" t="str">
        <f aca="false">IF($B1260="","",$J1260+$K1260)</f>
        <v/>
      </c>
      <c r="M1260" s="9"/>
      <c r="N1260" s="10" t="str">
        <f aca="false">IF($B1260="","",$L1260-$M1260)</f>
        <v/>
      </c>
      <c r="O1260" s="10" t="str">
        <f aca="false">IF($B1260="","",IFERROR(INDEX(Drinks!$E$4:$E$53,MATCH($B1260,Drinks!$A$4:$A$53,0)),0))</f>
        <v/>
      </c>
      <c r="P1260" s="10" t="str">
        <f aca="false">IF($B1260="","",$N1260*$O1260)</f>
        <v/>
      </c>
      <c r="Q1260" s="10" t="str">
        <f aca="false">IF($B1260="","",$N1260*IFERROR(INDEX(Drinks!$D$4:$D$53,MATCH($B1260,Drinks!$A$4:$A$53,0)),0))</f>
        <v/>
      </c>
      <c r="R1260" s="10" t="str">
        <f aca="false">IF($B1260="","",$P1260-$Q1260)</f>
        <v/>
      </c>
      <c r="S1260" s="23" t="str">
        <f aca="false">IF($B1260="","",IF(COUNTIFS($A$4:$A$2003,$A1260-1,$B$4:$B$2003,$B1260)=0,"first day",IF(SUMIFS($M$4:$M$2003,$A$4:$A$2003,$A1260-1,$B$4:$B$2003,$B1260)=$J1260,"OK","CHECK")))</f>
        <v/>
      </c>
      <c r="T1260" s="10" t="str">
        <f aca="false">IF($B1260="","",IFERROR(INDEX(Drinks!$D$4:$D$53,MATCH($B1260,Drinks!$A$4:$A$53,0)),0))</f>
        <v/>
      </c>
    </row>
    <row r="1261" customFormat="false" ht="15" hidden="false" customHeight="false" outlineLevel="0" collapsed="false">
      <c r="A1261" s="22"/>
      <c r="B1261" s="9"/>
      <c r="C1261" s="9"/>
      <c r="D1261" s="9"/>
      <c r="E1261" s="9"/>
      <c r="F1261" s="10" t="str">
        <f aca="false">IF($B1261="","",$C1261+$D1261-$E1261)</f>
        <v/>
      </c>
      <c r="G1261" s="10" t="str">
        <f aca="false">IF($B1261="","",IFERROR(INDEX(Drinks!$C$4:$C$53,MATCH($B1261,Drinks!$A$4:$A$53,0)),0))</f>
        <v/>
      </c>
      <c r="H1261" s="10" t="str">
        <f aca="false">IF($B1261="","",$D1261*$G1261)</f>
        <v/>
      </c>
      <c r="I1261" s="10" t="str">
        <f aca="false">IF($B1261="","",$F1261*$G1261)</f>
        <v/>
      </c>
      <c r="J1261" s="9"/>
      <c r="K1261" s="10" t="str">
        <f aca="false">IF($B1261="","",$E1261*IFERROR(INDEX(Drinks!$B$4:$B$53,MATCH($B1261,Drinks!$A$4:$A$53,0)),0))</f>
        <v/>
      </c>
      <c r="L1261" s="10" t="str">
        <f aca="false">IF($B1261="","",$J1261+$K1261)</f>
        <v/>
      </c>
      <c r="M1261" s="9"/>
      <c r="N1261" s="10" t="str">
        <f aca="false">IF($B1261="","",$L1261-$M1261)</f>
        <v/>
      </c>
      <c r="O1261" s="10" t="str">
        <f aca="false">IF($B1261="","",IFERROR(INDEX(Drinks!$E$4:$E$53,MATCH($B1261,Drinks!$A$4:$A$53,0)),0))</f>
        <v/>
      </c>
      <c r="P1261" s="10" t="str">
        <f aca="false">IF($B1261="","",$N1261*$O1261)</f>
        <v/>
      </c>
      <c r="Q1261" s="10" t="str">
        <f aca="false">IF($B1261="","",$N1261*IFERROR(INDEX(Drinks!$D$4:$D$53,MATCH($B1261,Drinks!$A$4:$A$53,0)),0))</f>
        <v/>
      </c>
      <c r="R1261" s="10" t="str">
        <f aca="false">IF($B1261="","",$P1261-$Q1261)</f>
        <v/>
      </c>
      <c r="S1261" s="23" t="str">
        <f aca="false">IF($B1261="","",IF(COUNTIFS($A$4:$A$2003,$A1261-1,$B$4:$B$2003,$B1261)=0,"first day",IF(SUMIFS($M$4:$M$2003,$A$4:$A$2003,$A1261-1,$B$4:$B$2003,$B1261)=$J1261,"OK","CHECK")))</f>
        <v/>
      </c>
      <c r="T1261" s="10" t="str">
        <f aca="false">IF($B1261="","",IFERROR(INDEX(Drinks!$D$4:$D$53,MATCH($B1261,Drinks!$A$4:$A$53,0)),0))</f>
        <v/>
      </c>
    </row>
    <row r="1262" customFormat="false" ht="15" hidden="false" customHeight="false" outlineLevel="0" collapsed="false">
      <c r="A1262" s="22"/>
      <c r="B1262" s="9"/>
      <c r="C1262" s="9"/>
      <c r="D1262" s="9"/>
      <c r="E1262" s="9"/>
      <c r="F1262" s="10" t="str">
        <f aca="false">IF($B1262="","",$C1262+$D1262-$E1262)</f>
        <v/>
      </c>
      <c r="G1262" s="10" t="str">
        <f aca="false">IF($B1262="","",IFERROR(INDEX(Drinks!$C$4:$C$53,MATCH($B1262,Drinks!$A$4:$A$53,0)),0))</f>
        <v/>
      </c>
      <c r="H1262" s="10" t="str">
        <f aca="false">IF($B1262="","",$D1262*$G1262)</f>
        <v/>
      </c>
      <c r="I1262" s="10" t="str">
        <f aca="false">IF($B1262="","",$F1262*$G1262)</f>
        <v/>
      </c>
      <c r="J1262" s="9"/>
      <c r="K1262" s="10" t="str">
        <f aca="false">IF($B1262="","",$E1262*IFERROR(INDEX(Drinks!$B$4:$B$53,MATCH($B1262,Drinks!$A$4:$A$53,0)),0))</f>
        <v/>
      </c>
      <c r="L1262" s="10" t="str">
        <f aca="false">IF($B1262="","",$J1262+$K1262)</f>
        <v/>
      </c>
      <c r="M1262" s="9"/>
      <c r="N1262" s="10" t="str">
        <f aca="false">IF($B1262="","",$L1262-$M1262)</f>
        <v/>
      </c>
      <c r="O1262" s="10" t="str">
        <f aca="false">IF($B1262="","",IFERROR(INDEX(Drinks!$E$4:$E$53,MATCH($B1262,Drinks!$A$4:$A$53,0)),0))</f>
        <v/>
      </c>
      <c r="P1262" s="10" t="str">
        <f aca="false">IF($B1262="","",$N1262*$O1262)</f>
        <v/>
      </c>
      <c r="Q1262" s="10" t="str">
        <f aca="false">IF($B1262="","",$N1262*IFERROR(INDEX(Drinks!$D$4:$D$53,MATCH($B1262,Drinks!$A$4:$A$53,0)),0))</f>
        <v/>
      </c>
      <c r="R1262" s="10" t="str">
        <f aca="false">IF($B1262="","",$P1262-$Q1262)</f>
        <v/>
      </c>
      <c r="S1262" s="23" t="str">
        <f aca="false">IF($B1262="","",IF(COUNTIFS($A$4:$A$2003,$A1262-1,$B$4:$B$2003,$B1262)=0,"first day",IF(SUMIFS($M$4:$M$2003,$A$4:$A$2003,$A1262-1,$B$4:$B$2003,$B1262)=$J1262,"OK","CHECK")))</f>
        <v/>
      </c>
      <c r="T1262" s="10" t="str">
        <f aca="false">IF($B1262="","",IFERROR(INDEX(Drinks!$D$4:$D$53,MATCH($B1262,Drinks!$A$4:$A$53,0)),0))</f>
        <v/>
      </c>
    </row>
    <row r="1263" customFormat="false" ht="15" hidden="false" customHeight="false" outlineLevel="0" collapsed="false">
      <c r="A1263" s="22"/>
      <c r="B1263" s="9"/>
      <c r="C1263" s="9"/>
      <c r="D1263" s="9"/>
      <c r="E1263" s="9"/>
      <c r="F1263" s="10" t="str">
        <f aca="false">IF($B1263="","",$C1263+$D1263-$E1263)</f>
        <v/>
      </c>
      <c r="G1263" s="10" t="str">
        <f aca="false">IF($B1263="","",IFERROR(INDEX(Drinks!$C$4:$C$53,MATCH($B1263,Drinks!$A$4:$A$53,0)),0))</f>
        <v/>
      </c>
      <c r="H1263" s="10" t="str">
        <f aca="false">IF($B1263="","",$D1263*$G1263)</f>
        <v/>
      </c>
      <c r="I1263" s="10" t="str">
        <f aca="false">IF($B1263="","",$F1263*$G1263)</f>
        <v/>
      </c>
      <c r="J1263" s="9"/>
      <c r="K1263" s="10" t="str">
        <f aca="false">IF($B1263="","",$E1263*IFERROR(INDEX(Drinks!$B$4:$B$53,MATCH($B1263,Drinks!$A$4:$A$53,0)),0))</f>
        <v/>
      </c>
      <c r="L1263" s="10" t="str">
        <f aca="false">IF($B1263="","",$J1263+$K1263)</f>
        <v/>
      </c>
      <c r="M1263" s="9"/>
      <c r="N1263" s="10" t="str">
        <f aca="false">IF($B1263="","",$L1263-$M1263)</f>
        <v/>
      </c>
      <c r="O1263" s="10" t="str">
        <f aca="false">IF($B1263="","",IFERROR(INDEX(Drinks!$E$4:$E$53,MATCH($B1263,Drinks!$A$4:$A$53,0)),0))</f>
        <v/>
      </c>
      <c r="P1263" s="10" t="str">
        <f aca="false">IF($B1263="","",$N1263*$O1263)</f>
        <v/>
      </c>
      <c r="Q1263" s="10" t="str">
        <f aca="false">IF($B1263="","",$N1263*IFERROR(INDEX(Drinks!$D$4:$D$53,MATCH($B1263,Drinks!$A$4:$A$53,0)),0))</f>
        <v/>
      </c>
      <c r="R1263" s="10" t="str">
        <f aca="false">IF($B1263="","",$P1263-$Q1263)</f>
        <v/>
      </c>
      <c r="S1263" s="23" t="str">
        <f aca="false">IF($B1263="","",IF(COUNTIFS($A$4:$A$2003,$A1263-1,$B$4:$B$2003,$B1263)=0,"first day",IF(SUMIFS($M$4:$M$2003,$A$4:$A$2003,$A1263-1,$B$4:$B$2003,$B1263)=$J1263,"OK","CHECK")))</f>
        <v/>
      </c>
      <c r="T1263" s="10" t="str">
        <f aca="false">IF($B1263="","",IFERROR(INDEX(Drinks!$D$4:$D$53,MATCH($B1263,Drinks!$A$4:$A$53,0)),0))</f>
        <v/>
      </c>
    </row>
    <row r="1264" customFormat="false" ht="15" hidden="false" customHeight="false" outlineLevel="0" collapsed="false">
      <c r="A1264" s="22"/>
      <c r="B1264" s="9"/>
      <c r="C1264" s="9"/>
      <c r="D1264" s="9"/>
      <c r="E1264" s="9"/>
      <c r="F1264" s="10" t="str">
        <f aca="false">IF($B1264="","",$C1264+$D1264-$E1264)</f>
        <v/>
      </c>
      <c r="G1264" s="10" t="str">
        <f aca="false">IF($B1264="","",IFERROR(INDEX(Drinks!$C$4:$C$53,MATCH($B1264,Drinks!$A$4:$A$53,0)),0))</f>
        <v/>
      </c>
      <c r="H1264" s="10" t="str">
        <f aca="false">IF($B1264="","",$D1264*$G1264)</f>
        <v/>
      </c>
      <c r="I1264" s="10" t="str">
        <f aca="false">IF($B1264="","",$F1264*$G1264)</f>
        <v/>
      </c>
      <c r="J1264" s="9"/>
      <c r="K1264" s="10" t="str">
        <f aca="false">IF($B1264="","",$E1264*IFERROR(INDEX(Drinks!$B$4:$B$53,MATCH($B1264,Drinks!$A$4:$A$53,0)),0))</f>
        <v/>
      </c>
      <c r="L1264" s="10" t="str">
        <f aca="false">IF($B1264="","",$J1264+$K1264)</f>
        <v/>
      </c>
      <c r="M1264" s="9"/>
      <c r="N1264" s="10" t="str">
        <f aca="false">IF($B1264="","",$L1264-$M1264)</f>
        <v/>
      </c>
      <c r="O1264" s="10" t="str">
        <f aca="false">IF($B1264="","",IFERROR(INDEX(Drinks!$E$4:$E$53,MATCH($B1264,Drinks!$A$4:$A$53,0)),0))</f>
        <v/>
      </c>
      <c r="P1264" s="10" t="str">
        <f aca="false">IF($B1264="","",$N1264*$O1264)</f>
        <v/>
      </c>
      <c r="Q1264" s="10" t="str">
        <f aca="false">IF($B1264="","",$N1264*IFERROR(INDEX(Drinks!$D$4:$D$53,MATCH($B1264,Drinks!$A$4:$A$53,0)),0))</f>
        <v/>
      </c>
      <c r="R1264" s="10" t="str">
        <f aca="false">IF($B1264="","",$P1264-$Q1264)</f>
        <v/>
      </c>
      <c r="S1264" s="23" t="str">
        <f aca="false">IF($B1264="","",IF(COUNTIFS($A$4:$A$2003,$A1264-1,$B$4:$B$2003,$B1264)=0,"first day",IF(SUMIFS($M$4:$M$2003,$A$4:$A$2003,$A1264-1,$B$4:$B$2003,$B1264)=$J1264,"OK","CHECK")))</f>
        <v/>
      </c>
      <c r="T1264" s="10" t="str">
        <f aca="false">IF($B1264="","",IFERROR(INDEX(Drinks!$D$4:$D$53,MATCH($B1264,Drinks!$A$4:$A$53,0)),0))</f>
        <v/>
      </c>
    </row>
    <row r="1265" customFormat="false" ht="15" hidden="false" customHeight="false" outlineLevel="0" collapsed="false">
      <c r="A1265" s="22"/>
      <c r="B1265" s="9"/>
      <c r="C1265" s="9"/>
      <c r="D1265" s="9"/>
      <c r="E1265" s="9"/>
      <c r="F1265" s="10" t="str">
        <f aca="false">IF($B1265="","",$C1265+$D1265-$E1265)</f>
        <v/>
      </c>
      <c r="G1265" s="10" t="str">
        <f aca="false">IF($B1265="","",IFERROR(INDEX(Drinks!$C$4:$C$53,MATCH($B1265,Drinks!$A$4:$A$53,0)),0))</f>
        <v/>
      </c>
      <c r="H1265" s="10" t="str">
        <f aca="false">IF($B1265="","",$D1265*$G1265)</f>
        <v/>
      </c>
      <c r="I1265" s="10" t="str">
        <f aca="false">IF($B1265="","",$F1265*$G1265)</f>
        <v/>
      </c>
      <c r="J1265" s="9"/>
      <c r="K1265" s="10" t="str">
        <f aca="false">IF($B1265="","",$E1265*IFERROR(INDEX(Drinks!$B$4:$B$53,MATCH($B1265,Drinks!$A$4:$A$53,0)),0))</f>
        <v/>
      </c>
      <c r="L1265" s="10" t="str">
        <f aca="false">IF($B1265="","",$J1265+$K1265)</f>
        <v/>
      </c>
      <c r="M1265" s="9"/>
      <c r="N1265" s="10" t="str">
        <f aca="false">IF($B1265="","",$L1265-$M1265)</f>
        <v/>
      </c>
      <c r="O1265" s="10" t="str">
        <f aca="false">IF($B1265="","",IFERROR(INDEX(Drinks!$E$4:$E$53,MATCH($B1265,Drinks!$A$4:$A$53,0)),0))</f>
        <v/>
      </c>
      <c r="P1265" s="10" t="str">
        <f aca="false">IF($B1265="","",$N1265*$O1265)</f>
        <v/>
      </c>
      <c r="Q1265" s="10" t="str">
        <f aca="false">IF($B1265="","",$N1265*IFERROR(INDEX(Drinks!$D$4:$D$53,MATCH($B1265,Drinks!$A$4:$A$53,0)),0))</f>
        <v/>
      </c>
      <c r="R1265" s="10" t="str">
        <f aca="false">IF($B1265="","",$P1265-$Q1265)</f>
        <v/>
      </c>
      <c r="S1265" s="23" t="str">
        <f aca="false">IF($B1265="","",IF(COUNTIFS($A$4:$A$2003,$A1265-1,$B$4:$B$2003,$B1265)=0,"first day",IF(SUMIFS($M$4:$M$2003,$A$4:$A$2003,$A1265-1,$B$4:$B$2003,$B1265)=$J1265,"OK","CHECK")))</f>
        <v/>
      </c>
      <c r="T1265" s="10" t="str">
        <f aca="false">IF($B1265="","",IFERROR(INDEX(Drinks!$D$4:$D$53,MATCH($B1265,Drinks!$A$4:$A$53,0)),0))</f>
        <v/>
      </c>
    </row>
    <row r="1266" customFormat="false" ht="15" hidden="false" customHeight="false" outlineLevel="0" collapsed="false">
      <c r="A1266" s="22"/>
      <c r="B1266" s="9"/>
      <c r="C1266" s="9"/>
      <c r="D1266" s="9"/>
      <c r="E1266" s="9"/>
      <c r="F1266" s="10" t="str">
        <f aca="false">IF($B1266="","",$C1266+$D1266-$E1266)</f>
        <v/>
      </c>
      <c r="G1266" s="10" t="str">
        <f aca="false">IF($B1266="","",IFERROR(INDEX(Drinks!$C$4:$C$53,MATCH($B1266,Drinks!$A$4:$A$53,0)),0))</f>
        <v/>
      </c>
      <c r="H1266" s="10" t="str">
        <f aca="false">IF($B1266="","",$D1266*$G1266)</f>
        <v/>
      </c>
      <c r="I1266" s="10" t="str">
        <f aca="false">IF($B1266="","",$F1266*$G1266)</f>
        <v/>
      </c>
      <c r="J1266" s="9"/>
      <c r="K1266" s="10" t="str">
        <f aca="false">IF($B1266="","",$E1266*IFERROR(INDEX(Drinks!$B$4:$B$53,MATCH($B1266,Drinks!$A$4:$A$53,0)),0))</f>
        <v/>
      </c>
      <c r="L1266" s="10" t="str">
        <f aca="false">IF($B1266="","",$J1266+$K1266)</f>
        <v/>
      </c>
      <c r="M1266" s="9"/>
      <c r="N1266" s="10" t="str">
        <f aca="false">IF($B1266="","",$L1266-$M1266)</f>
        <v/>
      </c>
      <c r="O1266" s="10" t="str">
        <f aca="false">IF($B1266="","",IFERROR(INDEX(Drinks!$E$4:$E$53,MATCH($B1266,Drinks!$A$4:$A$53,0)),0))</f>
        <v/>
      </c>
      <c r="P1266" s="10" t="str">
        <f aca="false">IF($B1266="","",$N1266*$O1266)</f>
        <v/>
      </c>
      <c r="Q1266" s="10" t="str">
        <f aca="false">IF($B1266="","",$N1266*IFERROR(INDEX(Drinks!$D$4:$D$53,MATCH($B1266,Drinks!$A$4:$A$53,0)),0))</f>
        <v/>
      </c>
      <c r="R1266" s="10" t="str">
        <f aca="false">IF($B1266="","",$P1266-$Q1266)</f>
        <v/>
      </c>
      <c r="S1266" s="23" t="str">
        <f aca="false">IF($B1266="","",IF(COUNTIFS($A$4:$A$2003,$A1266-1,$B$4:$B$2003,$B1266)=0,"first day",IF(SUMIFS($M$4:$M$2003,$A$4:$A$2003,$A1266-1,$B$4:$B$2003,$B1266)=$J1266,"OK","CHECK")))</f>
        <v/>
      </c>
      <c r="T1266" s="10" t="str">
        <f aca="false">IF($B1266="","",IFERROR(INDEX(Drinks!$D$4:$D$53,MATCH($B1266,Drinks!$A$4:$A$53,0)),0))</f>
        <v/>
      </c>
    </row>
    <row r="1267" customFormat="false" ht="15" hidden="false" customHeight="false" outlineLevel="0" collapsed="false">
      <c r="A1267" s="22"/>
      <c r="B1267" s="9"/>
      <c r="C1267" s="9"/>
      <c r="D1267" s="9"/>
      <c r="E1267" s="9"/>
      <c r="F1267" s="10" t="str">
        <f aca="false">IF($B1267="","",$C1267+$D1267-$E1267)</f>
        <v/>
      </c>
      <c r="G1267" s="10" t="str">
        <f aca="false">IF($B1267="","",IFERROR(INDEX(Drinks!$C$4:$C$53,MATCH($B1267,Drinks!$A$4:$A$53,0)),0))</f>
        <v/>
      </c>
      <c r="H1267" s="10" t="str">
        <f aca="false">IF($B1267="","",$D1267*$G1267)</f>
        <v/>
      </c>
      <c r="I1267" s="10" t="str">
        <f aca="false">IF($B1267="","",$F1267*$G1267)</f>
        <v/>
      </c>
      <c r="J1267" s="9"/>
      <c r="K1267" s="10" t="str">
        <f aca="false">IF($B1267="","",$E1267*IFERROR(INDEX(Drinks!$B$4:$B$53,MATCH($B1267,Drinks!$A$4:$A$53,0)),0))</f>
        <v/>
      </c>
      <c r="L1267" s="10" t="str">
        <f aca="false">IF($B1267="","",$J1267+$K1267)</f>
        <v/>
      </c>
      <c r="M1267" s="9"/>
      <c r="N1267" s="10" t="str">
        <f aca="false">IF($B1267="","",$L1267-$M1267)</f>
        <v/>
      </c>
      <c r="O1267" s="10" t="str">
        <f aca="false">IF($B1267="","",IFERROR(INDEX(Drinks!$E$4:$E$53,MATCH($B1267,Drinks!$A$4:$A$53,0)),0))</f>
        <v/>
      </c>
      <c r="P1267" s="10" t="str">
        <f aca="false">IF($B1267="","",$N1267*$O1267)</f>
        <v/>
      </c>
      <c r="Q1267" s="10" t="str">
        <f aca="false">IF($B1267="","",$N1267*IFERROR(INDEX(Drinks!$D$4:$D$53,MATCH($B1267,Drinks!$A$4:$A$53,0)),0))</f>
        <v/>
      </c>
      <c r="R1267" s="10" t="str">
        <f aca="false">IF($B1267="","",$P1267-$Q1267)</f>
        <v/>
      </c>
      <c r="S1267" s="23" t="str">
        <f aca="false">IF($B1267="","",IF(COUNTIFS($A$4:$A$2003,$A1267-1,$B$4:$B$2003,$B1267)=0,"first day",IF(SUMIFS($M$4:$M$2003,$A$4:$A$2003,$A1267-1,$B$4:$B$2003,$B1267)=$J1267,"OK","CHECK")))</f>
        <v/>
      </c>
      <c r="T1267" s="10" t="str">
        <f aca="false">IF($B1267="","",IFERROR(INDEX(Drinks!$D$4:$D$53,MATCH($B1267,Drinks!$A$4:$A$53,0)),0))</f>
        <v/>
      </c>
    </row>
    <row r="1268" customFormat="false" ht="15" hidden="false" customHeight="false" outlineLevel="0" collapsed="false">
      <c r="A1268" s="22"/>
      <c r="B1268" s="9"/>
      <c r="C1268" s="9"/>
      <c r="D1268" s="9"/>
      <c r="E1268" s="9"/>
      <c r="F1268" s="10" t="str">
        <f aca="false">IF($B1268="","",$C1268+$D1268-$E1268)</f>
        <v/>
      </c>
      <c r="G1268" s="10" t="str">
        <f aca="false">IF($B1268="","",IFERROR(INDEX(Drinks!$C$4:$C$53,MATCH($B1268,Drinks!$A$4:$A$53,0)),0))</f>
        <v/>
      </c>
      <c r="H1268" s="10" t="str">
        <f aca="false">IF($B1268="","",$D1268*$G1268)</f>
        <v/>
      </c>
      <c r="I1268" s="10" t="str">
        <f aca="false">IF($B1268="","",$F1268*$G1268)</f>
        <v/>
      </c>
      <c r="J1268" s="9"/>
      <c r="K1268" s="10" t="str">
        <f aca="false">IF($B1268="","",$E1268*IFERROR(INDEX(Drinks!$B$4:$B$53,MATCH($B1268,Drinks!$A$4:$A$53,0)),0))</f>
        <v/>
      </c>
      <c r="L1268" s="10" t="str">
        <f aca="false">IF($B1268="","",$J1268+$K1268)</f>
        <v/>
      </c>
      <c r="M1268" s="9"/>
      <c r="N1268" s="10" t="str">
        <f aca="false">IF($B1268="","",$L1268-$M1268)</f>
        <v/>
      </c>
      <c r="O1268" s="10" t="str">
        <f aca="false">IF($B1268="","",IFERROR(INDEX(Drinks!$E$4:$E$53,MATCH($B1268,Drinks!$A$4:$A$53,0)),0))</f>
        <v/>
      </c>
      <c r="P1268" s="10" t="str">
        <f aca="false">IF($B1268="","",$N1268*$O1268)</f>
        <v/>
      </c>
      <c r="Q1268" s="10" t="str">
        <f aca="false">IF($B1268="","",$N1268*IFERROR(INDEX(Drinks!$D$4:$D$53,MATCH($B1268,Drinks!$A$4:$A$53,0)),0))</f>
        <v/>
      </c>
      <c r="R1268" s="10" t="str">
        <f aca="false">IF($B1268="","",$P1268-$Q1268)</f>
        <v/>
      </c>
      <c r="S1268" s="23" t="str">
        <f aca="false">IF($B1268="","",IF(COUNTIFS($A$4:$A$2003,$A1268-1,$B$4:$B$2003,$B1268)=0,"first day",IF(SUMIFS($M$4:$M$2003,$A$4:$A$2003,$A1268-1,$B$4:$B$2003,$B1268)=$J1268,"OK","CHECK")))</f>
        <v/>
      </c>
      <c r="T1268" s="10" t="str">
        <f aca="false">IF($B1268="","",IFERROR(INDEX(Drinks!$D$4:$D$53,MATCH($B1268,Drinks!$A$4:$A$53,0)),0))</f>
        <v/>
      </c>
    </row>
    <row r="1269" customFormat="false" ht="15" hidden="false" customHeight="false" outlineLevel="0" collapsed="false">
      <c r="A1269" s="22"/>
      <c r="B1269" s="9"/>
      <c r="C1269" s="9"/>
      <c r="D1269" s="9"/>
      <c r="E1269" s="9"/>
      <c r="F1269" s="10" t="str">
        <f aca="false">IF($B1269="","",$C1269+$D1269-$E1269)</f>
        <v/>
      </c>
      <c r="G1269" s="10" t="str">
        <f aca="false">IF($B1269="","",IFERROR(INDEX(Drinks!$C$4:$C$53,MATCH($B1269,Drinks!$A$4:$A$53,0)),0))</f>
        <v/>
      </c>
      <c r="H1269" s="10" t="str">
        <f aca="false">IF($B1269="","",$D1269*$G1269)</f>
        <v/>
      </c>
      <c r="I1269" s="10" t="str">
        <f aca="false">IF($B1269="","",$F1269*$G1269)</f>
        <v/>
      </c>
      <c r="J1269" s="9"/>
      <c r="K1269" s="10" t="str">
        <f aca="false">IF($B1269="","",$E1269*IFERROR(INDEX(Drinks!$B$4:$B$53,MATCH($B1269,Drinks!$A$4:$A$53,0)),0))</f>
        <v/>
      </c>
      <c r="L1269" s="10" t="str">
        <f aca="false">IF($B1269="","",$J1269+$K1269)</f>
        <v/>
      </c>
      <c r="M1269" s="9"/>
      <c r="N1269" s="10" t="str">
        <f aca="false">IF($B1269="","",$L1269-$M1269)</f>
        <v/>
      </c>
      <c r="O1269" s="10" t="str">
        <f aca="false">IF($B1269="","",IFERROR(INDEX(Drinks!$E$4:$E$53,MATCH($B1269,Drinks!$A$4:$A$53,0)),0))</f>
        <v/>
      </c>
      <c r="P1269" s="10" t="str">
        <f aca="false">IF($B1269="","",$N1269*$O1269)</f>
        <v/>
      </c>
      <c r="Q1269" s="10" t="str">
        <f aca="false">IF($B1269="","",$N1269*IFERROR(INDEX(Drinks!$D$4:$D$53,MATCH($B1269,Drinks!$A$4:$A$53,0)),0))</f>
        <v/>
      </c>
      <c r="R1269" s="10" t="str">
        <f aca="false">IF($B1269="","",$P1269-$Q1269)</f>
        <v/>
      </c>
      <c r="S1269" s="23" t="str">
        <f aca="false">IF($B1269="","",IF(COUNTIFS($A$4:$A$2003,$A1269-1,$B$4:$B$2003,$B1269)=0,"first day",IF(SUMIFS($M$4:$M$2003,$A$4:$A$2003,$A1269-1,$B$4:$B$2003,$B1269)=$J1269,"OK","CHECK")))</f>
        <v/>
      </c>
      <c r="T1269" s="10" t="str">
        <f aca="false">IF($B1269="","",IFERROR(INDEX(Drinks!$D$4:$D$53,MATCH($B1269,Drinks!$A$4:$A$53,0)),0))</f>
        <v/>
      </c>
    </row>
    <row r="1270" customFormat="false" ht="15" hidden="false" customHeight="false" outlineLevel="0" collapsed="false">
      <c r="A1270" s="22"/>
      <c r="B1270" s="9"/>
      <c r="C1270" s="9"/>
      <c r="D1270" s="9"/>
      <c r="E1270" s="9"/>
      <c r="F1270" s="10" t="str">
        <f aca="false">IF($B1270="","",$C1270+$D1270-$E1270)</f>
        <v/>
      </c>
      <c r="G1270" s="10" t="str">
        <f aca="false">IF($B1270="","",IFERROR(INDEX(Drinks!$C$4:$C$53,MATCH($B1270,Drinks!$A$4:$A$53,0)),0))</f>
        <v/>
      </c>
      <c r="H1270" s="10" t="str">
        <f aca="false">IF($B1270="","",$D1270*$G1270)</f>
        <v/>
      </c>
      <c r="I1270" s="10" t="str">
        <f aca="false">IF($B1270="","",$F1270*$G1270)</f>
        <v/>
      </c>
      <c r="J1270" s="9"/>
      <c r="K1270" s="10" t="str">
        <f aca="false">IF($B1270="","",$E1270*IFERROR(INDEX(Drinks!$B$4:$B$53,MATCH($B1270,Drinks!$A$4:$A$53,0)),0))</f>
        <v/>
      </c>
      <c r="L1270" s="10" t="str">
        <f aca="false">IF($B1270="","",$J1270+$K1270)</f>
        <v/>
      </c>
      <c r="M1270" s="9"/>
      <c r="N1270" s="10" t="str">
        <f aca="false">IF($B1270="","",$L1270-$M1270)</f>
        <v/>
      </c>
      <c r="O1270" s="10" t="str">
        <f aca="false">IF($B1270="","",IFERROR(INDEX(Drinks!$E$4:$E$53,MATCH($B1270,Drinks!$A$4:$A$53,0)),0))</f>
        <v/>
      </c>
      <c r="P1270" s="10" t="str">
        <f aca="false">IF($B1270="","",$N1270*$O1270)</f>
        <v/>
      </c>
      <c r="Q1270" s="10" t="str">
        <f aca="false">IF($B1270="","",$N1270*IFERROR(INDEX(Drinks!$D$4:$D$53,MATCH($B1270,Drinks!$A$4:$A$53,0)),0))</f>
        <v/>
      </c>
      <c r="R1270" s="10" t="str">
        <f aca="false">IF($B1270="","",$P1270-$Q1270)</f>
        <v/>
      </c>
      <c r="S1270" s="23" t="str">
        <f aca="false">IF($B1270="","",IF(COUNTIFS($A$4:$A$2003,$A1270-1,$B$4:$B$2003,$B1270)=0,"first day",IF(SUMIFS($M$4:$M$2003,$A$4:$A$2003,$A1270-1,$B$4:$B$2003,$B1270)=$J1270,"OK","CHECK")))</f>
        <v/>
      </c>
      <c r="T1270" s="10" t="str">
        <f aca="false">IF($B1270="","",IFERROR(INDEX(Drinks!$D$4:$D$53,MATCH($B1270,Drinks!$A$4:$A$53,0)),0))</f>
        <v/>
      </c>
    </row>
    <row r="1271" customFormat="false" ht="15" hidden="false" customHeight="false" outlineLevel="0" collapsed="false">
      <c r="A1271" s="22"/>
      <c r="B1271" s="9"/>
      <c r="C1271" s="9"/>
      <c r="D1271" s="9"/>
      <c r="E1271" s="9"/>
      <c r="F1271" s="10" t="str">
        <f aca="false">IF($B1271="","",$C1271+$D1271-$E1271)</f>
        <v/>
      </c>
      <c r="G1271" s="10" t="str">
        <f aca="false">IF($B1271="","",IFERROR(INDEX(Drinks!$C$4:$C$53,MATCH($B1271,Drinks!$A$4:$A$53,0)),0))</f>
        <v/>
      </c>
      <c r="H1271" s="10" t="str">
        <f aca="false">IF($B1271="","",$D1271*$G1271)</f>
        <v/>
      </c>
      <c r="I1271" s="10" t="str">
        <f aca="false">IF($B1271="","",$F1271*$G1271)</f>
        <v/>
      </c>
      <c r="J1271" s="9"/>
      <c r="K1271" s="10" t="str">
        <f aca="false">IF($B1271="","",$E1271*IFERROR(INDEX(Drinks!$B$4:$B$53,MATCH($B1271,Drinks!$A$4:$A$53,0)),0))</f>
        <v/>
      </c>
      <c r="L1271" s="10" t="str">
        <f aca="false">IF($B1271="","",$J1271+$K1271)</f>
        <v/>
      </c>
      <c r="M1271" s="9"/>
      <c r="N1271" s="10" t="str">
        <f aca="false">IF($B1271="","",$L1271-$M1271)</f>
        <v/>
      </c>
      <c r="O1271" s="10" t="str">
        <f aca="false">IF($B1271="","",IFERROR(INDEX(Drinks!$E$4:$E$53,MATCH($B1271,Drinks!$A$4:$A$53,0)),0))</f>
        <v/>
      </c>
      <c r="P1271" s="10" t="str">
        <f aca="false">IF($B1271="","",$N1271*$O1271)</f>
        <v/>
      </c>
      <c r="Q1271" s="10" t="str">
        <f aca="false">IF($B1271="","",$N1271*IFERROR(INDEX(Drinks!$D$4:$D$53,MATCH($B1271,Drinks!$A$4:$A$53,0)),0))</f>
        <v/>
      </c>
      <c r="R1271" s="10" t="str">
        <f aca="false">IF($B1271="","",$P1271-$Q1271)</f>
        <v/>
      </c>
      <c r="S1271" s="23" t="str">
        <f aca="false">IF($B1271="","",IF(COUNTIFS($A$4:$A$2003,$A1271-1,$B$4:$B$2003,$B1271)=0,"first day",IF(SUMIFS($M$4:$M$2003,$A$4:$A$2003,$A1271-1,$B$4:$B$2003,$B1271)=$J1271,"OK","CHECK")))</f>
        <v/>
      </c>
      <c r="T1271" s="10" t="str">
        <f aca="false">IF($B1271="","",IFERROR(INDEX(Drinks!$D$4:$D$53,MATCH($B1271,Drinks!$A$4:$A$53,0)),0))</f>
        <v/>
      </c>
    </row>
    <row r="1272" customFormat="false" ht="15" hidden="false" customHeight="false" outlineLevel="0" collapsed="false">
      <c r="A1272" s="22"/>
      <c r="B1272" s="9"/>
      <c r="C1272" s="9"/>
      <c r="D1272" s="9"/>
      <c r="E1272" s="9"/>
      <c r="F1272" s="10" t="str">
        <f aca="false">IF($B1272="","",$C1272+$D1272-$E1272)</f>
        <v/>
      </c>
      <c r="G1272" s="10" t="str">
        <f aca="false">IF($B1272="","",IFERROR(INDEX(Drinks!$C$4:$C$53,MATCH($B1272,Drinks!$A$4:$A$53,0)),0))</f>
        <v/>
      </c>
      <c r="H1272" s="10" t="str">
        <f aca="false">IF($B1272="","",$D1272*$G1272)</f>
        <v/>
      </c>
      <c r="I1272" s="10" t="str">
        <f aca="false">IF($B1272="","",$F1272*$G1272)</f>
        <v/>
      </c>
      <c r="J1272" s="9"/>
      <c r="K1272" s="10" t="str">
        <f aca="false">IF($B1272="","",$E1272*IFERROR(INDEX(Drinks!$B$4:$B$53,MATCH($B1272,Drinks!$A$4:$A$53,0)),0))</f>
        <v/>
      </c>
      <c r="L1272" s="10" t="str">
        <f aca="false">IF($B1272="","",$J1272+$K1272)</f>
        <v/>
      </c>
      <c r="M1272" s="9"/>
      <c r="N1272" s="10" t="str">
        <f aca="false">IF($B1272="","",$L1272-$M1272)</f>
        <v/>
      </c>
      <c r="O1272" s="10" t="str">
        <f aca="false">IF($B1272="","",IFERROR(INDEX(Drinks!$E$4:$E$53,MATCH($B1272,Drinks!$A$4:$A$53,0)),0))</f>
        <v/>
      </c>
      <c r="P1272" s="10" t="str">
        <f aca="false">IF($B1272="","",$N1272*$O1272)</f>
        <v/>
      </c>
      <c r="Q1272" s="10" t="str">
        <f aca="false">IF($B1272="","",$N1272*IFERROR(INDEX(Drinks!$D$4:$D$53,MATCH($B1272,Drinks!$A$4:$A$53,0)),0))</f>
        <v/>
      </c>
      <c r="R1272" s="10" t="str">
        <f aca="false">IF($B1272="","",$P1272-$Q1272)</f>
        <v/>
      </c>
      <c r="S1272" s="23" t="str">
        <f aca="false">IF($B1272="","",IF(COUNTIFS($A$4:$A$2003,$A1272-1,$B$4:$B$2003,$B1272)=0,"first day",IF(SUMIFS($M$4:$M$2003,$A$4:$A$2003,$A1272-1,$B$4:$B$2003,$B1272)=$J1272,"OK","CHECK")))</f>
        <v/>
      </c>
      <c r="T1272" s="10" t="str">
        <f aca="false">IF($B1272="","",IFERROR(INDEX(Drinks!$D$4:$D$53,MATCH($B1272,Drinks!$A$4:$A$53,0)),0))</f>
        <v/>
      </c>
    </row>
    <row r="1273" customFormat="false" ht="15" hidden="false" customHeight="false" outlineLevel="0" collapsed="false">
      <c r="A1273" s="22"/>
      <c r="B1273" s="9"/>
      <c r="C1273" s="9"/>
      <c r="D1273" s="9"/>
      <c r="E1273" s="9"/>
      <c r="F1273" s="10" t="str">
        <f aca="false">IF($B1273="","",$C1273+$D1273-$E1273)</f>
        <v/>
      </c>
      <c r="G1273" s="10" t="str">
        <f aca="false">IF($B1273="","",IFERROR(INDEX(Drinks!$C$4:$C$53,MATCH($B1273,Drinks!$A$4:$A$53,0)),0))</f>
        <v/>
      </c>
      <c r="H1273" s="10" t="str">
        <f aca="false">IF($B1273="","",$D1273*$G1273)</f>
        <v/>
      </c>
      <c r="I1273" s="10" t="str">
        <f aca="false">IF($B1273="","",$F1273*$G1273)</f>
        <v/>
      </c>
      <c r="J1273" s="9"/>
      <c r="K1273" s="10" t="str">
        <f aca="false">IF($B1273="","",$E1273*IFERROR(INDEX(Drinks!$B$4:$B$53,MATCH($B1273,Drinks!$A$4:$A$53,0)),0))</f>
        <v/>
      </c>
      <c r="L1273" s="10" t="str">
        <f aca="false">IF($B1273="","",$J1273+$K1273)</f>
        <v/>
      </c>
      <c r="M1273" s="9"/>
      <c r="N1273" s="10" t="str">
        <f aca="false">IF($B1273="","",$L1273-$M1273)</f>
        <v/>
      </c>
      <c r="O1273" s="10" t="str">
        <f aca="false">IF($B1273="","",IFERROR(INDEX(Drinks!$E$4:$E$53,MATCH($B1273,Drinks!$A$4:$A$53,0)),0))</f>
        <v/>
      </c>
      <c r="P1273" s="10" t="str">
        <f aca="false">IF($B1273="","",$N1273*$O1273)</f>
        <v/>
      </c>
      <c r="Q1273" s="10" t="str">
        <f aca="false">IF($B1273="","",$N1273*IFERROR(INDEX(Drinks!$D$4:$D$53,MATCH($B1273,Drinks!$A$4:$A$53,0)),0))</f>
        <v/>
      </c>
      <c r="R1273" s="10" t="str">
        <f aca="false">IF($B1273="","",$P1273-$Q1273)</f>
        <v/>
      </c>
      <c r="S1273" s="23" t="str">
        <f aca="false">IF($B1273="","",IF(COUNTIFS($A$4:$A$2003,$A1273-1,$B$4:$B$2003,$B1273)=0,"first day",IF(SUMIFS($M$4:$M$2003,$A$4:$A$2003,$A1273-1,$B$4:$B$2003,$B1273)=$J1273,"OK","CHECK")))</f>
        <v/>
      </c>
      <c r="T1273" s="10" t="str">
        <f aca="false">IF($B1273="","",IFERROR(INDEX(Drinks!$D$4:$D$53,MATCH($B1273,Drinks!$A$4:$A$53,0)),0))</f>
        <v/>
      </c>
    </row>
    <row r="1274" customFormat="false" ht="15" hidden="false" customHeight="false" outlineLevel="0" collapsed="false">
      <c r="A1274" s="22"/>
      <c r="B1274" s="9"/>
      <c r="C1274" s="9"/>
      <c r="D1274" s="9"/>
      <c r="E1274" s="9"/>
      <c r="F1274" s="10" t="str">
        <f aca="false">IF($B1274="","",$C1274+$D1274-$E1274)</f>
        <v/>
      </c>
      <c r="G1274" s="10" t="str">
        <f aca="false">IF($B1274="","",IFERROR(INDEX(Drinks!$C$4:$C$53,MATCH($B1274,Drinks!$A$4:$A$53,0)),0))</f>
        <v/>
      </c>
      <c r="H1274" s="10" t="str">
        <f aca="false">IF($B1274="","",$D1274*$G1274)</f>
        <v/>
      </c>
      <c r="I1274" s="10" t="str">
        <f aca="false">IF($B1274="","",$F1274*$G1274)</f>
        <v/>
      </c>
      <c r="J1274" s="9"/>
      <c r="K1274" s="10" t="str">
        <f aca="false">IF($B1274="","",$E1274*IFERROR(INDEX(Drinks!$B$4:$B$53,MATCH($B1274,Drinks!$A$4:$A$53,0)),0))</f>
        <v/>
      </c>
      <c r="L1274" s="10" t="str">
        <f aca="false">IF($B1274="","",$J1274+$K1274)</f>
        <v/>
      </c>
      <c r="M1274" s="9"/>
      <c r="N1274" s="10" t="str">
        <f aca="false">IF($B1274="","",$L1274-$M1274)</f>
        <v/>
      </c>
      <c r="O1274" s="10" t="str">
        <f aca="false">IF($B1274="","",IFERROR(INDEX(Drinks!$E$4:$E$53,MATCH($B1274,Drinks!$A$4:$A$53,0)),0))</f>
        <v/>
      </c>
      <c r="P1274" s="10" t="str">
        <f aca="false">IF($B1274="","",$N1274*$O1274)</f>
        <v/>
      </c>
      <c r="Q1274" s="10" t="str">
        <f aca="false">IF($B1274="","",$N1274*IFERROR(INDEX(Drinks!$D$4:$D$53,MATCH($B1274,Drinks!$A$4:$A$53,0)),0))</f>
        <v/>
      </c>
      <c r="R1274" s="10" t="str">
        <f aca="false">IF($B1274="","",$P1274-$Q1274)</f>
        <v/>
      </c>
      <c r="S1274" s="23" t="str">
        <f aca="false">IF($B1274="","",IF(COUNTIFS($A$4:$A$2003,$A1274-1,$B$4:$B$2003,$B1274)=0,"first day",IF(SUMIFS($M$4:$M$2003,$A$4:$A$2003,$A1274-1,$B$4:$B$2003,$B1274)=$J1274,"OK","CHECK")))</f>
        <v/>
      </c>
      <c r="T1274" s="10" t="str">
        <f aca="false">IF($B1274="","",IFERROR(INDEX(Drinks!$D$4:$D$53,MATCH($B1274,Drinks!$A$4:$A$53,0)),0))</f>
        <v/>
      </c>
    </row>
    <row r="1275" customFormat="false" ht="15" hidden="false" customHeight="false" outlineLevel="0" collapsed="false">
      <c r="A1275" s="22"/>
      <c r="B1275" s="9"/>
      <c r="C1275" s="9"/>
      <c r="D1275" s="9"/>
      <c r="E1275" s="9"/>
      <c r="F1275" s="10" t="str">
        <f aca="false">IF($B1275="","",$C1275+$D1275-$E1275)</f>
        <v/>
      </c>
      <c r="G1275" s="10" t="str">
        <f aca="false">IF($B1275="","",IFERROR(INDEX(Drinks!$C$4:$C$53,MATCH($B1275,Drinks!$A$4:$A$53,0)),0))</f>
        <v/>
      </c>
      <c r="H1275" s="10" t="str">
        <f aca="false">IF($B1275="","",$D1275*$G1275)</f>
        <v/>
      </c>
      <c r="I1275" s="10" t="str">
        <f aca="false">IF($B1275="","",$F1275*$G1275)</f>
        <v/>
      </c>
      <c r="J1275" s="9"/>
      <c r="K1275" s="10" t="str">
        <f aca="false">IF($B1275="","",$E1275*IFERROR(INDEX(Drinks!$B$4:$B$53,MATCH($B1275,Drinks!$A$4:$A$53,0)),0))</f>
        <v/>
      </c>
      <c r="L1275" s="10" t="str">
        <f aca="false">IF($B1275="","",$J1275+$K1275)</f>
        <v/>
      </c>
      <c r="M1275" s="9"/>
      <c r="N1275" s="10" t="str">
        <f aca="false">IF($B1275="","",$L1275-$M1275)</f>
        <v/>
      </c>
      <c r="O1275" s="10" t="str">
        <f aca="false">IF($B1275="","",IFERROR(INDEX(Drinks!$E$4:$E$53,MATCH($B1275,Drinks!$A$4:$A$53,0)),0))</f>
        <v/>
      </c>
      <c r="P1275" s="10" t="str">
        <f aca="false">IF($B1275="","",$N1275*$O1275)</f>
        <v/>
      </c>
      <c r="Q1275" s="10" t="str">
        <f aca="false">IF($B1275="","",$N1275*IFERROR(INDEX(Drinks!$D$4:$D$53,MATCH($B1275,Drinks!$A$4:$A$53,0)),0))</f>
        <v/>
      </c>
      <c r="R1275" s="10" t="str">
        <f aca="false">IF($B1275="","",$P1275-$Q1275)</f>
        <v/>
      </c>
      <c r="S1275" s="23" t="str">
        <f aca="false">IF($B1275="","",IF(COUNTIFS($A$4:$A$2003,$A1275-1,$B$4:$B$2003,$B1275)=0,"first day",IF(SUMIFS($M$4:$M$2003,$A$4:$A$2003,$A1275-1,$B$4:$B$2003,$B1275)=$J1275,"OK","CHECK")))</f>
        <v/>
      </c>
      <c r="T1275" s="10" t="str">
        <f aca="false">IF($B1275="","",IFERROR(INDEX(Drinks!$D$4:$D$53,MATCH($B1275,Drinks!$A$4:$A$53,0)),0))</f>
        <v/>
      </c>
    </row>
    <row r="1276" customFormat="false" ht="15" hidden="false" customHeight="false" outlineLevel="0" collapsed="false">
      <c r="A1276" s="22"/>
      <c r="B1276" s="9"/>
      <c r="C1276" s="9"/>
      <c r="D1276" s="9"/>
      <c r="E1276" s="9"/>
      <c r="F1276" s="10" t="str">
        <f aca="false">IF($B1276="","",$C1276+$D1276-$E1276)</f>
        <v/>
      </c>
      <c r="G1276" s="10" t="str">
        <f aca="false">IF($B1276="","",IFERROR(INDEX(Drinks!$C$4:$C$53,MATCH($B1276,Drinks!$A$4:$A$53,0)),0))</f>
        <v/>
      </c>
      <c r="H1276" s="10" t="str">
        <f aca="false">IF($B1276="","",$D1276*$G1276)</f>
        <v/>
      </c>
      <c r="I1276" s="10" t="str">
        <f aca="false">IF($B1276="","",$F1276*$G1276)</f>
        <v/>
      </c>
      <c r="J1276" s="9"/>
      <c r="K1276" s="10" t="str">
        <f aca="false">IF($B1276="","",$E1276*IFERROR(INDEX(Drinks!$B$4:$B$53,MATCH($B1276,Drinks!$A$4:$A$53,0)),0))</f>
        <v/>
      </c>
      <c r="L1276" s="10" t="str">
        <f aca="false">IF($B1276="","",$J1276+$K1276)</f>
        <v/>
      </c>
      <c r="M1276" s="9"/>
      <c r="N1276" s="10" t="str">
        <f aca="false">IF($B1276="","",$L1276-$M1276)</f>
        <v/>
      </c>
      <c r="O1276" s="10" t="str">
        <f aca="false">IF($B1276="","",IFERROR(INDEX(Drinks!$E$4:$E$53,MATCH($B1276,Drinks!$A$4:$A$53,0)),0))</f>
        <v/>
      </c>
      <c r="P1276" s="10" t="str">
        <f aca="false">IF($B1276="","",$N1276*$O1276)</f>
        <v/>
      </c>
      <c r="Q1276" s="10" t="str">
        <f aca="false">IF($B1276="","",$N1276*IFERROR(INDEX(Drinks!$D$4:$D$53,MATCH($B1276,Drinks!$A$4:$A$53,0)),0))</f>
        <v/>
      </c>
      <c r="R1276" s="10" t="str">
        <f aca="false">IF($B1276="","",$P1276-$Q1276)</f>
        <v/>
      </c>
      <c r="S1276" s="23" t="str">
        <f aca="false">IF($B1276="","",IF(COUNTIFS($A$4:$A$2003,$A1276-1,$B$4:$B$2003,$B1276)=0,"first day",IF(SUMIFS($M$4:$M$2003,$A$4:$A$2003,$A1276-1,$B$4:$B$2003,$B1276)=$J1276,"OK","CHECK")))</f>
        <v/>
      </c>
      <c r="T1276" s="10" t="str">
        <f aca="false">IF($B1276="","",IFERROR(INDEX(Drinks!$D$4:$D$53,MATCH($B1276,Drinks!$A$4:$A$53,0)),0))</f>
        <v/>
      </c>
    </row>
    <row r="1277" customFormat="false" ht="15" hidden="false" customHeight="false" outlineLevel="0" collapsed="false">
      <c r="A1277" s="22"/>
      <c r="B1277" s="9"/>
      <c r="C1277" s="9"/>
      <c r="D1277" s="9"/>
      <c r="E1277" s="9"/>
      <c r="F1277" s="10" t="str">
        <f aca="false">IF($B1277="","",$C1277+$D1277-$E1277)</f>
        <v/>
      </c>
      <c r="G1277" s="10" t="str">
        <f aca="false">IF($B1277="","",IFERROR(INDEX(Drinks!$C$4:$C$53,MATCH($B1277,Drinks!$A$4:$A$53,0)),0))</f>
        <v/>
      </c>
      <c r="H1277" s="10" t="str">
        <f aca="false">IF($B1277="","",$D1277*$G1277)</f>
        <v/>
      </c>
      <c r="I1277" s="10" t="str">
        <f aca="false">IF($B1277="","",$F1277*$G1277)</f>
        <v/>
      </c>
      <c r="J1277" s="9"/>
      <c r="K1277" s="10" t="str">
        <f aca="false">IF($B1277="","",$E1277*IFERROR(INDEX(Drinks!$B$4:$B$53,MATCH($B1277,Drinks!$A$4:$A$53,0)),0))</f>
        <v/>
      </c>
      <c r="L1277" s="10" t="str">
        <f aca="false">IF($B1277="","",$J1277+$K1277)</f>
        <v/>
      </c>
      <c r="M1277" s="9"/>
      <c r="N1277" s="10" t="str">
        <f aca="false">IF($B1277="","",$L1277-$M1277)</f>
        <v/>
      </c>
      <c r="O1277" s="10" t="str">
        <f aca="false">IF($B1277="","",IFERROR(INDEX(Drinks!$E$4:$E$53,MATCH($B1277,Drinks!$A$4:$A$53,0)),0))</f>
        <v/>
      </c>
      <c r="P1277" s="10" t="str">
        <f aca="false">IF($B1277="","",$N1277*$O1277)</f>
        <v/>
      </c>
      <c r="Q1277" s="10" t="str">
        <f aca="false">IF($B1277="","",$N1277*IFERROR(INDEX(Drinks!$D$4:$D$53,MATCH($B1277,Drinks!$A$4:$A$53,0)),0))</f>
        <v/>
      </c>
      <c r="R1277" s="10" t="str">
        <f aca="false">IF($B1277="","",$P1277-$Q1277)</f>
        <v/>
      </c>
      <c r="S1277" s="23" t="str">
        <f aca="false">IF($B1277="","",IF(COUNTIFS($A$4:$A$2003,$A1277-1,$B$4:$B$2003,$B1277)=0,"first day",IF(SUMIFS($M$4:$M$2003,$A$4:$A$2003,$A1277-1,$B$4:$B$2003,$B1277)=$J1277,"OK","CHECK")))</f>
        <v/>
      </c>
      <c r="T1277" s="10" t="str">
        <f aca="false">IF($B1277="","",IFERROR(INDEX(Drinks!$D$4:$D$53,MATCH($B1277,Drinks!$A$4:$A$53,0)),0))</f>
        <v/>
      </c>
    </row>
    <row r="1278" customFormat="false" ht="15" hidden="false" customHeight="false" outlineLevel="0" collapsed="false">
      <c r="A1278" s="22"/>
      <c r="B1278" s="9"/>
      <c r="C1278" s="9"/>
      <c r="D1278" s="9"/>
      <c r="E1278" s="9"/>
      <c r="F1278" s="10" t="str">
        <f aca="false">IF($B1278="","",$C1278+$D1278-$E1278)</f>
        <v/>
      </c>
      <c r="G1278" s="10" t="str">
        <f aca="false">IF($B1278="","",IFERROR(INDEX(Drinks!$C$4:$C$53,MATCH($B1278,Drinks!$A$4:$A$53,0)),0))</f>
        <v/>
      </c>
      <c r="H1278" s="10" t="str">
        <f aca="false">IF($B1278="","",$D1278*$G1278)</f>
        <v/>
      </c>
      <c r="I1278" s="10" t="str">
        <f aca="false">IF($B1278="","",$F1278*$G1278)</f>
        <v/>
      </c>
      <c r="J1278" s="9"/>
      <c r="K1278" s="10" t="str">
        <f aca="false">IF($B1278="","",$E1278*IFERROR(INDEX(Drinks!$B$4:$B$53,MATCH($B1278,Drinks!$A$4:$A$53,0)),0))</f>
        <v/>
      </c>
      <c r="L1278" s="10" t="str">
        <f aca="false">IF($B1278="","",$J1278+$K1278)</f>
        <v/>
      </c>
      <c r="M1278" s="9"/>
      <c r="N1278" s="10" t="str">
        <f aca="false">IF($B1278="","",$L1278-$M1278)</f>
        <v/>
      </c>
      <c r="O1278" s="10" t="str">
        <f aca="false">IF($B1278="","",IFERROR(INDEX(Drinks!$E$4:$E$53,MATCH($B1278,Drinks!$A$4:$A$53,0)),0))</f>
        <v/>
      </c>
      <c r="P1278" s="10" t="str">
        <f aca="false">IF($B1278="","",$N1278*$O1278)</f>
        <v/>
      </c>
      <c r="Q1278" s="10" t="str">
        <f aca="false">IF($B1278="","",$N1278*IFERROR(INDEX(Drinks!$D$4:$D$53,MATCH($B1278,Drinks!$A$4:$A$53,0)),0))</f>
        <v/>
      </c>
      <c r="R1278" s="10" t="str">
        <f aca="false">IF($B1278="","",$P1278-$Q1278)</f>
        <v/>
      </c>
      <c r="S1278" s="23" t="str">
        <f aca="false">IF($B1278="","",IF(COUNTIFS($A$4:$A$2003,$A1278-1,$B$4:$B$2003,$B1278)=0,"first day",IF(SUMIFS($M$4:$M$2003,$A$4:$A$2003,$A1278-1,$B$4:$B$2003,$B1278)=$J1278,"OK","CHECK")))</f>
        <v/>
      </c>
      <c r="T1278" s="10" t="str">
        <f aca="false">IF($B1278="","",IFERROR(INDEX(Drinks!$D$4:$D$53,MATCH($B1278,Drinks!$A$4:$A$53,0)),0))</f>
        <v/>
      </c>
    </row>
    <row r="1279" customFormat="false" ht="15" hidden="false" customHeight="false" outlineLevel="0" collapsed="false">
      <c r="A1279" s="22"/>
      <c r="B1279" s="9"/>
      <c r="C1279" s="9"/>
      <c r="D1279" s="9"/>
      <c r="E1279" s="9"/>
      <c r="F1279" s="10" t="str">
        <f aca="false">IF($B1279="","",$C1279+$D1279-$E1279)</f>
        <v/>
      </c>
      <c r="G1279" s="10" t="str">
        <f aca="false">IF($B1279="","",IFERROR(INDEX(Drinks!$C$4:$C$53,MATCH($B1279,Drinks!$A$4:$A$53,0)),0))</f>
        <v/>
      </c>
      <c r="H1279" s="10" t="str">
        <f aca="false">IF($B1279="","",$D1279*$G1279)</f>
        <v/>
      </c>
      <c r="I1279" s="10" t="str">
        <f aca="false">IF($B1279="","",$F1279*$G1279)</f>
        <v/>
      </c>
      <c r="J1279" s="9"/>
      <c r="K1279" s="10" t="str">
        <f aca="false">IF($B1279="","",$E1279*IFERROR(INDEX(Drinks!$B$4:$B$53,MATCH($B1279,Drinks!$A$4:$A$53,0)),0))</f>
        <v/>
      </c>
      <c r="L1279" s="10" t="str">
        <f aca="false">IF($B1279="","",$J1279+$K1279)</f>
        <v/>
      </c>
      <c r="M1279" s="9"/>
      <c r="N1279" s="10" t="str">
        <f aca="false">IF($B1279="","",$L1279-$M1279)</f>
        <v/>
      </c>
      <c r="O1279" s="10" t="str">
        <f aca="false">IF($B1279="","",IFERROR(INDEX(Drinks!$E$4:$E$53,MATCH($B1279,Drinks!$A$4:$A$53,0)),0))</f>
        <v/>
      </c>
      <c r="P1279" s="10" t="str">
        <f aca="false">IF($B1279="","",$N1279*$O1279)</f>
        <v/>
      </c>
      <c r="Q1279" s="10" t="str">
        <f aca="false">IF($B1279="","",$N1279*IFERROR(INDEX(Drinks!$D$4:$D$53,MATCH($B1279,Drinks!$A$4:$A$53,0)),0))</f>
        <v/>
      </c>
      <c r="R1279" s="10" t="str">
        <f aca="false">IF($B1279="","",$P1279-$Q1279)</f>
        <v/>
      </c>
      <c r="S1279" s="23" t="str">
        <f aca="false">IF($B1279="","",IF(COUNTIFS($A$4:$A$2003,$A1279-1,$B$4:$B$2003,$B1279)=0,"first day",IF(SUMIFS($M$4:$M$2003,$A$4:$A$2003,$A1279-1,$B$4:$B$2003,$B1279)=$J1279,"OK","CHECK")))</f>
        <v/>
      </c>
      <c r="T1279" s="10" t="str">
        <f aca="false">IF($B1279="","",IFERROR(INDEX(Drinks!$D$4:$D$53,MATCH($B1279,Drinks!$A$4:$A$53,0)),0))</f>
        <v/>
      </c>
    </row>
    <row r="1280" customFormat="false" ht="15" hidden="false" customHeight="false" outlineLevel="0" collapsed="false">
      <c r="A1280" s="22"/>
      <c r="B1280" s="9"/>
      <c r="C1280" s="9"/>
      <c r="D1280" s="9"/>
      <c r="E1280" s="9"/>
      <c r="F1280" s="10" t="str">
        <f aca="false">IF($B1280="","",$C1280+$D1280-$E1280)</f>
        <v/>
      </c>
      <c r="G1280" s="10" t="str">
        <f aca="false">IF($B1280="","",IFERROR(INDEX(Drinks!$C$4:$C$53,MATCH($B1280,Drinks!$A$4:$A$53,0)),0))</f>
        <v/>
      </c>
      <c r="H1280" s="10" t="str">
        <f aca="false">IF($B1280="","",$D1280*$G1280)</f>
        <v/>
      </c>
      <c r="I1280" s="10" t="str">
        <f aca="false">IF($B1280="","",$F1280*$G1280)</f>
        <v/>
      </c>
      <c r="J1280" s="9"/>
      <c r="K1280" s="10" t="str">
        <f aca="false">IF($B1280="","",$E1280*IFERROR(INDEX(Drinks!$B$4:$B$53,MATCH($B1280,Drinks!$A$4:$A$53,0)),0))</f>
        <v/>
      </c>
      <c r="L1280" s="10" t="str">
        <f aca="false">IF($B1280="","",$J1280+$K1280)</f>
        <v/>
      </c>
      <c r="M1280" s="9"/>
      <c r="N1280" s="10" t="str">
        <f aca="false">IF($B1280="","",$L1280-$M1280)</f>
        <v/>
      </c>
      <c r="O1280" s="10" t="str">
        <f aca="false">IF($B1280="","",IFERROR(INDEX(Drinks!$E$4:$E$53,MATCH($B1280,Drinks!$A$4:$A$53,0)),0))</f>
        <v/>
      </c>
      <c r="P1280" s="10" t="str">
        <f aca="false">IF($B1280="","",$N1280*$O1280)</f>
        <v/>
      </c>
      <c r="Q1280" s="10" t="str">
        <f aca="false">IF($B1280="","",$N1280*IFERROR(INDEX(Drinks!$D$4:$D$53,MATCH($B1280,Drinks!$A$4:$A$53,0)),0))</f>
        <v/>
      </c>
      <c r="R1280" s="10" t="str">
        <f aca="false">IF($B1280="","",$P1280-$Q1280)</f>
        <v/>
      </c>
      <c r="S1280" s="23" t="str">
        <f aca="false">IF($B1280="","",IF(COUNTIFS($A$4:$A$2003,$A1280-1,$B$4:$B$2003,$B1280)=0,"first day",IF(SUMIFS($M$4:$M$2003,$A$4:$A$2003,$A1280-1,$B$4:$B$2003,$B1280)=$J1280,"OK","CHECK")))</f>
        <v/>
      </c>
      <c r="T1280" s="10" t="str">
        <f aca="false">IF($B1280="","",IFERROR(INDEX(Drinks!$D$4:$D$53,MATCH($B1280,Drinks!$A$4:$A$53,0)),0))</f>
        <v/>
      </c>
    </row>
    <row r="1281" customFormat="false" ht="15" hidden="false" customHeight="false" outlineLevel="0" collapsed="false">
      <c r="A1281" s="22"/>
      <c r="B1281" s="9"/>
      <c r="C1281" s="9"/>
      <c r="D1281" s="9"/>
      <c r="E1281" s="9"/>
      <c r="F1281" s="10" t="str">
        <f aca="false">IF($B1281="","",$C1281+$D1281-$E1281)</f>
        <v/>
      </c>
      <c r="G1281" s="10" t="str">
        <f aca="false">IF($B1281="","",IFERROR(INDEX(Drinks!$C$4:$C$53,MATCH($B1281,Drinks!$A$4:$A$53,0)),0))</f>
        <v/>
      </c>
      <c r="H1281" s="10" t="str">
        <f aca="false">IF($B1281="","",$D1281*$G1281)</f>
        <v/>
      </c>
      <c r="I1281" s="10" t="str">
        <f aca="false">IF($B1281="","",$F1281*$G1281)</f>
        <v/>
      </c>
      <c r="J1281" s="9"/>
      <c r="K1281" s="10" t="str">
        <f aca="false">IF($B1281="","",$E1281*IFERROR(INDEX(Drinks!$B$4:$B$53,MATCH($B1281,Drinks!$A$4:$A$53,0)),0))</f>
        <v/>
      </c>
      <c r="L1281" s="10" t="str">
        <f aca="false">IF($B1281="","",$J1281+$K1281)</f>
        <v/>
      </c>
      <c r="M1281" s="9"/>
      <c r="N1281" s="10" t="str">
        <f aca="false">IF($B1281="","",$L1281-$M1281)</f>
        <v/>
      </c>
      <c r="O1281" s="10" t="str">
        <f aca="false">IF($B1281="","",IFERROR(INDEX(Drinks!$E$4:$E$53,MATCH($B1281,Drinks!$A$4:$A$53,0)),0))</f>
        <v/>
      </c>
      <c r="P1281" s="10" t="str">
        <f aca="false">IF($B1281="","",$N1281*$O1281)</f>
        <v/>
      </c>
      <c r="Q1281" s="10" t="str">
        <f aca="false">IF($B1281="","",$N1281*IFERROR(INDEX(Drinks!$D$4:$D$53,MATCH($B1281,Drinks!$A$4:$A$53,0)),0))</f>
        <v/>
      </c>
      <c r="R1281" s="10" t="str">
        <f aca="false">IF($B1281="","",$P1281-$Q1281)</f>
        <v/>
      </c>
      <c r="S1281" s="23" t="str">
        <f aca="false">IF($B1281="","",IF(COUNTIFS($A$4:$A$2003,$A1281-1,$B$4:$B$2003,$B1281)=0,"first day",IF(SUMIFS($M$4:$M$2003,$A$4:$A$2003,$A1281-1,$B$4:$B$2003,$B1281)=$J1281,"OK","CHECK")))</f>
        <v/>
      </c>
      <c r="T1281" s="10" t="str">
        <f aca="false">IF($B1281="","",IFERROR(INDEX(Drinks!$D$4:$D$53,MATCH($B1281,Drinks!$A$4:$A$53,0)),0))</f>
        <v/>
      </c>
    </row>
    <row r="1282" customFormat="false" ht="15" hidden="false" customHeight="false" outlineLevel="0" collapsed="false">
      <c r="A1282" s="22"/>
      <c r="B1282" s="9"/>
      <c r="C1282" s="9"/>
      <c r="D1282" s="9"/>
      <c r="E1282" s="9"/>
      <c r="F1282" s="10" t="str">
        <f aca="false">IF($B1282="","",$C1282+$D1282-$E1282)</f>
        <v/>
      </c>
      <c r="G1282" s="10" t="str">
        <f aca="false">IF($B1282="","",IFERROR(INDEX(Drinks!$C$4:$C$53,MATCH($B1282,Drinks!$A$4:$A$53,0)),0))</f>
        <v/>
      </c>
      <c r="H1282" s="10" t="str">
        <f aca="false">IF($B1282="","",$D1282*$G1282)</f>
        <v/>
      </c>
      <c r="I1282" s="10" t="str">
        <f aca="false">IF($B1282="","",$F1282*$G1282)</f>
        <v/>
      </c>
      <c r="J1282" s="9"/>
      <c r="K1282" s="10" t="str">
        <f aca="false">IF($B1282="","",$E1282*IFERROR(INDEX(Drinks!$B$4:$B$53,MATCH($B1282,Drinks!$A$4:$A$53,0)),0))</f>
        <v/>
      </c>
      <c r="L1282" s="10" t="str">
        <f aca="false">IF($B1282="","",$J1282+$K1282)</f>
        <v/>
      </c>
      <c r="M1282" s="9"/>
      <c r="N1282" s="10" t="str">
        <f aca="false">IF($B1282="","",$L1282-$M1282)</f>
        <v/>
      </c>
      <c r="O1282" s="10" t="str">
        <f aca="false">IF($B1282="","",IFERROR(INDEX(Drinks!$E$4:$E$53,MATCH($B1282,Drinks!$A$4:$A$53,0)),0))</f>
        <v/>
      </c>
      <c r="P1282" s="10" t="str">
        <f aca="false">IF($B1282="","",$N1282*$O1282)</f>
        <v/>
      </c>
      <c r="Q1282" s="10" t="str">
        <f aca="false">IF($B1282="","",$N1282*IFERROR(INDEX(Drinks!$D$4:$D$53,MATCH($B1282,Drinks!$A$4:$A$53,0)),0))</f>
        <v/>
      </c>
      <c r="R1282" s="10" t="str">
        <f aca="false">IF($B1282="","",$P1282-$Q1282)</f>
        <v/>
      </c>
      <c r="S1282" s="23" t="str">
        <f aca="false">IF($B1282="","",IF(COUNTIFS($A$4:$A$2003,$A1282-1,$B$4:$B$2003,$B1282)=0,"first day",IF(SUMIFS($M$4:$M$2003,$A$4:$A$2003,$A1282-1,$B$4:$B$2003,$B1282)=$J1282,"OK","CHECK")))</f>
        <v/>
      </c>
      <c r="T1282" s="10" t="str">
        <f aca="false">IF($B1282="","",IFERROR(INDEX(Drinks!$D$4:$D$53,MATCH($B1282,Drinks!$A$4:$A$53,0)),0))</f>
        <v/>
      </c>
    </row>
    <row r="1283" customFormat="false" ht="15" hidden="false" customHeight="false" outlineLevel="0" collapsed="false">
      <c r="A1283" s="22"/>
      <c r="B1283" s="9"/>
      <c r="C1283" s="9"/>
      <c r="D1283" s="9"/>
      <c r="E1283" s="9"/>
      <c r="F1283" s="10" t="str">
        <f aca="false">IF($B1283="","",$C1283+$D1283-$E1283)</f>
        <v/>
      </c>
      <c r="G1283" s="10" t="str">
        <f aca="false">IF($B1283="","",IFERROR(INDEX(Drinks!$C$4:$C$53,MATCH($B1283,Drinks!$A$4:$A$53,0)),0))</f>
        <v/>
      </c>
      <c r="H1283" s="10" t="str">
        <f aca="false">IF($B1283="","",$D1283*$G1283)</f>
        <v/>
      </c>
      <c r="I1283" s="10" t="str">
        <f aca="false">IF($B1283="","",$F1283*$G1283)</f>
        <v/>
      </c>
      <c r="J1283" s="9"/>
      <c r="K1283" s="10" t="str">
        <f aca="false">IF($B1283="","",$E1283*IFERROR(INDEX(Drinks!$B$4:$B$53,MATCH($B1283,Drinks!$A$4:$A$53,0)),0))</f>
        <v/>
      </c>
      <c r="L1283" s="10" t="str">
        <f aca="false">IF($B1283="","",$J1283+$K1283)</f>
        <v/>
      </c>
      <c r="M1283" s="9"/>
      <c r="N1283" s="10" t="str">
        <f aca="false">IF($B1283="","",$L1283-$M1283)</f>
        <v/>
      </c>
      <c r="O1283" s="10" t="str">
        <f aca="false">IF($B1283="","",IFERROR(INDEX(Drinks!$E$4:$E$53,MATCH($B1283,Drinks!$A$4:$A$53,0)),0))</f>
        <v/>
      </c>
      <c r="P1283" s="10" t="str">
        <f aca="false">IF($B1283="","",$N1283*$O1283)</f>
        <v/>
      </c>
      <c r="Q1283" s="10" t="str">
        <f aca="false">IF($B1283="","",$N1283*IFERROR(INDEX(Drinks!$D$4:$D$53,MATCH($B1283,Drinks!$A$4:$A$53,0)),0))</f>
        <v/>
      </c>
      <c r="R1283" s="10" t="str">
        <f aca="false">IF($B1283="","",$P1283-$Q1283)</f>
        <v/>
      </c>
      <c r="S1283" s="23" t="str">
        <f aca="false">IF($B1283="","",IF(COUNTIFS($A$4:$A$2003,$A1283-1,$B$4:$B$2003,$B1283)=0,"first day",IF(SUMIFS($M$4:$M$2003,$A$4:$A$2003,$A1283-1,$B$4:$B$2003,$B1283)=$J1283,"OK","CHECK")))</f>
        <v/>
      </c>
      <c r="T1283" s="10" t="str">
        <f aca="false">IF($B1283="","",IFERROR(INDEX(Drinks!$D$4:$D$53,MATCH($B1283,Drinks!$A$4:$A$53,0)),0))</f>
        <v/>
      </c>
    </row>
    <row r="1284" customFormat="false" ht="15" hidden="false" customHeight="false" outlineLevel="0" collapsed="false">
      <c r="A1284" s="22"/>
      <c r="B1284" s="9"/>
      <c r="C1284" s="9"/>
      <c r="D1284" s="9"/>
      <c r="E1284" s="9"/>
      <c r="F1284" s="10" t="str">
        <f aca="false">IF($B1284="","",$C1284+$D1284-$E1284)</f>
        <v/>
      </c>
      <c r="G1284" s="10" t="str">
        <f aca="false">IF($B1284="","",IFERROR(INDEX(Drinks!$C$4:$C$53,MATCH($B1284,Drinks!$A$4:$A$53,0)),0))</f>
        <v/>
      </c>
      <c r="H1284" s="10" t="str">
        <f aca="false">IF($B1284="","",$D1284*$G1284)</f>
        <v/>
      </c>
      <c r="I1284" s="10" t="str">
        <f aca="false">IF($B1284="","",$F1284*$G1284)</f>
        <v/>
      </c>
      <c r="J1284" s="9"/>
      <c r="K1284" s="10" t="str">
        <f aca="false">IF($B1284="","",$E1284*IFERROR(INDEX(Drinks!$B$4:$B$53,MATCH($B1284,Drinks!$A$4:$A$53,0)),0))</f>
        <v/>
      </c>
      <c r="L1284" s="10" t="str">
        <f aca="false">IF($B1284="","",$J1284+$K1284)</f>
        <v/>
      </c>
      <c r="M1284" s="9"/>
      <c r="N1284" s="10" t="str">
        <f aca="false">IF($B1284="","",$L1284-$M1284)</f>
        <v/>
      </c>
      <c r="O1284" s="10" t="str">
        <f aca="false">IF($B1284="","",IFERROR(INDEX(Drinks!$E$4:$E$53,MATCH($B1284,Drinks!$A$4:$A$53,0)),0))</f>
        <v/>
      </c>
      <c r="P1284" s="10" t="str">
        <f aca="false">IF($B1284="","",$N1284*$O1284)</f>
        <v/>
      </c>
      <c r="Q1284" s="10" t="str">
        <f aca="false">IF($B1284="","",$N1284*IFERROR(INDEX(Drinks!$D$4:$D$53,MATCH($B1284,Drinks!$A$4:$A$53,0)),0))</f>
        <v/>
      </c>
      <c r="R1284" s="10" t="str">
        <f aca="false">IF($B1284="","",$P1284-$Q1284)</f>
        <v/>
      </c>
      <c r="S1284" s="23" t="str">
        <f aca="false">IF($B1284="","",IF(COUNTIFS($A$4:$A$2003,$A1284-1,$B$4:$B$2003,$B1284)=0,"first day",IF(SUMIFS($M$4:$M$2003,$A$4:$A$2003,$A1284-1,$B$4:$B$2003,$B1284)=$J1284,"OK","CHECK")))</f>
        <v/>
      </c>
      <c r="T1284" s="10" t="str">
        <f aca="false">IF($B1284="","",IFERROR(INDEX(Drinks!$D$4:$D$53,MATCH($B1284,Drinks!$A$4:$A$53,0)),0))</f>
        <v/>
      </c>
    </row>
    <row r="1285" customFormat="false" ht="15" hidden="false" customHeight="false" outlineLevel="0" collapsed="false">
      <c r="A1285" s="22"/>
      <c r="B1285" s="9"/>
      <c r="C1285" s="9"/>
      <c r="D1285" s="9"/>
      <c r="E1285" s="9"/>
      <c r="F1285" s="10" t="str">
        <f aca="false">IF($B1285="","",$C1285+$D1285-$E1285)</f>
        <v/>
      </c>
      <c r="G1285" s="10" t="str">
        <f aca="false">IF($B1285="","",IFERROR(INDEX(Drinks!$C$4:$C$53,MATCH($B1285,Drinks!$A$4:$A$53,0)),0))</f>
        <v/>
      </c>
      <c r="H1285" s="10" t="str">
        <f aca="false">IF($B1285="","",$D1285*$G1285)</f>
        <v/>
      </c>
      <c r="I1285" s="10" t="str">
        <f aca="false">IF($B1285="","",$F1285*$G1285)</f>
        <v/>
      </c>
      <c r="J1285" s="9"/>
      <c r="K1285" s="10" t="str">
        <f aca="false">IF($B1285="","",$E1285*IFERROR(INDEX(Drinks!$B$4:$B$53,MATCH($B1285,Drinks!$A$4:$A$53,0)),0))</f>
        <v/>
      </c>
      <c r="L1285" s="10" t="str">
        <f aca="false">IF($B1285="","",$J1285+$K1285)</f>
        <v/>
      </c>
      <c r="M1285" s="9"/>
      <c r="N1285" s="10" t="str">
        <f aca="false">IF($B1285="","",$L1285-$M1285)</f>
        <v/>
      </c>
      <c r="O1285" s="10" t="str">
        <f aca="false">IF($B1285="","",IFERROR(INDEX(Drinks!$E$4:$E$53,MATCH($B1285,Drinks!$A$4:$A$53,0)),0))</f>
        <v/>
      </c>
      <c r="P1285" s="10" t="str">
        <f aca="false">IF($B1285="","",$N1285*$O1285)</f>
        <v/>
      </c>
      <c r="Q1285" s="10" t="str">
        <f aca="false">IF($B1285="","",$N1285*IFERROR(INDEX(Drinks!$D$4:$D$53,MATCH($B1285,Drinks!$A$4:$A$53,0)),0))</f>
        <v/>
      </c>
      <c r="R1285" s="10" t="str">
        <f aca="false">IF($B1285="","",$P1285-$Q1285)</f>
        <v/>
      </c>
      <c r="S1285" s="23" t="str">
        <f aca="false">IF($B1285="","",IF(COUNTIFS($A$4:$A$2003,$A1285-1,$B$4:$B$2003,$B1285)=0,"first day",IF(SUMIFS($M$4:$M$2003,$A$4:$A$2003,$A1285-1,$B$4:$B$2003,$B1285)=$J1285,"OK","CHECK")))</f>
        <v/>
      </c>
      <c r="T1285" s="10" t="str">
        <f aca="false">IF($B1285="","",IFERROR(INDEX(Drinks!$D$4:$D$53,MATCH($B1285,Drinks!$A$4:$A$53,0)),0))</f>
        <v/>
      </c>
    </row>
    <row r="1286" customFormat="false" ht="15" hidden="false" customHeight="false" outlineLevel="0" collapsed="false">
      <c r="A1286" s="22"/>
      <c r="B1286" s="9"/>
      <c r="C1286" s="9"/>
      <c r="D1286" s="9"/>
      <c r="E1286" s="9"/>
      <c r="F1286" s="10" t="str">
        <f aca="false">IF($B1286="","",$C1286+$D1286-$E1286)</f>
        <v/>
      </c>
      <c r="G1286" s="10" t="str">
        <f aca="false">IF($B1286="","",IFERROR(INDEX(Drinks!$C$4:$C$53,MATCH($B1286,Drinks!$A$4:$A$53,0)),0))</f>
        <v/>
      </c>
      <c r="H1286" s="10" t="str">
        <f aca="false">IF($B1286="","",$D1286*$G1286)</f>
        <v/>
      </c>
      <c r="I1286" s="10" t="str">
        <f aca="false">IF($B1286="","",$F1286*$G1286)</f>
        <v/>
      </c>
      <c r="J1286" s="9"/>
      <c r="K1286" s="10" t="str">
        <f aca="false">IF($B1286="","",$E1286*IFERROR(INDEX(Drinks!$B$4:$B$53,MATCH($B1286,Drinks!$A$4:$A$53,0)),0))</f>
        <v/>
      </c>
      <c r="L1286" s="10" t="str">
        <f aca="false">IF($B1286="","",$J1286+$K1286)</f>
        <v/>
      </c>
      <c r="M1286" s="9"/>
      <c r="N1286" s="10" t="str">
        <f aca="false">IF($B1286="","",$L1286-$M1286)</f>
        <v/>
      </c>
      <c r="O1286" s="10" t="str">
        <f aca="false">IF($B1286="","",IFERROR(INDEX(Drinks!$E$4:$E$53,MATCH($B1286,Drinks!$A$4:$A$53,0)),0))</f>
        <v/>
      </c>
      <c r="P1286" s="10" t="str">
        <f aca="false">IF($B1286="","",$N1286*$O1286)</f>
        <v/>
      </c>
      <c r="Q1286" s="10" t="str">
        <f aca="false">IF($B1286="","",$N1286*IFERROR(INDEX(Drinks!$D$4:$D$53,MATCH($B1286,Drinks!$A$4:$A$53,0)),0))</f>
        <v/>
      </c>
      <c r="R1286" s="10" t="str">
        <f aca="false">IF($B1286="","",$P1286-$Q1286)</f>
        <v/>
      </c>
      <c r="S1286" s="23" t="str">
        <f aca="false">IF($B1286="","",IF(COUNTIFS($A$4:$A$2003,$A1286-1,$B$4:$B$2003,$B1286)=0,"first day",IF(SUMIFS($M$4:$M$2003,$A$4:$A$2003,$A1286-1,$B$4:$B$2003,$B1286)=$J1286,"OK","CHECK")))</f>
        <v/>
      </c>
      <c r="T1286" s="10" t="str">
        <f aca="false">IF($B1286="","",IFERROR(INDEX(Drinks!$D$4:$D$53,MATCH($B1286,Drinks!$A$4:$A$53,0)),0))</f>
        <v/>
      </c>
    </row>
    <row r="1287" customFormat="false" ht="15" hidden="false" customHeight="false" outlineLevel="0" collapsed="false">
      <c r="A1287" s="22"/>
      <c r="B1287" s="9"/>
      <c r="C1287" s="9"/>
      <c r="D1287" s="9"/>
      <c r="E1287" s="9"/>
      <c r="F1287" s="10" t="str">
        <f aca="false">IF($B1287="","",$C1287+$D1287-$E1287)</f>
        <v/>
      </c>
      <c r="G1287" s="10" t="str">
        <f aca="false">IF($B1287="","",IFERROR(INDEX(Drinks!$C$4:$C$53,MATCH($B1287,Drinks!$A$4:$A$53,0)),0))</f>
        <v/>
      </c>
      <c r="H1287" s="10" t="str">
        <f aca="false">IF($B1287="","",$D1287*$G1287)</f>
        <v/>
      </c>
      <c r="I1287" s="10" t="str">
        <f aca="false">IF($B1287="","",$F1287*$G1287)</f>
        <v/>
      </c>
      <c r="J1287" s="9"/>
      <c r="K1287" s="10" t="str">
        <f aca="false">IF($B1287="","",$E1287*IFERROR(INDEX(Drinks!$B$4:$B$53,MATCH($B1287,Drinks!$A$4:$A$53,0)),0))</f>
        <v/>
      </c>
      <c r="L1287" s="10" t="str">
        <f aca="false">IF($B1287="","",$J1287+$K1287)</f>
        <v/>
      </c>
      <c r="M1287" s="9"/>
      <c r="N1287" s="10" t="str">
        <f aca="false">IF($B1287="","",$L1287-$M1287)</f>
        <v/>
      </c>
      <c r="O1287" s="10" t="str">
        <f aca="false">IF($B1287="","",IFERROR(INDEX(Drinks!$E$4:$E$53,MATCH($B1287,Drinks!$A$4:$A$53,0)),0))</f>
        <v/>
      </c>
      <c r="P1287" s="10" t="str">
        <f aca="false">IF($B1287="","",$N1287*$O1287)</f>
        <v/>
      </c>
      <c r="Q1287" s="10" t="str">
        <f aca="false">IF($B1287="","",$N1287*IFERROR(INDEX(Drinks!$D$4:$D$53,MATCH($B1287,Drinks!$A$4:$A$53,0)),0))</f>
        <v/>
      </c>
      <c r="R1287" s="10" t="str">
        <f aca="false">IF($B1287="","",$P1287-$Q1287)</f>
        <v/>
      </c>
      <c r="S1287" s="23" t="str">
        <f aca="false">IF($B1287="","",IF(COUNTIFS($A$4:$A$2003,$A1287-1,$B$4:$B$2003,$B1287)=0,"first day",IF(SUMIFS($M$4:$M$2003,$A$4:$A$2003,$A1287-1,$B$4:$B$2003,$B1287)=$J1287,"OK","CHECK")))</f>
        <v/>
      </c>
      <c r="T1287" s="10" t="str">
        <f aca="false">IF($B1287="","",IFERROR(INDEX(Drinks!$D$4:$D$53,MATCH($B1287,Drinks!$A$4:$A$53,0)),0))</f>
        <v/>
      </c>
    </row>
    <row r="1288" customFormat="false" ht="15" hidden="false" customHeight="false" outlineLevel="0" collapsed="false">
      <c r="A1288" s="22"/>
      <c r="B1288" s="9"/>
      <c r="C1288" s="9"/>
      <c r="D1288" s="9"/>
      <c r="E1288" s="9"/>
      <c r="F1288" s="10" t="str">
        <f aca="false">IF($B1288="","",$C1288+$D1288-$E1288)</f>
        <v/>
      </c>
      <c r="G1288" s="10" t="str">
        <f aca="false">IF($B1288="","",IFERROR(INDEX(Drinks!$C$4:$C$53,MATCH($B1288,Drinks!$A$4:$A$53,0)),0))</f>
        <v/>
      </c>
      <c r="H1288" s="10" t="str">
        <f aca="false">IF($B1288="","",$D1288*$G1288)</f>
        <v/>
      </c>
      <c r="I1288" s="10" t="str">
        <f aca="false">IF($B1288="","",$F1288*$G1288)</f>
        <v/>
      </c>
      <c r="J1288" s="9"/>
      <c r="K1288" s="10" t="str">
        <f aca="false">IF($B1288="","",$E1288*IFERROR(INDEX(Drinks!$B$4:$B$53,MATCH($B1288,Drinks!$A$4:$A$53,0)),0))</f>
        <v/>
      </c>
      <c r="L1288" s="10" t="str">
        <f aca="false">IF($B1288="","",$J1288+$K1288)</f>
        <v/>
      </c>
      <c r="M1288" s="9"/>
      <c r="N1288" s="10" t="str">
        <f aca="false">IF($B1288="","",$L1288-$M1288)</f>
        <v/>
      </c>
      <c r="O1288" s="10" t="str">
        <f aca="false">IF($B1288="","",IFERROR(INDEX(Drinks!$E$4:$E$53,MATCH($B1288,Drinks!$A$4:$A$53,0)),0))</f>
        <v/>
      </c>
      <c r="P1288" s="10" t="str">
        <f aca="false">IF($B1288="","",$N1288*$O1288)</f>
        <v/>
      </c>
      <c r="Q1288" s="10" t="str">
        <f aca="false">IF($B1288="","",$N1288*IFERROR(INDEX(Drinks!$D$4:$D$53,MATCH($B1288,Drinks!$A$4:$A$53,0)),0))</f>
        <v/>
      </c>
      <c r="R1288" s="10" t="str">
        <f aca="false">IF($B1288="","",$P1288-$Q1288)</f>
        <v/>
      </c>
      <c r="S1288" s="23" t="str">
        <f aca="false">IF($B1288="","",IF(COUNTIFS($A$4:$A$2003,$A1288-1,$B$4:$B$2003,$B1288)=0,"first day",IF(SUMIFS($M$4:$M$2003,$A$4:$A$2003,$A1288-1,$B$4:$B$2003,$B1288)=$J1288,"OK","CHECK")))</f>
        <v/>
      </c>
      <c r="T1288" s="10" t="str">
        <f aca="false">IF($B1288="","",IFERROR(INDEX(Drinks!$D$4:$D$53,MATCH($B1288,Drinks!$A$4:$A$53,0)),0))</f>
        <v/>
      </c>
    </row>
    <row r="1289" customFormat="false" ht="15" hidden="false" customHeight="false" outlineLevel="0" collapsed="false">
      <c r="A1289" s="22"/>
      <c r="B1289" s="9"/>
      <c r="C1289" s="9"/>
      <c r="D1289" s="9"/>
      <c r="E1289" s="9"/>
      <c r="F1289" s="10" t="str">
        <f aca="false">IF($B1289="","",$C1289+$D1289-$E1289)</f>
        <v/>
      </c>
      <c r="G1289" s="10" t="str">
        <f aca="false">IF($B1289="","",IFERROR(INDEX(Drinks!$C$4:$C$53,MATCH($B1289,Drinks!$A$4:$A$53,0)),0))</f>
        <v/>
      </c>
      <c r="H1289" s="10" t="str">
        <f aca="false">IF($B1289="","",$D1289*$G1289)</f>
        <v/>
      </c>
      <c r="I1289" s="10" t="str">
        <f aca="false">IF($B1289="","",$F1289*$G1289)</f>
        <v/>
      </c>
      <c r="J1289" s="9"/>
      <c r="K1289" s="10" t="str">
        <f aca="false">IF($B1289="","",$E1289*IFERROR(INDEX(Drinks!$B$4:$B$53,MATCH($B1289,Drinks!$A$4:$A$53,0)),0))</f>
        <v/>
      </c>
      <c r="L1289" s="10" t="str">
        <f aca="false">IF($B1289="","",$J1289+$K1289)</f>
        <v/>
      </c>
      <c r="M1289" s="9"/>
      <c r="N1289" s="10" t="str">
        <f aca="false">IF($B1289="","",$L1289-$M1289)</f>
        <v/>
      </c>
      <c r="O1289" s="10" t="str">
        <f aca="false">IF($B1289="","",IFERROR(INDEX(Drinks!$E$4:$E$53,MATCH($B1289,Drinks!$A$4:$A$53,0)),0))</f>
        <v/>
      </c>
      <c r="P1289" s="10" t="str">
        <f aca="false">IF($B1289="","",$N1289*$O1289)</f>
        <v/>
      </c>
      <c r="Q1289" s="10" t="str">
        <f aca="false">IF($B1289="","",$N1289*IFERROR(INDEX(Drinks!$D$4:$D$53,MATCH($B1289,Drinks!$A$4:$A$53,0)),0))</f>
        <v/>
      </c>
      <c r="R1289" s="10" t="str">
        <f aca="false">IF($B1289="","",$P1289-$Q1289)</f>
        <v/>
      </c>
      <c r="S1289" s="23" t="str">
        <f aca="false">IF($B1289="","",IF(COUNTIFS($A$4:$A$2003,$A1289-1,$B$4:$B$2003,$B1289)=0,"first day",IF(SUMIFS($M$4:$M$2003,$A$4:$A$2003,$A1289-1,$B$4:$B$2003,$B1289)=$J1289,"OK","CHECK")))</f>
        <v/>
      </c>
      <c r="T1289" s="10" t="str">
        <f aca="false">IF($B1289="","",IFERROR(INDEX(Drinks!$D$4:$D$53,MATCH($B1289,Drinks!$A$4:$A$53,0)),0))</f>
        <v/>
      </c>
    </row>
    <row r="1290" customFormat="false" ht="15" hidden="false" customHeight="false" outlineLevel="0" collapsed="false">
      <c r="A1290" s="22"/>
      <c r="B1290" s="9"/>
      <c r="C1290" s="9"/>
      <c r="D1290" s="9"/>
      <c r="E1290" s="9"/>
      <c r="F1290" s="10" t="str">
        <f aca="false">IF($B1290="","",$C1290+$D1290-$E1290)</f>
        <v/>
      </c>
      <c r="G1290" s="10" t="str">
        <f aca="false">IF($B1290="","",IFERROR(INDEX(Drinks!$C$4:$C$53,MATCH($B1290,Drinks!$A$4:$A$53,0)),0))</f>
        <v/>
      </c>
      <c r="H1290" s="10" t="str">
        <f aca="false">IF($B1290="","",$D1290*$G1290)</f>
        <v/>
      </c>
      <c r="I1290" s="10" t="str">
        <f aca="false">IF($B1290="","",$F1290*$G1290)</f>
        <v/>
      </c>
      <c r="J1290" s="9"/>
      <c r="K1290" s="10" t="str">
        <f aca="false">IF($B1290="","",$E1290*IFERROR(INDEX(Drinks!$B$4:$B$53,MATCH($B1290,Drinks!$A$4:$A$53,0)),0))</f>
        <v/>
      </c>
      <c r="L1290" s="10" t="str">
        <f aca="false">IF($B1290="","",$J1290+$K1290)</f>
        <v/>
      </c>
      <c r="M1290" s="9"/>
      <c r="N1290" s="10" t="str">
        <f aca="false">IF($B1290="","",$L1290-$M1290)</f>
        <v/>
      </c>
      <c r="O1290" s="10" t="str">
        <f aca="false">IF($B1290="","",IFERROR(INDEX(Drinks!$E$4:$E$53,MATCH($B1290,Drinks!$A$4:$A$53,0)),0))</f>
        <v/>
      </c>
      <c r="P1290" s="10" t="str">
        <f aca="false">IF($B1290="","",$N1290*$O1290)</f>
        <v/>
      </c>
      <c r="Q1290" s="10" t="str">
        <f aca="false">IF($B1290="","",$N1290*IFERROR(INDEX(Drinks!$D$4:$D$53,MATCH($B1290,Drinks!$A$4:$A$53,0)),0))</f>
        <v/>
      </c>
      <c r="R1290" s="10" t="str">
        <f aca="false">IF($B1290="","",$P1290-$Q1290)</f>
        <v/>
      </c>
      <c r="S1290" s="23" t="str">
        <f aca="false">IF($B1290="","",IF(COUNTIFS($A$4:$A$2003,$A1290-1,$B$4:$B$2003,$B1290)=0,"first day",IF(SUMIFS($M$4:$M$2003,$A$4:$A$2003,$A1290-1,$B$4:$B$2003,$B1290)=$J1290,"OK","CHECK")))</f>
        <v/>
      </c>
      <c r="T1290" s="10" t="str">
        <f aca="false">IF($B1290="","",IFERROR(INDEX(Drinks!$D$4:$D$53,MATCH($B1290,Drinks!$A$4:$A$53,0)),0))</f>
        <v/>
      </c>
    </row>
    <row r="1291" customFormat="false" ht="15" hidden="false" customHeight="false" outlineLevel="0" collapsed="false">
      <c r="A1291" s="22"/>
      <c r="B1291" s="9"/>
      <c r="C1291" s="9"/>
      <c r="D1291" s="9"/>
      <c r="E1291" s="9"/>
      <c r="F1291" s="10" t="str">
        <f aca="false">IF($B1291="","",$C1291+$D1291-$E1291)</f>
        <v/>
      </c>
      <c r="G1291" s="10" t="str">
        <f aca="false">IF($B1291="","",IFERROR(INDEX(Drinks!$C$4:$C$53,MATCH($B1291,Drinks!$A$4:$A$53,0)),0))</f>
        <v/>
      </c>
      <c r="H1291" s="10" t="str">
        <f aca="false">IF($B1291="","",$D1291*$G1291)</f>
        <v/>
      </c>
      <c r="I1291" s="10" t="str">
        <f aca="false">IF($B1291="","",$F1291*$G1291)</f>
        <v/>
      </c>
      <c r="J1291" s="9"/>
      <c r="K1291" s="10" t="str">
        <f aca="false">IF($B1291="","",$E1291*IFERROR(INDEX(Drinks!$B$4:$B$53,MATCH($B1291,Drinks!$A$4:$A$53,0)),0))</f>
        <v/>
      </c>
      <c r="L1291" s="10" t="str">
        <f aca="false">IF($B1291="","",$J1291+$K1291)</f>
        <v/>
      </c>
      <c r="M1291" s="9"/>
      <c r="N1291" s="10" t="str">
        <f aca="false">IF($B1291="","",$L1291-$M1291)</f>
        <v/>
      </c>
      <c r="O1291" s="10" t="str">
        <f aca="false">IF($B1291="","",IFERROR(INDEX(Drinks!$E$4:$E$53,MATCH($B1291,Drinks!$A$4:$A$53,0)),0))</f>
        <v/>
      </c>
      <c r="P1291" s="10" t="str">
        <f aca="false">IF($B1291="","",$N1291*$O1291)</f>
        <v/>
      </c>
      <c r="Q1291" s="10" t="str">
        <f aca="false">IF($B1291="","",$N1291*IFERROR(INDEX(Drinks!$D$4:$D$53,MATCH($B1291,Drinks!$A$4:$A$53,0)),0))</f>
        <v/>
      </c>
      <c r="R1291" s="10" t="str">
        <f aca="false">IF($B1291="","",$P1291-$Q1291)</f>
        <v/>
      </c>
      <c r="S1291" s="23" t="str">
        <f aca="false">IF($B1291="","",IF(COUNTIFS($A$4:$A$2003,$A1291-1,$B$4:$B$2003,$B1291)=0,"first day",IF(SUMIFS($M$4:$M$2003,$A$4:$A$2003,$A1291-1,$B$4:$B$2003,$B1291)=$J1291,"OK","CHECK")))</f>
        <v/>
      </c>
      <c r="T1291" s="10" t="str">
        <f aca="false">IF($B1291="","",IFERROR(INDEX(Drinks!$D$4:$D$53,MATCH($B1291,Drinks!$A$4:$A$53,0)),0))</f>
        <v/>
      </c>
    </row>
    <row r="1292" customFormat="false" ht="15" hidden="false" customHeight="false" outlineLevel="0" collapsed="false">
      <c r="A1292" s="22"/>
      <c r="B1292" s="9"/>
      <c r="C1292" s="9"/>
      <c r="D1292" s="9"/>
      <c r="E1292" s="9"/>
      <c r="F1292" s="10" t="str">
        <f aca="false">IF($B1292="","",$C1292+$D1292-$E1292)</f>
        <v/>
      </c>
      <c r="G1292" s="10" t="str">
        <f aca="false">IF($B1292="","",IFERROR(INDEX(Drinks!$C$4:$C$53,MATCH($B1292,Drinks!$A$4:$A$53,0)),0))</f>
        <v/>
      </c>
      <c r="H1292" s="10" t="str">
        <f aca="false">IF($B1292="","",$D1292*$G1292)</f>
        <v/>
      </c>
      <c r="I1292" s="10" t="str">
        <f aca="false">IF($B1292="","",$F1292*$G1292)</f>
        <v/>
      </c>
      <c r="J1292" s="9"/>
      <c r="K1292" s="10" t="str">
        <f aca="false">IF($B1292="","",$E1292*IFERROR(INDEX(Drinks!$B$4:$B$53,MATCH($B1292,Drinks!$A$4:$A$53,0)),0))</f>
        <v/>
      </c>
      <c r="L1292" s="10" t="str">
        <f aca="false">IF($B1292="","",$J1292+$K1292)</f>
        <v/>
      </c>
      <c r="M1292" s="9"/>
      <c r="N1292" s="10" t="str">
        <f aca="false">IF($B1292="","",$L1292-$M1292)</f>
        <v/>
      </c>
      <c r="O1292" s="10" t="str">
        <f aca="false">IF($B1292="","",IFERROR(INDEX(Drinks!$E$4:$E$53,MATCH($B1292,Drinks!$A$4:$A$53,0)),0))</f>
        <v/>
      </c>
      <c r="P1292" s="10" t="str">
        <f aca="false">IF($B1292="","",$N1292*$O1292)</f>
        <v/>
      </c>
      <c r="Q1292" s="10" t="str">
        <f aca="false">IF($B1292="","",$N1292*IFERROR(INDEX(Drinks!$D$4:$D$53,MATCH($B1292,Drinks!$A$4:$A$53,0)),0))</f>
        <v/>
      </c>
      <c r="R1292" s="10" t="str">
        <f aca="false">IF($B1292="","",$P1292-$Q1292)</f>
        <v/>
      </c>
      <c r="S1292" s="23" t="str">
        <f aca="false">IF($B1292="","",IF(COUNTIFS($A$4:$A$2003,$A1292-1,$B$4:$B$2003,$B1292)=0,"first day",IF(SUMIFS($M$4:$M$2003,$A$4:$A$2003,$A1292-1,$B$4:$B$2003,$B1292)=$J1292,"OK","CHECK")))</f>
        <v/>
      </c>
      <c r="T1292" s="10" t="str">
        <f aca="false">IF($B1292="","",IFERROR(INDEX(Drinks!$D$4:$D$53,MATCH($B1292,Drinks!$A$4:$A$53,0)),0))</f>
        <v/>
      </c>
    </row>
    <row r="1293" customFormat="false" ht="15" hidden="false" customHeight="false" outlineLevel="0" collapsed="false">
      <c r="A1293" s="22"/>
      <c r="B1293" s="9"/>
      <c r="C1293" s="9"/>
      <c r="D1293" s="9"/>
      <c r="E1293" s="9"/>
      <c r="F1293" s="10" t="str">
        <f aca="false">IF($B1293="","",$C1293+$D1293-$E1293)</f>
        <v/>
      </c>
      <c r="G1293" s="10" t="str">
        <f aca="false">IF($B1293="","",IFERROR(INDEX(Drinks!$C$4:$C$53,MATCH($B1293,Drinks!$A$4:$A$53,0)),0))</f>
        <v/>
      </c>
      <c r="H1293" s="10" t="str">
        <f aca="false">IF($B1293="","",$D1293*$G1293)</f>
        <v/>
      </c>
      <c r="I1293" s="10" t="str">
        <f aca="false">IF($B1293="","",$F1293*$G1293)</f>
        <v/>
      </c>
      <c r="J1293" s="9"/>
      <c r="K1293" s="10" t="str">
        <f aca="false">IF($B1293="","",$E1293*IFERROR(INDEX(Drinks!$B$4:$B$53,MATCH($B1293,Drinks!$A$4:$A$53,0)),0))</f>
        <v/>
      </c>
      <c r="L1293" s="10" t="str">
        <f aca="false">IF($B1293="","",$J1293+$K1293)</f>
        <v/>
      </c>
      <c r="M1293" s="9"/>
      <c r="N1293" s="10" t="str">
        <f aca="false">IF($B1293="","",$L1293-$M1293)</f>
        <v/>
      </c>
      <c r="O1293" s="10" t="str">
        <f aca="false">IF($B1293="","",IFERROR(INDEX(Drinks!$E$4:$E$53,MATCH($B1293,Drinks!$A$4:$A$53,0)),0))</f>
        <v/>
      </c>
      <c r="P1293" s="10" t="str">
        <f aca="false">IF($B1293="","",$N1293*$O1293)</f>
        <v/>
      </c>
      <c r="Q1293" s="10" t="str">
        <f aca="false">IF($B1293="","",$N1293*IFERROR(INDEX(Drinks!$D$4:$D$53,MATCH($B1293,Drinks!$A$4:$A$53,0)),0))</f>
        <v/>
      </c>
      <c r="R1293" s="10" t="str">
        <f aca="false">IF($B1293="","",$P1293-$Q1293)</f>
        <v/>
      </c>
      <c r="S1293" s="23" t="str">
        <f aca="false">IF($B1293="","",IF(COUNTIFS($A$4:$A$2003,$A1293-1,$B$4:$B$2003,$B1293)=0,"first day",IF(SUMIFS($M$4:$M$2003,$A$4:$A$2003,$A1293-1,$B$4:$B$2003,$B1293)=$J1293,"OK","CHECK")))</f>
        <v/>
      </c>
      <c r="T1293" s="10" t="str">
        <f aca="false">IF($B1293="","",IFERROR(INDEX(Drinks!$D$4:$D$53,MATCH($B1293,Drinks!$A$4:$A$53,0)),0))</f>
        <v/>
      </c>
    </row>
    <row r="1294" customFormat="false" ht="15" hidden="false" customHeight="false" outlineLevel="0" collapsed="false">
      <c r="A1294" s="22"/>
      <c r="B1294" s="9"/>
      <c r="C1294" s="9"/>
      <c r="D1294" s="9"/>
      <c r="E1294" s="9"/>
      <c r="F1294" s="10" t="str">
        <f aca="false">IF($B1294="","",$C1294+$D1294-$E1294)</f>
        <v/>
      </c>
      <c r="G1294" s="10" t="str">
        <f aca="false">IF($B1294="","",IFERROR(INDEX(Drinks!$C$4:$C$53,MATCH($B1294,Drinks!$A$4:$A$53,0)),0))</f>
        <v/>
      </c>
      <c r="H1294" s="10" t="str">
        <f aca="false">IF($B1294="","",$D1294*$G1294)</f>
        <v/>
      </c>
      <c r="I1294" s="10" t="str">
        <f aca="false">IF($B1294="","",$F1294*$G1294)</f>
        <v/>
      </c>
      <c r="J1294" s="9"/>
      <c r="K1294" s="10" t="str">
        <f aca="false">IF($B1294="","",$E1294*IFERROR(INDEX(Drinks!$B$4:$B$53,MATCH($B1294,Drinks!$A$4:$A$53,0)),0))</f>
        <v/>
      </c>
      <c r="L1294" s="10" t="str">
        <f aca="false">IF($B1294="","",$J1294+$K1294)</f>
        <v/>
      </c>
      <c r="M1294" s="9"/>
      <c r="N1294" s="10" t="str">
        <f aca="false">IF($B1294="","",$L1294-$M1294)</f>
        <v/>
      </c>
      <c r="O1294" s="10" t="str">
        <f aca="false">IF($B1294="","",IFERROR(INDEX(Drinks!$E$4:$E$53,MATCH($B1294,Drinks!$A$4:$A$53,0)),0))</f>
        <v/>
      </c>
      <c r="P1294" s="10" t="str">
        <f aca="false">IF($B1294="","",$N1294*$O1294)</f>
        <v/>
      </c>
      <c r="Q1294" s="10" t="str">
        <f aca="false">IF($B1294="","",$N1294*IFERROR(INDEX(Drinks!$D$4:$D$53,MATCH($B1294,Drinks!$A$4:$A$53,0)),0))</f>
        <v/>
      </c>
      <c r="R1294" s="10" t="str">
        <f aca="false">IF($B1294="","",$P1294-$Q1294)</f>
        <v/>
      </c>
      <c r="S1294" s="23" t="str">
        <f aca="false">IF($B1294="","",IF(COUNTIFS($A$4:$A$2003,$A1294-1,$B$4:$B$2003,$B1294)=0,"first day",IF(SUMIFS($M$4:$M$2003,$A$4:$A$2003,$A1294-1,$B$4:$B$2003,$B1294)=$J1294,"OK","CHECK")))</f>
        <v/>
      </c>
      <c r="T1294" s="10" t="str">
        <f aca="false">IF($B1294="","",IFERROR(INDEX(Drinks!$D$4:$D$53,MATCH($B1294,Drinks!$A$4:$A$53,0)),0))</f>
        <v/>
      </c>
    </row>
    <row r="1295" customFormat="false" ht="15" hidden="false" customHeight="false" outlineLevel="0" collapsed="false">
      <c r="A1295" s="22"/>
      <c r="B1295" s="9"/>
      <c r="C1295" s="9"/>
      <c r="D1295" s="9"/>
      <c r="E1295" s="9"/>
      <c r="F1295" s="10" t="str">
        <f aca="false">IF($B1295="","",$C1295+$D1295-$E1295)</f>
        <v/>
      </c>
      <c r="G1295" s="10" t="str">
        <f aca="false">IF($B1295="","",IFERROR(INDEX(Drinks!$C$4:$C$53,MATCH($B1295,Drinks!$A$4:$A$53,0)),0))</f>
        <v/>
      </c>
      <c r="H1295" s="10" t="str">
        <f aca="false">IF($B1295="","",$D1295*$G1295)</f>
        <v/>
      </c>
      <c r="I1295" s="10" t="str">
        <f aca="false">IF($B1295="","",$F1295*$G1295)</f>
        <v/>
      </c>
      <c r="J1295" s="9"/>
      <c r="K1295" s="10" t="str">
        <f aca="false">IF($B1295="","",$E1295*IFERROR(INDEX(Drinks!$B$4:$B$53,MATCH($B1295,Drinks!$A$4:$A$53,0)),0))</f>
        <v/>
      </c>
      <c r="L1295" s="10" t="str">
        <f aca="false">IF($B1295="","",$J1295+$K1295)</f>
        <v/>
      </c>
      <c r="M1295" s="9"/>
      <c r="N1295" s="10" t="str">
        <f aca="false">IF($B1295="","",$L1295-$M1295)</f>
        <v/>
      </c>
      <c r="O1295" s="10" t="str">
        <f aca="false">IF($B1295="","",IFERROR(INDEX(Drinks!$E$4:$E$53,MATCH($B1295,Drinks!$A$4:$A$53,0)),0))</f>
        <v/>
      </c>
      <c r="P1295" s="10" t="str">
        <f aca="false">IF($B1295="","",$N1295*$O1295)</f>
        <v/>
      </c>
      <c r="Q1295" s="10" t="str">
        <f aca="false">IF($B1295="","",$N1295*IFERROR(INDEX(Drinks!$D$4:$D$53,MATCH($B1295,Drinks!$A$4:$A$53,0)),0))</f>
        <v/>
      </c>
      <c r="R1295" s="10" t="str">
        <f aca="false">IF($B1295="","",$P1295-$Q1295)</f>
        <v/>
      </c>
      <c r="S1295" s="23" t="str">
        <f aca="false">IF($B1295="","",IF(COUNTIFS($A$4:$A$2003,$A1295-1,$B$4:$B$2003,$B1295)=0,"first day",IF(SUMIFS($M$4:$M$2003,$A$4:$A$2003,$A1295-1,$B$4:$B$2003,$B1295)=$J1295,"OK","CHECK")))</f>
        <v/>
      </c>
      <c r="T1295" s="10" t="str">
        <f aca="false">IF($B1295="","",IFERROR(INDEX(Drinks!$D$4:$D$53,MATCH($B1295,Drinks!$A$4:$A$53,0)),0))</f>
        <v/>
      </c>
    </row>
    <row r="1296" customFormat="false" ht="15" hidden="false" customHeight="false" outlineLevel="0" collapsed="false">
      <c r="A1296" s="22"/>
      <c r="B1296" s="9"/>
      <c r="C1296" s="9"/>
      <c r="D1296" s="9"/>
      <c r="E1296" s="9"/>
      <c r="F1296" s="10" t="str">
        <f aca="false">IF($B1296="","",$C1296+$D1296-$E1296)</f>
        <v/>
      </c>
      <c r="G1296" s="10" t="str">
        <f aca="false">IF($B1296="","",IFERROR(INDEX(Drinks!$C$4:$C$53,MATCH($B1296,Drinks!$A$4:$A$53,0)),0))</f>
        <v/>
      </c>
      <c r="H1296" s="10" t="str">
        <f aca="false">IF($B1296="","",$D1296*$G1296)</f>
        <v/>
      </c>
      <c r="I1296" s="10" t="str">
        <f aca="false">IF($B1296="","",$F1296*$G1296)</f>
        <v/>
      </c>
      <c r="J1296" s="9"/>
      <c r="K1296" s="10" t="str">
        <f aca="false">IF($B1296="","",$E1296*IFERROR(INDEX(Drinks!$B$4:$B$53,MATCH($B1296,Drinks!$A$4:$A$53,0)),0))</f>
        <v/>
      </c>
      <c r="L1296" s="10" t="str">
        <f aca="false">IF($B1296="","",$J1296+$K1296)</f>
        <v/>
      </c>
      <c r="M1296" s="9"/>
      <c r="N1296" s="10" t="str">
        <f aca="false">IF($B1296="","",$L1296-$M1296)</f>
        <v/>
      </c>
      <c r="O1296" s="10" t="str">
        <f aca="false">IF($B1296="","",IFERROR(INDEX(Drinks!$E$4:$E$53,MATCH($B1296,Drinks!$A$4:$A$53,0)),0))</f>
        <v/>
      </c>
      <c r="P1296" s="10" t="str">
        <f aca="false">IF($B1296="","",$N1296*$O1296)</f>
        <v/>
      </c>
      <c r="Q1296" s="10" t="str">
        <f aca="false">IF($B1296="","",$N1296*IFERROR(INDEX(Drinks!$D$4:$D$53,MATCH($B1296,Drinks!$A$4:$A$53,0)),0))</f>
        <v/>
      </c>
      <c r="R1296" s="10" t="str">
        <f aca="false">IF($B1296="","",$P1296-$Q1296)</f>
        <v/>
      </c>
      <c r="S1296" s="23" t="str">
        <f aca="false">IF($B1296="","",IF(COUNTIFS($A$4:$A$2003,$A1296-1,$B$4:$B$2003,$B1296)=0,"first day",IF(SUMIFS($M$4:$M$2003,$A$4:$A$2003,$A1296-1,$B$4:$B$2003,$B1296)=$J1296,"OK","CHECK")))</f>
        <v/>
      </c>
      <c r="T1296" s="10" t="str">
        <f aca="false">IF($B1296="","",IFERROR(INDEX(Drinks!$D$4:$D$53,MATCH($B1296,Drinks!$A$4:$A$53,0)),0))</f>
        <v/>
      </c>
    </row>
    <row r="1297" customFormat="false" ht="15" hidden="false" customHeight="false" outlineLevel="0" collapsed="false">
      <c r="A1297" s="22"/>
      <c r="B1297" s="9"/>
      <c r="C1297" s="9"/>
      <c r="D1297" s="9"/>
      <c r="E1297" s="9"/>
      <c r="F1297" s="10" t="str">
        <f aca="false">IF($B1297="","",$C1297+$D1297-$E1297)</f>
        <v/>
      </c>
      <c r="G1297" s="10" t="str">
        <f aca="false">IF($B1297="","",IFERROR(INDEX(Drinks!$C$4:$C$53,MATCH($B1297,Drinks!$A$4:$A$53,0)),0))</f>
        <v/>
      </c>
      <c r="H1297" s="10" t="str">
        <f aca="false">IF($B1297="","",$D1297*$G1297)</f>
        <v/>
      </c>
      <c r="I1297" s="10" t="str">
        <f aca="false">IF($B1297="","",$F1297*$G1297)</f>
        <v/>
      </c>
      <c r="J1297" s="9"/>
      <c r="K1297" s="10" t="str">
        <f aca="false">IF($B1297="","",$E1297*IFERROR(INDEX(Drinks!$B$4:$B$53,MATCH($B1297,Drinks!$A$4:$A$53,0)),0))</f>
        <v/>
      </c>
      <c r="L1297" s="10" t="str">
        <f aca="false">IF($B1297="","",$J1297+$K1297)</f>
        <v/>
      </c>
      <c r="M1297" s="9"/>
      <c r="N1297" s="10" t="str">
        <f aca="false">IF($B1297="","",$L1297-$M1297)</f>
        <v/>
      </c>
      <c r="O1297" s="10" t="str">
        <f aca="false">IF($B1297="","",IFERROR(INDEX(Drinks!$E$4:$E$53,MATCH($B1297,Drinks!$A$4:$A$53,0)),0))</f>
        <v/>
      </c>
      <c r="P1297" s="10" t="str">
        <f aca="false">IF($B1297="","",$N1297*$O1297)</f>
        <v/>
      </c>
      <c r="Q1297" s="10" t="str">
        <f aca="false">IF($B1297="","",$N1297*IFERROR(INDEX(Drinks!$D$4:$D$53,MATCH($B1297,Drinks!$A$4:$A$53,0)),0))</f>
        <v/>
      </c>
      <c r="R1297" s="10" t="str">
        <f aca="false">IF($B1297="","",$P1297-$Q1297)</f>
        <v/>
      </c>
      <c r="S1297" s="23" t="str">
        <f aca="false">IF($B1297="","",IF(COUNTIFS($A$4:$A$2003,$A1297-1,$B$4:$B$2003,$B1297)=0,"first day",IF(SUMIFS($M$4:$M$2003,$A$4:$A$2003,$A1297-1,$B$4:$B$2003,$B1297)=$J1297,"OK","CHECK")))</f>
        <v/>
      </c>
      <c r="T1297" s="10" t="str">
        <f aca="false">IF($B1297="","",IFERROR(INDEX(Drinks!$D$4:$D$53,MATCH($B1297,Drinks!$A$4:$A$53,0)),0))</f>
        <v/>
      </c>
    </row>
    <row r="1298" customFormat="false" ht="15" hidden="false" customHeight="false" outlineLevel="0" collapsed="false">
      <c r="A1298" s="22"/>
      <c r="B1298" s="9"/>
      <c r="C1298" s="9"/>
      <c r="D1298" s="9"/>
      <c r="E1298" s="9"/>
      <c r="F1298" s="10" t="str">
        <f aca="false">IF($B1298="","",$C1298+$D1298-$E1298)</f>
        <v/>
      </c>
      <c r="G1298" s="10" t="str">
        <f aca="false">IF($B1298="","",IFERROR(INDEX(Drinks!$C$4:$C$53,MATCH($B1298,Drinks!$A$4:$A$53,0)),0))</f>
        <v/>
      </c>
      <c r="H1298" s="10" t="str">
        <f aca="false">IF($B1298="","",$D1298*$G1298)</f>
        <v/>
      </c>
      <c r="I1298" s="10" t="str">
        <f aca="false">IF($B1298="","",$F1298*$G1298)</f>
        <v/>
      </c>
      <c r="J1298" s="9"/>
      <c r="K1298" s="10" t="str">
        <f aca="false">IF($B1298="","",$E1298*IFERROR(INDEX(Drinks!$B$4:$B$53,MATCH($B1298,Drinks!$A$4:$A$53,0)),0))</f>
        <v/>
      </c>
      <c r="L1298" s="10" t="str">
        <f aca="false">IF($B1298="","",$J1298+$K1298)</f>
        <v/>
      </c>
      <c r="M1298" s="9"/>
      <c r="N1298" s="10" t="str">
        <f aca="false">IF($B1298="","",$L1298-$M1298)</f>
        <v/>
      </c>
      <c r="O1298" s="10" t="str">
        <f aca="false">IF($B1298="","",IFERROR(INDEX(Drinks!$E$4:$E$53,MATCH($B1298,Drinks!$A$4:$A$53,0)),0))</f>
        <v/>
      </c>
      <c r="P1298" s="10" t="str">
        <f aca="false">IF($B1298="","",$N1298*$O1298)</f>
        <v/>
      </c>
      <c r="Q1298" s="10" t="str">
        <f aca="false">IF($B1298="","",$N1298*IFERROR(INDEX(Drinks!$D$4:$D$53,MATCH($B1298,Drinks!$A$4:$A$53,0)),0))</f>
        <v/>
      </c>
      <c r="R1298" s="10" t="str">
        <f aca="false">IF($B1298="","",$P1298-$Q1298)</f>
        <v/>
      </c>
      <c r="S1298" s="23" t="str">
        <f aca="false">IF($B1298="","",IF(COUNTIFS($A$4:$A$2003,$A1298-1,$B$4:$B$2003,$B1298)=0,"first day",IF(SUMIFS($M$4:$M$2003,$A$4:$A$2003,$A1298-1,$B$4:$B$2003,$B1298)=$J1298,"OK","CHECK")))</f>
        <v/>
      </c>
      <c r="T1298" s="10" t="str">
        <f aca="false">IF($B1298="","",IFERROR(INDEX(Drinks!$D$4:$D$53,MATCH($B1298,Drinks!$A$4:$A$53,0)),0))</f>
        <v/>
      </c>
    </row>
    <row r="1299" customFormat="false" ht="15" hidden="false" customHeight="false" outlineLevel="0" collapsed="false">
      <c r="A1299" s="22"/>
      <c r="B1299" s="9"/>
      <c r="C1299" s="9"/>
      <c r="D1299" s="9"/>
      <c r="E1299" s="9"/>
      <c r="F1299" s="10" t="str">
        <f aca="false">IF($B1299="","",$C1299+$D1299-$E1299)</f>
        <v/>
      </c>
      <c r="G1299" s="10" t="str">
        <f aca="false">IF($B1299="","",IFERROR(INDEX(Drinks!$C$4:$C$53,MATCH($B1299,Drinks!$A$4:$A$53,0)),0))</f>
        <v/>
      </c>
      <c r="H1299" s="10" t="str">
        <f aca="false">IF($B1299="","",$D1299*$G1299)</f>
        <v/>
      </c>
      <c r="I1299" s="10" t="str">
        <f aca="false">IF($B1299="","",$F1299*$G1299)</f>
        <v/>
      </c>
      <c r="J1299" s="9"/>
      <c r="K1299" s="10" t="str">
        <f aca="false">IF($B1299="","",$E1299*IFERROR(INDEX(Drinks!$B$4:$B$53,MATCH($B1299,Drinks!$A$4:$A$53,0)),0))</f>
        <v/>
      </c>
      <c r="L1299" s="10" t="str">
        <f aca="false">IF($B1299="","",$J1299+$K1299)</f>
        <v/>
      </c>
      <c r="M1299" s="9"/>
      <c r="N1299" s="10" t="str">
        <f aca="false">IF($B1299="","",$L1299-$M1299)</f>
        <v/>
      </c>
      <c r="O1299" s="10" t="str">
        <f aca="false">IF($B1299="","",IFERROR(INDEX(Drinks!$E$4:$E$53,MATCH($B1299,Drinks!$A$4:$A$53,0)),0))</f>
        <v/>
      </c>
      <c r="P1299" s="10" t="str">
        <f aca="false">IF($B1299="","",$N1299*$O1299)</f>
        <v/>
      </c>
      <c r="Q1299" s="10" t="str">
        <f aca="false">IF($B1299="","",$N1299*IFERROR(INDEX(Drinks!$D$4:$D$53,MATCH($B1299,Drinks!$A$4:$A$53,0)),0))</f>
        <v/>
      </c>
      <c r="R1299" s="10" t="str">
        <f aca="false">IF($B1299="","",$P1299-$Q1299)</f>
        <v/>
      </c>
      <c r="S1299" s="23" t="str">
        <f aca="false">IF($B1299="","",IF(COUNTIFS($A$4:$A$2003,$A1299-1,$B$4:$B$2003,$B1299)=0,"first day",IF(SUMIFS($M$4:$M$2003,$A$4:$A$2003,$A1299-1,$B$4:$B$2003,$B1299)=$J1299,"OK","CHECK")))</f>
        <v/>
      </c>
      <c r="T1299" s="10" t="str">
        <f aca="false">IF($B1299="","",IFERROR(INDEX(Drinks!$D$4:$D$53,MATCH($B1299,Drinks!$A$4:$A$53,0)),0))</f>
        <v/>
      </c>
    </row>
    <row r="1300" customFormat="false" ht="15" hidden="false" customHeight="false" outlineLevel="0" collapsed="false">
      <c r="A1300" s="22"/>
      <c r="B1300" s="9"/>
      <c r="C1300" s="9"/>
      <c r="D1300" s="9"/>
      <c r="E1300" s="9"/>
      <c r="F1300" s="10" t="str">
        <f aca="false">IF($B1300="","",$C1300+$D1300-$E1300)</f>
        <v/>
      </c>
      <c r="G1300" s="10" t="str">
        <f aca="false">IF($B1300="","",IFERROR(INDEX(Drinks!$C$4:$C$53,MATCH($B1300,Drinks!$A$4:$A$53,0)),0))</f>
        <v/>
      </c>
      <c r="H1300" s="10" t="str">
        <f aca="false">IF($B1300="","",$D1300*$G1300)</f>
        <v/>
      </c>
      <c r="I1300" s="10" t="str">
        <f aca="false">IF($B1300="","",$F1300*$G1300)</f>
        <v/>
      </c>
      <c r="J1300" s="9"/>
      <c r="K1300" s="10" t="str">
        <f aca="false">IF($B1300="","",$E1300*IFERROR(INDEX(Drinks!$B$4:$B$53,MATCH($B1300,Drinks!$A$4:$A$53,0)),0))</f>
        <v/>
      </c>
      <c r="L1300" s="10" t="str">
        <f aca="false">IF($B1300="","",$J1300+$K1300)</f>
        <v/>
      </c>
      <c r="M1300" s="9"/>
      <c r="N1300" s="10" t="str">
        <f aca="false">IF($B1300="","",$L1300-$M1300)</f>
        <v/>
      </c>
      <c r="O1300" s="10" t="str">
        <f aca="false">IF($B1300="","",IFERROR(INDEX(Drinks!$E$4:$E$53,MATCH($B1300,Drinks!$A$4:$A$53,0)),0))</f>
        <v/>
      </c>
      <c r="P1300" s="10" t="str">
        <f aca="false">IF($B1300="","",$N1300*$O1300)</f>
        <v/>
      </c>
      <c r="Q1300" s="10" t="str">
        <f aca="false">IF($B1300="","",$N1300*IFERROR(INDEX(Drinks!$D$4:$D$53,MATCH($B1300,Drinks!$A$4:$A$53,0)),0))</f>
        <v/>
      </c>
      <c r="R1300" s="10" t="str">
        <f aca="false">IF($B1300="","",$P1300-$Q1300)</f>
        <v/>
      </c>
      <c r="S1300" s="23" t="str">
        <f aca="false">IF($B1300="","",IF(COUNTIFS($A$4:$A$2003,$A1300-1,$B$4:$B$2003,$B1300)=0,"first day",IF(SUMIFS($M$4:$M$2003,$A$4:$A$2003,$A1300-1,$B$4:$B$2003,$B1300)=$J1300,"OK","CHECK")))</f>
        <v/>
      </c>
      <c r="T1300" s="10" t="str">
        <f aca="false">IF($B1300="","",IFERROR(INDEX(Drinks!$D$4:$D$53,MATCH($B1300,Drinks!$A$4:$A$53,0)),0))</f>
        <v/>
      </c>
    </row>
    <row r="1301" customFormat="false" ht="15" hidden="false" customHeight="false" outlineLevel="0" collapsed="false">
      <c r="A1301" s="22"/>
      <c r="B1301" s="9"/>
      <c r="C1301" s="9"/>
      <c r="D1301" s="9"/>
      <c r="E1301" s="9"/>
      <c r="F1301" s="10" t="str">
        <f aca="false">IF($B1301="","",$C1301+$D1301-$E1301)</f>
        <v/>
      </c>
      <c r="G1301" s="10" t="str">
        <f aca="false">IF($B1301="","",IFERROR(INDEX(Drinks!$C$4:$C$53,MATCH($B1301,Drinks!$A$4:$A$53,0)),0))</f>
        <v/>
      </c>
      <c r="H1301" s="10" t="str">
        <f aca="false">IF($B1301="","",$D1301*$G1301)</f>
        <v/>
      </c>
      <c r="I1301" s="10" t="str">
        <f aca="false">IF($B1301="","",$F1301*$G1301)</f>
        <v/>
      </c>
      <c r="J1301" s="9"/>
      <c r="K1301" s="10" t="str">
        <f aca="false">IF($B1301="","",$E1301*IFERROR(INDEX(Drinks!$B$4:$B$53,MATCH($B1301,Drinks!$A$4:$A$53,0)),0))</f>
        <v/>
      </c>
      <c r="L1301" s="10" t="str">
        <f aca="false">IF($B1301="","",$J1301+$K1301)</f>
        <v/>
      </c>
      <c r="M1301" s="9"/>
      <c r="N1301" s="10" t="str">
        <f aca="false">IF($B1301="","",$L1301-$M1301)</f>
        <v/>
      </c>
      <c r="O1301" s="10" t="str">
        <f aca="false">IF($B1301="","",IFERROR(INDEX(Drinks!$E$4:$E$53,MATCH($B1301,Drinks!$A$4:$A$53,0)),0))</f>
        <v/>
      </c>
      <c r="P1301" s="10" t="str">
        <f aca="false">IF($B1301="","",$N1301*$O1301)</f>
        <v/>
      </c>
      <c r="Q1301" s="10" t="str">
        <f aca="false">IF($B1301="","",$N1301*IFERROR(INDEX(Drinks!$D$4:$D$53,MATCH($B1301,Drinks!$A$4:$A$53,0)),0))</f>
        <v/>
      </c>
      <c r="R1301" s="10" t="str">
        <f aca="false">IF($B1301="","",$P1301-$Q1301)</f>
        <v/>
      </c>
      <c r="S1301" s="23" t="str">
        <f aca="false">IF($B1301="","",IF(COUNTIFS($A$4:$A$2003,$A1301-1,$B$4:$B$2003,$B1301)=0,"first day",IF(SUMIFS($M$4:$M$2003,$A$4:$A$2003,$A1301-1,$B$4:$B$2003,$B1301)=$J1301,"OK","CHECK")))</f>
        <v/>
      </c>
      <c r="T1301" s="10" t="str">
        <f aca="false">IF($B1301="","",IFERROR(INDEX(Drinks!$D$4:$D$53,MATCH($B1301,Drinks!$A$4:$A$53,0)),0))</f>
        <v/>
      </c>
    </row>
    <row r="1302" customFormat="false" ht="15" hidden="false" customHeight="false" outlineLevel="0" collapsed="false">
      <c r="A1302" s="22"/>
      <c r="B1302" s="9"/>
      <c r="C1302" s="9"/>
      <c r="D1302" s="9"/>
      <c r="E1302" s="9"/>
      <c r="F1302" s="10" t="str">
        <f aca="false">IF($B1302="","",$C1302+$D1302-$E1302)</f>
        <v/>
      </c>
      <c r="G1302" s="10" t="str">
        <f aca="false">IF($B1302="","",IFERROR(INDEX(Drinks!$C$4:$C$53,MATCH($B1302,Drinks!$A$4:$A$53,0)),0))</f>
        <v/>
      </c>
      <c r="H1302" s="10" t="str">
        <f aca="false">IF($B1302="","",$D1302*$G1302)</f>
        <v/>
      </c>
      <c r="I1302" s="10" t="str">
        <f aca="false">IF($B1302="","",$F1302*$G1302)</f>
        <v/>
      </c>
      <c r="J1302" s="9"/>
      <c r="K1302" s="10" t="str">
        <f aca="false">IF($B1302="","",$E1302*IFERROR(INDEX(Drinks!$B$4:$B$53,MATCH($B1302,Drinks!$A$4:$A$53,0)),0))</f>
        <v/>
      </c>
      <c r="L1302" s="10" t="str">
        <f aca="false">IF($B1302="","",$J1302+$K1302)</f>
        <v/>
      </c>
      <c r="M1302" s="9"/>
      <c r="N1302" s="10" t="str">
        <f aca="false">IF($B1302="","",$L1302-$M1302)</f>
        <v/>
      </c>
      <c r="O1302" s="10" t="str">
        <f aca="false">IF($B1302="","",IFERROR(INDEX(Drinks!$E$4:$E$53,MATCH($B1302,Drinks!$A$4:$A$53,0)),0))</f>
        <v/>
      </c>
      <c r="P1302" s="10" t="str">
        <f aca="false">IF($B1302="","",$N1302*$O1302)</f>
        <v/>
      </c>
      <c r="Q1302" s="10" t="str">
        <f aca="false">IF($B1302="","",$N1302*IFERROR(INDEX(Drinks!$D$4:$D$53,MATCH($B1302,Drinks!$A$4:$A$53,0)),0))</f>
        <v/>
      </c>
      <c r="R1302" s="10" t="str">
        <f aca="false">IF($B1302="","",$P1302-$Q1302)</f>
        <v/>
      </c>
      <c r="S1302" s="23" t="str">
        <f aca="false">IF($B1302="","",IF(COUNTIFS($A$4:$A$2003,$A1302-1,$B$4:$B$2003,$B1302)=0,"first day",IF(SUMIFS($M$4:$M$2003,$A$4:$A$2003,$A1302-1,$B$4:$B$2003,$B1302)=$J1302,"OK","CHECK")))</f>
        <v/>
      </c>
      <c r="T1302" s="10" t="str">
        <f aca="false">IF($B1302="","",IFERROR(INDEX(Drinks!$D$4:$D$53,MATCH($B1302,Drinks!$A$4:$A$53,0)),0))</f>
        <v/>
      </c>
    </row>
    <row r="1303" customFormat="false" ht="15" hidden="false" customHeight="false" outlineLevel="0" collapsed="false">
      <c r="A1303" s="22"/>
      <c r="B1303" s="9"/>
      <c r="C1303" s="9"/>
      <c r="D1303" s="9"/>
      <c r="E1303" s="9"/>
      <c r="F1303" s="10" t="str">
        <f aca="false">IF($B1303="","",$C1303+$D1303-$E1303)</f>
        <v/>
      </c>
      <c r="G1303" s="10" t="str">
        <f aca="false">IF($B1303="","",IFERROR(INDEX(Drinks!$C$4:$C$53,MATCH($B1303,Drinks!$A$4:$A$53,0)),0))</f>
        <v/>
      </c>
      <c r="H1303" s="10" t="str">
        <f aca="false">IF($B1303="","",$D1303*$G1303)</f>
        <v/>
      </c>
      <c r="I1303" s="10" t="str">
        <f aca="false">IF($B1303="","",$F1303*$G1303)</f>
        <v/>
      </c>
      <c r="J1303" s="9"/>
      <c r="K1303" s="10" t="str">
        <f aca="false">IF($B1303="","",$E1303*IFERROR(INDEX(Drinks!$B$4:$B$53,MATCH($B1303,Drinks!$A$4:$A$53,0)),0))</f>
        <v/>
      </c>
      <c r="L1303" s="10" t="str">
        <f aca="false">IF($B1303="","",$J1303+$K1303)</f>
        <v/>
      </c>
      <c r="M1303" s="9"/>
      <c r="N1303" s="10" t="str">
        <f aca="false">IF($B1303="","",$L1303-$M1303)</f>
        <v/>
      </c>
      <c r="O1303" s="10" t="str">
        <f aca="false">IF($B1303="","",IFERROR(INDEX(Drinks!$E$4:$E$53,MATCH($B1303,Drinks!$A$4:$A$53,0)),0))</f>
        <v/>
      </c>
      <c r="P1303" s="10" t="str">
        <f aca="false">IF($B1303="","",$N1303*$O1303)</f>
        <v/>
      </c>
      <c r="Q1303" s="10" t="str">
        <f aca="false">IF($B1303="","",$N1303*IFERROR(INDEX(Drinks!$D$4:$D$53,MATCH($B1303,Drinks!$A$4:$A$53,0)),0))</f>
        <v/>
      </c>
      <c r="R1303" s="10" t="str">
        <f aca="false">IF($B1303="","",$P1303-$Q1303)</f>
        <v/>
      </c>
      <c r="S1303" s="23" t="str">
        <f aca="false">IF($B1303="","",IF(COUNTIFS($A$4:$A$2003,$A1303-1,$B$4:$B$2003,$B1303)=0,"first day",IF(SUMIFS($M$4:$M$2003,$A$4:$A$2003,$A1303-1,$B$4:$B$2003,$B1303)=$J1303,"OK","CHECK")))</f>
        <v/>
      </c>
      <c r="T1303" s="10" t="str">
        <f aca="false">IF($B1303="","",IFERROR(INDEX(Drinks!$D$4:$D$53,MATCH($B1303,Drinks!$A$4:$A$53,0)),0))</f>
        <v/>
      </c>
    </row>
    <row r="1304" customFormat="false" ht="15" hidden="false" customHeight="false" outlineLevel="0" collapsed="false">
      <c r="A1304" s="22"/>
      <c r="B1304" s="9"/>
      <c r="C1304" s="9"/>
      <c r="D1304" s="9"/>
      <c r="E1304" s="9"/>
      <c r="F1304" s="10" t="str">
        <f aca="false">IF($B1304="","",$C1304+$D1304-$E1304)</f>
        <v/>
      </c>
      <c r="G1304" s="10" t="str">
        <f aca="false">IF($B1304="","",IFERROR(INDEX(Drinks!$C$4:$C$53,MATCH($B1304,Drinks!$A$4:$A$53,0)),0))</f>
        <v/>
      </c>
      <c r="H1304" s="10" t="str">
        <f aca="false">IF($B1304="","",$D1304*$G1304)</f>
        <v/>
      </c>
      <c r="I1304" s="10" t="str">
        <f aca="false">IF($B1304="","",$F1304*$G1304)</f>
        <v/>
      </c>
      <c r="J1304" s="9"/>
      <c r="K1304" s="10" t="str">
        <f aca="false">IF($B1304="","",$E1304*IFERROR(INDEX(Drinks!$B$4:$B$53,MATCH($B1304,Drinks!$A$4:$A$53,0)),0))</f>
        <v/>
      </c>
      <c r="L1304" s="10" t="str">
        <f aca="false">IF($B1304="","",$J1304+$K1304)</f>
        <v/>
      </c>
      <c r="M1304" s="9"/>
      <c r="N1304" s="10" t="str">
        <f aca="false">IF($B1304="","",$L1304-$M1304)</f>
        <v/>
      </c>
      <c r="O1304" s="10" t="str">
        <f aca="false">IF($B1304="","",IFERROR(INDEX(Drinks!$E$4:$E$53,MATCH($B1304,Drinks!$A$4:$A$53,0)),0))</f>
        <v/>
      </c>
      <c r="P1304" s="10" t="str">
        <f aca="false">IF($B1304="","",$N1304*$O1304)</f>
        <v/>
      </c>
      <c r="Q1304" s="10" t="str">
        <f aca="false">IF($B1304="","",$N1304*IFERROR(INDEX(Drinks!$D$4:$D$53,MATCH($B1304,Drinks!$A$4:$A$53,0)),0))</f>
        <v/>
      </c>
      <c r="R1304" s="10" t="str">
        <f aca="false">IF($B1304="","",$P1304-$Q1304)</f>
        <v/>
      </c>
      <c r="S1304" s="23" t="str">
        <f aca="false">IF($B1304="","",IF(COUNTIFS($A$4:$A$2003,$A1304-1,$B$4:$B$2003,$B1304)=0,"first day",IF(SUMIFS($M$4:$M$2003,$A$4:$A$2003,$A1304-1,$B$4:$B$2003,$B1304)=$J1304,"OK","CHECK")))</f>
        <v/>
      </c>
      <c r="T1304" s="10" t="str">
        <f aca="false">IF($B1304="","",IFERROR(INDEX(Drinks!$D$4:$D$53,MATCH($B1304,Drinks!$A$4:$A$53,0)),0))</f>
        <v/>
      </c>
    </row>
    <row r="1305" customFormat="false" ht="15" hidden="false" customHeight="false" outlineLevel="0" collapsed="false">
      <c r="A1305" s="22"/>
      <c r="B1305" s="9"/>
      <c r="C1305" s="9"/>
      <c r="D1305" s="9"/>
      <c r="E1305" s="9"/>
      <c r="F1305" s="10" t="str">
        <f aca="false">IF($B1305="","",$C1305+$D1305-$E1305)</f>
        <v/>
      </c>
      <c r="G1305" s="10" t="str">
        <f aca="false">IF($B1305="","",IFERROR(INDEX(Drinks!$C$4:$C$53,MATCH($B1305,Drinks!$A$4:$A$53,0)),0))</f>
        <v/>
      </c>
      <c r="H1305" s="10" t="str">
        <f aca="false">IF($B1305="","",$D1305*$G1305)</f>
        <v/>
      </c>
      <c r="I1305" s="10" t="str">
        <f aca="false">IF($B1305="","",$F1305*$G1305)</f>
        <v/>
      </c>
      <c r="J1305" s="9"/>
      <c r="K1305" s="10" t="str">
        <f aca="false">IF($B1305="","",$E1305*IFERROR(INDEX(Drinks!$B$4:$B$53,MATCH($B1305,Drinks!$A$4:$A$53,0)),0))</f>
        <v/>
      </c>
      <c r="L1305" s="10" t="str">
        <f aca="false">IF($B1305="","",$J1305+$K1305)</f>
        <v/>
      </c>
      <c r="M1305" s="9"/>
      <c r="N1305" s="10" t="str">
        <f aca="false">IF($B1305="","",$L1305-$M1305)</f>
        <v/>
      </c>
      <c r="O1305" s="10" t="str">
        <f aca="false">IF($B1305="","",IFERROR(INDEX(Drinks!$E$4:$E$53,MATCH($B1305,Drinks!$A$4:$A$53,0)),0))</f>
        <v/>
      </c>
      <c r="P1305" s="10" t="str">
        <f aca="false">IF($B1305="","",$N1305*$O1305)</f>
        <v/>
      </c>
      <c r="Q1305" s="10" t="str">
        <f aca="false">IF($B1305="","",$N1305*IFERROR(INDEX(Drinks!$D$4:$D$53,MATCH($B1305,Drinks!$A$4:$A$53,0)),0))</f>
        <v/>
      </c>
      <c r="R1305" s="10" t="str">
        <f aca="false">IF($B1305="","",$P1305-$Q1305)</f>
        <v/>
      </c>
      <c r="S1305" s="23" t="str">
        <f aca="false">IF($B1305="","",IF(COUNTIFS($A$4:$A$2003,$A1305-1,$B$4:$B$2003,$B1305)=0,"first day",IF(SUMIFS($M$4:$M$2003,$A$4:$A$2003,$A1305-1,$B$4:$B$2003,$B1305)=$J1305,"OK","CHECK")))</f>
        <v/>
      </c>
      <c r="T1305" s="10" t="str">
        <f aca="false">IF($B1305="","",IFERROR(INDEX(Drinks!$D$4:$D$53,MATCH($B1305,Drinks!$A$4:$A$53,0)),0))</f>
        <v/>
      </c>
    </row>
    <row r="1306" customFormat="false" ht="15" hidden="false" customHeight="false" outlineLevel="0" collapsed="false">
      <c r="A1306" s="22"/>
      <c r="B1306" s="9"/>
      <c r="C1306" s="9"/>
      <c r="D1306" s="9"/>
      <c r="E1306" s="9"/>
      <c r="F1306" s="10" t="str">
        <f aca="false">IF($B1306="","",$C1306+$D1306-$E1306)</f>
        <v/>
      </c>
      <c r="G1306" s="10" t="str">
        <f aca="false">IF($B1306="","",IFERROR(INDEX(Drinks!$C$4:$C$53,MATCH($B1306,Drinks!$A$4:$A$53,0)),0))</f>
        <v/>
      </c>
      <c r="H1306" s="10" t="str">
        <f aca="false">IF($B1306="","",$D1306*$G1306)</f>
        <v/>
      </c>
      <c r="I1306" s="10" t="str">
        <f aca="false">IF($B1306="","",$F1306*$G1306)</f>
        <v/>
      </c>
      <c r="J1306" s="9"/>
      <c r="K1306" s="10" t="str">
        <f aca="false">IF($B1306="","",$E1306*IFERROR(INDEX(Drinks!$B$4:$B$53,MATCH($B1306,Drinks!$A$4:$A$53,0)),0))</f>
        <v/>
      </c>
      <c r="L1306" s="10" t="str">
        <f aca="false">IF($B1306="","",$J1306+$K1306)</f>
        <v/>
      </c>
      <c r="M1306" s="9"/>
      <c r="N1306" s="10" t="str">
        <f aca="false">IF($B1306="","",$L1306-$M1306)</f>
        <v/>
      </c>
      <c r="O1306" s="10" t="str">
        <f aca="false">IF($B1306="","",IFERROR(INDEX(Drinks!$E$4:$E$53,MATCH($B1306,Drinks!$A$4:$A$53,0)),0))</f>
        <v/>
      </c>
      <c r="P1306" s="10" t="str">
        <f aca="false">IF($B1306="","",$N1306*$O1306)</f>
        <v/>
      </c>
      <c r="Q1306" s="10" t="str">
        <f aca="false">IF($B1306="","",$N1306*IFERROR(INDEX(Drinks!$D$4:$D$53,MATCH($B1306,Drinks!$A$4:$A$53,0)),0))</f>
        <v/>
      </c>
      <c r="R1306" s="10" t="str">
        <f aca="false">IF($B1306="","",$P1306-$Q1306)</f>
        <v/>
      </c>
      <c r="S1306" s="23" t="str">
        <f aca="false">IF($B1306="","",IF(COUNTIFS($A$4:$A$2003,$A1306-1,$B$4:$B$2003,$B1306)=0,"first day",IF(SUMIFS($M$4:$M$2003,$A$4:$A$2003,$A1306-1,$B$4:$B$2003,$B1306)=$J1306,"OK","CHECK")))</f>
        <v/>
      </c>
      <c r="T1306" s="10" t="str">
        <f aca="false">IF($B1306="","",IFERROR(INDEX(Drinks!$D$4:$D$53,MATCH($B1306,Drinks!$A$4:$A$53,0)),0))</f>
        <v/>
      </c>
    </row>
    <row r="1307" customFormat="false" ht="15" hidden="false" customHeight="false" outlineLevel="0" collapsed="false">
      <c r="A1307" s="22"/>
      <c r="B1307" s="9"/>
      <c r="C1307" s="9"/>
      <c r="D1307" s="9"/>
      <c r="E1307" s="9"/>
      <c r="F1307" s="10" t="str">
        <f aca="false">IF($B1307="","",$C1307+$D1307-$E1307)</f>
        <v/>
      </c>
      <c r="G1307" s="10" t="str">
        <f aca="false">IF($B1307="","",IFERROR(INDEX(Drinks!$C$4:$C$53,MATCH($B1307,Drinks!$A$4:$A$53,0)),0))</f>
        <v/>
      </c>
      <c r="H1307" s="10" t="str">
        <f aca="false">IF($B1307="","",$D1307*$G1307)</f>
        <v/>
      </c>
      <c r="I1307" s="10" t="str">
        <f aca="false">IF($B1307="","",$F1307*$G1307)</f>
        <v/>
      </c>
      <c r="J1307" s="9"/>
      <c r="K1307" s="10" t="str">
        <f aca="false">IF($B1307="","",$E1307*IFERROR(INDEX(Drinks!$B$4:$B$53,MATCH($B1307,Drinks!$A$4:$A$53,0)),0))</f>
        <v/>
      </c>
      <c r="L1307" s="10" t="str">
        <f aca="false">IF($B1307="","",$J1307+$K1307)</f>
        <v/>
      </c>
      <c r="M1307" s="9"/>
      <c r="N1307" s="10" t="str">
        <f aca="false">IF($B1307="","",$L1307-$M1307)</f>
        <v/>
      </c>
      <c r="O1307" s="10" t="str">
        <f aca="false">IF($B1307="","",IFERROR(INDEX(Drinks!$E$4:$E$53,MATCH($B1307,Drinks!$A$4:$A$53,0)),0))</f>
        <v/>
      </c>
      <c r="P1307" s="10" t="str">
        <f aca="false">IF($B1307="","",$N1307*$O1307)</f>
        <v/>
      </c>
      <c r="Q1307" s="10" t="str">
        <f aca="false">IF($B1307="","",$N1307*IFERROR(INDEX(Drinks!$D$4:$D$53,MATCH($B1307,Drinks!$A$4:$A$53,0)),0))</f>
        <v/>
      </c>
      <c r="R1307" s="10" t="str">
        <f aca="false">IF($B1307="","",$P1307-$Q1307)</f>
        <v/>
      </c>
      <c r="S1307" s="23" t="str">
        <f aca="false">IF($B1307="","",IF(COUNTIFS($A$4:$A$2003,$A1307-1,$B$4:$B$2003,$B1307)=0,"first day",IF(SUMIFS($M$4:$M$2003,$A$4:$A$2003,$A1307-1,$B$4:$B$2003,$B1307)=$J1307,"OK","CHECK")))</f>
        <v/>
      </c>
      <c r="T1307" s="10" t="str">
        <f aca="false">IF($B1307="","",IFERROR(INDEX(Drinks!$D$4:$D$53,MATCH($B1307,Drinks!$A$4:$A$53,0)),0))</f>
        <v/>
      </c>
    </row>
    <row r="1308" customFormat="false" ht="15" hidden="false" customHeight="false" outlineLevel="0" collapsed="false">
      <c r="A1308" s="22"/>
      <c r="B1308" s="9"/>
      <c r="C1308" s="9"/>
      <c r="D1308" s="9"/>
      <c r="E1308" s="9"/>
      <c r="F1308" s="10" t="str">
        <f aca="false">IF($B1308="","",$C1308+$D1308-$E1308)</f>
        <v/>
      </c>
      <c r="G1308" s="10" t="str">
        <f aca="false">IF($B1308="","",IFERROR(INDEX(Drinks!$C$4:$C$53,MATCH($B1308,Drinks!$A$4:$A$53,0)),0))</f>
        <v/>
      </c>
      <c r="H1308" s="10" t="str">
        <f aca="false">IF($B1308="","",$D1308*$G1308)</f>
        <v/>
      </c>
      <c r="I1308" s="10" t="str">
        <f aca="false">IF($B1308="","",$F1308*$G1308)</f>
        <v/>
      </c>
      <c r="J1308" s="9"/>
      <c r="K1308" s="10" t="str">
        <f aca="false">IF($B1308="","",$E1308*IFERROR(INDEX(Drinks!$B$4:$B$53,MATCH($B1308,Drinks!$A$4:$A$53,0)),0))</f>
        <v/>
      </c>
      <c r="L1308" s="10" t="str">
        <f aca="false">IF($B1308="","",$J1308+$K1308)</f>
        <v/>
      </c>
      <c r="M1308" s="9"/>
      <c r="N1308" s="10" t="str">
        <f aca="false">IF($B1308="","",$L1308-$M1308)</f>
        <v/>
      </c>
      <c r="O1308" s="10" t="str">
        <f aca="false">IF($B1308="","",IFERROR(INDEX(Drinks!$E$4:$E$53,MATCH($B1308,Drinks!$A$4:$A$53,0)),0))</f>
        <v/>
      </c>
      <c r="P1308" s="10" t="str">
        <f aca="false">IF($B1308="","",$N1308*$O1308)</f>
        <v/>
      </c>
      <c r="Q1308" s="10" t="str">
        <f aca="false">IF($B1308="","",$N1308*IFERROR(INDEX(Drinks!$D$4:$D$53,MATCH($B1308,Drinks!$A$4:$A$53,0)),0))</f>
        <v/>
      </c>
      <c r="R1308" s="10" t="str">
        <f aca="false">IF($B1308="","",$P1308-$Q1308)</f>
        <v/>
      </c>
      <c r="S1308" s="23" t="str">
        <f aca="false">IF($B1308="","",IF(COUNTIFS($A$4:$A$2003,$A1308-1,$B$4:$B$2003,$B1308)=0,"first day",IF(SUMIFS($M$4:$M$2003,$A$4:$A$2003,$A1308-1,$B$4:$B$2003,$B1308)=$J1308,"OK","CHECK")))</f>
        <v/>
      </c>
      <c r="T1308" s="10" t="str">
        <f aca="false">IF($B1308="","",IFERROR(INDEX(Drinks!$D$4:$D$53,MATCH($B1308,Drinks!$A$4:$A$53,0)),0))</f>
        <v/>
      </c>
    </row>
    <row r="1309" customFormat="false" ht="15" hidden="false" customHeight="false" outlineLevel="0" collapsed="false">
      <c r="A1309" s="22"/>
      <c r="B1309" s="9"/>
      <c r="C1309" s="9"/>
      <c r="D1309" s="9"/>
      <c r="E1309" s="9"/>
      <c r="F1309" s="10" t="str">
        <f aca="false">IF($B1309="","",$C1309+$D1309-$E1309)</f>
        <v/>
      </c>
      <c r="G1309" s="10" t="str">
        <f aca="false">IF($B1309="","",IFERROR(INDEX(Drinks!$C$4:$C$53,MATCH($B1309,Drinks!$A$4:$A$53,0)),0))</f>
        <v/>
      </c>
      <c r="H1309" s="10" t="str">
        <f aca="false">IF($B1309="","",$D1309*$G1309)</f>
        <v/>
      </c>
      <c r="I1309" s="10" t="str">
        <f aca="false">IF($B1309="","",$F1309*$G1309)</f>
        <v/>
      </c>
      <c r="J1309" s="9"/>
      <c r="K1309" s="10" t="str">
        <f aca="false">IF($B1309="","",$E1309*IFERROR(INDEX(Drinks!$B$4:$B$53,MATCH($B1309,Drinks!$A$4:$A$53,0)),0))</f>
        <v/>
      </c>
      <c r="L1309" s="10" t="str">
        <f aca="false">IF($B1309="","",$J1309+$K1309)</f>
        <v/>
      </c>
      <c r="M1309" s="9"/>
      <c r="N1309" s="10" t="str">
        <f aca="false">IF($B1309="","",$L1309-$M1309)</f>
        <v/>
      </c>
      <c r="O1309" s="10" t="str">
        <f aca="false">IF($B1309="","",IFERROR(INDEX(Drinks!$E$4:$E$53,MATCH($B1309,Drinks!$A$4:$A$53,0)),0))</f>
        <v/>
      </c>
      <c r="P1309" s="10" t="str">
        <f aca="false">IF($B1309="","",$N1309*$O1309)</f>
        <v/>
      </c>
      <c r="Q1309" s="10" t="str">
        <f aca="false">IF($B1309="","",$N1309*IFERROR(INDEX(Drinks!$D$4:$D$53,MATCH($B1309,Drinks!$A$4:$A$53,0)),0))</f>
        <v/>
      </c>
      <c r="R1309" s="10" t="str">
        <f aca="false">IF($B1309="","",$P1309-$Q1309)</f>
        <v/>
      </c>
      <c r="S1309" s="23" t="str">
        <f aca="false">IF($B1309="","",IF(COUNTIFS($A$4:$A$2003,$A1309-1,$B$4:$B$2003,$B1309)=0,"first day",IF(SUMIFS($M$4:$M$2003,$A$4:$A$2003,$A1309-1,$B$4:$B$2003,$B1309)=$J1309,"OK","CHECK")))</f>
        <v/>
      </c>
      <c r="T1309" s="10" t="str">
        <f aca="false">IF($B1309="","",IFERROR(INDEX(Drinks!$D$4:$D$53,MATCH($B1309,Drinks!$A$4:$A$53,0)),0))</f>
        <v/>
      </c>
    </row>
    <row r="1310" customFormat="false" ht="15" hidden="false" customHeight="false" outlineLevel="0" collapsed="false">
      <c r="A1310" s="22"/>
      <c r="B1310" s="9"/>
      <c r="C1310" s="9"/>
      <c r="D1310" s="9"/>
      <c r="E1310" s="9"/>
      <c r="F1310" s="10" t="str">
        <f aca="false">IF($B1310="","",$C1310+$D1310-$E1310)</f>
        <v/>
      </c>
      <c r="G1310" s="10" t="str">
        <f aca="false">IF($B1310="","",IFERROR(INDEX(Drinks!$C$4:$C$53,MATCH($B1310,Drinks!$A$4:$A$53,0)),0))</f>
        <v/>
      </c>
      <c r="H1310" s="10" t="str">
        <f aca="false">IF($B1310="","",$D1310*$G1310)</f>
        <v/>
      </c>
      <c r="I1310" s="10" t="str">
        <f aca="false">IF($B1310="","",$F1310*$G1310)</f>
        <v/>
      </c>
      <c r="J1310" s="9"/>
      <c r="K1310" s="10" t="str">
        <f aca="false">IF($B1310="","",$E1310*IFERROR(INDEX(Drinks!$B$4:$B$53,MATCH($B1310,Drinks!$A$4:$A$53,0)),0))</f>
        <v/>
      </c>
      <c r="L1310" s="10" t="str">
        <f aca="false">IF($B1310="","",$J1310+$K1310)</f>
        <v/>
      </c>
      <c r="M1310" s="9"/>
      <c r="N1310" s="10" t="str">
        <f aca="false">IF($B1310="","",$L1310-$M1310)</f>
        <v/>
      </c>
      <c r="O1310" s="10" t="str">
        <f aca="false">IF($B1310="","",IFERROR(INDEX(Drinks!$E$4:$E$53,MATCH($B1310,Drinks!$A$4:$A$53,0)),0))</f>
        <v/>
      </c>
      <c r="P1310" s="10" t="str">
        <f aca="false">IF($B1310="","",$N1310*$O1310)</f>
        <v/>
      </c>
      <c r="Q1310" s="10" t="str">
        <f aca="false">IF($B1310="","",$N1310*IFERROR(INDEX(Drinks!$D$4:$D$53,MATCH($B1310,Drinks!$A$4:$A$53,0)),0))</f>
        <v/>
      </c>
      <c r="R1310" s="10" t="str">
        <f aca="false">IF($B1310="","",$P1310-$Q1310)</f>
        <v/>
      </c>
      <c r="S1310" s="23" t="str">
        <f aca="false">IF($B1310="","",IF(COUNTIFS($A$4:$A$2003,$A1310-1,$B$4:$B$2003,$B1310)=0,"first day",IF(SUMIFS($M$4:$M$2003,$A$4:$A$2003,$A1310-1,$B$4:$B$2003,$B1310)=$J1310,"OK","CHECK")))</f>
        <v/>
      </c>
      <c r="T1310" s="10" t="str">
        <f aca="false">IF($B1310="","",IFERROR(INDEX(Drinks!$D$4:$D$53,MATCH($B1310,Drinks!$A$4:$A$53,0)),0))</f>
        <v/>
      </c>
    </row>
    <row r="1311" customFormat="false" ht="15" hidden="false" customHeight="false" outlineLevel="0" collapsed="false">
      <c r="A1311" s="22"/>
      <c r="B1311" s="9"/>
      <c r="C1311" s="9"/>
      <c r="D1311" s="9"/>
      <c r="E1311" s="9"/>
      <c r="F1311" s="10" t="str">
        <f aca="false">IF($B1311="","",$C1311+$D1311-$E1311)</f>
        <v/>
      </c>
      <c r="G1311" s="10" t="str">
        <f aca="false">IF($B1311="","",IFERROR(INDEX(Drinks!$C$4:$C$53,MATCH($B1311,Drinks!$A$4:$A$53,0)),0))</f>
        <v/>
      </c>
      <c r="H1311" s="10" t="str">
        <f aca="false">IF($B1311="","",$D1311*$G1311)</f>
        <v/>
      </c>
      <c r="I1311" s="10" t="str">
        <f aca="false">IF($B1311="","",$F1311*$G1311)</f>
        <v/>
      </c>
      <c r="J1311" s="9"/>
      <c r="K1311" s="10" t="str">
        <f aca="false">IF($B1311="","",$E1311*IFERROR(INDEX(Drinks!$B$4:$B$53,MATCH($B1311,Drinks!$A$4:$A$53,0)),0))</f>
        <v/>
      </c>
      <c r="L1311" s="10" t="str">
        <f aca="false">IF($B1311="","",$J1311+$K1311)</f>
        <v/>
      </c>
      <c r="M1311" s="9"/>
      <c r="N1311" s="10" t="str">
        <f aca="false">IF($B1311="","",$L1311-$M1311)</f>
        <v/>
      </c>
      <c r="O1311" s="10" t="str">
        <f aca="false">IF($B1311="","",IFERROR(INDEX(Drinks!$E$4:$E$53,MATCH($B1311,Drinks!$A$4:$A$53,0)),0))</f>
        <v/>
      </c>
      <c r="P1311" s="10" t="str">
        <f aca="false">IF($B1311="","",$N1311*$O1311)</f>
        <v/>
      </c>
      <c r="Q1311" s="10" t="str">
        <f aca="false">IF($B1311="","",$N1311*IFERROR(INDEX(Drinks!$D$4:$D$53,MATCH($B1311,Drinks!$A$4:$A$53,0)),0))</f>
        <v/>
      </c>
      <c r="R1311" s="10" t="str">
        <f aca="false">IF($B1311="","",$P1311-$Q1311)</f>
        <v/>
      </c>
      <c r="S1311" s="23" t="str">
        <f aca="false">IF($B1311="","",IF(COUNTIFS($A$4:$A$2003,$A1311-1,$B$4:$B$2003,$B1311)=0,"first day",IF(SUMIFS($M$4:$M$2003,$A$4:$A$2003,$A1311-1,$B$4:$B$2003,$B1311)=$J1311,"OK","CHECK")))</f>
        <v/>
      </c>
      <c r="T1311" s="10" t="str">
        <f aca="false">IF($B1311="","",IFERROR(INDEX(Drinks!$D$4:$D$53,MATCH($B1311,Drinks!$A$4:$A$53,0)),0))</f>
        <v/>
      </c>
    </row>
    <row r="1312" customFormat="false" ht="15" hidden="false" customHeight="false" outlineLevel="0" collapsed="false">
      <c r="A1312" s="22"/>
      <c r="B1312" s="9"/>
      <c r="C1312" s="9"/>
      <c r="D1312" s="9"/>
      <c r="E1312" s="9"/>
      <c r="F1312" s="10" t="str">
        <f aca="false">IF($B1312="","",$C1312+$D1312-$E1312)</f>
        <v/>
      </c>
      <c r="G1312" s="10" t="str">
        <f aca="false">IF($B1312="","",IFERROR(INDEX(Drinks!$C$4:$C$53,MATCH($B1312,Drinks!$A$4:$A$53,0)),0))</f>
        <v/>
      </c>
      <c r="H1312" s="10" t="str">
        <f aca="false">IF($B1312="","",$D1312*$G1312)</f>
        <v/>
      </c>
      <c r="I1312" s="10" t="str">
        <f aca="false">IF($B1312="","",$F1312*$G1312)</f>
        <v/>
      </c>
      <c r="J1312" s="9"/>
      <c r="K1312" s="10" t="str">
        <f aca="false">IF($B1312="","",$E1312*IFERROR(INDEX(Drinks!$B$4:$B$53,MATCH($B1312,Drinks!$A$4:$A$53,0)),0))</f>
        <v/>
      </c>
      <c r="L1312" s="10" t="str">
        <f aca="false">IF($B1312="","",$J1312+$K1312)</f>
        <v/>
      </c>
      <c r="M1312" s="9"/>
      <c r="N1312" s="10" t="str">
        <f aca="false">IF($B1312="","",$L1312-$M1312)</f>
        <v/>
      </c>
      <c r="O1312" s="10" t="str">
        <f aca="false">IF($B1312="","",IFERROR(INDEX(Drinks!$E$4:$E$53,MATCH($B1312,Drinks!$A$4:$A$53,0)),0))</f>
        <v/>
      </c>
      <c r="P1312" s="10" t="str">
        <f aca="false">IF($B1312="","",$N1312*$O1312)</f>
        <v/>
      </c>
      <c r="Q1312" s="10" t="str">
        <f aca="false">IF($B1312="","",$N1312*IFERROR(INDEX(Drinks!$D$4:$D$53,MATCH($B1312,Drinks!$A$4:$A$53,0)),0))</f>
        <v/>
      </c>
      <c r="R1312" s="10" t="str">
        <f aca="false">IF($B1312="","",$P1312-$Q1312)</f>
        <v/>
      </c>
      <c r="S1312" s="23" t="str">
        <f aca="false">IF($B1312="","",IF(COUNTIFS($A$4:$A$2003,$A1312-1,$B$4:$B$2003,$B1312)=0,"first day",IF(SUMIFS($M$4:$M$2003,$A$4:$A$2003,$A1312-1,$B$4:$B$2003,$B1312)=$J1312,"OK","CHECK")))</f>
        <v/>
      </c>
      <c r="T1312" s="10" t="str">
        <f aca="false">IF($B1312="","",IFERROR(INDEX(Drinks!$D$4:$D$53,MATCH($B1312,Drinks!$A$4:$A$53,0)),0))</f>
        <v/>
      </c>
    </row>
    <row r="1313" customFormat="false" ht="15" hidden="false" customHeight="false" outlineLevel="0" collapsed="false">
      <c r="A1313" s="22"/>
      <c r="B1313" s="9"/>
      <c r="C1313" s="9"/>
      <c r="D1313" s="9"/>
      <c r="E1313" s="9"/>
      <c r="F1313" s="10" t="str">
        <f aca="false">IF($B1313="","",$C1313+$D1313-$E1313)</f>
        <v/>
      </c>
      <c r="G1313" s="10" t="str">
        <f aca="false">IF($B1313="","",IFERROR(INDEX(Drinks!$C$4:$C$53,MATCH($B1313,Drinks!$A$4:$A$53,0)),0))</f>
        <v/>
      </c>
      <c r="H1313" s="10" t="str">
        <f aca="false">IF($B1313="","",$D1313*$G1313)</f>
        <v/>
      </c>
      <c r="I1313" s="10" t="str">
        <f aca="false">IF($B1313="","",$F1313*$G1313)</f>
        <v/>
      </c>
      <c r="J1313" s="9"/>
      <c r="K1313" s="10" t="str">
        <f aca="false">IF($B1313="","",$E1313*IFERROR(INDEX(Drinks!$B$4:$B$53,MATCH($B1313,Drinks!$A$4:$A$53,0)),0))</f>
        <v/>
      </c>
      <c r="L1313" s="10" t="str">
        <f aca="false">IF($B1313="","",$J1313+$K1313)</f>
        <v/>
      </c>
      <c r="M1313" s="9"/>
      <c r="N1313" s="10" t="str">
        <f aca="false">IF($B1313="","",$L1313-$M1313)</f>
        <v/>
      </c>
      <c r="O1313" s="10" t="str">
        <f aca="false">IF($B1313="","",IFERROR(INDEX(Drinks!$E$4:$E$53,MATCH($B1313,Drinks!$A$4:$A$53,0)),0))</f>
        <v/>
      </c>
      <c r="P1313" s="10" t="str">
        <f aca="false">IF($B1313="","",$N1313*$O1313)</f>
        <v/>
      </c>
      <c r="Q1313" s="10" t="str">
        <f aca="false">IF($B1313="","",$N1313*IFERROR(INDEX(Drinks!$D$4:$D$53,MATCH($B1313,Drinks!$A$4:$A$53,0)),0))</f>
        <v/>
      </c>
      <c r="R1313" s="10" t="str">
        <f aca="false">IF($B1313="","",$P1313-$Q1313)</f>
        <v/>
      </c>
      <c r="S1313" s="23" t="str">
        <f aca="false">IF($B1313="","",IF(COUNTIFS($A$4:$A$2003,$A1313-1,$B$4:$B$2003,$B1313)=0,"first day",IF(SUMIFS($M$4:$M$2003,$A$4:$A$2003,$A1313-1,$B$4:$B$2003,$B1313)=$J1313,"OK","CHECK")))</f>
        <v/>
      </c>
      <c r="T1313" s="10" t="str">
        <f aca="false">IF($B1313="","",IFERROR(INDEX(Drinks!$D$4:$D$53,MATCH($B1313,Drinks!$A$4:$A$53,0)),0))</f>
        <v/>
      </c>
    </row>
    <row r="1314" customFormat="false" ht="15" hidden="false" customHeight="false" outlineLevel="0" collapsed="false">
      <c r="A1314" s="22"/>
      <c r="B1314" s="9"/>
      <c r="C1314" s="9"/>
      <c r="D1314" s="9"/>
      <c r="E1314" s="9"/>
      <c r="F1314" s="10" t="str">
        <f aca="false">IF($B1314="","",$C1314+$D1314-$E1314)</f>
        <v/>
      </c>
      <c r="G1314" s="10" t="str">
        <f aca="false">IF($B1314="","",IFERROR(INDEX(Drinks!$C$4:$C$53,MATCH($B1314,Drinks!$A$4:$A$53,0)),0))</f>
        <v/>
      </c>
      <c r="H1314" s="10" t="str">
        <f aca="false">IF($B1314="","",$D1314*$G1314)</f>
        <v/>
      </c>
      <c r="I1314" s="10" t="str">
        <f aca="false">IF($B1314="","",$F1314*$G1314)</f>
        <v/>
      </c>
      <c r="J1314" s="9"/>
      <c r="K1314" s="10" t="str">
        <f aca="false">IF($B1314="","",$E1314*IFERROR(INDEX(Drinks!$B$4:$B$53,MATCH($B1314,Drinks!$A$4:$A$53,0)),0))</f>
        <v/>
      </c>
      <c r="L1314" s="10" t="str">
        <f aca="false">IF($B1314="","",$J1314+$K1314)</f>
        <v/>
      </c>
      <c r="M1314" s="9"/>
      <c r="N1314" s="10" t="str">
        <f aca="false">IF($B1314="","",$L1314-$M1314)</f>
        <v/>
      </c>
      <c r="O1314" s="10" t="str">
        <f aca="false">IF($B1314="","",IFERROR(INDEX(Drinks!$E$4:$E$53,MATCH($B1314,Drinks!$A$4:$A$53,0)),0))</f>
        <v/>
      </c>
      <c r="P1314" s="10" t="str">
        <f aca="false">IF($B1314="","",$N1314*$O1314)</f>
        <v/>
      </c>
      <c r="Q1314" s="10" t="str">
        <f aca="false">IF($B1314="","",$N1314*IFERROR(INDEX(Drinks!$D$4:$D$53,MATCH($B1314,Drinks!$A$4:$A$53,0)),0))</f>
        <v/>
      </c>
      <c r="R1314" s="10" t="str">
        <f aca="false">IF($B1314="","",$P1314-$Q1314)</f>
        <v/>
      </c>
      <c r="S1314" s="23" t="str">
        <f aca="false">IF($B1314="","",IF(COUNTIFS($A$4:$A$2003,$A1314-1,$B$4:$B$2003,$B1314)=0,"first day",IF(SUMIFS($M$4:$M$2003,$A$4:$A$2003,$A1314-1,$B$4:$B$2003,$B1314)=$J1314,"OK","CHECK")))</f>
        <v/>
      </c>
      <c r="T1314" s="10" t="str">
        <f aca="false">IF($B1314="","",IFERROR(INDEX(Drinks!$D$4:$D$53,MATCH($B1314,Drinks!$A$4:$A$53,0)),0))</f>
        <v/>
      </c>
    </row>
    <row r="1315" customFormat="false" ht="15" hidden="false" customHeight="false" outlineLevel="0" collapsed="false">
      <c r="A1315" s="22"/>
      <c r="B1315" s="9"/>
      <c r="C1315" s="9"/>
      <c r="D1315" s="9"/>
      <c r="E1315" s="9"/>
      <c r="F1315" s="10" t="str">
        <f aca="false">IF($B1315="","",$C1315+$D1315-$E1315)</f>
        <v/>
      </c>
      <c r="G1315" s="10" t="str">
        <f aca="false">IF($B1315="","",IFERROR(INDEX(Drinks!$C$4:$C$53,MATCH($B1315,Drinks!$A$4:$A$53,0)),0))</f>
        <v/>
      </c>
      <c r="H1315" s="10" t="str">
        <f aca="false">IF($B1315="","",$D1315*$G1315)</f>
        <v/>
      </c>
      <c r="I1315" s="10" t="str">
        <f aca="false">IF($B1315="","",$F1315*$G1315)</f>
        <v/>
      </c>
      <c r="J1315" s="9"/>
      <c r="K1315" s="10" t="str">
        <f aca="false">IF($B1315="","",$E1315*IFERROR(INDEX(Drinks!$B$4:$B$53,MATCH($B1315,Drinks!$A$4:$A$53,0)),0))</f>
        <v/>
      </c>
      <c r="L1315" s="10" t="str">
        <f aca="false">IF($B1315="","",$J1315+$K1315)</f>
        <v/>
      </c>
      <c r="M1315" s="9"/>
      <c r="N1315" s="10" t="str">
        <f aca="false">IF($B1315="","",$L1315-$M1315)</f>
        <v/>
      </c>
      <c r="O1315" s="10" t="str">
        <f aca="false">IF($B1315="","",IFERROR(INDEX(Drinks!$E$4:$E$53,MATCH($B1315,Drinks!$A$4:$A$53,0)),0))</f>
        <v/>
      </c>
      <c r="P1315" s="10" t="str">
        <f aca="false">IF($B1315="","",$N1315*$O1315)</f>
        <v/>
      </c>
      <c r="Q1315" s="10" t="str">
        <f aca="false">IF($B1315="","",$N1315*IFERROR(INDEX(Drinks!$D$4:$D$53,MATCH($B1315,Drinks!$A$4:$A$53,0)),0))</f>
        <v/>
      </c>
      <c r="R1315" s="10" t="str">
        <f aca="false">IF($B1315="","",$P1315-$Q1315)</f>
        <v/>
      </c>
      <c r="S1315" s="23" t="str">
        <f aca="false">IF($B1315="","",IF(COUNTIFS($A$4:$A$2003,$A1315-1,$B$4:$B$2003,$B1315)=0,"first day",IF(SUMIFS($M$4:$M$2003,$A$4:$A$2003,$A1315-1,$B$4:$B$2003,$B1315)=$J1315,"OK","CHECK")))</f>
        <v/>
      </c>
      <c r="T1315" s="10" t="str">
        <f aca="false">IF($B1315="","",IFERROR(INDEX(Drinks!$D$4:$D$53,MATCH($B1315,Drinks!$A$4:$A$53,0)),0))</f>
        <v/>
      </c>
    </row>
    <row r="1316" customFormat="false" ht="15" hidden="false" customHeight="false" outlineLevel="0" collapsed="false">
      <c r="A1316" s="22"/>
      <c r="B1316" s="9"/>
      <c r="C1316" s="9"/>
      <c r="D1316" s="9"/>
      <c r="E1316" s="9"/>
      <c r="F1316" s="10" t="str">
        <f aca="false">IF($B1316="","",$C1316+$D1316-$E1316)</f>
        <v/>
      </c>
      <c r="G1316" s="10" t="str">
        <f aca="false">IF($B1316="","",IFERROR(INDEX(Drinks!$C$4:$C$53,MATCH($B1316,Drinks!$A$4:$A$53,0)),0))</f>
        <v/>
      </c>
      <c r="H1316" s="10" t="str">
        <f aca="false">IF($B1316="","",$D1316*$G1316)</f>
        <v/>
      </c>
      <c r="I1316" s="10" t="str">
        <f aca="false">IF($B1316="","",$F1316*$G1316)</f>
        <v/>
      </c>
      <c r="J1316" s="9"/>
      <c r="K1316" s="10" t="str">
        <f aca="false">IF($B1316="","",$E1316*IFERROR(INDEX(Drinks!$B$4:$B$53,MATCH($B1316,Drinks!$A$4:$A$53,0)),0))</f>
        <v/>
      </c>
      <c r="L1316" s="10" t="str">
        <f aca="false">IF($B1316="","",$J1316+$K1316)</f>
        <v/>
      </c>
      <c r="M1316" s="9"/>
      <c r="N1316" s="10" t="str">
        <f aca="false">IF($B1316="","",$L1316-$M1316)</f>
        <v/>
      </c>
      <c r="O1316" s="10" t="str">
        <f aca="false">IF($B1316="","",IFERROR(INDEX(Drinks!$E$4:$E$53,MATCH($B1316,Drinks!$A$4:$A$53,0)),0))</f>
        <v/>
      </c>
      <c r="P1316" s="10" t="str">
        <f aca="false">IF($B1316="","",$N1316*$O1316)</f>
        <v/>
      </c>
      <c r="Q1316" s="10" t="str">
        <f aca="false">IF($B1316="","",$N1316*IFERROR(INDEX(Drinks!$D$4:$D$53,MATCH($B1316,Drinks!$A$4:$A$53,0)),0))</f>
        <v/>
      </c>
      <c r="R1316" s="10" t="str">
        <f aca="false">IF($B1316="","",$P1316-$Q1316)</f>
        <v/>
      </c>
      <c r="S1316" s="23" t="str">
        <f aca="false">IF($B1316="","",IF(COUNTIFS($A$4:$A$2003,$A1316-1,$B$4:$B$2003,$B1316)=0,"first day",IF(SUMIFS($M$4:$M$2003,$A$4:$A$2003,$A1316-1,$B$4:$B$2003,$B1316)=$J1316,"OK","CHECK")))</f>
        <v/>
      </c>
      <c r="T1316" s="10" t="str">
        <f aca="false">IF($B1316="","",IFERROR(INDEX(Drinks!$D$4:$D$53,MATCH($B1316,Drinks!$A$4:$A$53,0)),0))</f>
        <v/>
      </c>
    </row>
    <row r="1317" customFormat="false" ht="15" hidden="false" customHeight="false" outlineLevel="0" collapsed="false">
      <c r="A1317" s="22"/>
      <c r="B1317" s="9"/>
      <c r="C1317" s="9"/>
      <c r="D1317" s="9"/>
      <c r="E1317" s="9"/>
      <c r="F1317" s="10" t="str">
        <f aca="false">IF($B1317="","",$C1317+$D1317-$E1317)</f>
        <v/>
      </c>
      <c r="G1317" s="10" t="str">
        <f aca="false">IF($B1317="","",IFERROR(INDEX(Drinks!$C$4:$C$53,MATCH($B1317,Drinks!$A$4:$A$53,0)),0))</f>
        <v/>
      </c>
      <c r="H1317" s="10" t="str">
        <f aca="false">IF($B1317="","",$D1317*$G1317)</f>
        <v/>
      </c>
      <c r="I1317" s="10" t="str">
        <f aca="false">IF($B1317="","",$F1317*$G1317)</f>
        <v/>
      </c>
      <c r="J1317" s="9"/>
      <c r="K1317" s="10" t="str">
        <f aca="false">IF($B1317="","",$E1317*IFERROR(INDEX(Drinks!$B$4:$B$53,MATCH($B1317,Drinks!$A$4:$A$53,0)),0))</f>
        <v/>
      </c>
      <c r="L1317" s="10" t="str">
        <f aca="false">IF($B1317="","",$J1317+$K1317)</f>
        <v/>
      </c>
      <c r="M1317" s="9"/>
      <c r="N1317" s="10" t="str">
        <f aca="false">IF($B1317="","",$L1317-$M1317)</f>
        <v/>
      </c>
      <c r="O1317" s="10" t="str">
        <f aca="false">IF($B1317="","",IFERROR(INDEX(Drinks!$E$4:$E$53,MATCH($B1317,Drinks!$A$4:$A$53,0)),0))</f>
        <v/>
      </c>
      <c r="P1317" s="10" t="str">
        <f aca="false">IF($B1317="","",$N1317*$O1317)</f>
        <v/>
      </c>
      <c r="Q1317" s="10" t="str">
        <f aca="false">IF($B1317="","",$N1317*IFERROR(INDEX(Drinks!$D$4:$D$53,MATCH($B1317,Drinks!$A$4:$A$53,0)),0))</f>
        <v/>
      </c>
      <c r="R1317" s="10" t="str">
        <f aca="false">IF($B1317="","",$P1317-$Q1317)</f>
        <v/>
      </c>
      <c r="S1317" s="23" t="str">
        <f aca="false">IF($B1317="","",IF(COUNTIFS($A$4:$A$2003,$A1317-1,$B$4:$B$2003,$B1317)=0,"first day",IF(SUMIFS($M$4:$M$2003,$A$4:$A$2003,$A1317-1,$B$4:$B$2003,$B1317)=$J1317,"OK","CHECK")))</f>
        <v/>
      </c>
      <c r="T1317" s="10" t="str">
        <f aca="false">IF($B1317="","",IFERROR(INDEX(Drinks!$D$4:$D$53,MATCH($B1317,Drinks!$A$4:$A$53,0)),0))</f>
        <v/>
      </c>
    </row>
    <row r="1318" customFormat="false" ht="15" hidden="false" customHeight="false" outlineLevel="0" collapsed="false">
      <c r="A1318" s="22"/>
      <c r="B1318" s="9"/>
      <c r="C1318" s="9"/>
      <c r="D1318" s="9"/>
      <c r="E1318" s="9"/>
      <c r="F1318" s="10" t="str">
        <f aca="false">IF($B1318="","",$C1318+$D1318-$E1318)</f>
        <v/>
      </c>
      <c r="G1318" s="10" t="str">
        <f aca="false">IF($B1318="","",IFERROR(INDEX(Drinks!$C$4:$C$53,MATCH($B1318,Drinks!$A$4:$A$53,0)),0))</f>
        <v/>
      </c>
      <c r="H1318" s="10" t="str">
        <f aca="false">IF($B1318="","",$D1318*$G1318)</f>
        <v/>
      </c>
      <c r="I1318" s="10" t="str">
        <f aca="false">IF($B1318="","",$F1318*$G1318)</f>
        <v/>
      </c>
      <c r="J1318" s="9"/>
      <c r="K1318" s="10" t="str">
        <f aca="false">IF($B1318="","",$E1318*IFERROR(INDEX(Drinks!$B$4:$B$53,MATCH($B1318,Drinks!$A$4:$A$53,0)),0))</f>
        <v/>
      </c>
      <c r="L1318" s="10" t="str">
        <f aca="false">IF($B1318="","",$J1318+$K1318)</f>
        <v/>
      </c>
      <c r="M1318" s="9"/>
      <c r="N1318" s="10" t="str">
        <f aca="false">IF($B1318="","",$L1318-$M1318)</f>
        <v/>
      </c>
      <c r="O1318" s="10" t="str">
        <f aca="false">IF($B1318="","",IFERROR(INDEX(Drinks!$E$4:$E$53,MATCH($B1318,Drinks!$A$4:$A$53,0)),0))</f>
        <v/>
      </c>
      <c r="P1318" s="10" t="str">
        <f aca="false">IF($B1318="","",$N1318*$O1318)</f>
        <v/>
      </c>
      <c r="Q1318" s="10" t="str">
        <f aca="false">IF($B1318="","",$N1318*IFERROR(INDEX(Drinks!$D$4:$D$53,MATCH($B1318,Drinks!$A$4:$A$53,0)),0))</f>
        <v/>
      </c>
      <c r="R1318" s="10" t="str">
        <f aca="false">IF($B1318="","",$P1318-$Q1318)</f>
        <v/>
      </c>
      <c r="S1318" s="23" t="str">
        <f aca="false">IF($B1318="","",IF(COUNTIFS($A$4:$A$2003,$A1318-1,$B$4:$B$2003,$B1318)=0,"first day",IF(SUMIFS($M$4:$M$2003,$A$4:$A$2003,$A1318-1,$B$4:$B$2003,$B1318)=$J1318,"OK","CHECK")))</f>
        <v/>
      </c>
      <c r="T1318" s="10" t="str">
        <f aca="false">IF($B1318="","",IFERROR(INDEX(Drinks!$D$4:$D$53,MATCH($B1318,Drinks!$A$4:$A$53,0)),0))</f>
        <v/>
      </c>
    </row>
    <row r="1319" customFormat="false" ht="15" hidden="false" customHeight="false" outlineLevel="0" collapsed="false">
      <c r="A1319" s="22"/>
      <c r="B1319" s="9"/>
      <c r="C1319" s="9"/>
      <c r="D1319" s="9"/>
      <c r="E1319" s="9"/>
      <c r="F1319" s="10" t="str">
        <f aca="false">IF($B1319="","",$C1319+$D1319-$E1319)</f>
        <v/>
      </c>
      <c r="G1319" s="10" t="str">
        <f aca="false">IF($B1319="","",IFERROR(INDEX(Drinks!$C$4:$C$53,MATCH($B1319,Drinks!$A$4:$A$53,0)),0))</f>
        <v/>
      </c>
      <c r="H1319" s="10" t="str">
        <f aca="false">IF($B1319="","",$D1319*$G1319)</f>
        <v/>
      </c>
      <c r="I1319" s="10" t="str">
        <f aca="false">IF($B1319="","",$F1319*$G1319)</f>
        <v/>
      </c>
      <c r="J1319" s="9"/>
      <c r="K1319" s="10" t="str">
        <f aca="false">IF($B1319="","",$E1319*IFERROR(INDEX(Drinks!$B$4:$B$53,MATCH($B1319,Drinks!$A$4:$A$53,0)),0))</f>
        <v/>
      </c>
      <c r="L1319" s="10" t="str">
        <f aca="false">IF($B1319="","",$J1319+$K1319)</f>
        <v/>
      </c>
      <c r="M1319" s="9"/>
      <c r="N1319" s="10" t="str">
        <f aca="false">IF($B1319="","",$L1319-$M1319)</f>
        <v/>
      </c>
      <c r="O1319" s="10" t="str">
        <f aca="false">IF($B1319="","",IFERROR(INDEX(Drinks!$E$4:$E$53,MATCH($B1319,Drinks!$A$4:$A$53,0)),0))</f>
        <v/>
      </c>
      <c r="P1319" s="10" t="str">
        <f aca="false">IF($B1319="","",$N1319*$O1319)</f>
        <v/>
      </c>
      <c r="Q1319" s="10" t="str">
        <f aca="false">IF($B1319="","",$N1319*IFERROR(INDEX(Drinks!$D$4:$D$53,MATCH($B1319,Drinks!$A$4:$A$53,0)),0))</f>
        <v/>
      </c>
      <c r="R1319" s="10" t="str">
        <f aca="false">IF($B1319="","",$P1319-$Q1319)</f>
        <v/>
      </c>
      <c r="S1319" s="23" t="str">
        <f aca="false">IF($B1319="","",IF(COUNTIFS($A$4:$A$2003,$A1319-1,$B$4:$B$2003,$B1319)=0,"first day",IF(SUMIFS($M$4:$M$2003,$A$4:$A$2003,$A1319-1,$B$4:$B$2003,$B1319)=$J1319,"OK","CHECK")))</f>
        <v/>
      </c>
      <c r="T1319" s="10" t="str">
        <f aca="false">IF($B1319="","",IFERROR(INDEX(Drinks!$D$4:$D$53,MATCH($B1319,Drinks!$A$4:$A$53,0)),0))</f>
        <v/>
      </c>
    </row>
    <row r="1320" customFormat="false" ht="15" hidden="false" customHeight="false" outlineLevel="0" collapsed="false">
      <c r="A1320" s="22"/>
      <c r="B1320" s="9"/>
      <c r="C1320" s="9"/>
      <c r="D1320" s="9"/>
      <c r="E1320" s="9"/>
      <c r="F1320" s="10" t="str">
        <f aca="false">IF($B1320="","",$C1320+$D1320-$E1320)</f>
        <v/>
      </c>
      <c r="G1320" s="10" t="str">
        <f aca="false">IF($B1320="","",IFERROR(INDEX(Drinks!$C$4:$C$53,MATCH($B1320,Drinks!$A$4:$A$53,0)),0))</f>
        <v/>
      </c>
      <c r="H1320" s="10" t="str">
        <f aca="false">IF($B1320="","",$D1320*$G1320)</f>
        <v/>
      </c>
      <c r="I1320" s="10" t="str">
        <f aca="false">IF($B1320="","",$F1320*$G1320)</f>
        <v/>
      </c>
      <c r="J1320" s="9"/>
      <c r="K1320" s="10" t="str">
        <f aca="false">IF($B1320="","",$E1320*IFERROR(INDEX(Drinks!$B$4:$B$53,MATCH($B1320,Drinks!$A$4:$A$53,0)),0))</f>
        <v/>
      </c>
      <c r="L1320" s="10" t="str">
        <f aca="false">IF($B1320="","",$J1320+$K1320)</f>
        <v/>
      </c>
      <c r="M1320" s="9"/>
      <c r="N1320" s="10" t="str">
        <f aca="false">IF($B1320="","",$L1320-$M1320)</f>
        <v/>
      </c>
      <c r="O1320" s="10" t="str">
        <f aca="false">IF($B1320="","",IFERROR(INDEX(Drinks!$E$4:$E$53,MATCH($B1320,Drinks!$A$4:$A$53,0)),0))</f>
        <v/>
      </c>
      <c r="P1320" s="10" t="str">
        <f aca="false">IF($B1320="","",$N1320*$O1320)</f>
        <v/>
      </c>
      <c r="Q1320" s="10" t="str">
        <f aca="false">IF($B1320="","",$N1320*IFERROR(INDEX(Drinks!$D$4:$D$53,MATCH($B1320,Drinks!$A$4:$A$53,0)),0))</f>
        <v/>
      </c>
      <c r="R1320" s="10" t="str">
        <f aca="false">IF($B1320="","",$P1320-$Q1320)</f>
        <v/>
      </c>
      <c r="S1320" s="23" t="str">
        <f aca="false">IF($B1320="","",IF(COUNTIFS($A$4:$A$2003,$A1320-1,$B$4:$B$2003,$B1320)=0,"first day",IF(SUMIFS($M$4:$M$2003,$A$4:$A$2003,$A1320-1,$B$4:$B$2003,$B1320)=$J1320,"OK","CHECK")))</f>
        <v/>
      </c>
      <c r="T1320" s="10" t="str">
        <f aca="false">IF($B1320="","",IFERROR(INDEX(Drinks!$D$4:$D$53,MATCH($B1320,Drinks!$A$4:$A$53,0)),0))</f>
        <v/>
      </c>
    </row>
    <row r="1321" customFormat="false" ht="15" hidden="false" customHeight="false" outlineLevel="0" collapsed="false">
      <c r="A1321" s="22"/>
      <c r="B1321" s="9"/>
      <c r="C1321" s="9"/>
      <c r="D1321" s="9"/>
      <c r="E1321" s="9"/>
      <c r="F1321" s="10" t="str">
        <f aca="false">IF($B1321="","",$C1321+$D1321-$E1321)</f>
        <v/>
      </c>
      <c r="G1321" s="10" t="str">
        <f aca="false">IF($B1321="","",IFERROR(INDEX(Drinks!$C$4:$C$53,MATCH($B1321,Drinks!$A$4:$A$53,0)),0))</f>
        <v/>
      </c>
      <c r="H1321" s="10" t="str">
        <f aca="false">IF($B1321="","",$D1321*$G1321)</f>
        <v/>
      </c>
      <c r="I1321" s="10" t="str">
        <f aca="false">IF($B1321="","",$F1321*$G1321)</f>
        <v/>
      </c>
      <c r="J1321" s="9"/>
      <c r="K1321" s="10" t="str">
        <f aca="false">IF($B1321="","",$E1321*IFERROR(INDEX(Drinks!$B$4:$B$53,MATCH($B1321,Drinks!$A$4:$A$53,0)),0))</f>
        <v/>
      </c>
      <c r="L1321" s="10" t="str">
        <f aca="false">IF($B1321="","",$J1321+$K1321)</f>
        <v/>
      </c>
      <c r="M1321" s="9"/>
      <c r="N1321" s="10" t="str">
        <f aca="false">IF($B1321="","",$L1321-$M1321)</f>
        <v/>
      </c>
      <c r="O1321" s="10" t="str">
        <f aca="false">IF($B1321="","",IFERROR(INDEX(Drinks!$E$4:$E$53,MATCH($B1321,Drinks!$A$4:$A$53,0)),0))</f>
        <v/>
      </c>
      <c r="P1321" s="10" t="str">
        <f aca="false">IF($B1321="","",$N1321*$O1321)</f>
        <v/>
      </c>
      <c r="Q1321" s="10" t="str">
        <f aca="false">IF($B1321="","",$N1321*IFERROR(INDEX(Drinks!$D$4:$D$53,MATCH($B1321,Drinks!$A$4:$A$53,0)),0))</f>
        <v/>
      </c>
      <c r="R1321" s="10" t="str">
        <f aca="false">IF($B1321="","",$P1321-$Q1321)</f>
        <v/>
      </c>
      <c r="S1321" s="23" t="str">
        <f aca="false">IF($B1321="","",IF(COUNTIFS($A$4:$A$2003,$A1321-1,$B$4:$B$2003,$B1321)=0,"first day",IF(SUMIFS($M$4:$M$2003,$A$4:$A$2003,$A1321-1,$B$4:$B$2003,$B1321)=$J1321,"OK","CHECK")))</f>
        <v/>
      </c>
      <c r="T1321" s="10" t="str">
        <f aca="false">IF($B1321="","",IFERROR(INDEX(Drinks!$D$4:$D$53,MATCH($B1321,Drinks!$A$4:$A$53,0)),0))</f>
        <v/>
      </c>
    </row>
    <row r="1322" customFormat="false" ht="15" hidden="false" customHeight="false" outlineLevel="0" collapsed="false">
      <c r="A1322" s="22"/>
      <c r="B1322" s="9"/>
      <c r="C1322" s="9"/>
      <c r="D1322" s="9"/>
      <c r="E1322" s="9"/>
      <c r="F1322" s="10" t="str">
        <f aca="false">IF($B1322="","",$C1322+$D1322-$E1322)</f>
        <v/>
      </c>
      <c r="G1322" s="10" t="str">
        <f aca="false">IF($B1322="","",IFERROR(INDEX(Drinks!$C$4:$C$53,MATCH($B1322,Drinks!$A$4:$A$53,0)),0))</f>
        <v/>
      </c>
      <c r="H1322" s="10" t="str">
        <f aca="false">IF($B1322="","",$D1322*$G1322)</f>
        <v/>
      </c>
      <c r="I1322" s="10" t="str">
        <f aca="false">IF($B1322="","",$F1322*$G1322)</f>
        <v/>
      </c>
      <c r="J1322" s="9"/>
      <c r="K1322" s="10" t="str">
        <f aca="false">IF($B1322="","",$E1322*IFERROR(INDEX(Drinks!$B$4:$B$53,MATCH($B1322,Drinks!$A$4:$A$53,0)),0))</f>
        <v/>
      </c>
      <c r="L1322" s="10" t="str">
        <f aca="false">IF($B1322="","",$J1322+$K1322)</f>
        <v/>
      </c>
      <c r="M1322" s="9"/>
      <c r="N1322" s="10" t="str">
        <f aca="false">IF($B1322="","",$L1322-$M1322)</f>
        <v/>
      </c>
      <c r="O1322" s="10" t="str">
        <f aca="false">IF($B1322="","",IFERROR(INDEX(Drinks!$E$4:$E$53,MATCH($B1322,Drinks!$A$4:$A$53,0)),0))</f>
        <v/>
      </c>
      <c r="P1322" s="10" t="str">
        <f aca="false">IF($B1322="","",$N1322*$O1322)</f>
        <v/>
      </c>
      <c r="Q1322" s="10" t="str">
        <f aca="false">IF($B1322="","",$N1322*IFERROR(INDEX(Drinks!$D$4:$D$53,MATCH($B1322,Drinks!$A$4:$A$53,0)),0))</f>
        <v/>
      </c>
      <c r="R1322" s="10" t="str">
        <f aca="false">IF($B1322="","",$P1322-$Q1322)</f>
        <v/>
      </c>
      <c r="S1322" s="23" t="str">
        <f aca="false">IF($B1322="","",IF(COUNTIFS($A$4:$A$2003,$A1322-1,$B$4:$B$2003,$B1322)=0,"first day",IF(SUMIFS($M$4:$M$2003,$A$4:$A$2003,$A1322-1,$B$4:$B$2003,$B1322)=$J1322,"OK","CHECK")))</f>
        <v/>
      </c>
      <c r="T1322" s="10" t="str">
        <f aca="false">IF($B1322="","",IFERROR(INDEX(Drinks!$D$4:$D$53,MATCH($B1322,Drinks!$A$4:$A$53,0)),0))</f>
        <v/>
      </c>
    </row>
    <row r="1323" customFormat="false" ht="15" hidden="false" customHeight="false" outlineLevel="0" collapsed="false">
      <c r="A1323" s="22"/>
      <c r="B1323" s="9"/>
      <c r="C1323" s="9"/>
      <c r="D1323" s="9"/>
      <c r="E1323" s="9"/>
      <c r="F1323" s="10" t="str">
        <f aca="false">IF($B1323="","",$C1323+$D1323-$E1323)</f>
        <v/>
      </c>
      <c r="G1323" s="10" t="str">
        <f aca="false">IF($B1323="","",IFERROR(INDEX(Drinks!$C$4:$C$53,MATCH($B1323,Drinks!$A$4:$A$53,0)),0))</f>
        <v/>
      </c>
      <c r="H1323" s="10" t="str">
        <f aca="false">IF($B1323="","",$D1323*$G1323)</f>
        <v/>
      </c>
      <c r="I1323" s="10" t="str">
        <f aca="false">IF($B1323="","",$F1323*$G1323)</f>
        <v/>
      </c>
      <c r="J1323" s="9"/>
      <c r="K1323" s="10" t="str">
        <f aca="false">IF($B1323="","",$E1323*IFERROR(INDEX(Drinks!$B$4:$B$53,MATCH($B1323,Drinks!$A$4:$A$53,0)),0))</f>
        <v/>
      </c>
      <c r="L1323" s="10" t="str">
        <f aca="false">IF($B1323="","",$J1323+$K1323)</f>
        <v/>
      </c>
      <c r="M1323" s="9"/>
      <c r="N1323" s="10" t="str">
        <f aca="false">IF($B1323="","",$L1323-$M1323)</f>
        <v/>
      </c>
      <c r="O1323" s="10" t="str">
        <f aca="false">IF($B1323="","",IFERROR(INDEX(Drinks!$E$4:$E$53,MATCH($B1323,Drinks!$A$4:$A$53,0)),0))</f>
        <v/>
      </c>
      <c r="P1323" s="10" t="str">
        <f aca="false">IF($B1323="","",$N1323*$O1323)</f>
        <v/>
      </c>
      <c r="Q1323" s="10" t="str">
        <f aca="false">IF($B1323="","",$N1323*IFERROR(INDEX(Drinks!$D$4:$D$53,MATCH($B1323,Drinks!$A$4:$A$53,0)),0))</f>
        <v/>
      </c>
      <c r="R1323" s="10" t="str">
        <f aca="false">IF($B1323="","",$P1323-$Q1323)</f>
        <v/>
      </c>
      <c r="S1323" s="23" t="str">
        <f aca="false">IF($B1323="","",IF(COUNTIFS($A$4:$A$2003,$A1323-1,$B$4:$B$2003,$B1323)=0,"first day",IF(SUMIFS($M$4:$M$2003,$A$4:$A$2003,$A1323-1,$B$4:$B$2003,$B1323)=$J1323,"OK","CHECK")))</f>
        <v/>
      </c>
      <c r="T1323" s="10" t="str">
        <f aca="false">IF($B1323="","",IFERROR(INDEX(Drinks!$D$4:$D$53,MATCH($B1323,Drinks!$A$4:$A$53,0)),0))</f>
        <v/>
      </c>
    </row>
    <row r="1324" customFormat="false" ht="15" hidden="false" customHeight="false" outlineLevel="0" collapsed="false">
      <c r="A1324" s="22"/>
      <c r="B1324" s="9"/>
      <c r="C1324" s="9"/>
      <c r="D1324" s="9"/>
      <c r="E1324" s="9"/>
      <c r="F1324" s="10" t="str">
        <f aca="false">IF($B1324="","",$C1324+$D1324-$E1324)</f>
        <v/>
      </c>
      <c r="G1324" s="10" t="str">
        <f aca="false">IF($B1324="","",IFERROR(INDEX(Drinks!$C$4:$C$53,MATCH($B1324,Drinks!$A$4:$A$53,0)),0))</f>
        <v/>
      </c>
      <c r="H1324" s="10" t="str">
        <f aca="false">IF($B1324="","",$D1324*$G1324)</f>
        <v/>
      </c>
      <c r="I1324" s="10" t="str">
        <f aca="false">IF($B1324="","",$F1324*$G1324)</f>
        <v/>
      </c>
      <c r="J1324" s="9"/>
      <c r="K1324" s="10" t="str">
        <f aca="false">IF($B1324="","",$E1324*IFERROR(INDEX(Drinks!$B$4:$B$53,MATCH($B1324,Drinks!$A$4:$A$53,0)),0))</f>
        <v/>
      </c>
      <c r="L1324" s="10" t="str">
        <f aca="false">IF($B1324="","",$J1324+$K1324)</f>
        <v/>
      </c>
      <c r="M1324" s="9"/>
      <c r="N1324" s="10" t="str">
        <f aca="false">IF($B1324="","",$L1324-$M1324)</f>
        <v/>
      </c>
      <c r="O1324" s="10" t="str">
        <f aca="false">IF($B1324="","",IFERROR(INDEX(Drinks!$E$4:$E$53,MATCH($B1324,Drinks!$A$4:$A$53,0)),0))</f>
        <v/>
      </c>
      <c r="P1324" s="10" t="str">
        <f aca="false">IF($B1324="","",$N1324*$O1324)</f>
        <v/>
      </c>
      <c r="Q1324" s="10" t="str">
        <f aca="false">IF($B1324="","",$N1324*IFERROR(INDEX(Drinks!$D$4:$D$53,MATCH($B1324,Drinks!$A$4:$A$53,0)),0))</f>
        <v/>
      </c>
      <c r="R1324" s="10" t="str">
        <f aca="false">IF($B1324="","",$P1324-$Q1324)</f>
        <v/>
      </c>
      <c r="S1324" s="23" t="str">
        <f aca="false">IF($B1324="","",IF(COUNTIFS($A$4:$A$2003,$A1324-1,$B$4:$B$2003,$B1324)=0,"first day",IF(SUMIFS($M$4:$M$2003,$A$4:$A$2003,$A1324-1,$B$4:$B$2003,$B1324)=$J1324,"OK","CHECK")))</f>
        <v/>
      </c>
      <c r="T1324" s="10" t="str">
        <f aca="false">IF($B1324="","",IFERROR(INDEX(Drinks!$D$4:$D$53,MATCH($B1324,Drinks!$A$4:$A$53,0)),0))</f>
        <v/>
      </c>
    </row>
    <row r="1325" customFormat="false" ht="15" hidden="false" customHeight="false" outlineLevel="0" collapsed="false">
      <c r="A1325" s="22"/>
      <c r="B1325" s="9"/>
      <c r="C1325" s="9"/>
      <c r="D1325" s="9"/>
      <c r="E1325" s="9"/>
      <c r="F1325" s="10" t="str">
        <f aca="false">IF($B1325="","",$C1325+$D1325-$E1325)</f>
        <v/>
      </c>
      <c r="G1325" s="10" t="str">
        <f aca="false">IF($B1325="","",IFERROR(INDEX(Drinks!$C$4:$C$53,MATCH($B1325,Drinks!$A$4:$A$53,0)),0))</f>
        <v/>
      </c>
      <c r="H1325" s="10" t="str">
        <f aca="false">IF($B1325="","",$D1325*$G1325)</f>
        <v/>
      </c>
      <c r="I1325" s="10" t="str">
        <f aca="false">IF($B1325="","",$F1325*$G1325)</f>
        <v/>
      </c>
      <c r="J1325" s="9"/>
      <c r="K1325" s="10" t="str">
        <f aca="false">IF($B1325="","",$E1325*IFERROR(INDEX(Drinks!$B$4:$B$53,MATCH($B1325,Drinks!$A$4:$A$53,0)),0))</f>
        <v/>
      </c>
      <c r="L1325" s="10" t="str">
        <f aca="false">IF($B1325="","",$J1325+$K1325)</f>
        <v/>
      </c>
      <c r="M1325" s="9"/>
      <c r="N1325" s="10" t="str">
        <f aca="false">IF($B1325="","",$L1325-$M1325)</f>
        <v/>
      </c>
      <c r="O1325" s="10" t="str">
        <f aca="false">IF($B1325="","",IFERROR(INDEX(Drinks!$E$4:$E$53,MATCH($B1325,Drinks!$A$4:$A$53,0)),0))</f>
        <v/>
      </c>
      <c r="P1325" s="10" t="str">
        <f aca="false">IF($B1325="","",$N1325*$O1325)</f>
        <v/>
      </c>
      <c r="Q1325" s="10" t="str">
        <f aca="false">IF($B1325="","",$N1325*IFERROR(INDEX(Drinks!$D$4:$D$53,MATCH($B1325,Drinks!$A$4:$A$53,0)),0))</f>
        <v/>
      </c>
      <c r="R1325" s="10" t="str">
        <f aca="false">IF($B1325="","",$P1325-$Q1325)</f>
        <v/>
      </c>
      <c r="S1325" s="23" t="str">
        <f aca="false">IF($B1325="","",IF(COUNTIFS($A$4:$A$2003,$A1325-1,$B$4:$B$2003,$B1325)=0,"first day",IF(SUMIFS($M$4:$M$2003,$A$4:$A$2003,$A1325-1,$B$4:$B$2003,$B1325)=$J1325,"OK","CHECK")))</f>
        <v/>
      </c>
      <c r="T1325" s="10" t="str">
        <f aca="false">IF($B1325="","",IFERROR(INDEX(Drinks!$D$4:$D$53,MATCH($B1325,Drinks!$A$4:$A$53,0)),0))</f>
        <v/>
      </c>
    </row>
    <row r="1326" customFormat="false" ht="15" hidden="false" customHeight="false" outlineLevel="0" collapsed="false">
      <c r="A1326" s="22"/>
      <c r="B1326" s="9"/>
      <c r="C1326" s="9"/>
      <c r="D1326" s="9"/>
      <c r="E1326" s="9"/>
      <c r="F1326" s="10" t="str">
        <f aca="false">IF($B1326="","",$C1326+$D1326-$E1326)</f>
        <v/>
      </c>
      <c r="G1326" s="10" t="str">
        <f aca="false">IF($B1326="","",IFERROR(INDEX(Drinks!$C$4:$C$53,MATCH($B1326,Drinks!$A$4:$A$53,0)),0))</f>
        <v/>
      </c>
      <c r="H1326" s="10" t="str">
        <f aca="false">IF($B1326="","",$D1326*$G1326)</f>
        <v/>
      </c>
      <c r="I1326" s="10" t="str">
        <f aca="false">IF($B1326="","",$F1326*$G1326)</f>
        <v/>
      </c>
      <c r="J1326" s="9"/>
      <c r="K1326" s="10" t="str">
        <f aca="false">IF($B1326="","",$E1326*IFERROR(INDEX(Drinks!$B$4:$B$53,MATCH($B1326,Drinks!$A$4:$A$53,0)),0))</f>
        <v/>
      </c>
      <c r="L1326" s="10" t="str">
        <f aca="false">IF($B1326="","",$J1326+$K1326)</f>
        <v/>
      </c>
      <c r="M1326" s="9"/>
      <c r="N1326" s="10" t="str">
        <f aca="false">IF($B1326="","",$L1326-$M1326)</f>
        <v/>
      </c>
      <c r="O1326" s="10" t="str">
        <f aca="false">IF($B1326="","",IFERROR(INDEX(Drinks!$E$4:$E$53,MATCH($B1326,Drinks!$A$4:$A$53,0)),0))</f>
        <v/>
      </c>
      <c r="P1326" s="10" t="str">
        <f aca="false">IF($B1326="","",$N1326*$O1326)</f>
        <v/>
      </c>
      <c r="Q1326" s="10" t="str">
        <f aca="false">IF($B1326="","",$N1326*IFERROR(INDEX(Drinks!$D$4:$D$53,MATCH($B1326,Drinks!$A$4:$A$53,0)),0))</f>
        <v/>
      </c>
      <c r="R1326" s="10" t="str">
        <f aca="false">IF($B1326="","",$P1326-$Q1326)</f>
        <v/>
      </c>
      <c r="S1326" s="23" t="str">
        <f aca="false">IF($B1326="","",IF(COUNTIFS($A$4:$A$2003,$A1326-1,$B$4:$B$2003,$B1326)=0,"first day",IF(SUMIFS($M$4:$M$2003,$A$4:$A$2003,$A1326-1,$B$4:$B$2003,$B1326)=$J1326,"OK","CHECK")))</f>
        <v/>
      </c>
      <c r="T1326" s="10" t="str">
        <f aca="false">IF($B1326="","",IFERROR(INDEX(Drinks!$D$4:$D$53,MATCH($B1326,Drinks!$A$4:$A$53,0)),0))</f>
        <v/>
      </c>
    </row>
    <row r="1327" customFormat="false" ht="15" hidden="false" customHeight="false" outlineLevel="0" collapsed="false">
      <c r="A1327" s="22"/>
      <c r="B1327" s="9"/>
      <c r="C1327" s="9"/>
      <c r="D1327" s="9"/>
      <c r="E1327" s="9"/>
      <c r="F1327" s="10" t="str">
        <f aca="false">IF($B1327="","",$C1327+$D1327-$E1327)</f>
        <v/>
      </c>
      <c r="G1327" s="10" t="str">
        <f aca="false">IF($B1327="","",IFERROR(INDEX(Drinks!$C$4:$C$53,MATCH($B1327,Drinks!$A$4:$A$53,0)),0))</f>
        <v/>
      </c>
      <c r="H1327" s="10" t="str">
        <f aca="false">IF($B1327="","",$D1327*$G1327)</f>
        <v/>
      </c>
      <c r="I1327" s="10" t="str">
        <f aca="false">IF($B1327="","",$F1327*$G1327)</f>
        <v/>
      </c>
      <c r="J1327" s="9"/>
      <c r="K1327" s="10" t="str">
        <f aca="false">IF($B1327="","",$E1327*IFERROR(INDEX(Drinks!$B$4:$B$53,MATCH($B1327,Drinks!$A$4:$A$53,0)),0))</f>
        <v/>
      </c>
      <c r="L1327" s="10" t="str">
        <f aca="false">IF($B1327="","",$J1327+$K1327)</f>
        <v/>
      </c>
      <c r="M1327" s="9"/>
      <c r="N1327" s="10" t="str">
        <f aca="false">IF($B1327="","",$L1327-$M1327)</f>
        <v/>
      </c>
      <c r="O1327" s="10" t="str">
        <f aca="false">IF($B1327="","",IFERROR(INDEX(Drinks!$E$4:$E$53,MATCH($B1327,Drinks!$A$4:$A$53,0)),0))</f>
        <v/>
      </c>
      <c r="P1327" s="10" t="str">
        <f aca="false">IF($B1327="","",$N1327*$O1327)</f>
        <v/>
      </c>
      <c r="Q1327" s="10" t="str">
        <f aca="false">IF($B1327="","",$N1327*IFERROR(INDEX(Drinks!$D$4:$D$53,MATCH($B1327,Drinks!$A$4:$A$53,0)),0))</f>
        <v/>
      </c>
      <c r="R1327" s="10" t="str">
        <f aca="false">IF($B1327="","",$P1327-$Q1327)</f>
        <v/>
      </c>
      <c r="S1327" s="23" t="str">
        <f aca="false">IF($B1327="","",IF(COUNTIFS($A$4:$A$2003,$A1327-1,$B$4:$B$2003,$B1327)=0,"first day",IF(SUMIFS($M$4:$M$2003,$A$4:$A$2003,$A1327-1,$B$4:$B$2003,$B1327)=$J1327,"OK","CHECK")))</f>
        <v/>
      </c>
      <c r="T1327" s="10" t="str">
        <f aca="false">IF($B1327="","",IFERROR(INDEX(Drinks!$D$4:$D$53,MATCH($B1327,Drinks!$A$4:$A$53,0)),0))</f>
        <v/>
      </c>
    </row>
    <row r="1328" customFormat="false" ht="15" hidden="false" customHeight="false" outlineLevel="0" collapsed="false">
      <c r="A1328" s="22"/>
      <c r="B1328" s="9"/>
      <c r="C1328" s="9"/>
      <c r="D1328" s="9"/>
      <c r="E1328" s="9"/>
      <c r="F1328" s="10" t="str">
        <f aca="false">IF($B1328="","",$C1328+$D1328-$E1328)</f>
        <v/>
      </c>
      <c r="G1328" s="10" t="str">
        <f aca="false">IF($B1328="","",IFERROR(INDEX(Drinks!$C$4:$C$53,MATCH($B1328,Drinks!$A$4:$A$53,0)),0))</f>
        <v/>
      </c>
      <c r="H1328" s="10" t="str">
        <f aca="false">IF($B1328="","",$D1328*$G1328)</f>
        <v/>
      </c>
      <c r="I1328" s="10" t="str">
        <f aca="false">IF($B1328="","",$F1328*$G1328)</f>
        <v/>
      </c>
      <c r="J1328" s="9"/>
      <c r="K1328" s="10" t="str">
        <f aca="false">IF($B1328="","",$E1328*IFERROR(INDEX(Drinks!$B$4:$B$53,MATCH($B1328,Drinks!$A$4:$A$53,0)),0))</f>
        <v/>
      </c>
      <c r="L1328" s="10" t="str">
        <f aca="false">IF($B1328="","",$J1328+$K1328)</f>
        <v/>
      </c>
      <c r="M1328" s="9"/>
      <c r="N1328" s="10" t="str">
        <f aca="false">IF($B1328="","",$L1328-$M1328)</f>
        <v/>
      </c>
      <c r="O1328" s="10" t="str">
        <f aca="false">IF($B1328="","",IFERROR(INDEX(Drinks!$E$4:$E$53,MATCH($B1328,Drinks!$A$4:$A$53,0)),0))</f>
        <v/>
      </c>
      <c r="P1328" s="10" t="str">
        <f aca="false">IF($B1328="","",$N1328*$O1328)</f>
        <v/>
      </c>
      <c r="Q1328" s="10" t="str">
        <f aca="false">IF($B1328="","",$N1328*IFERROR(INDEX(Drinks!$D$4:$D$53,MATCH($B1328,Drinks!$A$4:$A$53,0)),0))</f>
        <v/>
      </c>
      <c r="R1328" s="10" t="str">
        <f aca="false">IF($B1328="","",$P1328-$Q1328)</f>
        <v/>
      </c>
      <c r="S1328" s="23" t="str">
        <f aca="false">IF($B1328="","",IF(COUNTIFS($A$4:$A$2003,$A1328-1,$B$4:$B$2003,$B1328)=0,"first day",IF(SUMIFS($M$4:$M$2003,$A$4:$A$2003,$A1328-1,$B$4:$B$2003,$B1328)=$J1328,"OK","CHECK")))</f>
        <v/>
      </c>
      <c r="T1328" s="10" t="str">
        <f aca="false">IF($B1328="","",IFERROR(INDEX(Drinks!$D$4:$D$53,MATCH($B1328,Drinks!$A$4:$A$53,0)),0))</f>
        <v/>
      </c>
    </row>
    <row r="1329" customFormat="false" ht="15" hidden="false" customHeight="false" outlineLevel="0" collapsed="false">
      <c r="A1329" s="22"/>
      <c r="B1329" s="9"/>
      <c r="C1329" s="9"/>
      <c r="D1329" s="9"/>
      <c r="E1329" s="9"/>
      <c r="F1329" s="10" t="str">
        <f aca="false">IF($B1329="","",$C1329+$D1329-$E1329)</f>
        <v/>
      </c>
      <c r="G1329" s="10" t="str">
        <f aca="false">IF($B1329="","",IFERROR(INDEX(Drinks!$C$4:$C$53,MATCH($B1329,Drinks!$A$4:$A$53,0)),0))</f>
        <v/>
      </c>
      <c r="H1329" s="10" t="str">
        <f aca="false">IF($B1329="","",$D1329*$G1329)</f>
        <v/>
      </c>
      <c r="I1329" s="10" t="str">
        <f aca="false">IF($B1329="","",$F1329*$G1329)</f>
        <v/>
      </c>
      <c r="J1329" s="9"/>
      <c r="K1329" s="10" t="str">
        <f aca="false">IF($B1329="","",$E1329*IFERROR(INDEX(Drinks!$B$4:$B$53,MATCH($B1329,Drinks!$A$4:$A$53,0)),0))</f>
        <v/>
      </c>
      <c r="L1329" s="10" t="str">
        <f aca="false">IF($B1329="","",$J1329+$K1329)</f>
        <v/>
      </c>
      <c r="M1329" s="9"/>
      <c r="N1329" s="10" t="str">
        <f aca="false">IF($B1329="","",$L1329-$M1329)</f>
        <v/>
      </c>
      <c r="O1329" s="10" t="str">
        <f aca="false">IF($B1329="","",IFERROR(INDEX(Drinks!$E$4:$E$53,MATCH($B1329,Drinks!$A$4:$A$53,0)),0))</f>
        <v/>
      </c>
      <c r="P1329" s="10" t="str">
        <f aca="false">IF($B1329="","",$N1329*$O1329)</f>
        <v/>
      </c>
      <c r="Q1329" s="10" t="str">
        <f aca="false">IF($B1329="","",$N1329*IFERROR(INDEX(Drinks!$D$4:$D$53,MATCH($B1329,Drinks!$A$4:$A$53,0)),0))</f>
        <v/>
      </c>
      <c r="R1329" s="10" t="str">
        <f aca="false">IF($B1329="","",$P1329-$Q1329)</f>
        <v/>
      </c>
      <c r="S1329" s="23" t="str">
        <f aca="false">IF($B1329="","",IF(COUNTIFS($A$4:$A$2003,$A1329-1,$B$4:$B$2003,$B1329)=0,"first day",IF(SUMIFS($M$4:$M$2003,$A$4:$A$2003,$A1329-1,$B$4:$B$2003,$B1329)=$J1329,"OK","CHECK")))</f>
        <v/>
      </c>
      <c r="T1329" s="10" t="str">
        <f aca="false">IF($B1329="","",IFERROR(INDEX(Drinks!$D$4:$D$53,MATCH($B1329,Drinks!$A$4:$A$53,0)),0))</f>
        <v/>
      </c>
    </row>
    <row r="1330" customFormat="false" ht="15" hidden="false" customHeight="false" outlineLevel="0" collapsed="false">
      <c r="A1330" s="22"/>
      <c r="B1330" s="9"/>
      <c r="C1330" s="9"/>
      <c r="D1330" s="9"/>
      <c r="E1330" s="9"/>
      <c r="F1330" s="10" t="str">
        <f aca="false">IF($B1330="","",$C1330+$D1330-$E1330)</f>
        <v/>
      </c>
      <c r="G1330" s="10" t="str">
        <f aca="false">IF($B1330="","",IFERROR(INDEX(Drinks!$C$4:$C$53,MATCH($B1330,Drinks!$A$4:$A$53,0)),0))</f>
        <v/>
      </c>
      <c r="H1330" s="10" t="str">
        <f aca="false">IF($B1330="","",$D1330*$G1330)</f>
        <v/>
      </c>
      <c r="I1330" s="10" t="str">
        <f aca="false">IF($B1330="","",$F1330*$G1330)</f>
        <v/>
      </c>
      <c r="J1330" s="9"/>
      <c r="K1330" s="10" t="str">
        <f aca="false">IF($B1330="","",$E1330*IFERROR(INDEX(Drinks!$B$4:$B$53,MATCH($B1330,Drinks!$A$4:$A$53,0)),0))</f>
        <v/>
      </c>
      <c r="L1330" s="10" t="str">
        <f aca="false">IF($B1330="","",$J1330+$K1330)</f>
        <v/>
      </c>
      <c r="M1330" s="9"/>
      <c r="N1330" s="10" t="str">
        <f aca="false">IF($B1330="","",$L1330-$M1330)</f>
        <v/>
      </c>
      <c r="O1330" s="10" t="str">
        <f aca="false">IF($B1330="","",IFERROR(INDEX(Drinks!$E$4:$E$53,MATCH($B1330,Drinks!$A$4:$A$53,0)),0))</f>
        <v/>
      </c>
      <c r="P1330" s="10" t="str">
        <f aca="false">IF($B1330="","",$N1330*$O1330)</f>
        <v/>
      </c>
      <c r="Q1330" s="10" t="str">
        <f aca="false">IF($B1330="","",$N1330*IFERROR(INDEX(Drinks!$D$4:$D$53,MATCH($B1330,Drinks!$A$4:$A$53,0)),0))</f>
        <v/>
      </c>
      <c r="R1330" s="10" t="str">
        <f aca="false">IF($B1330="","",$P1330-$Q1330)</f>
        <v/>
      </c>
      <c r="S1330" s="23" t="str">
        <f aca="false">IF($B1330="","",IF(COUNTIFS($A$4:$A$2003,$A1330-1,$B$4:$B$2003,$B1330)=0,"first day",IF(SUMIFS($M$4:$M$2003,$A$4:$A$2003,$A1330-1,$B$4:$B$2003,$B1330)=$J1330,"OK","CHECK")))</f>
        <v/>
      </c>
      <c r="T1330" s="10" t="str">
        <f aca="false">IF($B1330="","",IFERROR(INDEX(Drinks!$D$4:$D$53,MATCH($B1330,Drinks!$A$4:$A$53,0)),0))</f>
        <v/>
      </c>
    </row>
    <row r="1331" customFormat="false" ht="15" hidden="false" customHeight="false" outlineLevel="0" collapsed="false">
      <c r="A1331" s="22"/>
      <c r="B1331" s="9"/>
      <c r="C1331" s="9"/>
      <c r="D1331" s="9"/>
      <c r="E1331" s="9"/>
      <c r="F1331" s="10" t="str">
        <f aca="false">IF($B1331="","",$C1331+$D1331-$E1331)</f>
        <v/>
      </c>
      <c r="G1331" s="10" t="str">
        <f aca="false">IF($B1331="","",IFERROR(INDEX(Drinks!$C$4:$C$53,MATCH($B1331,Drinks!$A$4:$A$53,0)),0))</f>
        <v/>
      </c>
      <c r="H1331" s="10" t="str">
        <f aca="false">IF($B1331="","",$D1331*$G1331)</f>
        <v/>
      </c>
      <c r="I1331" s="10" t="str">
        <f aca="false">IF($B1331="","",$F1331*$G1331)</f>
        <v/>
      </c>
      <c r="J1331" s="9"/>
      <c r="K1331" s="10" t="str">
        <f aca="false">IF($B1331="","",$E1331*IFERROR(INDEX(Drinks!$B$4:$B$53,MATCH($B1331,Drinks!$A$4:$A$53,0)),0))</f>
        <v/>
      </c>
      <c r="L1331" s="10" t="str">
        <f aca="false">IF($B1331="","",$J1331+$K1331)</f>
        <v/>
      </c>
      <c r="M1331" s="9"/>
      <c r="N1331" s="10" t="str">
        <f aca="false">IF($B1331="","",$L1331-$M1331)</f>
        <v/>
      </c>
      <c r="O1331" s="10" t="str">
        <f aca="false">IF($B1331="","",IFERROR(INDEX(Drinks!$E$4:$E$53,MATCH($B1331,Drinks!$A$4:$A$53,0)),0))</f>
        <v/>
      </c>
      <c r="P1331" s="10" t="str">
        <f aca="false">IF($B1331="","",$N1331*$O1331)</f>
        <v/>
      </c>
      <c r="Q1331" s="10" t="str">
        <f aca="false">IF($B1331="","",$N1331*IFERROR(INDEX(Drinks!$D$4:$D$53,MATCH($B1331,Drinks!$A$4:$A$53,0)),0))</f>
        <v/>
      </c>
      <c r="R1331" s="10" t="str">
        <f aca="false">IF($B1331="","",$P1331-$Q1331)</f>
        <v/>
      </c>
      <c r="S1331" s="23" t="str">
        <f aca="false">IF($B1331="","",IF(COUNTIFS($A$4:$A$2003,$A1331-1,$B$4:$B$2003,$B1331)=0,"first day",IF(SUMIFS($M$4:$M$2003,$A$4:$A$2003,$A1331-1,$B$4:$B$2003,$B1331)=$J1331,"OK","CHECK")))</f>
        <v/>
      </c>
      <c r="T1331" s="10" t="str">
        <f aca="false">IF($B1331="","",IFERROR(INDEX(Drinks!$D$4:$D$53,MATCH($B1331,Drinks!$A$4:$A$53,0)),0))</f>
        <v/>
      </c>
    </row>
    <row r="1332" customFormat="false" ht="15" hidden="false" customHeight="false" outlineLevel="0" collapsed="false">
      <c r="A1332" s="22"/>
      <c r="B1332" s="9"/>
      <c r="C1332" s="9"/>
      <c r="D1332" s="9"/>
      <c r="E1332" s="9"/>
      <c r="F1332" s="10" t="str">
        <f aca="false">IF($B1332="","",$C1332+$D1332-$E1332)</f>
        <v/>
      </c>
      <c r="G1332" s="10" t="str">
        <f aca="false">IF($B1332="","",IFERROR(INDEX(Drinks!$C$4:$C$53,MATCH($B1332,Drinks!$A$4:$A$53,0)),0))</f>
        <v/>
      </c>
      <c r="H1332" s="10" t="str">
        <f aca="false">IF($B1332="","",$D1332*$G1332)</f>
        <v/>
      </c>
      <c r="I1332" s="10" t="str">
        <f aca="false">IF($B1332="","",$F1332*$G1332)</f>
        <v/>
      </c>
      <c r="J1332" s="9"/>
      <c r="K1332" s="10" t="str">
        <f aca="false">IF($B1332="","",$E1332*IFERROR(INDEX(Drinks!$B$4:$B$53,MATCH($B1332,Drinks!$A$4:$A$53,0)),0))</f>
        <v/>
      </c>
      <c r="L1332" s="10" t="str">
        <f aca="false">IF($B1332="","",$J1332+$K1332)</f>
        <v/>
      </c>
      <c r="M1332" s="9"/>
      <c r="N1332" s="10" t="str">
        <f aca="false">IF($B1332="","",$L1332-$M1332)</f>
        <v/>
      </c>
      <c r="O1332" s="10" t="str">
        <f aca="false">IF($B1332="","",IFERROR(INDEX(Drinks!$E$4:$E$53,MATCH($B1332,Drinks!$A$4:$A$53,0)),0))</f>
        <v/>
      </c>
      <c r="P1332" s="10" t="str">
        <f aca="false">IF($B1332="","",$N1332*$O1332)</f>
        <v/>
      </c>
      <c r="Q1332" s="10" t="str">
        <f aca="false">IF($B1332="","",$N1332*IFERROR(INDEX(Drinks!$D$4:$D$53,MATCH($B1332,Drinks!$A$4:$A$53,0)),0))</f>
        <v/>
      </c>
      <c r="R1332" s="10" t="str">
        <f aca="false">IF($B1332="","",$P1332-$Q1332)</f>
        <v/>
      </c>
      <c r="S1332" s="23" t="str">
        <f aca="false">IF($B1332="","",IF(COUNTIFS($A$4:$A$2003,$A1332-1,$B$4:$B$2003,$B1332)=0,"first day",IF(SUMIFS($M$4:$M$2003,$A$4:$A$2003,$A1332-1,$B$4:$B$2003,$B1332)=$J1332,"OK","CHECK")))</f>
        <v/>
      </c>
      <c r="T1332" s="10" t="str">
        <f aca="false">IF($B1332="","",IFERROR(INDEX(Drinks!$D$4:$D$53,MATCH($B1332,Drinks!$A$4:$A$53,0)),0))</f>
        <v/>
      </c>
    </row>
    <row r="1333" customFormat="false" ht="15" hidden="false" customHeight="false" outlineLevel="0" collapsed="false">
      <c r="A1333" s="22"/>
      <c r="B1333" s="9"/>
      <c r="C1333" s="9"/>
      <c r="D1333" s="9"/>
      <c r="E1333" s="9"/>
      <c r="F1333" s="10" t="str">
        <f aca="false">IF($B1333="","",$C1333+$D1333-$E1333)</f>
        <v/>
      </c>
      <c r="G1333" s="10" t="str">
        <f aca="false">IF($B1333="","",IFERROR(INDEX(Drinks!$C$4:$C$53,MATCH($B1333,Drinks!$A$4:$A$53,0)),0))</f>
        <v/>
      </c>
      <c r="H1333" s="10" t="str">
        <f aca="false">IF($B1333="","",$D1333*$G1333)</f>
        <v/>
      </c>
      <c r="I1333" s="10" t="str">
        <f aca="false">IF($B1333="","",$F1333*$G1333)</f>
        <v/>
      </c>
      <c r="J1333" s="9"/>
      <c r="K1333" s="10" t="str">
        <f aca="false">IF($B1333="","",$E1333*IFERROR(INDEX(Drinks!$B$4:$B$53,MATCH($B1333,Drinks!$A$4:$A$53,0)),0))</f>
        <v/>
      </c>
      <c r="L1333" s="10" t="str">
        <f aca="false">IF($B1333="","",$J1333+$K1333)</f>
        <v/>
      </c>
      <c r="M1333" s="9"/>
      <c r="N1333" s="10" t="str">
        <f aca="false">IF($B1333="","",$L1333-$M1333)</f>
        <v/>
      </c>
      <c r="O1333" s="10" t="str">
        <f aca="false">IF($B1333="","",IFERROR(INDEX(Drinks!$E$4:$E$53,MATCH($B1333,Drinks!$A$4:$A$53,0)),0))</f>
        <v/>
      </c>
      <c r="P1333" s="10" t="str">
        <f aca="false">IF($B1333="","",$N1333*$O1333)</f>
        <v/>
      </c>
      <c r="Q1333" s="10" t="str">
        <f aca="false">IF($B1333="","",$N1333*IFERROR(INDEX(Drinks!$D$4:$D$53,MATCH($B1333,Drinks!$A$4:$A$53,0)),0))</f>
        <v/>
      </c>
      <c r="R1333" s="10" t="str">
        <f aca="false">IF($B1333="","",$P1333-$Q1333)</f>
        <v/>
      </c>
      <c r="S1333" s="23" t="str">
        <f aca="false">IF($B1333="","",IF(COUNTIFS($A$4:$A$2003,$A1333-1,$B$4:$B$2003,$B1333)=0,"first day",IF(SUMIFS($M$4:$M$2003,$A$4:$A$2003,$A1333-1,$B$4:$B$2003,$B1333)=$J1333,"OK","CHECK")))</f>
        <v/>
      </c>
      <c r="T1333" s="10" t="str">
        <f aca="false">IF($B1333="","",IFERROR(INDEX(Drinks!$D$4:$D$53,MATCH($B1333,Drinks!$A$4:$A$53,0)),0))</f>
        <v/>
      </c>
    </row>
    <row r="1334" customFormat="false" ht="15" hidden="false" customHeight="false" outlineLevel="0" collapsed="false">
      <c r="A1334" s="22"/>
      <c r="B1334" s="9"/>
      <c r="C1334" s="9"/>
      <c r="D1334" s="9"/>
      <c r="E1334" s="9"/>
      <c r="F1334" s="10" t="str">
        <f aca="false">IF($B1334="","",$C1334+$D1334-$E1334)</f>
        <v/>
      </c>
      <c r="G1334" s="10" t="str">
        <f aca="false">IF($B1334="","",IFERROR(INDEX(Drinks!$C$4:$C$53,MATCH($B1334,Drinks!$A$4:$A$53,0)),0))</f>
        <v/>
      </c>
      <c r="H1334" s="10" t="str">
        <f aca="false">IF($B1334="","",$D1334*$G1334)</f>
        <v/>
      </c>
      <c r="I1334" s="10" t="str">
        <f aca="false">IF($B1334="","",$F1334*$G1334)</f>
        <v/>
      </c>
      <c r="J1334" s="9"/>
      <c r="K1334" s="10" t="str">
        <f aca="false">IF($B1334="","",$E1334*IFERROR(INDEX(Drinks!$B$4:$B$53,MATCH($B1334,Drinks!$A$4:$A$53,0)),0))</f>
        <v/>
      </c>
      <c r="L1334" s="10" t="str">
        <f aca="false">IF($B1334="","",$J1334+$K1334)</f>
        <v/>
      </c>
      <c r="M1334" s="9"/>
      <c r="N1334" s="10" t="str">
        <f aca="false">IF($B1334="","",$L1334-$M1334)</f>
        <v/>
      </c>
      <c r="O1334" s="10" t="str">
        <f aca="false">IF($B1334="","",IFERROR(INDEX(Drinks!$E$4:$E$53,MATCH($B1334,Drinks!$A$4:$A$53,0)),0))</f>
        <v/>
      </c>
      <c r="P1334" s="10" t="str">
        <f aca="false">IF($B1334="","",$N1334*$O1334)</f>
        <v/>
      </c>
      <c r="Q1334" s="10" t="str">
        <f aca="false">IF($B1334="","",$N1334*IFERROR(INDEX(Drinks!$D$4:$D$53,MATCH($B1334,Drinks!$A$4:$A$53,0)),0))</f>
        <v/>
      </c>
      <c r="R1334" s="10" t="str">
        <f aca="false">IF($B1334="","",$P1334-$Q1334)</f>
        <v/>
      </c>
      <c r="S1334" s="23" t="str">
        <f aca="false">IF($B1334="","",IF(COUNTIFS($A$4:$A$2003,$A1334-1,$B$4:$B$2003,$B1334)=0,"first day",IF(SUMIFS($M$4:$M$2003,$A$4:$A$2003,$A1334-1,$B$4:$B$2003,$B1334)=$J1334,"OK","CHECK")))</f>
        <v/>
      </c>
      <c r="T1334" s="10" t="str">
        <f aca="false">IF($B1334="","",IFERROR(INDEX(Drinks!$D$4:$D$53,MATCH($B1334,Drinks!$A$4:$A$53,0)),0))</f>
        <v/>
      </c>
    </row>
    <row r="1335" customFormat="false" ht="15" hidden="false" customHeight="false" outlineLevel="0" collapsed="false">
      <c r="A1335" s="22"/>
      <c r="B1335" s="9"/>
      <c r="C1335" s="9"/>
      <c r="D1335" s="9"/>
      <c r="E1335" s="9"/>
      <c r="F1335" s="10" t="str">
        <f aca="false">IF($B1335="","",$C1335+$D1335-$E1335)</f>
        <v/>
      </c>
      <c r="G1335" s="10" t="str">
        <f aca="false">IF($B1335="","",IFERROR(INDEX(Drinks!$C$4:$C$53,MATCH($B1335,Drinks!$A$4:$A$53,0)),0))</f>
        <v/>
      </c>
      <c r="H1335" s="10" t="str">
        <f aca="false">IF($B1335="","",$D1335*$G1335)</f>
        <v/>
      </c>
      <c r="I1335" s="10" t="str">
        <f aca="false">IF($B1335="","",$F1335*$G1335)</f>
        <v/>
      </c>
      <c r="J1335" s="9"/>
      <c r="K1335" s="10" t="str">
        <f aca="false">IF($B1335="","",$E1335*IFERROR(INDEX(Drinks!$B$4:$B$53,MATCH($B1335,Drinks!$A$4:$A$53,0)),0))</f>
        <v/>
      </c>
      <c r="L1335" s="10" t="str">
        <f aca="false">IF($B1335="","",$J1335+$K1335)</f>
        <v/>
      </c>
      <c r="M1335" s="9"/>
      <c r="N1335" s="10" t="str">
        <f aca="false">IF($B1335="","",$L1335-$M1335)</f>
        <v/>
      </c>
      <c r="O1335" s="10" t="str">
        <f aca="false">IF($B1335="","",IFERROR(INDEX(Drinks!$E$4:$E$53,MATCH($B1335,Drinks!$A$4:$A$53,0)),0))</f>
        <v/>
      </c>
      <c r="P1335" s="10" t="str">
        <f aca="false">IF($B1335="","",$N1335*$O1335)</f>
        <v/>
      </c>
      <c r="Q1335" s="10" t="str">
        <f aca="false">IF($B1335="","",$N1335*IFERROR(INDEX(Drinks!$D$4:$D$53,MATCH($B1335,Drinks!$A$4:$A$53,0)),0))</f>
        <v/>
      </c>
      <c r="R1335" s="10" t="str">
        <f aca="false">IF($B1335="","",$P1335-$Q1335)</f>
        <v/>
      </c>
      <c r="S1335" s="23" t="str">
        <f aca="false">IF($B1335="","",IF(COUNTIFS($A$4:$A$2003,$A1335-1,$B$4:$B$2003,$B1335)=0,"first day",IF(SUMIFS($M$4:$M$2003,$A$4:$A$2003,$A1335-1,$B$4:$B$2003,$B1335)=$J1335,"OK","CHECK")))</f>
        <v/>
      </c>
      <c r="T1335" s="10" t="str">
        <f aca="false">IF($B1335="","",IFERROR(INDEX(Drinks!$D$4:$D$53,MATCH($B1335,Drinks!$A$4:$A$53,0)),0))</f>
        <v/>
      </c>
    </row>
    <row r="1336" customFormat="false" ht="15" hidden="false" customHeight="false" outlineLevel="0" collapsed="false">
      <c r="A1336" s="22"/>
      <c r="B1336" s="9"/>
      <c r="C1336" s="9"/>
      <c r="D1336" s="9"/>
      <c r="E1336" s="9"/>
      <c r="F1336" s="10" t="str">
        <f aca="false">IF($B1336="","",$C1336+$D1336-$E1336)</f>
        <v/>
      </c>
      <c r="G1336" s="10" t="str">
        <f aca="false">IF($B1336="","",IFERROR(INDEX(Drinks!$C$4:$C$53,MATCH($B1336,Drinks!$A$4:$A$53,0)),0))</f>
        <v/>
      </c>
      <c r="H1336" s="10" t="str">
        <f aca="false">IF($B1336="","",$D1336*$G1336)</f>
        <v/>
      </c>
      <c r="I1336" s="10" t="str">
        <f aca="false">IF($B1336="","",$F1336*$G1336)</f>
        <v/>
      </c>
      <c r="J1336" s="9"/>
      <c r="K1336" s="10" t="str">
        <f aca="false">IF($B1336="","",$E1336*IFERROR(INDEX(Drinks!$B$4:$B$53,MATCH($B1336,Drinks!$A$4:$A$53,0)),0))</f>
        <v/>
      </c>
      <c r="L1336" s="10" t="str">
        <f aca="false">IF($B1336="","",$J1336+$K1336)</f>
        <v/>
      </c>
      <c r="M1336" s="9"/>
      <c r="N1336" s="10" t="str">
        <f aca="false">IF($B1336="","",$L1336-$M1336)</f>
        <v/>
      </c>
      <c r="O1336" s="10" t="str">
        <f aca="false">IF($B1336="","",IFERROR(INDEX(Drinks!$E$4:$E$53,MATCH($B1336,Drinks!$A$4:$A$53,0)),0))</f>
        <v/>
      </c>
      <c r="P1336" s="10" t="str">
        <f aca="false">IF($B1336="","",$N1336*$O1336)</f>
        <v/>
      </c>
      <c r="Q1336" s="10" t="str">
        <f aca="false">IF($B1336="","",$N1336*IFERROR(INDEX(Drinks!$D$4:$D$53,MATCH($B1336,Drinks!$A$4:$A$53,0)),0))</f>
        <v/>
      </c>
      <c r="R1336" s="10" t="str">
        <f aca="false">IF($B1336="","",$P1336-$Q1336)</f>
        <v/>
      </c>
      <c r="S1336" s="23" t="str">
        <f aca="false">IF($B1336="","",IF(COUNTIFS($A$4:$A$2003,$A1336-1,$B$4:$B$2003,$B1336)=0,"first day",IF(SUMIFS($M$4:$M$2003,$A$4:$A$2003,$A1336-1,$B$4:$B$2003,$B1336)=$J1336,"OK","CHECK")))</f>
        <v/>
      </c>
      <c r="T1336" s="10" t="str">
        <f aca="false">IF($B1336="","",IFERROR(INDEX(Drinks!$D$4:$D$53,MATCH($B1336,Drinks!$A$4:$A$53,0)),0))</f>
        <v/>
      </c>
    </row>
    <row r="1337" customFormat="false" ht="15" hidden="false" customHeight="false" outlineLevel="0" collapsed="false">
      <c r="A1337" s="22"/>
      <c r="B1337" s="9"/>
      <c r="C1337" s="9"/>
      <c r="D1337" s="9"/>
      <c r="E1337" s="9"/>
      <c r="F1337" s="10" t="str">
        <f aca="false">IF($B1337="","",$C1337+$D1337-$E1337)</f>
        <v/>
      </c>
      <c r="G1337" s="10" t="str">
        <f aca="false">IF($B1337="","",IFERROR(INDEX(Drinks!$C$4:$C$53,MATCH($B1337,Drinks!$A$4:$A$53,0)),0))</f>
        <v/>
      </c>
      <c r="H1337" s="10" t="str">
        <f aca="false">IF($B1337="","",$D1337*$G1337)</f>
        <v/>
      </c>
      <c r="I1337" s="10" t="str">
        <f aca="false">IF($B1337="","",$F1337*$G1337)</f>
        <v/>
      </c>
      <c r="J1337" s="9"/>
      <c r="K1337" s="10" t="str">
        <f aca="false">IF($B1337="","",$E1337*IFERROR(INDEX(Drinks!$B$4:$B$53,MATCH($B1337,Drinks!$A$4:$A$53,0)),0))</f>
        <v/>
      </c>
      <c r="L1337" s="10" t="str">
        <f aca="false">IF($B1337="","",$J1337+$K1337)</f>
        <v/>
      </c>
      <c r="M1337" s="9"/>
      <c r="N1337" s="10" t="str">
        <f aca="false">IF($B1337="","",$L1337-$M1337)</f>
        <v/>
      </c>
      <c r="O1337" s="10" t="str">
        <f aca="false">IF($B1337="","",IFERROR(INDEX(Drinks!$E$4:$E$53,MATCH($B1337,Drinks!$A$4:$A$53,0)),0))</f>
        <v/>
      </c>
      <c r="P1337" s="10" t="str">
        <f aca="false">IF($B1337="","",$N1337*$O1337)</f>
        <v/>
      </c>
      <c r="Q1337" s="10" t="str">
        <f aca="false">IF($B1337="","",$N1337*IFERROR(INDEX(Drinks!$D$4:$D$53,MATCH($B1337,Drinks!$A$4:$A$53,0)),0))</f>
        <v/>
      </c>
      <c r="R1337" s="10" t="str">
        <f aca="false">IF($B1337="","",$P1337-$Q1337)</f>
        <v/>
      </c>
      <c r="S1337" s="23" t="str">
        <f aca="false">IF($B1337="","",IF(COUNTIFS($A$4:$A$2003,$A1337-1,$B$4:$B$2003,$B1337)=0,"first day",IF(SUMIFS($M$4:$M$2003,$A$4:$A$2003,$A1337-1,$B$4:$B$2003,$B1337)=$J1337,"OK","CHECK")))</f>
        <v/>
      </c>
      <c r="T1337" s="10" t="str">
        <f aca="false">IF($B1337="","",IFERROR(INDEX(Drinks!$D$4:$D$53,MATCH($B1337,Drinks!$A$4:$A$53,0)),0))</f>
        <v/>
      </c>
    </row>
    <row r="1338" customFormat="false" ht="15" hidden="false" customHeight="false" outlineLevel="0" collapsed="false">
      <c r="A1338" s="22"/>
      <c r="B1338" s="9"/>
      <c r="C1338" s="9"/>
      <c r="D1338" s="9"/>
      <c r="E1338" s="9"/>
      <c r="F1338" s="10" t="str">
        <f aca="false">IF($B1338="","",$C1338+$D1338-$E1338)</f>
        <v/>
      </c>
      <c r="G1338" s="10" t="str">
        <f aca="false">IF($B1338="","",IFERROR(INDEX(Drinks!$C$4:$C$53,MATCH($B1338,Drinks!$A$4:$A$53,0)),0))</f>
        <v/>
      </c>
      <c r="H1338" s="10" t="str">
        <f aca="false">IF($B1338="","",$D1338*$G1338)</f>
        <v/>
      </c>
      <c r="I1338" s="10" t="str">
        <f aca="false">IF($B1338="","",$F1338*$G1338)</f>
        <v/>
      </c>
      <c r="J1338" s="9"/>
      <c r="K1338" s="10" t="str">
        <f aca="false">IF($B1338="","",$E1338*IFERROR(INDEX(Drinks!$B$4:$B$53,MATCH($B1338,Drinks!$A$4:$A$53,0)),0))</f>
        <v/>
      </c>
      <c r="L1338" s="10" t="str">
        <f aca="false">IF($B1338="","",$J1338+$K1338)</f>
        <v/>
      </c>
      <c r="M1338" s="9"/>
      <c r="N1338" s="10" t="str">
        <f aca="false">IF($B1338="","",$L1338-$M1338)</f>
        <v/>
      </c>
      <c r="O1338" s="10" t="str">
        <f aca="false">IF($B1338="","",IFERROR(INDEX(Drinks!$E$4:$E$53,MATCH($B1338,Drinks!$A$4:$A$53,0)),0))</f>
        <v/>
      </c>
      <c r="P1338" s="10" t="str">
        <f aca="false">IF($B1338="","",$N1338*$O1338)</f>
        <v/>
      </c>
      <c r="Q1338" s="10" t="str">
        <f aca="false">IF($B1338="","",$N1338*IFERROR(INDEX(Drinks!$D$4:$D$53,MATCH($B1338,Drinks!$A$4:$A$53,0)),0))</f>
        <v/>
      </c>
      <c r="R1338" s="10" t="str">
        <f aca="false">IF($B1338="","",$P1338-$Q1338)</f>
        <v/>
      </c>
      <c r="S1338" s="23" t="str">
        <f aca="false">IF($B1338="","",IF(COUNTIFS($A$4:$A$2003,$A1338-1,$B$4:$B$2003,$B1338)=0,"first day",IF(SUMIFS($M$4:$M$2003,$A$4:$A$2003,$A1338-1,$B$4:$B$2003,$B1338)=$J1338,"OK","CHECK")))</f>
        <v/>
      </c>
      <c r="T1338" s="10" t="str">
        <f aca="false">IF($B1338="","",IFERROR(INDEX(Drinks!$D$4:$D$53,MATCH($B1338,Drinks!$A$4:$A$53,0)),0))</f>
        <v/>
      </c>
    </row>
    <row r="1339" customFormat="false" ht="15" hidden="false" customHeight="false" outlineLevel="0" collapsed="false">
      <c r="A1339" s="22"/>
      <c r="B1339" s="9"/>
      <c r="C1339" s="9"/>
      <c r="D1339" s="9"/>
      <c r="E1339" s="9"/>
      <c r="F1339" s="10" t="str">
        <f aca="false">IF($B1339="","",$C1339+$D1339-$E1339)</f>
        <v/>
      </c>
      <c r="G1339" s="10" t="str">
        <f aca="false">IF($B1339="","",IFERROR(INDEX(Drinks!$C$4:$C$53,MATCH($B1339,Drinks!$A$4:$A$53,0)),0))</f>
        <v/>
      </c>
      <c r="H1339" s="10" t="str">
        <f aca="false">IF($B1339="","",$D1339*$G1339)</f>
        <v/>
      </c>
      <c r="I1339" s="10" t="str">
        <f aca="false">IF($B1339="","",$F1339*$G1339)</f>
        <v/>
      </c>
      <c r="J1339" s="9"/>
      <c r="K1339" s="10" t="str">
        <f aca="false">IF($B1339="","",$E1339*IFERROR(INDEX(Drinks!$B$4:$B$53,MATCH($B1339,Drinks!$A$4:$A$53,0)),0))</f>
        <v/>
      </c>
      <c r="L1339" s="10" t="str">
        <f aca="false">IF($B1339="","",$J1339+$K1339)</f>
        <v/>
      </c>
      <c r="M1339" s="9"/>
      <c r="N1339" s="10" t="str">
        <f aca="false">IF($B1339="","",$L1339-$M1339)</f>
        <v/>
      </c>
      <c r="O1339" s="10" t="str">
        <f aca="false">IF($B1339="","",IFERROR(INDEX(Drinks!$E$4:$E$53,MATCH($B1339,Drinks!$A$4:$A$53,0)),0))</f>
        <v/>
      </c>
      <c r="P1339" s="10" t="str">
        <f aca="false">IF($B1339="","",$N1339*$O1339)</f>
        <v/>
      </c>
      <c r="Q1339" s="10" t="str">
        <f aca="false">IF($B1339="","",$N1339*IFERROR(INDEX(Drinks!$D$4:$D$53,MATCH($B1339,Drinks!$A$4:$A$53,0)),0))</f>
        <v/>
      </c>
      <c r="R1339" s="10" t="str">
        <f aca="false">IF($B1339="","",$P1339-$Q1339)</f>
        <v/>
      </c>
      <c r="S1339" s="23" t="str">
        <f aca="false">IF($B1339="","",IF(COUNTIFS($A$4:$A$2003,$A1339-1,$B$4:$B$2003,$B1339)=0,"first day",IF(SUMIFS($M$4:$M$2003,$A$4:$A$2003,$A1339-1,$B$4:$B$2003,$B1339)=$J1339,"OK","CHECK")))</f>
        <v/>
      </c>
      <c r="T1339" s="10" t="str">
        <f aca="false">IF($B1339="","",IFERROR(INDEX(Drinks!$D$4:$D$53,MATCH($B1339,Drinks!$A$4:$A$53,0)),0))</f>
        <v/>
      </c>
    </row>
    <row r="1340" customFormat="false" ht="15" hidden="false" customHeight="false" outlineLevel="0" collapsed="false">
      <c r="A1340" s="22"/>
      <c r="B1340" s="9"/>
      <c r="C1340" s="9"/>
      <c r="D1340" s="9"/>
      <c r="E1340" s="9"/>
      <c r="F1340" s="10" t="str">
        <f aca="false">IF($B1340="","",$C1340+$D1340-$E1340)</f>
        <v/>
      </c>
      <c r="G1340" s="10" t="str">
        <f aca="false">IF($B1340="","",IFERROR(INDEX(Drinks!$C$4:$C$53,MATCH($B1340,Drinks!$A$4:$A$53,0)),0))</f>
        <v/>
      </c>
      <c r="H1340" s="10" t="str">
        <f aca="false">IF($B1340="","",$D1340*$G1340)</f>
        <v/>
      </c>
      <c r="I1340" s="10" t="str">
        <f aca="false">IF($B1340="","",$F1340*$G1340)</f>
        <v/>
      </c>
      <c r="J1340" s="9"/>
      <c r="K1340" s="10" t="str">
        <f aca="false">IF($B1340="","",$E1340*IFERROR(INDEX(Drinks!$B$4:$B$53,MATCH($B1340,Drinks!$A$4:$A$53,0)),0))</f>
        <v/>
      </c>
      <c r="L1340" s="10" t="str">
        <f aca="false">IF($B1340="","",$J1340+$K1340)</f>
        <v/>
      </c>
      <c r="M1340" s="9"/>
      <c r="N1340" s="10" t="str">
        <f aca="false">IF($B1340="","",$L1340-$M1340)</f>
        <v/>
      </c>
      <c r="O1340" s="10" t="str">
        <f aca="false">IF($B1340="","",IFERROR(INDEX(Drinks!$E$4:$E$53,MATCH($B1340,Drinks!$A$4:$A$53,0)),0))</f>
        <v/>
      </c>
      <c r="P1340" s="10" t="str">
        <f aca="false">IF($B1340="","",$N1340*$O1340)</f>
        <v/>
      </c>
      <c r="Q1340" s="10" t="str">
        <f aca="false">IF($B1340="","",$N1340*IFERROR(INDEX(Drinks!$D$4:$D$53,MATCH($B1340,Drinks!$A$4:$A$53,0)),0))</f>
        <v/>
      </c>
      <c r="R1340" s="10" t="str">
        <f aca="false">IF($B1340="","",$P1340-$Q1340)</f>
        <v/>
      </c>
      <c r="S1340" s="23" t="str">
        <f aca="false">IF($B1340="","",IF(COUNTIFS($A$4:$A$2003,$A1340-1,$B$4:$B$2003,$B1340)=0,"first day",IF(SUMIFS($M$4:$M$2003,$A$4:$A$2003,$A1340-1,$B$4:$B$2003,$B1340)=$J1340,"OK","CHECK")))</f>
        <v/>
      </c>
      <c r="T1340" s="10" t="str">
        <f aca="false">IF($B1340="","",IFERROR(INDEX(Drinks!$D$4:$D$53,MATCH($B1340,Drinks!$A$4:$A$53,0)),0))</f>
        <v/>
      </c>
    </row>
    <row r="1341" customFormat="false" ht="15" hidden="false" customHeight="false" outlineLevel="0" collapsed="false">
      <c r="A1341" s="22"/>
      <c r="B1341" s="9"/>
      <c r="C1341" s="9"/>
      <c r="D1341" s="9"/>
      <c r="E1341" s="9"/>
      <c r="F1341" s="10" t="str">
        <f aca="false">IF($B1341="","",$C1341+$D1341-$E1341)</f>
        <v/>
      </c>
      <c r="G1341" s="10" t="str">
        <f aca="false">IF($B1341="","",IFERROR(INDEX(Drinks!$C$4:$C$53,MATCH($B1341,Drinks!$A$4:$A$53,0)),0))</f>
        <v/>
      </c>
      <c r="H1341" s="10" t="str">
        <f aca="false">IF($B1341="","",$D1341*$G1341)</f>
        <v/>
      </c>
      <c r="I1341" s="10" t="str">
        <f aca="false">IF($B1341="","",$F1341*$G1341)</f>
        <v/>
      </c>
      <c r="J1341" s="9"/>
      <c r="K1341" s="10" t="str">
        <f aca="false">IF($B1341="","",$E1341*IFERROR(INDEX(Drinks!$B$4:$B$53,MATCH($B1341,Drinks!$A$4:$A$53,0)),0))</f>
        <v/>
      </c>
      <c r="L1341" s="10" t="str">
        <f aca="false">IF($B1341="","",$J1341+$K1341)</f>
        <v/>
      </c>
      <c r="M1341" s="9"/>
      <c r="N1341" s="10" t="str">
        <f aca="false">IF($B1341="","",$L1341-$M1341)</f>
        <v/>
      </c>
      <c r="O1341" s="10" t="str">
        <f aca="false">IF($B1341="","",IFERROR(INDEX(Drinks!$E$4:$E$53,MATCH($B1341,Drinks!$A$4:$A$53,0)),0))</f>
        <v/>
      </c>
      <c r="P1341" s="10" t="str">
        <f aca="false">IF($B1341="","",$N1341*$O1341)</f>
        <v/>
      </c>
      <c r="Q1341" s="10" t="str">
        <f aca="false">IF($B1341="","",$N1341*IFERROR(INDEX(Drinks!$D$4:$D$53,MATCH($B1341,Drinks!$A$4:$A$53,0)),0))</f>
        <v/>
      </c>
      <c r="R1341" s="10" t="str">
        <f aca="false">IF($B1341="","",$P1341-$Q1341)</f>
        <v/>
      </c>
      <c r="S1341" s="23" t="str">
        <f aca="false">IF($B1341="","",IF(COUNTIFS($A$4:$A$2003,$A1341-1,$B$4:$B$2003,$B1341)=0,"first day",IF(SUMIFS($M$4:$M$2003,$A$4:$A$2003,$A1341-1,$B$4:$B$2003,$B1341)=$J1341,"OK","CHECK")))</f>
        <v/>
      </c>
      <c r="T1341" s="10" t="str">
        <f aca="false">IF($B1341="","",IFERROR(INDEX(Drinks!$D$4:$D$53,MATCH($B1341,Drinks!$A$4:$A$53,0)),0))</f>
        <v/>
      </c>
    </row>
    <row r="1342" customFormat="false" ht="15" hidden="false" customHeight="false" outlineLevel="0" collapsed="false">
      <c r="A1342" s="22"/>
      <c r="B1342" s="9"/>
      <c r="C1342" s="9"/>
      <c r="D1342" s="9"/>
      <c r="E1342" s="9"/>
      <c r="F1342" s="10" t="str">
        <f aca="false">IF($B1342="","",$C1342+$D1342-$E1342)</f>
        <v/>
      </c>
      <c r="G1342" s="10" t="str">
        <f aca="false">IF($B1342="","",IFERROR(INDEX(Drinks!$C$4:$C$53,MATCH($B1342,Drinks!$A$4:$A$53,0)),0))</f>
        <v/>
      </c>
      <c r="H1342" s="10" t="str">
        <f aca="false">IF($B1342="","",$D1342*$G1342)</f>
        <v/>
      </c>
      <c r="I1342" s="10" t="str">
        <f aca="false">IF($B1342="","",$F1342*$G1342)</f>
        <v/>
      </c>
      <c r="J1342" s="9"/>
      <c r="K1342" s="10" t="str">
        <f aca="false">IF($B1342="","",$E1342*IFERROR(INDEX(Drinks!$B$4:$B$53,MATCH($B1342,Drinks!$A$4:$A$53,0)),0))</f>
        <v/>
      </c>
      <c r="L1342" s="10" t="str">
        <f aca="false">IF($B1342="","",$J1342+$K1342)</f>
        <v/>
      </c>
      <c r="M1342" s="9"/>
      <c r="N1342" s="10" t="str">
        <f aca="false">IF($B1342="","",$L1342-$M1342)</f>
        <v/>
      </c>
      <c r="O1342" s="10" t="str">
        <f aca="false">IF($B1342="","",IFERROR(INDEX(Drinks!$E$4:$E$53,MATCH($B1342,Drinks!$A$4:$A$53,0)),0))</f>
        <v/>
      </c>
      <c r="P1342" s="10" t="str">
        <f aca="false">IF($B1342="","",$N1342*$O1342)</f>
        <v/>
      </c>
      <c r="Q1342" s="10" t="str">
        <f aca="false">IF($B1342="","",$N1342*IFERROR(INDEX(Drinks!$D$4:$D$53,MATCH($B1342,Drinks!$A$4:$A$53,0)),0))</f>
        <v/>
      </c>
      <c r="R1342" s="10" t="str">
        <f aca="false">IF($B1342="","",$P1342-$Q1342)</f>
        <v/>
      </c>
      <c r="S1342" s="23" t="str">
        <f aca="false">IF($B1342="","",IF(COUNTIFS($A$4:$A$2003,$A1342-1,$B$4:$B$2003,$B1342)=0,"first day",IF(SUMIFS($M$4:$M$2003,$A$4:$A$2003,$A1342-1,$B$4:$B$2003,$B1342)=$J1342,"OK","CHECK")))</f>
        <v/>
      </c>
      <c r="T1342" s="10" t="str">
        <f aca="false">IF($B1342="","",IFERROR(INDEX(Drinks!$D$4:$D$53,MATCH($B1342,Drinks!$A$4:$A$53,0)),0))</f>
        <v/>
      </c>
    </row>
    <row r="1343" customFormat="false" ht="15" hidden="false" customHeight="false" outlineLevel="0" collapsed="false">
      <c r="A1343" s="22"/>
      <c r="B1343" s="9"/>
      <c r="C1343" s="9"/>
      <c r="D1343" s="9"/>
      <c r="E1343" s="9"/>
      <c r="F1343" s="10" t="str">
        <f aca="false">IF($B1343="","",$C1343+$D1343-$E1343)</f>
        <v/>
      </c>
      <c r="G1343" s="10" t="str">
        <f aca="false">IF($B1343="","",IFERROR(INDEX(Drinks!$C$4:$C$53,MATCH($B1343,Drinks!$A$4:$A$53,0)),0))</f>
        <v/>
      </c>
      <c r="H1343" s="10" t="str">
        <f aca="false">IF($B1343="","",$D1343*$G1343)</f>
        <v/>
      </c>
      <c r="I1343" s="10" t="str">
        <f aca="false">IF($B1343="","",$F1343*$G1343)</f>
        <v/>
      </c>
      <c r="J1343" s="9"/>
      <c r="K1343" s="10" t="str">
        <f aca="false">IF($B1343="","",$E1343*IFERROR(INDEX(Drinks!$B$4:$B$53,MATCH($B1343,Drinks!$A$4:$A$53,0)),0))</f>
        <v/>
      </c>
      <c r="L1343" s="10" t="str">
        <f aca="false">IF($B1343="","",$J1343+$K1343)</f>
        <v/>
      </c>
      <c r="M1343" s="9"/>
      <c r="N1343" s="10" t="str">
        <f aca="false">IF($B1343="","",$L1343-$M1343)</f>
        <v/>
      </c>
      <c r="O1343" s="10" t="str">
        <f aca="false">IF($B1343="","",IFERROR(INDEX(Drinks!$E$4:$E$53,MATCH($B1343,Drinks!$A$4:$A$53,0)),0))</f>
        <v/>
      </c>
      <c r="P1343" s="10" t="str">
        <f aca="false">IF($B1343="","",$N1343*$O1343)</f>
        <v/>
      </c>
      <c r="Q1343" s="10" t="str">
        <f aca="false">IF($B1343="","",$N1343*IFERROR(INDEX(Drinks!$D$4:$D$53,MATCH($B1343,Drinks!$A$4:$A$53,0)),0))</f>
        <v/>
      </c>
      <c r="R1343" s="10" t="str">
        <f aca="false">IF($B1343="","",$P1343-$Q1343)</f>
        <v/>
      </c>
      <c r="S1343" s="23" t="str">
        <f aca="false">IF($B1343="","",IF(COUNTIFS($A$4:$A$2003,$A1343-1,$B$4:$B$2003,$B1343)=0,"first day",IF(SUMIFS($M$4:$M$2003,$A$4:$A$2003,$A1343-1,$B$4:$B$2003,$B1343)=$J1343,"OK","CHECK")))</f>
        <v/>
      </c>
      <c r="T1343" s="10" t="str">
        <f aca="false">IF($B1343="","",IFERROR(INDEX(Drinks!$D$4:$D$53,MATCH($B1343,Drinks!$A$4:$A$53,0)),0))</f>
        <v/>
      </c>
    </row>
    <row r="1344" customFormat="false" ht="15" hidden="false" customHeight="false" outlineLevel="0" collapsed="false">
      <c r="A1344" s="22"/>
      <c r="B1344" s="9"/>
      <c r="C1344" s="9"/>
      <c r="D1344" s="9"/>
      <c r="E1344" s="9"/>
      <c r="F1344" s="10" t="str">
        <f aca="false">IF($B1344="","",$C1344+$D1344-$E1344)</f>
        <v/>
      </c>
      <c r="G1344" s="10" t="str">
        <f aca="false">IF($B1344="","",IFERROR(INDEX(Drinks!$C$4:$C$53,MATCH($B1344,Drinks!$A$4:$A$53,0)),0))</f>
        <v/>
      </c>
      <c r="H1344" s="10" t="str">
        <f aca="false">IF($B1344="","",$D1344*$G1344)</f>
        <v/>
      </c>
      <c r="I1344" s="10" t="str">
        <f aca="false">IF($B1344="","",$F1344*$G1344)</f>
        <v/>
      </c>
      <c r="J1344" s="9"/>
      <c r="K1344" s="10" t="str">
        <f aca="false">IF($B1344="","",$E1344*IFERROR(INDEX(Drinks!$B$4:$B$53,MATCH($B1344,Drinks!$A$4:$A$53,0)),0))</f>
        <v/>
      </c>
      <c r="L1344" s="10" t="str">
        <f aca="false">IF($B1344="","",$J1344+$K1344)</f>
        <v/>
      </c>
      <c r="M1344" s="9"/>
      <c r="N1344" s="10" t="str">
        <f aca="false">IF($B1344="","",$L1344-$M1344)</f>
        <v/>
      </c>
      <c r="O1344" s="10" t="str">
        <f aca="false">IF($B1344="","",IFERROR(INDEX(Drinks!$E$4:$E$53,MATCH($B1344,Drinks!$A$4:$A$53,0)),0))</f>
        <v/>
      </c>
      <c r="P1344" s="10" t="str">
        <f aca="false">IF($B1344="","",$N1344*$O1344)</f>
        <v/>
      </c>
      <c r="Q1344" s="10" t="str">
        <f aca="false">IF($B1344="","",$N1344*IFERROR(INDEX(Drinks!$D$4:$D$53,MATCH($B1344,Drinks!$A$4:$A$53,0)),0))</f>
        <v/>
      </c>
      <c r="R1344" s="10" t="str">
        <f aca="false">IF($B1344="","",$P1344-$Q1344)</f>
        <v/>
      </c>
      <c r="S1344" s="23" t="str">
        <f aca="false">IF($B1344="","",IF(COUNTIFS($A$4:$A$2003,$A1344-1,$B$4:$B$2003,$B1344)=0,"first day",IF(SUMIFS($M$4:$M$2003,$A$4:$A$2003,$A1344-1,$B$4:$B$2003,$B1344)=$J1344,"OK","CHECK")))</f>
        <v/>
      </c>
      <c r="T1344" s="10" t="str">
        <f aca="false">IF($B1344="","",IFERROR(INDEX(Drinks!$D$4:$D$53,MATCH($B1344,Drinks!$A$4:$A$53,0)),0))</f>
        <v/>
      </c>
    </row>
    <row r="1345" customFormat="false" ht="15" hidden="false" customHeight="false" outlineLevel="0" collapsed="false">
      <c r="A1345" s="22"/>
      <c r="B1345" s="9"/>
      <c r="C1345" s="9"/>
      <c r="D1345" s="9"/>
      <c r="E1345" s="9"/>
      <c r="F1345" s="10" t="str">
        <f aca="false">IF($B1345="","",$C1345+$D1345-$E1345)</f>
        <v/>
      </c>
      <c r="G1345" s="10" t="str">
        <f aca="false">IF($B1345="","",IFERROR(INDEX(Drinks!$C$4:$C$53,MATCH($B1345,Drinks!$A$4:$A$53,0)),0))</f>
        <v/>
      </c>
      <c r="H1345" s="10" t="str">
        <f aca="false">IF($B1345="","",$D1345*$G1345)</f>
        <v/>
      </c>
      <c r="I1345" s="10" t="str">
        <f aca="false">IF($B1345="","",$F1345*$G1345)</f>
        <v/>
      </c>
      <c r="J1345" s="9"/>
      <c r="K1345" s="10" t="str">
        <f aca="false">IF($B1345="","",$E1345*IFERROR(INDEX(Drinks!$B$4:$B$53,MATCH($B1345,Drinks!$A$4:$A$53,0)),0))</f>
        <v/>
      </c>
      <c r="L1345" s="10" t="str">
        <f aca="false">IF($B1345="","",$J1345+$K1345)</f>
        <v/>
      </c>
      <c r="M1345" s="9"/>
      <c r="N1345" s="10" t="str">
        <f aca="false">IF($B1345="","",$L1345-$M1345)</f>
        <v/>
      </c>
      <c r="O1345" s="10" t="str">
        <f aca="false">IF($B1345="","",IFERROR(INDEX(Drinks!$E$4:$E$53,MATCH($B1345,Drinks!$A$4:$A$53,0)),0))</f>
        <v/>
      </c>
      <c r="P1345" s="10" t="str">
        <f aca="false">IF($B1345="","",$N1345*$O1345)</f>
        <v/>
      </c>
      <c r="Q1345" s="10" t="str">
        <f aca="false">IF($B1345="","",$N1345*IFERROR(INDEX(Drinks!$D$4:$D$53,MATCH($B1345,Drinks!$A$4:$A$53,0)),0))</f>
        <v/>
      </c>
      <c r="R1345" s="10" t="str">
        <f aca="false">IF($B1345="","",$P1345-$Q1345)</f>
        <v/>
      </c>
      <c r="S1345" s="23" t="str">
        <f aca="false">IF($B1345="","",IF(COUNTIFS($A$4:$A$2003,$A1345-1,$B$4:$B$2003,$B1345)=0,"first day",IF(SUMIFS($M$4:$M$2003,$A$4:$A$2003,$A1345-1,$B$4:$B$2003,$B1345)=$J1345,"OK","CHECK")))</f>
        <v/>
      </c>
      <c r="T1345" s="10" t="str">
        <f aca="false">IF($B1345="","",IFERROR(INDEX(Drinks!$D$4:$D$53,MATCH($B1345,Drinks!$A$4:$A$53,0)),0))</f>
        <v/>
      </c>
    </row>
    <row r="1346" customFormat="false" ht="15" hidden="false" customHeight="false" outlineLevel="0" collapsed="false">
      <c r="A1346" s="22"/>
      <c r="B1346" s="9"/>
      <c r="C1346" s="9"/>
      <c r="D1346" s="9"/>
      <c r="E1346" s="9"/>
      <c r="F1346" s="10" t="str">
        <f aca="false">IF($B1346="","",$C1346+$D1346-$E1346)</f>
        <v/>
      </c>
      <c r="G1346" s="10" t="str">
        <f aca="false">IF($B1346="","",IFERROR(INDEX(Drinks!$C$4:$C$53,MATCH($B1346,Drinks!$A$4:$A$53,0)),0))</f>
        <v/>
      </c>
      <c r="H1346" s="10" t="str">
        <f aca="false">IF($B1346="","",$D1346*$G1346)</f>
        <v/>
      </c>
      <c r="I1346" s="10" t="str">
        <f aca="false">IF($B1346="","",$F1346*$G1346)</f>
        <v/>
      </c>
      <c r="J1346" s="9"/>
      <c r="K1346" s="10" t="str">
        <f aca="false">IF($B1346="","",$E1346*IFERROR(INDEX(Drinks!$B$4:$B$53,MATCH($B1346,Drinks!$A$4:$A$53,0)),0))</f>
        <v/>
      </c>
      <c r="L1346" s="10" t="str">
        <f aca="false">IF($B1346="","",$J1346+$K1346)</f>
        <v/>
      </c>
      <c r="M1346" s="9"/>
      <c r="N1346" s="10" t="str">
        <f aca="false">IF($B1346="","",$L1346-$M1346)</f>
        <v/>
      </c>
      <c r="O1346" s="10" t="str">
        <f aca="false">IF($B1346="","",IFERROR(INDEX(Drinks!$E$4:$E$53,MATCH($B1346,Drinks!$A$4:$A$53,0)),0))</f>
        <v/>
      </c>
      <c r="P1346" s="10" t="str">
        <f aca="false">IF($B1346="","",$N1346*$O1346)</f>
        <v/>
      </c>
      <c r="Q1346" s="10" t="str">
        <f aca="false">IF($B1346="","",$N1346*IFERROR(INDEX(Drinks!$D$4:$D$53,MATCH($B1346,Drinks!$A$4:$A$53,0)),0))</f>
        <v/>
      </c>
      <c r="R1346" s="10" t="str">
        <f aca="false">IF($B1346="","",$P1346-$Q1346)</f>
        <v/>
      </c>
      <c r="S1346" s="23" t="str">
        <f aca="false">IF($B1346="","",IF(COUNTIFS($A$4:$A$2003,$A1346-1,$B$4:$B$2003,$B1346)=0,"first day",IF(SUMIFS($M$4:$M$2003,$A$4:$A$2003,$A1346-1,$B$4:$B$2003,$B1346)=$J1346,"OK","CHECK")))</f>
        <v/>
      </c>
      <c r="T1346" s="10" t="str">
        <f aca="false">IF($B1346="","",IFERROR(INDEX(Drinks!$D$4:$D$53,MATCH($B1346,Drinks!$A$4:$A$53,0)),0))</f>
        <v/>
      </c>
    </row>
    <row r="1347" customFormat="false" ht="15" hidden="false" customHeight="false" outlineLevel="0" collapsed="false">
      <c r="A1347" s="22"/>
      <c r="B1347" s="9"/>
      <c r="C1347" s="9"/>
      <c r="D1347" s="9"/>
      <c r="E1347" s="9"/>
      <c r="F1347" s="10" t="str">
        <f aca="false">IF($B1347="","",$C1347+$D1347-$E1347)</f>
        <v/>
      </c>
      <c r="G1347" s="10" t="str">
        <f aca="false">IF($B1347="","",IFERROR(INDEX(Drinks!$C$4:$C$53,MATCH($B1347,Drinks!$A$4:$A$53,0)),0))</f>
        <v/>
      </c>
      <c r="H1347" s="10" t="str">
        <f aca="false">IF($B1347="","",$D1347*$G1347)</f>
        <v/>
      </c>
      <c r="I1347" s="10" t="str">
        <f aca="false">IF($B1347="","",$F1347*$G1347)</f>
        <v/>
      </c>
      <c r="J1347" s="9"/>
      <c r="K1347" s="10" t="str">
        <f aca="false">IF($B1347="","",$E1347*IFERROR(INDEX(Drinks!$B$4:$B$53,MATCH($B1347,Drinks!$A$4:$A$53,0)),0))</f>
        <v/>
      </c>
      <c r="L1347" s="10" t="str">
        <f aca="false">IF($B1347="","",$J1347+$K1347)</f>
        <v/>
      </c>
      <c r="M1347" s="9"/>
      <c r="N1347" s="10" t="str">
        <f aca="false">IF($B1347="","",$L1347-$M1347)</f>
        <v/>
      </c>
      <c r="O1347" s="10" t="str">
        <f aca="false">IF($B1347="","",IFERROR(INDEX(Drinks!$E$4:$E$53,MATCH($B1347,Drinks!$A$4:$A$53,0)),0))</f>
        <v/>
      </c>
      <c r="P1347" s="10" t="str">
        <f aca="false">IF($B1347="","",$N1347*$O1347)</f>
        <v/>
      </c>
      <c r="Q1347" s="10" t="str">
        <f aca="false">IF($B1347="","",$N1347*IFERROR(INDEX(Drinks!$D$4:$D$53,MATCH($B1347,Drinks!$A$4:$A$53,0)),0))</f>
        <v/>
      </c>
      <c r="R1347" s="10" t="str">
        <f aca="false">IF($B1347="","",$P1347-$Q1347)</f>
        <v/>
      </c>
      <c r="S1347" s="23" t="str">
        <f aca="false">IF($B1347="","",IF(COUNTIFS($A$4:$A$2003,$A1347-1,$B$4:$B$2003,$B1347)=0,"first day",IF(SUMIFS($M$4:$M$2003,$A$4:$A$2003,$A1347-1,$B$4:$B$2003,$B1347)=$J1347,"OK","CHECK")))</f>
        <v/>
      </c>
      <c r="T1347" s="10" t="str">
        <f aca="false">IF($B1347="","",IFERROR(INDEX(Drinks!$D$4:$D$53,MATCH($B1347,Drinks!$A$4:$A$53,0)),0))</f>
        <v/>
      </c>
    </row>
    <row r="1348" customFormat="false" ht="15" hidden="false" customHeight="false" outlineLevel="0" collapsed="false">
      <c r="A1348" s="22"/>
      <c r="B1348" s="9"/>
      <c r="C1348" s="9"/>
      <c r="D1348" s="9"/>
      <c r="E1348" s="9"/>
      <c r="F1348" s="10" t="str">
        <f aca="false">IF($B1348="","",$C1348+$D1348-$E1348)</f>
        <v/>
      </c>
      <c r="G1348" s="10" t="str">
        <f aca="false">IF($B1348="","",IFERROR(INDEX(Drinks!$C$4:$C$53,MATCH($B1348,Drinks!$A$4:$A$53,0)),0))</f>
        <v/>
      </c>
      <c r="H1348" s="10" t="str">
        <f aca="false">IF($B1348="","",$D1348*$G1348)</f>
        <v/>
      </c>
      <c r="I1348" s="10" t="str">
        <f aca="false">IF($B1348="","",$F1348*$G1348)</f>
        <v/>
      </c>
      <c r="J1348" s="9"/>
      <c r="K1348" s="10" t="str">
        <f aca="false">IF($B1348="","",$E1348*IFERROR(INDEX(Drinks!$B$4:$B$53,MATCH($B1348,Drinks!$A$4:$A$53,0)),0))</f>
        <v/>
      </c>
      <c r="L1348" s="10" t="str">
        <f aca="false">IF($B1348="","",$J1348+$K1348)</f>
        <v/>
      </c>
      <c r="M1348" s="9"/>
      <c r="N1348" s="10" t="str">
        <f aca="false">IF($B1348="","",$L1348-$M1348)</f>
        <v/>
      </c>
      <c r="O1348" s="10" t="str">
        <f aca="false">IF($B1348="","",IFERROR(INDEX(Drinks!$E$4:$E$53,MATCH($B1348,Drinks!$A$4:$A$53,0)),0))</f>
        <v/>
      </c>
      <c r="P1348" s="10" t="str">
        <f aca="false">IF($B1348="","",$N1348*$O1348)</f>
        <v/>
      </c>
      <c r="Q1348" s="10" t="str">
        <f aca="false">IF($B1348="","",$N1348*IFERROR(INDEX(Drinks!$D$4:$D$53,MATCH($B1348,Drinks!$A$4:$A$53,0)),0))</f>
        <v/>
      </c>
      <c r="R1348" s="10" t="str">
        <f aca="false">IF($B1348="","",$P1348-$Q1348)</f>
        <v/>
      </c>
      <c r="S1348" s="23" t="str">
        <f aca="false">IF($B1348="","",IF(COUNTIFS($A$4:$A$2003,$A1348-1,$B$4:$B$2003,$B1348)=0,"first day",IF(SUMIFS($M$4:$M$2003,$A$4:$A$2003,$A1348-1,$B$4:$B$2003,$B1348)=$J1348,"OK","CHECK")))</f>
        <v/>
      </c>
      <c r="T1348" s="10" t="str">
        <f aca="false">IF($B1348="","",IFERROR(INDEX(Drinks!$D$4:$D$53,MATCH($B1348,Drinks!$A$4:$A$53,0)),0))</f>
        <v/>
      </c>
    </row>
    <row r="1349" customFormat="false" ht="15" hidden="false" customHeight="false" outlineLevel="0" collapsed="false">
      <c r="A1349" s="22"/>
      <c r="B1349" s="9"/>
      <c r="C1349" s="9"/>
      <c r="D1349" s="9"/>
      <c r="E1349" s="9"/>
      <c r="F1349" s="10" t="str">
        <f aca="false">IF($B1349="","",$C1349+$D1349-$E1349)</f>
        <v/>
      </c>
      <c r="G1349" s="10" t="str">
        <f aca="false">IF($B1349="","",IFERROR(INDEX(Drinks!$C$4:$C$53,MATCH($B1349,Drinks!$A$4:$A$53,0)),0))</f>
        <v/>
      </c>
      <c r="H1349" s="10" t="str">
        <f aca="false">IF($B1349="","",$D1349*$G1349)</f>
        <v/>
      </c>
      <c r="I1349" s="10" t="str">
        <f aca="false">IF($B1349="","",$F1349*$G1349)</f>
        <v/>
      </c>
      <c r="J1349" s="9"/>
      <c r="K1349" s="10" t="str">
        <f aca="false">IF($B1349="","",$E1349*IFERROR(INDEX(Drinks!$B$4:$B$53,MATCH($B1349,Drinks!$A$4:$A$53,0)),0))</f>
        <v/>
      </c>
      <c r="L1349" s="10" t="str">
        <f aca="false">IF($B1349="","",$J1349+$K1349)</f>
        <v/>
      </c>
      <c r="M1349" s="9"/>
      <c r="N1349" s="10" t="str">
        <f aca="false">IF($B1349="","",$L1349-$M1349)</f>
        <v/>
      </c>
      <c r="O1349" s="10" t="str">
        <f aca="false">IF($B1349="","",IFERROR(INDEX(Drinks!$E$4:$E$53,MATCH($B1349,Drinks!$A$4:$A$53,0)),0))</f>
        <v/>
      </c>
      <c r="P1349" s="10" t="str">
        <f aca="false">IF($B1349="","",$N1349*$O1349)</f>
        <v/>
      </c>
      <c r="Q1349" s="10" t="str">
        <f aca="false">IF($B1349="","",$N1349*IFERROR(INDEX(Drinks!$D$4:$D$53,MATCH($B1349,Drinks!$A$4:$A$53,0)),0))</f>
        <v/>
      </c>
      <c r="R1349" s="10" t="str">
        <f aca="false">IF($B1349="","",$P1349-$Q1349)</f>
        <v/>
      </c>
      <c r="S1349" s="23" t="str">
        <f aca="false">IF($B1349="","",IF(COUNTIFS($A$4:$A$2003,$A1349-1,$B$4:$B$2003,$B1349)=0,"first day",IF(SUMIFS($M$4:$M$2003,$A$4:$A$2003,$A1349-1,$B$4:$B$2003,$B1349)=$J1349,"OK","CHECK")))</f>
        <v/>
      </c>
      <c r="T1349" s="10" t="str">
        <f aca="false">IF($B1349="","",IFERROR(INDEX(Drinks!$D$4:$D$53,MATCH($B1349,Drinks!$A$4:$A$53,0)),0))</f>
        <v/>
      </c>
    </row>
    <row r="1350" customFormat="false" ht="15" hidden="false" customHeight="false" outlineLevel="0" collapsed="false">
      <c r="A1350" s="22"/>
      <c r="B1350" s="9"/>
      <c r="C1350" s="9"/>
      <c r="D1350" s="9"/>
      <c r="E1350" s="9"/>
      <c r="F1350" s="10" t="str">
        <f aca="false">IF($B1350="","",$C1350+$D1350-$E1350)</f>
        <v/>
      </c>
      <c r="G1350" s="10" t="str">
        <f aca="false">IF($B1350="","",IFERROR(INDEX(Drinks!$C$4:$C$53,MATCH($B1350,Drinks!$A$4:$A$53,0)),0))</f>
        <v/>
      </c>
      <c r="H1350" s="10" t="str">
        <f aca="false">IF($B1350="","",$D1350*$G1350)</f>
        <v/>
      </c>
      <c r="I1350" s="10" t="str">
        <f aca="false">IF($B1350="","",$F1350*$G1350)</f>
        <v/>
      </c>
      <c r="J1350" s="9"/>
      <c r="K1350" s="10" t="str">
        <f aca="false">IF($B1350="","",$E1350*IFERROR(INDEX(Drinks!$B$4:$B$53,MATCH($B1350,Drinks!$A$4:$A$53,0)),0))</f>
        <v/>
      </c>
      <c r="L1350" s="10" t="str">
        <f aca="false">IF($B1350="","",$J1350+$K1350)</f>
        <v/>
      </c>
      <c r="M1350" s="9"/>
      <c r="N1350" s="10" t="str">
        <f aca="false">IF($B1350="","",$L1350-$M1350)</f>
        <v/>
      </c>
      <c r="O1350" s="10" t="str">
        <f aca="false">IF($B1350="","",IFERROR(INDEX(Drinks!$E$4:$E$53,MATCH($B1350,Drinks!$A$4:$A$53,0)),0))</f>
        <v/>
      </c>
      <c r="P1350" s="10" t="str">
        <f aca="false">IF($B1350="","",$N1350*$O1350)</f>
        <v/>
      </c>
      <c r="Q1350" s="10" t="str">
        <f aca="false">IF($B1350="","",$N1350*IFERROR(INDEX(Drinks!$D$4:$D$53,MATCH($B1350,Drinks!$A$4:$A$53,0)),0))</f>
        <v/>
      </c>
      <c r="R1350" s="10" t="str">
        <f aca="false">IF($B1350="","",$P1350-$Q1350)</f>
        <v/>
      </c>
      <c r="S1350" s="23" t="str">
        <f aca="false">IF($B1350="","",IF(COUNTIFS($A$4:$A$2003,$A1350-1,$B$4:$B$2003,$B1350)=0,"first day",IF(SUMIFS($M$4:$M$2003,$A$4:$A$2003,$A1350-1,$B$4:$B$2003,$B1350)=$J1350,"OK","CHECK")))</f>
        <v/>
      </c>
      <c r="T1350" s="10" t="str">
        <f aca="false">IF($B1350="","",IFERROR(INDEX(Drinks!$D$4:$D$53,MATCH($B1350,Drinks!$A$4:$A$53,0)),0))</f>
        <v/>
      </c>
    </row>
    <row r="1351" customFormat="false" ht="15" hidden="false" customHeight="false" outlineLevel="0" collapsed="false">
      <c r="A1351" s="22"/>
      <c r="B1351" s="9"/>
      <c r="C1351" s="9"/>
      <c r="D1351" s="9"/>
      <c r="E1351" s="9"/>
      <c r="F1351" s="10" t="str">
        <f aca="false">IF($B1351="","",$C1351+$D1351-$E1351)</f>
        <v/>
      </c>
      <c r="G1351" s="10" t="str">
        <f aca="false">IF($B1351="","",IFERROR(INDEX(Drinks!$C$4:$C$53,MATCH($B1351,Drinks!$A$4:$A$53,0)),0))</f>
        <v/>
      </c>
      <c r="H1351" s="10" t="str">
        <f aca="false">IF($B1351="","",$D1351*$G1351)</f>
        <v/>
      </c>
      <c r="I1351" s="10" t="str">
        <f aca="false">IF($B1351="","",$F1351*$G1351)</f>
        <v/>
      </c>
      <c r="J1351" s="9"/>
      <c r="K1351" s="10" t="str">
        <f aca="false">IF($B1351="","",$E1351*IFERROR(INDEX(Drinks!$B$4:$B$53,MATCH($B1351,Drinks!$A$4:$A$53,0)),0))</f>
        <v/>
      </c>
      <c r="L1351" s="10" t="str">
        <f aca="false">IF($B1351="","",$J1351+$K1351)</f>
        <v/>
      </c>
      <c r="M1351" s="9"/>
      <c r="N1351" s="10" t="str">
        <f aca="false">IF($B1351="","",$L1351-$M1351)</f>
        <v/>
      </c>
      <c r="O1351" s="10" t="str">
        <f aca="false">IF($B1351="","",IFERROR(INDEX(Drinks!$E$4:$E$53,MATCH($B1351,Drinks!$A$4:$A$53,0)),0))</f>
        <v/>
      </c>
      <c r="P1351" s="10" t="str">
        <f aca="false">IF($B1351="","",$N1351*$O1351)</f>
        <v/>
      </c>
      <c r="Q1351" s="10" t="str">
        <f aca="false">IF($B1351="","",$N1351*IFERROR(INDEX(Drinks!$D$4:$D$53,MATCH($B1351,Drinks!$A$4:$A$53,0)),0))</f>
        <v/>
      </c>
      <c r="R1351" s="10" t="str">
        <f aca="false">IF($B1351="","",$P1351-$Q1351)</f>
        <v/>
      </c>
      <c r="S1351" s="23" t="str">
        <f aca="false">IF($B1351="","",IF(COUNTIFS($A$4:$A$2003,$A1351-1,$B$4:$B$2003,$B1351)=0,"first day",IF(SUMIFS($M$4:$M$2003,$A$4:$A$2003,$A1351-1,$B$4:$B$2003,$B1351)=$J1351,"OK","CHECK")))</f>
        <v/>
      </c>
      <c r="T1351" s="10" t="str">
        <f aca="false">IF($B1351="","",IFERROR(INDEX(Drinks!$D$4:$D$53,MATCH($B1351,Drinks!$A$4:$A$53,0)),0))</f>
        <v/>
      </c>
    </row>
    <row r="1352" customFormat="false" ht="15" hidden="false" customHeight="false" outlineLevel="0" collapsed="false">
      <c r="A1352" s="22"/>
      <c r="B1352" s="9"/>
      <c r="C1352" s="9"/>
      <c r="D1352" s="9"/>
      <c r="E1352" s="9"/>
      <c r="F1352" s="10" t="str">
        <f aca="false">IF($B1352="","",$C1352+$D1352-$E1352)</f>
        <v/>
      </c>
      <c r="G1352" s="10" t="str">
        <f aca="false">IF($B1352="","",IFERROR(INDEX(Drinks!$C$4:$C$53,MATCH($B1352,Drinks!$A$4:$A$53,0)),0))</f>
        <v/>
      </c>
      <c r="H1352" s="10" t="str">
        <f aca="false">IF($B1352="","",$D1352*$G1352)</f>
        <v/>
      </c>
      <c r="I1352" s="10" t="str">
        <f aca="false">IF($B1352="","",$F1352*$G1352)</f>
        <v/>
      </c>
      <c r="J1352" s="9"/>
      <c r="K1352" s="10" t="str">
        <f aca="false">IF($B1352="","",$E1352*IFERROR(INDEX(Drinks!$B$4:$B$53,MATCH($B1352,Drinks!$A$4:$A$53,0)),0))</f>
        <v/>
      </c>
      <c r="L1352" s="10" t="str">
        <f aca="false">IF($B1352="","",$J1352+$K1352)</f>
        <v/>
      </c>
      <c r="M1352" s="9"/>
      <c r="N1352" s="10" t="str">
        <f aca="false">IF($B1352="","",$L1352-$M1352)</f>
        <v/>
      </c>
      <c r="O1352" s="10" t="str">
        <f aca="false">IF($B1352="","",IFERROR(INDEX(Drinks!$E$4:$E$53,MATCH($B1352,Drinks!$A$4:$A$53,0)),0))</f>
        <v/>
      </c>
      <c r="P1352" s="10" t="str">
        <f aca="false">IF($B1352="","",$N1352*$O1352)</f>
        <v/>
      </c>
      <c r="Q1352" s="10" t="str">
        <f aca="false">IF($B1352="","",$N1352*IFERROR(INDEX(Drinks!$D$4:$D$53,MATCH($B1352,Drinks!$A$4:$A$53,0)),0))</f>
        <v/>
      </c>
      <c r="R1352" s="10" t="str">
        <f aca="false">IF($B1352="","",$P1352-$Q1352)</f>
        <v/>
      </c>
      <c r="S1352" s="23" t="str">
        <f aca="false">IF($B1352="","",IF(COUNTIFS($A$4:$A$2003,$A1352-1,$B$4:$B$2003,$B1352)=0,"first day",IF(SUMIFS($M$4:$M$2003,$A$4:$A$2003,$A1352-1,$B$4:$B$2003,$B1352)=$J1352,"OK","CHECK")))</f>
        <v/>
      </c>
      <c r="T1352" s="10" t="str">
        <f aca="false">IF($B1352="","",IFERROR(INDEX(Drinks!$D$4:$D$53,MATCH($B1352,Drinks!$A$4:$A$53,0)),0))</f>
        <v/>
      </c>
    </row>
    <row r="1353" customFormat="false" ht="15" hidden="false" customHeight="false" outlineLevel="0" collapsed="false">
      <c r="A1353" s="22"/>
      <c r="B1353" s="9"/>
      <c r="C1353" s="9"/>
      <c r="D1353" s="9"/>
      <c r="E1353" s="9"/>
      <c r="F1353" s="10" t="str">
        <f aca="false">IF($B1353="","",$C1353+$D1353-$E1353)</f>
        <v/>
      </c>
      <c r="G1353" s="10" t="str">
        <f aca="false">IF($B1353="","",IFERROR(INDEX(Drinks!$C$4:$C$53,MATCH($B1353,Drinks!$A$4:$A$53,0)),0))</f>
        <v/>
      </c>
      <c r="H1353" s="10" t="str">
        <f aca="false">IF($B1353="","",$D1353*$G1353)</f>
        <v/>
      </c>
      <c r="I1353" s="10" t="str">
        <f aca="false">IF($B1353="","",$F1353*$G1353)</f>
        <v/>
      </c>
      <c r="J1353" s="9"/>
      <c r="K1353" s="10" t="str">
        <f aca="false">IF($B1353="","",$E1353*IFERROR(INDEX(Drinks!$B$4:$B$53,MATCH($B1353,Drinks!$A$4:$A$53,0)),0))</f>
        <v/>
      </c>
      <c r="L1353" s="10" t="str">
        <f aca="false">IF($B1353="","",$J1353+$K1353)</f>
        <v/>
      </c>
      <c r="M1353" s="9"/>
      <c r="N1353" s="10" t="str">
        <f aca="false">IF($B1353="","",$L1353-$M1353)</f>
        <v/>
      </c>
      <c r="O1353" s="10" t="str">
        <f aca="false">IF($B1353="","",IFERROR(INDEX(Drinks!$E$4:$E$53,MATCH($B1353,Drinks!$A$4:$A$53,0)),0))</f>
        <v/>
      </c>
      <c r="P1353" s="10" t="str">
        <f aca="false">IF($B1353="","",$N1353*$O1353)</f>
        <v/>
      </c>
      <c r="Q1353" s="10" t="str">
        <f aca="false">IF($B1353="","",$N1353*IFERROR(INDEX(Drinks!$D$4:$D$53,MATCH($B1353,Drinks!$A$4:$A$53,0)),0))</f>
        <v/>
      </c>
      <c r="R1353" s="10" t="str">
        <f aca="false">IF($B1353="","",$P1353-$Q1353)</f>
        <v/>
      </c>
      <c r="S1353" s="23" t="str">
        <f aca="false">IF($B1353="","",IF(COUNTIFS($A$4:$A$2003,$A1353-1,$B$4:$B$2003,$B1353)=0,"first day",IF(SUMIFS($M$4:$M$2003,$A$4:$A$2003,$A1353-1,$B$4:$B$2003,$B1353)=$J1353,"OK","CHECK")))</f>
        <v/>
      </c>
      <c r="T1353" s="10" t="str">
        <f aca="false">IF($B1353="","",IFERROR(INDEX(Drinks!$D$4:$D$53,MATCH($B1353,Drinks!$A$4:$A$53,0)),0))</f>
        <v/>
      </c>
    </row>
    <row r="1354" customFormat="false" ht="15" hidden="false" customHeight="false" outlineLevel="0" collapsed="false">
      <c r="A1354" s="22"/>
      <c r="B1354" s="9"/>
      <c r="C1354" s="9"/>
      <c r="D1354" s="9"/>
      <c r="E1354" s="9"/>
      <c r="F1354" s="10" t="str">
        <f aca="false">IF($B1354="","",$C1354+$D1354-$E1354)</f>
        <v/>
      </c>
      <c r="G1354" s="10" t="str">
        <f aca="false">IF($B1354="","",IFERROR(INDEX(Drinks!$C$4:$C$53,MATCH($B1354,Drinks!$A$4:$A$53,0)),0))</f>
        <v/>
      </c>
      <c r="H1354" s="10" t="str">
        <f aca="false">IF($B1354="","",$D1354*$G1354)</f>
        <v/>
      </c>
      <c r="I1354" s="10" t="str">
        <f aca="false">IF($B1354="","",$F1354*$G1354)</f>
        <v/>
      </c>
      <c r="J1354" s="9"/>
      <c r="K1354" s="10" t="str">
        <f aca="false">IF($B1354="","",$E1354*IFERROR(INDEX(Drinks!$B$4:$B$53,MATCH($B1354,Drinks!$A$4:$A$53,0)),0))</f>
        <v/>
      </c>
      <c r="L1354" s="10" t="str">
        <f aca="false">IF($B1354="","",$J1354+$K1354)</f>
        <v/>
      </c>
      <c r="M1354" s="9"/>
      <c r="N1354" s="10" t="str">
        <f aca="false">IF($B1354="","",$L1354-$M1354)</f>
        <v/>
      </c>
      <c r="O1354" s="10" t="str">
        <f aca="false">IF($B1354="","",IFERROR(INDEX(Drinks!$E$4:$E$53,MATCH($B1354,Drinks!$A$4:$A$53,0)),0))</f>
        <v/>
      </c>
      <c r="P1354" s="10" t="str">
        <f aca="false">IF($B1354="","",$N1354*$O1354)</f>
        <v/>
      </c>
      <c r="Q1354" s="10" t="str">
        <f aca="false">IF($B1354="","",$N1354*IFERROR(INDEX(Drinks!$D$4:$D$53,MATCH($B1354,Drinks!$A$4:$A$53,0)),0))</f>
        <v/>
      </c>
      <c r="R1354" s="10" t="str">
        <f aca="false">IF($B1354="","",$P1354-$Q1354)</f>
        <v/>
      </c>
      <c r="S1354" s="23" t="str">
        <f aca="false">IF($B1354="","",IF(COUNTIFS($A$4:$A$2003,$A1354-1,$B$4:$B$2003,$B1354)=0,"first day",IF(SUMIFS($M$4:$M$2003,$A$4:$A$2003,$A1354-1,$B$4:$B$2003,$B1354)=$J1354,"OK","CHECK")))</f>
        <v/>
      </c>
      <c r="T1354" s="10" t="str">
        <f aca="false">IF($B1354="","",IFERROR(INDEX(Drinks!$D$4:$D$53,MATCH($B1354,Drinks!$A$4:$A$53,0)),0))</f>
        <v/>
      </c>
    </row>
    <row r="1355" customFormat="false" ht="15" hidden="false" customHeight="false" outlineLevel="0" collapsed="false">
      <c r="A1355" s="22"/>
      <c r="B1355" s="9"/>
      <c r="C1355" s="9"/>
      <c r="D1355" s="9"/>
      <c r="E1355" s="9"/>
      <c r="F1355" s="10" t="str">
        <f aca="false">IF($B1355="","",$C1355+$D1355-$E1355)</f>
        <v/>
      </c>
      <c r="G1355" s="10" t="str">
        <f aca="false">IF($B1355="","",IFERROR(INDEX(Drinks!$C$4:$C$53,MATCH($B1355,Drinks!$A$4:$A$53,0)),0))</f>
        <v/>
      </c>
      <c r="H1355" s="10" t="str">
        <f aca="false">IF($B1355="","",$D1355*$G1355)</f>
        <v/>
      </c>
      <c r="I1355" s="10" t="str">
        <f aca="false">IF($B1355="","",$F1355*$G1355)</f>
        <v/>
      </c>
      <c r="J1355" s="9"/>
      <c r="K1355" s="10" t="str">
        <f aca="false">IF($B1355="","",$E1355*IFERROR(INDEX(Drinks!$B$4:$B$53,MATCH($B1355,Drinks!$A$4:$A$53,0)),0))</f>
        <v/>
      </c>
      <c r="L1355" s="10" t="str">
        <f aca="false">IF($B1355="","",$J1355+$K1355)</f>
        <v/>
      </c>
      <c r="M1355" s="9"/>
      <c r="N1355" s="10" t="str">
        <f aca="false">IF($B1355="","",$L1355-$M1355)</f>
        <v/>
      </c>
      <c r="O1355" s="10" t="str">
        <f aca="false">IF($B1355="","",IFERROR(INDEX(Drinks!$E$4:$E$53,MATCH($B1355,Drinks!$A$4:$A$53,0)),0))</f>
        <v/>
      </c>
      <c r="P1355" s="10" t="str">
        <f aca="false">IF($B1355="","",$N1355*$O1355)</f>
        <v/>
      </c>
      <c r="Q1355" s="10" t="str">
        <f aca="false">IF($B1355="","",$N1355*IFERROR(INDEX(Drinks!$D$4:$D$53,MATCH($B1355,Drinks!$A$4:$A$53,0)),0))</f>
        <v/>
      </c>
      <c r="R1355" s="10" t="str">
        <f aca="false">IF($B1355="","",$P1355-$Q1355)</f>
        <v/>
      </c>
      <c r="S1355" s="23" t="str">
        <f aca="false">IF($B1355="","",IF(COUNTIFS($A$4:$A$2003,$A1355-1,$B$4:$B$2003,$B1355)=0,"first day",IF(SUMIFS($M$4:$M$2003,$A$4:$A$2003,$A1355-1,$B$4:$B$2003,$B1355)=$J1355,"OK","CHECK")))</f>
        <v/>
      </c>
      <c r="T1355" s="10" t="str">
        <f aca="false">IF($B1355="","",IFERROR(INDEX(Drinks!$D$4:$D$53,MATCH($B1355,Drinks!$A$4:$A$53,0)),0))</f>
        <v/>
      </c>
    </row>
    <row r="1356" customFormat="false" ht="15" hidden="false" customHeight="false" outlineLevel="0" collapsed="false">
      <c r="A1356" s="22"/>
      <c r="B1356" s="9"/>
      <c r="C1356" s="9"/>
      <c r="D1356" s="9"/>
      <c r="E1356" s="9"/>
      <c r="F1356" s="10" t="str">
        <f aca="false">IF($B1356="","",$C1356+$D1356-$E1356)</f>
        <v/>
      </c>
      <c r="G1356" s="10" t="str">
        <f aca="false">IF($B1356="","",IFERROR(INDEX(Drinks!$C$4:$C$53,MATCH($B1356,Drinks!$A$4:$A$53,0)),0))</f>
        <v/>
      </c>
      <c r="H1356" s="10" t="str">
        <f aca="false">IF($B1356="","",$D1356*$G1356)</f>
        <v/>
      </c>
      <c r="I1356" s="10" t="str">
        <f aca="false">IF($B1356="","",$F1356*$G1356)</f>
        <v/>
      </c>
      <c r="J1356" s="9"/>
      <c r="K1356" s="10" t="str">
        <f aca="false">IF($B1356="","",$E1356*IFERROR(INDEX(Drinks!$B$4:$B$53,MATCH($B1356,Drinks!$A$4:$A$53,0)),0))</f>
        <v/>
      </c>
      <c r="L1356" s="10" t="str">
        <f aca="false">IF($B1356="","",$J1356+$K1356)</f>
        <v/>
      </c>
      <c r="M1356" s="9"/>
      <c r="N1356" s="10" t="str">
        <f aca="false">IF($B1356="","",$L1356-$M1356)</f>
        <v/>
      </c>
      <c r="O1356" s="10" t="str">
        <f aca="false">IF($B1356="","",IFERROR(INDEX(Drinks!$E$4:$E$53,MATCH($B1356,Drinks!$A$4:$A$53,0)),0))</f>
        <v/>
      </c>
      <c r="P1356" s="10" t="str">
        <f aca="false">IF($B1356="","",$N1356*$O1356)</f>
        <v/>
      </c>
      <c r="Q1356" s="10" t="str">
        <f aca="false">IF($B1356="","",$N1356*IFERROR(INDEX(Drinks!$D$4:$D$53,MATCH($B1356,Drinks!$A$4:$A$53,0)),0))</f>
        <v/>
      </c>
      <c r="R1356" s="10" t="str">
        <f aca="false">IF($B1356="","",$P1356-$Q1356)</f>
        <v/>
      </c>
      <c r="S1356" s="23" t="str">
        <f aca="false">IF($B1356="","",IF(COUNTIFS($A$4:$A$2003,$A1356-1,$B$4:$B$2003,$B1356)=0,"first day",IF(SUMIFS($M$4:$M$2003,$A$4:$A$2003,$A1356-1,$B$4:$B$2003,$B1356)=$J1356,"OK","CHECK")))</f>
        <v/>
      </c>
      <c r="T1356" s="10" t="str">
        <f aca="false">IF($B1356="","",IFERROR(INDEX(Drinks!$D$4:$D$53,MATCH($B1356,Drinks!$A$4:$A$53,0)),0))</f>
        <v/>
      </c>
    </row>
    <row r="1357" customFormat="false" ht="15" hidden="false" customHeight="false" outlineLevel="0" collapsed="false">
      <c r="A1357" s="22"/>
      <c r="B1357" s="9"/>
      <c r="C1357" s="9"/>
      <c r="D1357" s="9"/>
      <c r="E1357" s="9"/>
      <c r="F1357" s="10" t="str">
        <f aca="false">IF($B1357="","",$C1357+$D1357-$E1357)</f>
        <v/>
      </c>
      <c r="G1357" s="10" t="str">
        <f aca="false">IF($B1357="","",IFERROR(INDEX(Drinks!$C$4:$C$53,MATCH($B1357,Drinks!$A$4:$A$53,0)),0))</f>
        <v/>
      </c>
      <c r="H1357" s="10" t="str">
        <f aca="false">IF($B1357="","",$D1357*$G1357)</f>
        <v/>
      </c>
      <c r="I1357" s="10" t="str">
        <f aca="false">IF($B1357="","",$F1357*$G1357)</f>
        <v/>
      </c>
      <c r="J1357" s="9"/>
      <c r="K1357" s="10" t="str">
        <f aca="false">IF($B1357="","",$E1357*IFERROR(INDEX(Drinks!$B$4:$B$53,MATCH($B1357,Drinks!$A$4:$A$53,0)),0))</f>
        <v/>
      </c>
      <c r="L1357" s="10" t="str">
        <f aca="false">IF($B1357="","",$J1357+$K1357)</f>
        <v/>
      </c>
      <c r="M1357" s="9"/>
      <c r="N1357" s="10" t="str">
        <f aca="false">IF($B1357="","",$L1357-$M1357)</f>
        <v/>
      </c>
      <c r="O1357" s="10" t="str">
        <f aca="false">IF($B1357="","",IFERROR(INDEX(Drinks!$E$4:$E$53,MATCH($B1357,Drinks!$A$4:$A$53,0)),0))</f>
        <v/>
      </c>
      <c r="P1357" s="10" t="str">
        <f aca="false">IF($B1357="","",$N1357*$O1357)</f>
        <v/>
      </c>
      <c r="Q1357" s="10" t="str">
        <f aca="false">IF($B1357="","",$N1357*IFERROR(INDEX(Drinks!$D$4:$D$53,MATCH($B1357,Drinks!$A$4:$A$53,0)),0))</f>
        <v/>
      </c>
      <c r="R1357" s="10" t="str">
        <f aca="false">IF($B1357="","",$P1357-$Q1357)</f>
        <v/>
      </c>
      <c r="S1357" s="23" t="str">
        <f aca="false">IF($B1357="","",IF(COUNTIFS($A$4:$A$2003,$A1357-1,$B$4:$B$2003,$B1357)=0,"first day",IF(SUMIFS($M$4:$M$2003,$A$4:$A$2003,$A1357-1,$B$4:$B$2003,$B1357)=$J1357,"OK","CHECK")))</f>
        <v/>
      </c>
      <c r="T1357" s="10" t="str">
        <f aca="false">IF($B1357="","",IFERROR(INDEX(Drinks!$D$4:$D$53,MATCH($B1357,Drinks!$A$4:$A$53,0)),0))</f>
        <v/>
      </c>
    </row>
    <row r="1358" customFormat="false" ht="15" hidden="false" customHeight="false" outlineLevel="0" collapsed="false">
      <c r="A1358" s="22"/>
      <c r="B1358" s="9"/>
      <c r="C1358" s="9"/>
      <c r="D1358" s="9"/>
      <c r="E1358" s="9"/>
      <c r="F1358" s="10" t="str">
        <f aca="false">IF($B1358="","",$C1358+$D1358-$E1358)</f>
        <v/>
      </c>
      <c r="G1358" s="10" t="str">
        <f aca="false">IF($B1358="","",IFERROR(INDEX(Drinks!$C$4:$C$53,MATCH($B1358,Drinks!$A$4:$A$53,0)),0))</f>
        <v/>
      </c>
      <c r="H1358" s="10" t="str">
        <f aca="false">IF($B1358="","",$D1358*$G1358)</f>
        <v/>
      </c>
      <c r="I1358" s="10" t="str">
        <f aca="false">IF($B1358="","",$F1358*$G1358)</f>
        <v/>
      </c>
      <c r="J1358" s="9"/>
      <c r="K1358" s="10" t="str">
        <f aca="false">IF($B1358="","",$E1358*IFERROR(INDEX(Drinks!$B$4:$B$53,MATCH($B1358,Drinks!$A$4:$A$53,0)),0))</f>
        <v/>
      </c>
      <c r="L1358" s="10" t="str">
        <f aca="false">IF($B1358="","",$J1358+$K1358)</f>
        <v/>
      </c>
      <c r="M1358" s="9"/>
      <c r="N1358" s="10" t="str">
        <f aca="false">IF($B1358="","",$L1358-$M1358)</f>
        <v/>
      </c>
      <c r="O1358" s="10" t="str">
        <f aca="false">IF($B1358="","",IFERROR(INDEX(Drinks!$E$4:$E$53,MATCH($B1358,Drinks!$A$4:$A$53,0)),0))</f>
        <v/>
      </c>
      <c r="P1358" s="10" t="str">
        <f aca="false">IF($B1358="","",$N1358*$O1358)</f>
        <v/>
      </c>
      <c r="Q1358" s="10" t="str">
        <f aca="false">IF($B1358="","",$N1358*IFERROR(INDEX(Drinks!$D$4:$D$53,MATCH($B1358,Drinks!$A$4:$A$53,0)),0))</f>
        <v/>
      </c>
      <c r="R1358" s="10" t="str">
        <f aca="false">IF($B1358="","",$P1358-$Q1358)</f>
        <v/>
      </c>
      <c r="S1358" s="23" t="str">
        <f aca="false">IF($B1358="","",IF(COUNTIFS($A$4:$A$2003,$A1358-1,$B$4:$B$2003,$B1358)=0,"first day",IF(SUMIFS($M$4:$M$2003,$A$4:$A$2003,$A1358-1,$B$4:$B$2003,$B1358)=$J1358,"OK","CHECK")))</f>
        <v/>
      </c>
      <c r="T1358" s="10" t="str">
        <f aca="false">IF($B1358="","",IFERROR(INDEX(Drinks!$D$4:$D$53,MATCH($B1358,Drinks!$A$4:$A$53,0)),0))</f>
        <v/>
      </c>
    </row>
    <row r="1359" customFormat="false" ht="15" hidden="false" customHeight="false" outlineLevel="0" collapsed="false">
      <c r="A1359" s="22"/>
      <c r="B1359" s="9"/>
      <c r="C1359" s="9"/>
      <c r="D1359" s="9"/>
      <c r="E1359" s="9"/>
      <c r="F1359" s="10" t="str">
        <f aca="false">IF($B1359="","",$C1359+$D1359-$E1359)</f>
        <v/>
      </c>
      <c r="G1359" s="10" t="str">
        <f aca="false">IF($B1359="","",IFERROR(INDEX(Drinks!$C$4:$C$53,MATCH($B1359,Drinks!$A$4:$A$53,0)),0))</f>
        <v/>
      </c>
      <c r="H1359" s="10" t="str">
        <f aca="false">IF($B1359="","",$D1359*$G1359)</f>
        <v/>
      </c>
      <c r="I1359" s="10" t="str">
        <f aca="false">IF($B1359="","",$F1359*$G1359)</f>
        <v/>
      </c>
      <c r="J1359" s="9"/>
      <c r="K1359" s="10" t="str">
        <f aca="false">IF($B1359="","",$E1359*IFERROR(INDEX(Drinks!$B$4:$B$53,MATCH($B1359,Drinks!$A$4:$A$53,0)),0))</f>
        <v/>
      </c>
      <c r="L1359" s="10" t="str">
        <f aca="false">IF($B1359="","",$J1359+$K1359)</f>
        <v/>
      </c>
      <c r="M1359" s="9"/>
      <c r="N1359" s="10" t="str">
        <f aca="false">IF($B1359="","",$L1359-$M1359)</f>
        <v/>
      </c>
      <c r="O1359" s="10" t="str">
        <f aca="false">IF($B1359="","",IFERROR(INDEX(Drinks!$E$4:$E$53,MATCH($B1359,Drinks!$A$4:$A$53,0)),0))</f>
        <v/>
      </c>
      <c r="P1359" s="10" t="str">
        <f aca="false">IF($B1359="","",$N1359*$O1359)</f>
        <v/>
      </c>
      <c r="Q1359" s="10" t="str">
        <f aca="false">IF($B1359="","",$N1359*IFERROR(INDEX(Drinks!$D$4:$D$53,MATCH($B1359,Drinks!$A$4:$A$53,0)),0))</f>
        <v/>
      </c>
      <c r="R1359" s="10" t="str">
        <f aca="false">IF($B1359="","",$P1359-$Q1359)</f>
        <v/>
      </c>
      <c r="S1359" s="23" t="str">
        <f aca="false">IF($B1359="","",IF(COUNTIFS($A$4:$A$2003,$A1359-1,$B$4:$B$2003,$B1359)=0,"first day",IF(SUMIFS($M$4:$M$2003,$A$4:$A$2003,$A1359-1,$B$4:$B$2003,$B1359)=$J1359,"OK","CHECK")))</f>
        <v/>
      </c>
      <c r="T1359" s="10" t="str">
        <f aca="false">IF($B1359="","",IFERROR(INDEX(Drinks!$D$4:$D$53,MATCH($B1359,Drinks!$A$4:$A$53,0)),0))</f>
        <v/>
      </c>
    </row>
    <row r="1360" customFormat="false" ht="15" hidden="false" customHeight="false" outlineLevel="0" collapsed="false">
      <c r="A1360" s="22"/>
      <c r="B1360" s="9"/>
      <c r="C1360" s="9"/>
      <c r="D1360" s="9"/>
      <c r="E1360" s="9"/>
      <c r="F1360" s="10" t="str">
        <f aca="false">IF($B1360="","",$C1360+$D1360-$E1360)</f>
        <v/>
      </c>
      <c r="G1360" s="10" t="str">
        <f aca="false">IF($B1360="","",IFERROR(INDEX(Drinks!$C$4:$C$53,MATCH($B1360,Drinks!$A$4:$A$53,0)),0))</f>
        <v/>
      </c>
      <c r="H1360" s="10" t="str">
        <f aca="false">IF($B1360="","",$D1360*$G1360)</f>
        <v/>
      </c>
      <c r="I1360" s="10" t="str">
        <f aca="false">IF($B1360="","",$F1360*$G1360)</f>
        <v/>
      </c>
      <c r="J1360" s="9"/>
      <c r="K1360" s="10" t="str">
        <f aca="false">IF($B1360="","",$E1360*IFERROR(INDEX(Drinks!$B$4:$B$53,MATCH($B1360,Drinks!$A$4:$A$53,0)),0))</f>
        <v/>
      </c>
      <c r="L1360" s="10" t="str">
        <f aca="false">IF($B1360="","",$J1360+$K1360)</f>
        <v/>
      </c>
      <c r="M1360" s="9"/>
      <c r="N1360" s="10" t="str">
        <f aca="false">IF($B1360="","",$L1360-$M1360)</f>
        <v/>
      </c>
      <c r="O1360" s="10" t="str">
        <f aca="false">IF($B1360="","",IFERROR(INDEX(Drinks!$E$4:$E$53,MATCH($B1360,Drinks!$A$4:$A$53,0)),0))</f>
        <v/>
      </c>
      <c r="P1360" s="10" t="str">
        <f aca="false">IF($B1360="","",$N1360*$O1360)</f>
        <v/>
      </c>
      <c r="Q1360" s="10" t="str">
        <f aca="false">IF($B1360="","",$N1360*IFERROR(INDEX(Drinks!$D$4:$D$53,MATCH($B1360,Drinks!$A$4:$A$53,0)),0))</f>
        <v/>
      </c>
      <c r="R1360" s="10" t="str">
        <f aca="false">IF($B1360="","",$P1360-$Q1360)</f>
        <v/>
      </c>
      <c r="S1360" s="23" t="str">
        <f aca="false">IF($B1360="","",IF(COUNTIFS($A$4:$A$2003,$A1360-1,$B$4:$B$2003,$B1360)=0,"first day",IF(SUMIFS($M$4:$M$2003,$A$4:$A$2003,$A1360-1,$B$4:$B$2003,$B1360)=$J1360,"OK","CHECK")))</f>
        <v/>
      </c>
      <c r="T1360" s="10" t="str">
        <f aca="false">IF($B1360="","",IFERROR(INDEX(Drinks!$D$4:$D$53,MATCH($B1360,Drinks!$A$4:$A$53,0)),0))</f>
        <v/>
      </c>
    </row>
    <row r="1361" customFormat="false" ht="15" hidden="false" customHeight="false" outlineLevel="0" collapsed="false">
      <c r="A1361" s="22"/>
      <c r="B1361" s="9"/>
      <c r="C1361" s="9"/>
      <c r="D1361" s="9"/>
      <c r="E1361" s="9"/>
      <c r="F1361" s="10" t="str">
        <f aca="false">IF($B1361="","",$C1361+$D1361-$E1361)</f>
        <v/>
      </c>
      <c r="G1361" s="10" t="str">
        <f aca="false">IF($B1361="","",IFERROR(INDEX(Drinks!$C$4:$C$53,MATCH($B1361,Drinks!$A$4:$A$53,0)),0))</f>
        <v/>
      </c>
      <c r="H1361" s="10" t="str">
        <f aca="false">IF($B1361="","",$D1361*$G1361)</f>
        <v/>
      </c>
      <c r="I1361" s="10" t="str">
        <f aca="false">IF($B1361="","",$F1361*$G1361)</f>
        <v/>
      </c>
      <c r="J1361" s="9"/>
      <c r="K1361" s="10" t="str">
        <f aca="false">IF($B1361="","",$E1361*IFERROR(INDEX(Drinks!$B$4:$B$53,MATCH($B1361,Drinks!$A$4:$A$53,0)),0))</f>
        <v/>
      </c>
      <c r="L1361" s="10" t="str">
        <f aca="false">IF($B1361="","",$J1361+$K1361)</f>
        <v/>
      </c>
      <c r="M1361" s="9"/>
      <c r="N1361" s="10" t="str">
        <f aca="false">IF($B1361="","",$L1361-$M1361)</f>
        <v/>
      </c>
      <c r="O1361" s="10" t="str">
        <f aca="false">IF($B1361="","",IFERROR(INDEX(Drinks!$E$4:$E$53,MATCH($B1361,Drinks!$A$4:$A$53,0)),0))</f>
        <v/>
      </c>
      <c r="P1361" s="10" t="str">
        <f aca="false">IF($B1361="","",$N1361*$O1361)</f>
        <v/>
      </c>
      <c r="Q1361" s="10" t="str">
        <f aca="false">IF($B1361="","",$N1361*IFERROR(INDEX(Drinks!$D$4:$D$53,MATCH($B1361,Drinks!$A$4:$A$53,0)),0))</f>
        <v/>
      </c>
      <c r="R1361" s="10" t="str">
        <f aca="false">IF($B1361="","",$P1361-$Q1361)</f>
        <v/>
      </c>
      <c r="S1361" s="23" t="str">
        <f aca="false">IF($B1361="","",IF(COUNTIFS($A$4:$A$2003,$A1361-1,$B$4:$B$2003,$B1361)=0,"first day",IF(SUMIFS($M$4:$M$2003,$A$4:$A$2003,$A1361-1,$B$4:$B$2003,$B1361)=$J1361,"OK","CHECK")))</f>
        <v/>
      </c>
      <c r="T1361" s="10" t="str">
        <f aca="false">IF($B1361="","",IFERROR(INDEX(Drinks!$D$4:$D$53,MATCH($B1361,Drinks!$A$4:$A$53,0)),0))</f>
        <v/>
      </c>
    </row>
    <row r="1362" customFormat="false" ht="15" hidden="false" customHeight="false" outlineLevel="0" collapsed="false">
      <c r="A1362" s="22"/>
      <c r="B1362" s="9"/>
      <c r="C1362" s="9"/>
      <c r="D1362" s="9"/>
      <c r="E1362" s="9"/>
      <c r="F1362" s="10" t="str">
        <f aca="false">IF($B1362="","",$C1362+$D1362-$E1362)</f>
        <v/>
      </c>
      <c r="G1362" s="10" t="str">
        <f aca="false">IF($B1362="","",IFERROR(INDEX(Drinks!$C$4:$C$53,MATCH($B1362,Drinks!$A$4:$A$53,0)),0))</f>
        <v/>
      </c>
      <c r="H1362" s="10" t="str">
        <f aca="false">IF($B1362="","",$D1362*$G1362)</f>
        <v/>
      </c>
      <c r="I1362" s="10" t="str">
        <f aca="false">IF($B1362="","",$F1362*$G1362)</f>
        <v/>
      </c>
      <c r="J1362" s="9"/>
      <c r="K1362" s="10" t="str">
        <f aca="false">IF($B1362="","",$E1362*IFERROR(INDEX(Drinks!$B$4:$B$53,MATCH($B1362,Drinks!$A$4:$A$53,0)),0))</f>
        <v/>
      </c>
      <c r="L1362" s="10" t="str">
        <f aca="false">IF($B1362="","",$J1362+$K1362)</f>
        <v/>
      </c>
      <c r="M1362" s="9"/>
      <c r="N1362" s="10" t="str">
        <f aca="false">IF($B1362="","",$L1362-$M1362)</f>
        <v/>
      </c>
      <c r="O1362" s="10" t="str">
        <f aca="false">IF($B1362="","",IFERROR(INDEX(Drinks!$E$4:$E$53,MATCH($B1362,Drinks!$A$4:$A$53,0)),0))</f>
        <v/>
      </c>
      <c r="P1362" s="10" t="str">
        <f aca="false">IF($B1362="","",$N1362*$O1362)</f>
        <v/>
      </c>
      <c r="Q1362" s="10" t="str">
        <f aca="false">IF($B1362="","",$N1362*IFERROR(INDEX(Drinks!$D$4:$D$53,MATCH($B1362,Drinks!$A$4:$A$53,0)),0))</f>
        <v/>
      </c>
      <c r="R1362" s="10" t="str">
        <f aca="false">IF($B1362="","",$P1362-$Q1362)</f>
        <v/>
      </c>
      <c r="S1362" s="23" t="str">
        <f aca="false">IF($B1362="","",IF(COUNTIFS($A$4:$A$2003,$A1362-1,$B$4:$B$2003,$B1362)=0,"first day",IF(SUMIFS($M$4:$M$2003,$A$4:$A$2003,$A1362-1,$B$4:$B$2003,$B1362)=$J1362,"OK","CHECK")))</f>
        <v/>
      </c>
      <c r="T1362" s="10" t="str">
        <f aca="false">IF($B1362="","",IFERROR(INDEX(Drinks!$D$4:$D$53,MATCH($B1362,Drinks!$A$4:$A$53,0)),0))</f>
        <v/>
      </c>
    </row>
    <row r="1363" customFormat="false" ht="15" hidden="false" customHeight="false" outlineLevel="0" collapsed="false">
      <c r="A1363" s="22"/>
      <c r="B1363" s="9"/>
      <c r="C1363" s="9"/>
      <c r="D1363" s="9"/>
      <c r="E1363" s="9"/>
      <c r="F1363" s="10" t="str">
        <f aca="false">IF($B1363="","",$C1363+$D1363-$E1363)</f>
        <v/>
      </c>
      <c r="G1363" s="10" t="str">
        <f aca="false">IF($B1363="","",IFERROR(INDEX(Drinks!$C$4:$C$53,MATCH($B1363,Drinks!$A$4:$A$53,0)),0))</f>
        <v/>
      </c>
      <c r="H1363" s="10" t="str">
        <f aca="false">IF($B1363="","",$D1363*$G1363)</f>
        <v/>
      </c>
      <c r="I1363" s="10" t="str">
        <f aca="false">IF($B1363="","",$F1363*$G1363)</f>
        <v/>
      </c>
      <c r="J1363" s="9"/>
      <c r="K1363" s="10" t="str">
        <f aca="false">IF($B1363="","",$E1363*IFERROR(INDEX(Drinks!$B$4:$B$53,MATCH($B1363,Drinks!$A$4:$A$53,0)),0))</f>
        <v/>
      </c>
      <c r="L1363" s="10" t="str">
        <f aca="false">IF($B1363="","",$J1363+$K1363)</f>
        <v/>
      </c>
      <c r="M1363" s="9"/>
      <c r="N1363" s="10" t="str">
        <f aca="false">IF($B1363="","",$L1363-$M1363)</f>
        <v/>
      </c>
      <c r="O1363" s="10" t="str">
        <f aca="false">IF($B1363="","",IFERROR(INDEX(Drinks!$E$4:$E$53,MATCH($B1363,Drinks!$A$4:$A$53,0)),0))</f>
        <v/>
      </c>
      <c r="P1363" s="10" t="str">
        <f aca="false">IF($B1363="","",$N1363*$O1363)</f>
        <v/>
      </c>
      <c r="Q1363" s="10" t="str">
        <f aca="false">IF($B1363="","",$N1363*IFERROR(INDEX(Drinks!$D$4:$D$53,MATCH($B1363,Drinks!$A$4:$A$53,0)),0))</f>
        <v/>
      </c>
      <c r="R1363" s="10" t="str">
        <f aca="false">IF($B1363="","",$P1363-$Q1363)</f>
        <v/>
      </c>
      <c r="S1363" s="23" t="str">
        <f aca="false">IF($B1363="","",IF(COUNTIFS($A$4:$A$2003,$A1363-1,$B$4:$B$2003,$B1363)=0,"first day",IF(SUMIFS($M$4:$M$2003,$A$4:$A$2003,$A1363-1,$B$4:$B$2003,$B1363)=$J1363,"OK","CHECK")))</f>
        <v/>
      </c>
      <c r="T1363" s="10" t="str">
        <f aca="false">IF($B1363="","",IFERROR(INDEX(Drinks!$D$4:$D$53,MATCH($B1363,Drinks!$A$4:$A$53,0)),0))</f>
        <v/>
      </c>
    </row>
    <row r="1364" customFormat="false" ht="15" hidden="false" customHeight="false" outlineLevel="0" collapsed="false">
      <c r="A1364" s="22"/>
      <c r="B1364" s="9"/>
      <c r="C1364" s="9"/>
      <c r="D1364" s="9"/>
      <c r="E1364" s="9"/>
      <c r="F1364" s="10" t="str">
        <f aca="false">IF($B1364="","",$C1364+$D1364-$E1364)</f>
        <v/>
      </c>
      <c r="G1364" s="10" t="str">
        <f aca="false">IF($B1364="","",IFERROR(INDEX(Drinks!$C$4:$C$53,MATCH($B1364,Drinks!$A$4:$A$53,0)),0))</f>
        <v/>
      </c>
      <c r="H1364" s="10" t="str">
        <f aca="false">IF($B1364="","",$D1364*$G1364)</f>
        <v/>
      </c>
      <c r="I1364" s="10" t="str">
        <f aca="false">IF($B1364="","",$F1364*$G1364)</f>
        <v/>
      </c>
      <c r="J1364" s="9"/>
      <c r="K1364" s="10" t="str">
        <f aca="false">IF($B1364="","",$E1364*IFERROR(INDEX(Drinks!$B$4:$B$53,MATCH($B1364,Drinks!$A$4:$A$53,0)),0))</f>
        <v/>
      </c>
      <c r="L1364" s="10" t="str">
        <f aca="false">IF($B1364="","",$J1364+$K1364)</f>
        <v/>
      </c>
      <c r="M1364" s="9"/>
      <c r="N1364" s="10" t="str">
        <f aca="false">IF($B1364="","",$L1364-$M1364)</f>
        <v/>
      </c>
      <c r="O1364" s="10" t="str">
        <f aca="false">IF($B1364="","",IFERROR(INDEX(Drinks!$E$4:$E$53,MATCH($B1364,Drinks!$A$4:$A$53,0)),0))</f>
        <v/>
      </c>
      <c r="P1364" s="10" t="str">
        <f aca="false">IF($B1364="","",$N1364*$O1364)</f>
        <v/>
      </c>
      <c r="Q1364" s="10" t="str">
        <f aca="false">IF($B1364="","",$N1364*IFERROR(INDEX(Drinks!$D$4:$D$53,MATCH($B1364,Drinks!$A$4:$A$53,0)),0))</f>
        <v/>
      </c>
      <c r="R1364" s="10" t="str">
        <f aca="false">IF($B1364="","",$P1364-$Q1364)</f>
        <v/>
      </c>
      <c r="S1364" s="23" t="str">
        <f aca="false">IF($B1364="","",IF(COUNTIFS($A$4:$A$2003,$A1364-1,$B$4:$B$2003,$B1364)=0,"first day",IF(SUMIFS($M$4:$M$2003,$A$4:$A$2003,$A1364-1,$B$4:$B$2003,$B1364)=$J1364,"OK","CHECK")))</f>
        <v/>
      </c>
      <c r="T1364" s="10" t="str">
        <f aca="false">IF($B1364="","",IFERROR(INDEX(Drinks!$D$4:$D$53,MATCH($B1364,Drinks!$A$4:$A$53,0)),0))</f>
        <v/>
      </c>
    </row>
    <row r="1365" customFormat="false" ht="15" hidden="false" customHeight="false" outlineLevel="0" collapsed="false">
      <c r="A1365" s="22"/>
      <c r="B1365" s="9"/>
      <c r="C1365" s="9"/>
      <c r="D1365" s="9"/>
      <c r="E1365" s="9"/>
      <c r="F1365" s="10" t="str">
        <f aca="false">IF($B1365="","",$C1365+$D1365-$E1365)</f>
        <v/>
      </c>
      <c r="G1365" s="10" t="str">
        <f aca="false">IF($B1365="","",IFERROR(INDEX(Drinks!$C$4:$C$53,MATCH($B1365,Drinks!$A$4:$A$53,0)),0))</f>
        <v/>
      </c>
      <c r="H1365" s="10" t="str">
        <f aca="false">IF($B1365="","",$D1365*$G1365)</f>
        <v/>
      </c>
      <c r="I1365" s="10" t="str">
        <f aca="false">IF($B1365="","",$F1365*$G1365)</f>
        <v/>
      </c>
      <c r="J1365" s="9"/>
      <c r="K1365" s="10" t="str">
        <f aca="false">IF($B1365="","",$E1365*IFERROR(INDEX(Drinks!$B$4:$B$53,MATCH($B1365,Drinks!$A$4:$A$53,0)),0))</f>
        <v/>
      </c>
      <c r="L1365" s="10" t="str">
        <f aca="false">IF($B1365="","",$J1365+$K1365)</f>
        <v/>
      </c>
      <c r="M1365" s="9"/>
      <c r="N1365" s="10" t="str">
        <f aca="false">IF($B1365="","",$L1365-$M1365)</f>
        <v/>
      </c>
      <c r="O1365" s="10" t="str">
        <f aca="false">IF($B1365="","",IFERROR(INDEX(Drinks!$E$4:$E$53,MATCH($B1365,Drinks!$A$4:$A$53,0)),0))</f>
        <v/>
      </c>
      <c r="P1365" s="10" t="str">
        <f aca="false">IF($B1365="","",$N1365*$O1365)</f>
        <v/>
      </c>
      <c r="Q1365" s="10" t="str">
        <f aca="false">IF($B1365="","",$N1365*IFERROR(INDEX(Drinks!$D$4:$D$53,MATCH($B1365,Drinks!$A$4:$A$53,0)),0))</f>
        <v/>
      </c>
      <c r="R1365" s="10" t="str">
        <f aca="false">IF($B1365="","",$P1365-$Q1365)</f>
        <v/>
      </c>
      <c r="S1365" s="23" t="str">
        <f aca="false">IF($B1365="","",IF(COUNTIFS($A$4:$A$2003,$A1365-1,$B$4:$B$2003,$B1365)=0,"first day",IF(SUMIFS($M$4:$M$2003,$A$4:$A$2003,$A1365-1,$B$4:$B$2003,$B1365)=$J1365,"OK","CHECK")))</f>
        <v/>
      </c>
      <c r="T1365" s="10" t="str">
        <f aca="false">IF($B1365="","",IFERROR(INDEX(Drinks!$D$4:$D$53,MATCH($B1365,Drinks!$A$4:$A$53,0)),0))</f>
        <v/>
      </c>
    </row>
    <row r="1366" customFormat="false" ht="15" hidden="false" customHeight="false" outlineLevel="0" collapsed="false">
      <c r="A1366" s="22"/>
      <c r="B1366" s="9"/>
      <c r="C1366" s="9"/>
      <c r="D1366" s="9"/>
      <c r="E1366" s="9"/>
      <c r="F1366" s="10" t="str">
        <f aca="false">IF($B1366="","",$C1366+$D1366-$E1366)</f>
        <v/>
      </c>
      <c r="G1366" s="10" t="str">
        <f aca="false">IF($B1366="","",IFERROR(INDEX(Drinks!$C$4:$C$53,MATCH($B1366,Drinks!$A$4:$A$53,0)),0))</f>
        <v/>
      </c>
      <c r="H1366" s="10" t="str">
        <f aca="false">IF($B1366="","",$D1366*$G1366)</f>
        <v/>
      </c>
      <c r="I1366" s="10" t="str">
        <f aca="false">IF($B1366="","",$F1366*$G1366)</f>
        <v/>
      </c>
      <c r="J1366" s="9"/>
      <c r="K1366" s="10" t="str">
        <f aca="false">IF($B1366="","",$E1366*IFERROR(INDEX(Drinks!$B$4:$B$53,MATCH($B1366,Drinks!$A$4:$A$53,0)),0))</f>
        <v/>
      </c>
      <c r="L1366" s="10" t="str">
        <f aca="false">IF($B1366="","",$J1366+$K1366)</f>
        <v/>
      </c>
      <c r="M1366" s="9"/>
      <c r="N1366" s="10" t="str">
        <f aca="false">IF($B1366="","",$L1366-$M1366)</f>
        <v/>
      </c>
      <c r="O1366" s="10" t="str">
        <f aca="false">IF($B1366="","",IFERROR(INDEX(Drinks!$E$4:$E$53,MATCH($B1366,Drinks!$A$4:$A$53,0)),0))</f>
        <v/>
      </c>
      <c r="P1366" s="10" t="str">
        <f aca="false">IF($B1366="","",$N1366*$O1366)</f>
        <v/>
      </c>
      <c r="Q1366" s="10" t="str">
        <f aca="false">IF($B1366="","",$N1366*IFERROR(INDEX(Drinks!$D$4:$D$53,MATCH($B1366,Drinks!$A$4:$A$53,0)),0))</f>
        <v/>
      </c>
      <c r="R1366" s="10" t="str">
        <f aca="false">IF($B1366="","",$P1366-$Q1366)</f>
        <v/>
      </c>
      <c r="S1366" s="23" t="str">
        <f aca="false">IF($B1366="","",IF(COUNTIFS($A$4:$A$2003,$A1366-1,$B$4:$B$2003,$B1366)=0,"first day",IF(SUMIFS($M$4:$M$2003,$A$4:$A$2003,$A1366-1,$B$4:$B$2003,$B1366)=$J1366,"OK","CHECK")))</f>
        <v/>
      </c>
      <c r="T1366" s="10" t="str">
        <f aca="false">IF($B1366="","",IFERROR(INDEX(Drinks!$D$4:$D$53,MATCH($B1366,Drinks!$A$4:$A$53,0)),0))</f>
        <v/>
      </c>
    </row>
    <row r="1367" customFormat="false" ht="15" hidden="false" customHeight="false" outlineLevel="0" collapsed="false">
      <c r="A1367" s="22"/>
      <c r="B1367" s="9"/>
      <c r="C1367" s="9"/>
      <c r="D1367" s="9"/>
      <c r="E1367" s="9"/>
      <c r="F1367" s="10" t="str">
        <f aca="false">IF($B1367="","",$C1367+$D1367-$E1367)</f>
        <v/>
      </c>
      <c r="G1367" s="10" t="str">
        <f aca="false">IF($B1367="","",IFERROR(INDEX(Drinks!$C$4:$C$53,MATCH($B1367,Drinks!$A$4:$A$53,0)),0))</f>
        <v/>
      </c>
      <c r="H1367" s="10" t="str">
        <f aca="false">IF($B1367="","",$D1367*$G1367)</f>
        <v/>
      </c>
      <c r="I1367" s="10" t="str">
        <f aca="false">IF($B1367="","",$F1367*$G1367)</f>
        <v/>
      </c>
      <c r="J1367" s="9"/>
      <c r="K1367" s="10" t="str">
        <f aca="false">IF($B1367="","",$E1367*IFERROR(INDEX(Drinks!$B$4:$B$53,MATCH($B1367,Drinks!$A$4:$A$53,0)),0))</f>
        <v/>
      </c>
      <c r="L1367" s="10" t="str">
        <f aca="false">IF($B1367="","",$J1367+$K1367)</f>
        <v/>
      </c>
      <c r="M1367" s="9"/>
      <c r="N1367" s="10" t="str">
        <f aca="false">IF($B1367="","",$L1367-$M1367)</f>
        <v/>
      </c>
      <c r="O1367" s="10" t="str">
        <f aca="false">IF($B1367="","",IFERROR(INDEX(Drinks!$E$4:$E$53,MATCH($B1367,Drinks!$A$4:$A$53,0)),0))</f>
        <v/>
      </c>
      <c r="P1367" s="10" t="str">
        <f aca="false">IF($B1367="","",$N1367*$O1367)</f>
        <v/>
      </c>
      <c r="Q1367" s="10" t="str">
        <f aca="false">IF($B1367="","",$N1367*IFERROR(INDEX(Drinks!$D$4:$D$53,MATCH($B1367,Drinks!$A$4:$A$53,0)),0))</f>
        <v/>
      </c>
      <c r="R1367" s="10" t="str">
        <f aca="false">IF($B1367="","",$P1367-$Q1367)</f>
        <v/>
      </c>
      <c r="S1367" s="23" t="str">
        <f aca="false">IF($B1367="","",IF(COUNTIFS($A$4:$A$2003,$A1367-1,$B$4:$B$2003,$B1367)=0,"first day",IF(SUMIFS($M$4:$M$2003,$A$4:$A$2003,$A1367-1,$B$4:$B$2003,$B1367)=$J1367,"OK","CHECK")))</f>
        <v/>
      </c>
      <c r="T1367" s="10" t="str">
        <f aca="false">IF($B1367="","",IFERROR(INDEX(Drinks!$D$4:$D$53,MATCH($B1367,Drinks!$A$4:$A$53,0)),0))</f>
        <v/>
      </c>
    </row>
    <row r="1368" customFormat="false" ht="15" hidden="false" customHeight="false" outlineLevel="0" collapsed="false">
      <c r="A1368" s="22"/>
      <c r="B1368" s="9"/>
      <c r="C1368" s="9"/>
      <c r="D1368" s="9"/>
      <c r="E1368" s="9"/>
      <c r="F1368" s="10" t="str">
        <f aca="false">IF($B1368="","",$C1368+$D1368-$E1368)</f>
        <v/>
      </c>
      <c r="G1368" s="10" t="str">
        <f aca="false">IF($B1368="","",IFERROR(INDEX(Drinks!$C$4:$C$53,MATCH($B1368,Drinks!$A$4:$A$53,0)),0))</f>
        <v/>
      </c>
      <c r="H1368" s="10" t="str">
        <f aca="false">IF($B1368="","",$D1368*$G1368)</f>
        <v/>
      </c>
      <c r="I1368" s="10" t="str">
        <f aca="false">IF($B1368="","",$F1368*$G1368)</f>
        <v/>
      </c>
      <c r="J1368" s="9"/>
      <c r="K1368" s="10" t="str">
        <f aca="false">IF($B1368="","",$E1368*IFERROR(INDEX(Drinks!$B$4:$B$53,MATCH($B1368,Drinks!$A$4:$A$53,0)),0))</f>
        <v/>
      </c>
      <c r="L1368" s="10" t="str">
        <f aca="false">IF($B1368="","",$J1368+$K1368)</f>
        <v/>
      </c>
      <c r="M1368" s="9"/>
      <c r="N1368" s="10" t="str">
        <f aca="false">IF($B1368="","",$L1368-$M1368)</f>
        <v/>
      </c>
      <c r="O1368" s="10" t="str">
        <f aca="false">IF($B1368="","",IFERROR(INDEX(Drinks!$E$4:$E$53,MATCH($B1368,Drinks!$A$4:$A$53,0)),0))</f>
        <v/>
      </c>
      <c r="P1368" s="10" t="str">
        <f aca="false">IF($B1368="","",$N1368*$O1368)</f>
        <v/>
      </c>
      <c r="Q1368" s="10" t="str">
        <f aca="false">IF($B1368="","",$N1368*IFERROR(INDEX(Drinks!$D$4:$D$53,MATCH($B1368,Drinks!$A$4:$A$53,0)),0))</f>
        <v/>
      </c>
      <c r="R1368" s="10" t="str">
        <f aca="false">IF($B1368="","",$P1368-$Q1368)</f>
        <v/>
      </c>
      <c r="S1368" s="23" t="str">
        <f aca="false">IF($B1368="","",IF(COUNTIFS($A$4:$A$2003,$A1368-1,$B$4:$B$2003,$B1368)=0,"first day",IF(SUMIFS($M$4:$M$2003,$A$4:$A$2003,$A1368-1,$B$4:$B$2003,$B1368)=$J1368,"OK","CHECK")))</f>
        <v/>
      </c>
      <c r="T1368" s="10" t="str">
        <f aca="false">IF($B1368="","",IFERROR(INDEX(Drinks!$D$4:$D$53,MATCH($B1368,Drinks!$A$4:$A$53,0)),0))</f>
        <v/>
      </c>
    </row>
    <row r="1369" customFormat="false" ht="15" hidden="false" customHeight="false" outlineLevel="0" collapsed="false">
      <c r="A1369" s="22"/>
      <c r="B1369" s="9"/>
      <c r="C1369" s="9"/>
      <c r="D1369" s="9"/>
      <c r="E1369" s="9"/>
      <c r="F1369" s="10" t="str">
        <f aca="false">IF($B1369="","",$C1369+$D1369-$E1369)</f>
        <v/>
      </c>
      <c r="G1369" s="10" t="str">
        <f aca="false">IF($B1369="","",IFERROR(INDEX(Drinks!$C$4:$C$53,MATCH($B1369,Drinks!$A$4:$A$53,0)),0))</f>
        <v/>
      </c>
      <c r="H1369" s="10" t="str">
        <f aca="false">IF($B1369="","",$D1369*$G1369)</f>
        <v/>
      </c>
      <c r="I1369" s="10" t="str">
        <f aca="false">IF($B1369="","",$F1369*$G1369)</f>
        <v/>
      </c>
      <c r="J1369" s="9"/>
      <c r="K1369" s="10" t="str">
        <f aca="false">IF($B1369="","",$E1369*IFERROR(INDEX(Drinks!$B$4:$B$53,MATCH($B1369,Drinks!$A$4:$A$53,0)),0))</f>
        <v/>
      </c>
      <c r="L1369" s="10" t="str">
        <f aca="false">IF($B1369="","",$J1369+$K1369)</f>
        <v/>
      </c>
      <c r="M1369" s="9"/>
      <c r="N1369" s="10" t="str">
        <f aca="false">IF($B1369="","",$L1369-$M1369)</f>
        <v/>
      </c>
      <c r="O1369" s="10" t="str">
        <f aca="false">IF($B1369="","",IFERROR(INDEX(Drinks!$E$4:$E$53,MATCH($B1369,Drinks!$A$4:$A$53,0)),0))</f>
        <v/>
      </c>
      <c r="P1369" s="10" t="str">
        <f aca="false">IF($B1369="","",$N1369*$O1369)</f>
        <v/>
      </c>
      <c r="Q1369" s="10" t="str">
        <f aca="false">IF($B1369="","",$N1369*IFERROR(INDEX(Drinks!$D$4:$D$53,MATCH($B1369,Drinks!$A$4:$A$53,0)),0))</f>
        <v/>
      </c>
      <c r="R1369" s="10" t="str">
        <f aca="false">IF($B1369="","",$P1369-$Q1369)</f>
        <v/>
      </c>
      <c r="S1369" s="23" t="str">
        <f aca="false">IF($B1369="","",IF(COUNTIFS($A$4:$A$2003,$A1369-1,$B$4:$B$2003,$B1369)=0,"first day",IF(SUMIFS($M$4:$M$2003,$A$4:$A$2003,$A1369-1,$B$4:$B$2003,$B1369)=$J1369,"OK","CHECK")))</f>
        <v/>
      </c>
      <c r="T1369" s="10" t="str">
        <f aca="false">IF($B1369="","",IFERROR(INDEX(Drinks!$D$4:$D$53,MATCH($B1369,Drinks!$A$4:$A$53,0)),0))</f>
        <v/>
      </c>
    </row>
    <row r="1370" customFormat="false" ht="15" hidden="false" customHeight="false" outlineLevel="0" collapsed="false">
      <c r="A1370" s="22"/>
      <c r="B1370" s="9"/>
      <c r="C1370" s="9"/>
      <c r="D1370" s="9"/>
      <c r="E1370" s="9"/>
      <c r="F1370" s="10" t="str">
        <f aca="false">IF($B1370="","",$C1370+$D1370-$E1370)</f>
        <v/>
      </c>
      <c r="G1370" s="10" t="str">
        <f aca="false">IF($B1370="","",IFERROR(INDEX(Drinks!$C$4:$C$53,MATCH($B1370,Drinks!$A$4:$A$53,0)),0))</f>
        <v/>
      </c>
      <c r="H1370" s="10" t="str">
        <f aca="false">IF($B1370="","",$D1370*$G1370)</f>
        <v/>
      </c>
      <c r="I1370" s="10" t="str">
        <f aca="false">IF($B1370="","",$F1370*$G1370)</f>
        <v/>
      </c>
      <c r="J1370" s="9"/>
      <c r="K1370" s="10" t="str">
        <f aca="false">IF($B1370="","",$E1370*IFERROR(INDEX(Drinks!$B$4:$B$53,MATCH($B1370,Drinks!$A$4:$A$53,0)),0))</f>
        <v/>
      </c>
      <c r="L1370" s="10" t="str">
        <f aca="false">IF($B1370="","",$J1370+$K1370)</f>
        <v/>
      </c>
      <c r="M1370" s="9"/>
      <c r="N1370" s="10" t="str">
        <f aca="false">IF($B1370="","",$L1370-$M1370)</f>
        <v/>
      </c>
      <c r="O1370" s="10" t="str">
        <f aca="false">IF($B1370="","",IFERROR(INDEX(Drinks!$E$4:$E$53,MATCH($B1370,Drinks!$A$4:$A$53,0)),0))</f>
        <v/>
      </c>
      <c r="P1370" s="10" t="str">
        <f aca="false">IF($B1370="","",$N1370*$O1370)</f>
        <v/>
      </c>
      <c r="Q1370" s="10" t="str">
        <f aca="false">IF($B1370="","",$N1370*IFERROR(INDEX(Drinks!$D$4:$D$53,MATCH($B1370,Drinks!$A$4:$A$53,0)),0))</f>
        <v/>
      </c>
      <c r="R1370" s="10" t="str">
        <f aca="false">IF($B1370="","",$P1370-$Q1370)</f>
        <v/>
      </c>
      <c r="S1370" s="23" t="str">
        <f aca="false">IF($B1370="","",IF(COUNTIFS($A$4:$A$2003,$A1370-1,$B$4:$B$2003,$B1370)=0,"first day",IF(SUMIFS($M$4:$M$2003,$A$4:$A$2003,$A1370-1,$B$4:$B$2003,$B1370)=$J1370,"OK","CHECK")))</f>
        <v/>
      </c>
      <c r="T1370" s="10" t="str">
        <f aca="false">IF($B1370="","",IFERROR(INDEX(Drinks!$D$4:$D$53,MATCH($B1370,Drinks!$A$4:$A$53,0)),0))</f>
        <v/>
      </c>
    </row>
    <row r="1371" customFormat="false" ht="15" hidden="false" customHeight="false" outlineLevel="0" collapsed="false">
      <c r="A1371" s="22"/>
      <c r="B1371" s="9"/>
      <c r="C1371" s="9"/>
      <c r="D1371" s="9"/>
      <c r="E1371" s="9"/>
      <c r="F1371" s="10" t="str">
        <f aca="false">IF($B1371="","",$C1371+$D1371-$E1371)</f>
        <v/>
      </c>
      <c r="G1371" s="10" t="str">
        <f aca="false">IF($B1371="","",IFERROR(INDEX(Drinks!$C$4:$C$53,MATCH($B1371,Drinks!$A$4:$A$53,0)),0))</f>
        <v/>
      </c>
      <c r="H1371" s="10" t="str">
        <f aca="false">IF($B1371="","",$D1371*$G1371)</f>
        <v/>
      </c>
      <c r="I1371" s="10" t="str">
        <f aca="false">IF($B1371="","",$F1371*$G1371)</f>
        <v/>
      </c>
      <c r="J1371" s="9"/>
      <c r="K1371" s="10" t="str">
        <f aca="false">IF($B1371="","",$E1371*IFERROR(INDEX(Drinks!$B$4:$B$53,MATCH($B1371,Drinks!$A$4:$A$53,0)),0))</f>
        <v/>
      </c>
      <c r="L1371" s="10" t="str">
        <f aca="false">IF($B1371="","",$J1371+$K1371)</f>
        <v/>
      </c>
      <c r="M1371" s="9"/>
      <c r="N1371" s="10" t="str">
        <f aca="false">IF($B1371="","",$L1371-$M1371)</f>
        <v/>
      </c>
      <c r="O1371" s="10" t="str">
        <f aca="false">IF($B1371="","",IFERROR(INDEX(Drinks!$E$4:$E$53,MATCH($B1371,Drinks!$A$4:$A$53,0)),0))</f>
        <v/>
      </c>
      <c r="P1371" s="10" t="str">
        <f aca="false">IF($B1371="","",$N1371*$O1371)</f>
        <v/>
      </c>
      <c r="Q1371" s="10" t="str">
        <f aca="false">IF($B1371="","",$N1371*IFERROR(INDEX(Drinks!$D$4:$D$53,MATCH($B1371,Drinks!$A$4:$A$53,0)),0))</f>
        <v/>
      </c>
      <c r="R1371" s="10" t="str">
        <f aca="false">IF($B1371="","",$P1371-$Q1371)</f>
        <v/>
      </c>
      <c r="S1371" s="23" t="str">
        <f aca="false">IF($B1371="","",IF(COUNTIFS($A$4:$A$2003,$A1371-1,$B$4:$B$2003,$B1371)=0,"first day",IF(SUMIFS($M$4:$M$2003,$A$4:$A$2003,$A1371-1,$B$4:$B$2003,$B1371)=$J1371,"OK","CHECK")))</f>
        <v/>
      </c>
      <c r="T1371" s="10" t="str">
        <f aca="false">IF($B1371="","",IFERROR(INDEX(Drinks!$D$4:$D$53,MATCH($B1371,Drinks!$A$4:$A$53,0)),0))</f>
        <v/>
      </c>
    </row>
    <row r="1372" customFormat="false" ht="15" hidden="false" customHeight="false" outlineLevel="0" collapsed="false">
      <c r="A1372" s="22"/>
      <c r="B1372" s="9"/>
      <c r="C1372" s="9"/>
      <c r="D1372" s="9"/>
      <c r="E1372" s="9"/>
      <c r="F1372" s="10" t="str">
        <f aca="false">IF($B1372="","",$C1372+$D1372-$E1372)</f>
        <v/>
      </c>
      <c r="G1372" s="10" t="str">
        <f aca="false">IF($B1372="","",IFERROR(INDEX(Drinks!$C$4:$C$53,MATCH($B1372,Drinks!$A$4:$A$53,0)),0))</f>
        <v/>
      </c>
      <c r="H1372" s="10" t="str">
        <f aca="false">IF($B1372="","",$D1372*$G1372)</f>
        <v/>
      </c>
      <c r="I1372" s="10" t="str">
        <f aca="false">IF($B1372="","",$F1372*$G1372)</f>
        <v/>
      </c>
      <c r="J1372" s="9"/>
      <c r="K1372" s="10" t="str">
        <f aca="false">IF($B1372="","",$E1372*IFERROR(INDEX(Drinks!$B$4:$B$53,MATCH($B1372,Drinks!$A$4:$A$53,0)),0))</f>
        <v/>
      </c>
      <c r="L1372" s="10" t="str">
        <f aca="false">IF($B1372="","",$J1372+$K1372)</f>
        <v/>
      </c>
      <c r="M1372" s="9"/>
      <c r="N1372" s="10" t="str">
        <f aca="false">IF($B1372="","",$L1372-$M1372)</f>
        <v/>
      </c>
      <c r="O1372" s="10" t="str">
        <f aca="false">IF($B1372="","",IFERROR(INDEX(Drinks!$E$4:$E$53,MATCH($B1372,Drinks!$A$4:$A$53,0)),0))</f>
        <v/>
      </c>
      <c r="P1372" s="10" t="str">
        <f aca="false">IF($B1372="","",$N1372*$O1372)</f>
        <v/>
      </c>
      <c r="Q1372" s="10" t="str">
        <f aca="false">IF($B1372="","",$N1372*IFERROR(INDEX(Drinks!$D$4:$D$53,MATCH($B1372,Drinks!$A$4:$A$53,0)),0))</f>
        <v/>
      </c>
      <c r="R1372" s="10" t="str">
        <f aca="false">IF($B1372="","",$P1372-$Q1372)</f>
        <v/>
      </c>
      <c r="S1372" s="23" t="str">
        <f aca="false">IF($B1372="","",IF(COUNTIFS($A$4:$A$2003,$A1372-1,$B$4:$B$2003,$B1372)=0,"first day",IF(SUMIFS($M$4:$M$2003,$A$4:$A$2003,$A1372-1,$B$4:$B$2003,$B1372)=$J1372,"OK","CHECK")))</f>
        <v/>
      </c>
      <c r="T1372" s="10" t="str">
        <f aca="false">IF($B1372="","",IFERROR(INDEX(Drinks!$D$4:$D$53,MATCH($B1372,Drinks!$A$4:$A$53,0)),0))</f>
        <v/>
      </c>
    </row>
    <row r="1373" customFormat="false" ht="15" hidden="false" customHeight="false" outlineLevel="0" collapsed="false">
      <c r="A1373" s="22"/>
      <c r="B1373" s="9"/>
      <c r="C1373" s="9"/>
      <c r="D1373" s="9"/>
      <c r="E1373" s="9"/>
      <c r="F1373" s="10" t="str">
        <f aca="false">IF($B1373="","",$C1373+$D1373-$E1373)</f>
        <v/>
      </c>
      <c r="G1373" s="10" t="str">
        <f aca="false">IF($B1373="","",IFERROR(INDEX(Drinks!$C$4:$C$53,MATCH($B1373,Drinks!$A$4:$A$53,0)),0))</f>
        <v/>
      </c>
      <c r="H1373" s="10" t="str">
        <f aca="false">IF($B1373="","",$D1373*$G1373)</f>
        <v/>
      </c>
      <c r="I1373" s="10" t="str">
        <f aca="false">IF($B1373="","",$F1373*$G1373)</f>
        <v/>
      </c>
      <c r="J1373" s="9"/>
      <c r="K1373" s="10" t="str">
        <f aca="false">IF($B1373="","",$E1373*IFERROR(INDEX(Drinks!$B$4:$B$53,MATCH($B1373,Drinks!$A$4:$A$53,0)),0))</f>
        <v/>
      </c>
      <c r="L1373" s="10" t="str">
        <f aca="false">IF($B1373="","",$J1373+$K1373)</f>
        <v/>
      </c>
      <c r="M1373" s="9"/>
      <c r="N1373" s="10" t="str">
        <f aca="false">IF($B1373="","",$L1373-$M1373)</f>
        <v/>
      </c>
      <c r="O1373" s="10" t="str">
        <f aca="false">IF($B1373="","",IFERROR(INDEX(Drinks!$E$4:$E$53,MATCH($B1373,Drinks!$A$4:$A$53,0)),0))</f>
        <v/>
      </c>
      <c r="P1373" s="10" t="str">
        <f aca="false">IF($B1373="","",$N1373*$O1373)</f>
        <v/>
      </c>
      <c r="Q1373" s="10" t="str">
        <f aca="false">IF($B1373="","",$N1373*IFERROR(INDEX(Drinks!$D$4:$D$53,MATCH($B1373,Drinks!$A$4:$A$53,0)),0))</f>
        <v/>
      </c>
      <c r="R1373" s="10" t="str">
        <f aca="false">IF($B1373="","",$P1373-$Q1373)</f>
        <v/>
      </c>
      <c r="S1373" s="23" t="str">
        <f aca="false">IF($B1373="","",IF(COUNTIFS($A$4:$A$2003,$A1373-1,$B$4:$B$2003,$B1373)=0,"first day",IF(SUMIFS($M$4:$M$2003,$A$4:$A$2003,$A1373-1,$B$4:$B$2003,$B1373)=$J1373,"OK","CHECK")))</f>
        <v/>
      </c>
      <c r="T1373" s="10" t="str">
        <f aca="false">IF($B1373="","",IFERROR(INDEX(Drinks!$D$4:$D$53,MATCH($B1373,Drinks!$A$4:$A$53,0)),0))</f>
        <v/>
      </c>
    </row>
    <row r="1374" customFormat="false" ht="15" hidden="false" customHeight="false" outlineLevel="0" collapsed="false">
      <c r="A1374" s="22"/>
      <c r="B1374" s="9"/>
      <c r="C1374" s="9"/>
      <c r="D1374" s="9"/>
      <c r="E1374" s="9"/>
      <c r="F1374" s="10" t="str">
        <f aca="false">IF($B1374="","",$C1374+$D1374-$E1374)</f>
        <v/>
      </c>
      <c r="G1374" s="10" t="str">
        <f aca="false">IF($B1374="","",IFERROR(INDEX(Drinks!$C$4:$C$53,MATCH($B1374,Drinks!$A$4:$A$53,0)),0))</f>
        <v/>
      </c>
      <c r="H1374" s="10" t="str">
        <f aca="false">IF($B1374="","",$D1374*$G1374)</f>
        <v/>
      </c>
      <c r="I1374" s="10" t="str">
        <f aca="false">IF($B1374="","",$F1374*$G1374)</f>
        <v/>
      </c>
      <c r="J1374" s="9"/>
      <c r="K1374" s="10" t="str">
        <f aca="false">IF($B1374="","",$E1374*IFERROR(INDEX(Drinks!$B$4:$B$53,MATCH($B1374,Drinks!$A$4:$A$53,0)),0))</f>
        <v/>
      </c>
      <c r="L1374" s="10" t="str">
        <f aca="false">IF($B1374="","",$J1374+$K1374)</f>
        <v/>
      </c>
      <c r="M1374" s="9"/>
      <c r="N1374" s="10" t="str">
        <f aca="false">IF($B1374="","",$L1374-$M1374)</f>
        <v/>
      </c>
      <c r="O1374" s="10" t="str">
        <f aca="false">IF($B1374="","",IFERROR(INDEX(Drinks!$E$4:$E$53,MATCH($B1374,Drinks!$A$4:$A$53,0)),0))</f>
        <v/>
      </c>
      <c r="P1374" s="10" t="str">
        <f aca="false">IF($B1374="","",$N1374*$O1374)</f>
        <v/>
      </c>
      <c r="Q1374" s="10" t="str">
        <f aca="false">IF($B1374="","",$N1374*IFERROR(INDEX(Drinks!$D$4:$D$53,MATCH($B1374,Drinks!$A$4:$A$53,0)),0))</f>
        <v/>
      </c>
      <c r="R1374" s="10" t="str">
        <f aca="false">IF($B1374="","",$P1374-$Q1374)</f>
        <v/>
      </c>
      <c r="S1374" s="23" t="str">
        <f aca="false">IF($B1374="","",IF(COUNTIFS($A$4:$A$2003,$A1374-1,$B$4:$B$2003,$B1374)=0,"first day",IF(SUMIFS($M$4:$M$2003,$A$4:$A$2003,$A1374-1,$B$4:$B$2003,$B1374)=$J1374,"OK","CHECK")))</f>
        <v/>
      </c>
      <c r="T1374" s="10" t="str">
        <f aca="false">IF($B1374="","",IFERROR(INDEX(Drinks!$D$4:$D$53,MATCH($B1374,Drinks!$A$4:$A$53,0)),0))</f>
        <v/>
      </c>
    </row>
    <row r="1375" customFormat="false" ht="15" hidden="false" customHeight="false" outlineLevel="0" collapsed="false">
      <c r="A1375" s="22"/>
      <c r="B1375" s="9"/>
      <c r="C1375" s="9"/>
      <c r="D1375" s="9"/>
      <c r="E1375" s="9"/>
      <c r="F1375" s="10" t="str">
        <f aca="false">IF($B1375="","",$C1375+$D1375-$E1375)</f>
        <v/>
      </c>
      <c r="G1375" s="10" t="str">
        <f aca="false">IF($B1375="","",IFERROR(INDEX(Drinks!$C$4:$C$53,MATCH($B1375,Drinks!$A$4:$A$53,0)),0))</f>
        <v/>
      </c>
      <c r="H1375" s="10" t="str">
        <f aca="false">IF($B1375="","",$D1375*$G1375)</f>
        <v/>
      </c>
      <c r="I1375" s="10" t="str">
        <f aca="false">IF($B1375="","",$F1375*$G1375)</f>
        <v/>
      </c>
      <c r="J1375" s="9"/>
      <c r="K1375" s="10" t="str">
        <f aca="false">IF($B1375="","",$E1375*IFERROR(INDEX(Drinks!$B$4:$B$53,MATCH($B1375,Drinks!$A$4:$A$53,0)),0))</f>
        <v/>
      </c>
      <c r="L1375" s="10" t="str">
        <f aca="false">IF($B1375="","",$J1375+$K1375)</f>
        <v/>
      </c>
      <c r="M1375" s="9"/>
      <c r="N1375" s="10" t="str">
        <f aca="false">IF($B1375="","",$L1375-$M1375)</f>
        <v/>
      </c>
      <c r="O1375" s="10" t="str">
        <f aca="false">IF($B1375="","",IFERROR(INDEX(Drinks!$E$4:$E$53,MATCH($B1375,Drinks!$A$4:$A$53,0)),0))</f>
        <v/>
      </c>
      <c r="P1375" s="10" t="str">
        <f aca="false">IF($B1375="","",$N1375*$O1375)</f>
        <v/>
      </c>
      <c r="Q1375" s="10" t="str">
        <f aca="false">IF($B1375="","",$N1375*IFERROR(INDEX(Drinks!$D$4:$D$53,MATCH($B1375,Drinks!$A$4:$A$53,0)),0))</f>
        <v/>
      </c>
      <c r="R1375" s="10" t="str">
        <f aca="false">IF($B1375="","",$P1375-$Q1375)</f>
        <v/>
      </c>
      <c r="S1375" s="23" t="str">
        <f aca="false">IF($B1375="","",IF(COUNTIFS($A$4:$A$2003,$A1375-1,$B$4:$B$2003,$B1375)=0,"first day",IF(SUMIFS($M$4:$M$2003,$A$4:$A$2003,$A1375-1,$B$4:$B$2003,$B1375)=$J1375,"OK","CHECK")))</f>
        <v/>
      </c>
      <c r="T1375" s="10" t="str">
        <f aca="false">IF($B1375="","",IFERROR(INDEX(Drinks!$D$4:$D$53,MATCH($B1375,Drinks!$A$4:$A$53,0)),0))</f>
        <v/>
      </c>
    </row>
    <row r="1376" customFormat="false" ht="15" hidden="false" customHeight="false" outlineLevel="0" collapsed="false">
      <c r="A1376" s="22"/>
      <c r="B1376" s="9"/>
      <c r="C1376" s="9"/>
      <c r="D1376" s="9"/>
      <c r="E1376" s="9"/>
      <c r="F1376" s="10" t="str">
        <f aca="false">IF($B1376="","",$C1376+$D1376-$E1376)</f>
        <v/>
      </c>
      <c r="G1376" s="10" t="str">
        <f aca="false">IF($B1376="","",IFERROR(INDEX(Drinks!$C$4:$C$53,MATCH($B1376,Drinks!$A$4:$A$53,0)),0))</f>
        <v/>
      </c>
      <c r="H1376" s="10" t="str">
        <f aca="false">IF($B1376="","",$D1376*$G1376)</f>
        <v/>
      </c>
      <c r="I1376" s="10" t="str">
        <f aca="false">IF($B1376="","",$F1376*$G1376)</f>
        <v/>
      </c>
      <c r="J1376" s="9"/>
      <c r="K1376" s="10" t="str">
        <f aca="false">IF($B1376="","",$E1376*IFERROR(INDEX(Drinks!$B$4:$B$53,MATCH($B1376,Drinks!$A$4:$A$53,0)),0))</f>
        <v/>
      </c>
      <c r="L1376" s="10" t="str">
        <f aca="false">IF($B1376="","",$J1376+$K1376)</f>
        <v/>
      </c>
      <c r="M1376" s="9"/>
      <c r="N1376" s="10" t="str">
        <f aca="false">IF($B1376="","",$L1376-$M1376)</f>
        <v/>
      </c>
      <c r="O1376" s="10" t="str">
        <f aca="false">IF($B1376="","",IFERROR(INDEX(Drinks!$E$4:$E$53,MATCH($B1376,Drinks!$A$4:$A$53,0)),0))</f>
        <v/>
      </c>
      <c r="P1376" s="10" t="str">
        <f aca="false">IF($B1376="","",$N1376*$O1376)</f>
        <v/>
      </c>
      <c r="Q1376" s="10" t="str">
        <f aca="false">IF($B1376="","",$N1376*IFERROR(INDEX(Drinks!$D$4:$D$53,MATCH($B1376,Drinks!$A$4:$A$53,0)),0))</f>
        <v/>
      </c>
      <c r="R1376" s="10" t="str">
        <f aca="false">IF($B1376="","",$P1376-$Q1376)</f>
        <v/>
      </c>
      <c r="S1376" s="23" t="str">
        <f aca="false">IF($B1376="","",IF(COUNTIFS($A$4:$A$2003,$A1376-1,$B$4:$B$2003,$B1376)=0,"first day",IF(SUMIFS($M$4:$M$2003,$A$4:$A$2003,$A1376-1,$B$4:$B$2003,$B1376)=$J1376,"OK","CHECK")))</f>
        <v/>
      </c>
      <c r="T1376" s="10" t="str">
        <f aca="false">IF($B1376="","",IFERROR(INDEX(Drinks!$D$4:$D$53,MATCH($B1376,Drinks!$A$4:$A$53,0)),0))</f>
        <v/>
      </c>
    </row>
    <row r="1377" customFormat="false" ht="15" hidden="false" customHeight="false" outlineLevel="0" collapsed="false">
      <c r="A1377" s="22"/>
      <c r="B1377" s="9"/>
      <c r="C1377" s="9"/>
      <c r="D1377" s="9"/>
      <c r="E1377" s="9"/>
      <c r="F1377" s="10" t="str">
        <f aca="false">IF($B1377="","",$C1377+$D1377-$E1377)</f>
        <v/>
      </c>
      <c r="G1377" s="10" t="str">
        <f aca="false">IF($B1377="","",IFERROR(INDEX(Drinks!$C$4:$C$53,MATCH($B1377,Drinks!$A$4:$A$53,0)),0))</f>
        <v/>
      </c>
      <c r="H1377" s="10" t="str">
        <f aca="false">IF($B1377="","",$D1377*$G1377)</f>
        <v/>
      </c>
      <c r="I1377" s="10" t="str">
        <f aca="false">IF($B1377="","",$F1377*$G1377)</f>
        <v/>
      </c>
      <c r="J1377" s="9"/>
      <c r="K1377" s="10" t="str">
        <f aca="false">IF($B1377="","",$E1377*IFERROR(INDEX(Drinks!$B$4:$B$53,MATCH($B1377,Drinks!$A$4:$A$53,0)),0))</f>
        <v/>
      </c>
      <c r="L1377" s="10" t="str">
        <f aca="false">IF($B1377="","",$J1377+$K1377)</f>
        <v/>
      </c>
      <c r="M1377" s="9"/>
      <c r="N1377" s="10" t="str">
        <f aca="false">IF($B1377="","",$L1377-$M1377)</f>
        <v/>
      </c>
      <c r="O1377" s="10" t="str">
        <f aca="false">IF($B1377="","",IFERROR(INDEX(Drinks!$E$4:$E$53,MATCH($B1377,Drinks!$A$4:$A$53,0)),0))</f>
        <v/>
      </c>
      <c r="P1377" s="10" t="str">
        <f aca="false">IF($B1377="","",$N1377*$O1377)</f>
        <v/>
      </c>
      <c r="Q1377" s="10" t="str">
        <f aca="false">IF($B1377="","",$N1377*IFERROR(INDEX(Drinks!$D$4:$D$53,MATCH($B1377,Drinks!$A$4:$A$53,0)),0))</f>
        <v/>
      </c>
      <c r="R1377" s="10" t="str">
        <f aca="false">IF($B1377="","",$P1377-$Q1377)</f>
        <v/>
      </c>
      <c r="S1377" s="23" t="str">
        <f aca="false">IF($B1377="","",IF(COUNTIFS($A$4:$A$2003,$A1377-1,$B$4:$B$2003,$B1377)=0,"first day",IF(SUMIFS($M$4:$M$2003,$A$4:$A$2003,$A1377-1,$B$4:$B$2003,$B1377)=$J1377,"OK","CHECK")))</f>
        <v/>
      </c>
      <c r="T1377" s="10" t="str">
        <f aca="false">IF($B1377="","",IFERROR(INDEX(Drinks!$D$4:$D$53,MATCH($B1377,Drinks!$A$4:$A$53,0)),0))</f>
        <v/>
      </c>
    </row>
    <row r="1378" customFormat="false" ht="15" hidden="false" customHeight="false" outlineLevel="0" collapsed="false">
      <c r="A1378" s="22"/>
      <c r="B1378" s="9"/>
      <c r="C1378" s="9"/>
      <c r="D1378" s="9"/>
      <c r="E1378" s="9"/>
      <c r="F1378" s="10" t="str">
        <f aca="false">IF($B1378="","",$C1378+$D1378-$E1378)</f>
        <v/>
      </c>
      <c r="G1378" s="10" t="str">
        <f aca="false">IF($B1378="","",IFERROR(INDEX(Drinks!$C$4:$C$53,MATCH($B1378,Drinks!$A$4:$A$53,0)),0))</f>
        <v/>
      </c>
      <c r="H1378" s="10" t="str">
        <f aca="false">IF($B1378="","",$D1378*$G1378)</f>
        <v/>
      </c>
      <c r="I1378" s="10" t="str">
        <f aca="false">IF($B1378="","",$F1378*$G1378)</f>
        <v/>
      </c>
      <c r="J1378" s="9"/>
      <c r="K1378" s="10" t="str">
        <f aca="false">IF($B1378="","",$E1378*IFERROR(INDEX(Drinks!$B$4:$B$53,MATCH($B1378,Drinks!$A$4:$A$53,0)),0))</f>
        <v/>
      </c>
      <c r="L1378" s="10" t="str">
        <f aca="false">IF($B1378="","",$J1378+$K1378)</f>
        <v/>
      </c>
      <c r="M1378" s="9"/>
      <c r="N1378" s="10" t="str">
        <f aca="false">IF($B1378="","",$L1378-$M1378)</f>
        <v/>
      </c>
      <c r="O1378" s="10" t="str">
        <f aca="false">IF($B1378="","",IFERROR(INDEX(Drinks!$E$4:$E$53,MATCH($B1378,Drinks!$A$4:$A$53,0)),0))</f>
        <v/>
      </c>
      <c r="P1378" s="10" t="str">
        <f aca="false">IF($B1378="","",$N1378*$O1378)</f>
        <v/>
      </c>
      <c r="Q1378" s="10" t="str">
        <f aca="false">IF($B1378="","",$N1378*IFERROR(INDEX(Drinks!$D$4:$D$53,MATCH($B1378,Drinks!$A$4:$A$53,0)),0))</f>
        <v/>
      </c>
      <c r="R1378" s="10" t="str">
        <f aca="false">IF($B1378="","",$P1378-$Q1378)</f>
        <v/>
      </c>
      <c r="S1378" s="23" t="str">
        <f aca="false">IF($B1378="","",IF(COUNTIFS($A$4:$A$2003,$A1378-1,$B$4:$B$2003,$B1378)=0,"first day",IF(SUMIFS($M$4:$M$2003,$A$4:$A$2003,$A1378-1,$B$4:$B$2003,$B1378)=$J1378,"OK","CHECK")))</f>
        <v/>
      </c>
      <c r="T1378" s="10" t="str">
        <f aca="false">IF($B1378="","",IFERROR(INDEX(Drinks!$D$4:$D$53,MATCH($B1378,Drinks!$A$4:$A$53,0)),0))</f>
        <v/>
      </c>
    </row>
    <row r="1379" customFormat="false" ht="15" hidden="false" customHeight="false" outlineLevel="0" collapsed="false">
      <c r="A1379" s="22"/>
      <c r="B1379" s="9"/>
      <c r="C1379" s="9"/>
      <c r="D1379" s="9"/>
      <c r="E1379" s="9"/>
      <c r="F1379" s="10" t="str">
        <f aca="false">IF($B1379="","",$C1379+$D1379-$E1379)</f>
        <v/>
      </c>
      <c r="G1379" s="10" t="str">
        <f aca="false">IF($B1379="","",IFERROR(INDEX(Drinks!$C$4:$C$53,MATCH($B1379,Drinks!$A$4:$A$53,0)),0))</f>
        <v/>
      </c>
      <c r="H1379" s="10" t="str">
        <f aca="false">IF($B1379="","",$D1379*$G1379)</f>
        <v/>
      </c>
      <c r="I1379" s="10" t="str">
        <f aca="false">IF($B1379="","",$F1379*$G1379)</f>
        <v/>
      </c>
      <c r="J1379" s="9"/>
      <c r="K1379" s="10" t="str">
        <f aca="false">IF($B1379="","",$E1379*IFERROR(INDEX(Drinks!$B$4:$B$53,MATCH($B1379,Drinks!$A$4:$A$53,0)),0))</f>
        <v/>
      </c>
      <c r="L1379" s="10" t="str">
        <f aca="false">IF($B1379="","",$J1379+$K1379)</f>
        <v/>
      </c>
      <c r="M1379" s="9"/>
      <c r="N1379" s="10" t="str">
        <f aca="false">IF($B1379="","",$L1379-$M1379)</f>
        <v/>
      </c>
      <c r="O1379" s="10" t="str">
        <f aca="false">IF($B1379="","",IFERROR(INDEX(Drinks!$E$4:$E$53,MATCH($B1379,Drinks!$A$4:$A$53,0)),0))</f>
        <v/>
      </c>
      <c r="P1379" s="10" t="str">
        <f aca="false">IF($B1379="","",$N1379*$O1379)</f>
        <v/>
      </c>
      <c r="Q1379" s="10" t="str">
        <f aca="false">IF($B1379="","",$N1379*IFERROR(INDEX(Drinks!$D$4:$D$53,MATCH($B1379,Drinks!$A$4:$A$53,0)),0))</f>
        <v/>
      </c>
      <c r="R1379" s="10" t="str">
        <f aca="false">IF($B1379="","",$P1379-$Q1379)</f>
        <v/>
      </c>
      <c r="S1379" s="23" t="str">
        <f aca="false">IF($B1379="","",IF(COUNTIFS($A$4:$A$2003,$A1379-1,$B$4:$B$2003,$B1379)=0,"first day",IF(SUMIFS($M$4:$M$2003,$A$4:$A$2003,$A1379-1,$B$4:$B$2003,$B1379)=$J1379,"OK","CHECK")))</f>
        <v/>
      </c>
      <c r="T1379" s="10" t="str">
        <f aca="false">IF($B1379="","",IFERROR(INDEX(Drinks!$D$4:$D$53,MATCH($B1379,Drinks!$A$4:$A$53,0)),0))</f>
        <v/>
      </c>
    </row>
    <row r="1380" customFormat="false" ht="15" hidden="false" customHeight="false" outlineLevel="0" collapsed="false">
      <c r="A1380" s="22"/>
      <c r="B1380" s="9"/>
      <c r="C1380" s="9"/>
      <c r="D1380" s="9"/>
      <c r="E1380" s="9"/>
      <c r="F1380" s="10" t="str">
        <f aca="false">IF($B1380="","",$C1380+$D1380-$E1380)</f>
        <v/>
      </c>
      <c r="G1380" s="10" t="str">
        <f aca="false">IF($B1380="","",IFERROR(INDEX(Drinks!$C$4:$C$53,MATCH($B1380,Drinks!$A$4:$A$53,0)),0))</f>
        <v/>
      </c>
      <c r="H1380" s="10" t="str">
        <f aca="false">IF($B1380="","",$D1380*$G1380)</f>
        <v/>
      </c>
      <c r="I1380" s="10" t="str">
        <f aca="false">IF($B1380="","",$F1380*$G1380)</f>
        <v/>
      </c>
      <c r="J1380" s="9"/>
      <c r="K1380" s="10" t="str">
        <f aca="false">IF($B1380="","",$E1380*IFERROR(INDEX(Drinks!$B$4:$B$53,MATCH($B1380,Drinks!$A$4:$A$53,0)),0))</f>
        <v/>
      </c>
      <c r="L1380" s="10" t="str">
        <f aca="false">IF($B1380="","",$J1380+$K1380)</f>
        <v/>
      </c>
      <c r="M1380" s="9"/>
      <c r="N1380" s="10" t="str">
        <f aca="false">IF($B1380="","",$L1380-$M1380)</f>
        <v/>
      </c>
      <c r="O1380" s="10" t="str">
        <f aca="false">IF($B1380="","",IFERROR(INDEX(Drinks!$E$4:$E$53,MATCH($B1380,Drinks!$A$4:$A$53,0)),0))</f>
        <v/>
      </c>
      <c r="P1380" s="10" t="str">
        <f aca="false">IF($B1380="","",$N1380*$O1380)</f>
        <v/>
      </c>
      <c r="Q1380" s="10" t="str">
        <f aca="false">IF($B1380="","",$N1380*IFERROR(INDEX(Drinks!$D$4:$D$53,MATCH($B1380,Drinks!$A$4:$A$53,0)),0))</f>
        <v/>
      </c>
      <c r="R1380" s="10" t="str">
        <f aca="false">IF($B1380="","",$P1380-$Q1380)</f>
        <v/>
      </c>
      <c r="S1380" s="23" t="str">
        <f aca="false">IF($B1380="","",IF(COUNTIFS($A$4:$A$2003,$A1380-1,$B$4:$B$2003,$B1380)=0,"first day",IF(SUMIFS($M$4:$M$2003,$A$4:$A$2003,$A1380-1,$B$4:$B$2003,$B1380)=$J1380,"OK","CHECK")))</f>
        <v/>
      </c>
      <c r="T1380" s="10" t="str">
        <f aca="false">IF($B1380="","",IFERROR(INDEX(Drinks!$D$4:$D$53,MATCH($B1380,Drinks!$A$4:$A$53,0)),0))</f>
        <v/>
      </c>
    </row>
    <row r="1381" customFormat="false" ht="15" hidden="false" customHeight="false" outlineLevel="0" collapsed="false">
      <c r="A1381" s="22"/>
      <c r="B1381" s="9"/>
      <c r="C1381" s="9"/>
      <c r="D1381" s="9"/>
      <c r="E1381" s="9"/>
      <c r="F1381" s="10" t="str">
        <f aca="false">IF($B1381="","",$C1381+$D1381-$E1381)</f>
        <v/>
      </c>
      <c r="G1381" s="10" t="str">
        <f aca="false">IF($B1381="","",IFERROR(INDEX(Drinks!$C$4:$C$53,MATCH($B1381,Drinks!$A$4:$A$53,0)),0))</f>
        <v/>
      </c>
      <c r="H1381" s="10" t="str">
        <f aca="false">IF($B1381="","",$D1381*$G1381)</f>
        <v/>
      </c>
      <c r="I1381" s="10" t="str">
        <f aca="false">IF($B1381="","",$F1381*$G1381)</f>
        <v/>
      </c>
      <c r="J1381" s="9"/>
      <c r="K1381" s="10" t="str">
        <f aca="false">IF($B1381="","",$E1381*IFERROR(INDEX(Drinks!$B$4:$B$53,MATCH($B1381,Drinks!$A$4:$A$53,0)),0))</f>
        <v/>
      </c>
      <c r="L1381" s="10" t="str">
        <f aca="false">IF($B1381="","",$J1381+$K1381)</f>
        <v/>
      </c>
      <c r="M1381" s="9"/>
      <c r="N1381" s="10" t="str">
        <f aca="false">IF($B1381="","",$L1381-$M1381)</f>
        <v/>
      </c>
      <c r="O1381" s="10" t="str">
        <f aca="false">IF($B1381="","",IFERROR(INDEX(Drinks!$E$4:$E$53,MATCH($B1381,Drinks!$A$4:$A$53,0)),0))</f>
        <v/>
      </c>
      <c r="P1381" s="10" t="str">
        <f aca="false">IF($B1381="","",$N1381*$O1381)</f>
        <v/>
      </c>
      <c r="Q1381" s="10" t="str">
        <f aca="false">IF($B1381="","",$N1381*IFERROR(INDEX(Drinks!$D$4:$D$53,MATCH($B1381,Drinks!$A$4:$A$53,0)),0))</f>
        <v/>
      </c>
      <c r="R1381" s="10" t="str">
        <f aca="false">IF($B1381="","",$P1381-$Q1381)</f>
        <v/>
      </c>
      <c r="S1381" s="23" t="str">
        <f aca="false">IF($B1381="","",IF(COUNTIFS($A$4:$A$2003,$A1381-1,$B$4:$B$2003,$B1381)=0,"first day",IF(SUMIFS($M$4:$M$2003,$A$4:$A$2003,$A1381-1,$B$4:$B$2003,$B1381)=$J1381,"OK","CHECK")))</f>
        <v/>
      </c>
      <c r="T1381" s="10" t="str">
        <f aca="false">IF($B1381="","",IFERROR(INDEX(Drinks!$D$4:$D$53,MATCH($B1381,Drinks!$A$4:$A$53,0)),0))</f>
        <v/>
      </c>
    </row>
    <row r="1382" customFormat="false" ht="15" hidden="false" customHeight="false" outlineLevel="0" collapsed="false">
      <c r="A1382" s="22"/>
      <c r="B1382" s="9"/>
      <c r="C1382" s="9"/>
      <c r="D1382" s="9"/>
      <c r="E1382" s="9"/>
      <c r="F1382" s="10" t="str">
        <f aca="false">IF($B1382="","",$C1382+$D1382-$E1382)</f>
        <v/>
      </c>
      <c r="G1382" s="10" t="str">
        <f aca="false">IF($B1382="","",IFERROR(INDEX(Drinks!$C$4:$C$53,MATCH($B1382,Drinks!$A$4:$A$53,0)),0))</f>
        <v/>
      </c>
      <c r="H1382" s="10" t="str">
        <f aca="false">IF($B1382="","",$D1382*$G1382)</f>
        <v/>
      </c>
      <c r="I1382" s="10" t="str">
        <f aca="false">IF($B1382="","",$F1382*$G1382)</f>
        <v/>
      </c>
      <c r="J1382" s="9"/>
      <c r="K1382" s="10" t="str">
        <f aca="false">IF($B1382="","",$E1382*IFERROR(INDEX(Drinks!$B$4:$B$53,MATCH($B1382,Drinks!$A$4:$A$53,0)),0))</f>
        <v/>
      </c>
      <c r="L1382" s="10" t="str">
        <f aca="false">IF($B1382="","",$J1382+$K1382)</f>
        <v/>
      </c>
      <c r="M1382" s="9"/>
      <c r="N1382" s="10" t="str">
        <f aca="false">IF($B1382="","",$L1382-$M1382)</f>
        <v/>
      </c>
      <c r="O1382" s="10" t="str">
        <f aca="false">IF($B1382="","",IFERROR(INDEX(Drinks!$E$4:$E$53,MATCH($B1382,Drinks!$A$4:$A$53,0)),0))</f>
        <v/>
      </c>
      <c r="P1382" s="10" t="str">
        <f aca="false">IF($B1382="","",$N1382*$O1382)</f>
        <v/>
      </c>
      <c r="Q1382" s="10" t="str">
        <f aca="false">IF($B1382="","",$N1382*IFERROR(INDEX(Drinks!$D$4:$D$53,MATCH($B1382,Drinks!$A$4:$A$53,0)),0))</f>
        <v/>
      </c>
      <c r="R1382" s="10" t="str">
        <f aca="false">IF($B1382="","",$P1382-$Q1382)</f>
        <v/>
      </c>
      <c r="S1382" s="23" t="str">
        <f aca="false">IF($B1382="","",IF(COUNTIFS($A$4:$A$2003,$A1382-1,$B$4:$B$2003,$B1382)=0,"first day",IF(SUMIFS($M$4:$M$2003,$A$4:$A$2003,$A1382-1,$B$4:$B$2003,$B1382)=$J1382,"OK","CHECK")))</f>
        <v/>
      </c>
      <c r="T1382" s="10" t="str">
        <f aca="false">IF($B1382="","",IFERROR(INDEX(Drinks!$D$4:$D$53,MATCH($B1382,Drinks!$A$4:$A$53,0)),0))</f>
        <v/>
      </c>
    </row>
    <row r="1383" customFormat="false" ht="15" hidden="false" customHeight="false" outlineLevel="0" collapsed="false">
      <c r="A1383" s="22"/>
      <c r="B1383" s="9"/>
      <c r="C1383" s="9"/>
      <c r="D1383" s="9"/>
      <c r="E1383" s="9"/>
      <c r="F1383" s="10" t="str">
        <f aca="false">IF($B1383="","",$C1383+$D1383-$E1383)</f>
        <v/>
      </c>
      <c r="G1383" s="10" t="str">
        <f aca="false">IF($B1383="","",IFERROR(INDEX(Drinks!$C$4:$C$53,MATCH($B1383,Drinks!$A$4:$A$53,0)),0))</f>
        <v/>
      </c>
      <c r="H1383" s="10" t="str">
        <f aca="false">IF($B1383="","",$D1383*$G1383)</f>
        <v/>
      </c>
      <c r="I1383" s="10" t="str">
        <f aca="false">IF($B1383="","",$F1383*$G1383)</f>
        <v/>
      </c>
      <c r="J1383" s="9"/>
      <c r="K1383" s="10" t="str">
        <f aca="false">IF($B1383="","",$E1383*IFERROR(INDEX(Drinks!$B$4:$B$53,MATCH($B1383,Drinks!$A$4:$A$53,0)),0))</f>
        <v/>
      </c>
      <c r="L1383" s="10" t="str">
        <f aca="false">IF($B1383="","",$J1383+$K1383)</f>
        <v/>
      </c>
      <c r="M1383" s="9"/>
      <c r="N1383" s="10" t="str">
        <f aca="false">IF($B1383="","",$L1383-$M1383)</f>
        <v/>
      </c>
      <c r="O1383" s="10" t="str">
        <f aca="false">IF($B1383="","",IFERROR(INDEX(Drinks!$E$4:$E$53,MATCH($B1383,Drinks!$A$4:$A$53,0)),0))</f>
        <v/>
      </c>
      <c r="P1383" s="10" t="str">
        <f aca="false">IF($B1383="","",$N1383*$O1383)</f>
        <v/>
      </c>
      <c r="Q1383" s="10" t="str">
        <f aca="false">IF($B1383="","",$N1383*IFERROR(INDEX(Drinks!$D$4:$D$53,MATCH($B1383,Drinks!$A$4:$A$53,0)),0))</f>
        <v/>
      </c>
      <c r="R1383" s="10" t="str">
        <f aca="false">IF($B1383="","",$P1383-$Q1383)</f>
        <v/>
      </c>
      <c r="S1383" s="23" t="str">
        <f aca="false">IF($B1383="","",IF(COUNTIFS($A$4:$A$2003,$A1383-1,$B$4:$B$2003,$B1383)=0,"first day",IF(SUMIFS($M$4:$M$2003,$A$4:$A$2003,$A1383-1,$B$4:$B$2003,$B1383)=$J1383,"OK","CHECK")))</f>
        <v/>
      </c>
      <c r="T1383" s="10" t="str">
        <f aca="false">IF($B1383="","",IFERROR(INDEX(Drinks!$D$4:$D$53,MATCH($B1383,Drinks!$A$4:$A$53,0)),0))</f>
        <v/>
      </c>
    </row>
    <row r="1384" customFormat="false" ht="15" hidden="false" customHeight="false" outlineLevel="0" collapsed="false">
      <c r="A1384" s="22"/>
      <c r="B1384" s="9"/>
      <c r="C1384" s="9"/>
      <c r="D1384" s="9"/>
      <c r="E1384" s="9"/>
      <c r="F1384" s="10" t="str">
        <f aca="false">IF($B1384="","",$C1384+$D1384-$E1384)</f>
        <v/>
      </c>
      <c r="G1384" s="10" t="str">
        <f aca="false">IF($B1384="","",IFERROR(INDEX(Drinks!$C$4:$C$53,MATCH($B1384,Drinks!$A$4:$A$53,0)),0))</f>
        <v/>
      </c>
      <c r="H1384" s="10" t="str">
        <f aca="false">IF($B1384="","",$D1384*$G1384)</f>
        <v/>
      </c>
      <c r="I1384" s="10" t="str">
        <f aca="false">IF($B1384="","",$F1384*$G1384)</f>
        <v/>
      </c>
      <c r="J1384" s="9"/>
      <c r="K1384" s="10" t="str">
        <f aca="false">IF($B1384="","",$E1384*IFERROR(INDEX(Drinks!$B$4:$B$53,MATCH($B1384,Drinks!$A$4:$A$53,0)),0))</f>
        <v/>
      </c>
      <c r="L1384" s="10" t="str">
        <f aca="false">IF($B1384="","",$J1384+$K1384)</f>
        <v/>
      </c>
      <c r="M1384" s="9"/>
      <c r="N1384" s="10" t="str">
        <f aca="false">IF($B1384="","",$L1384-$M1384)</f>
        <v/>
      </c>
      <c r="O1384" s="10" t="str">
        <f aca="false">IF($B1384="","",IFERROR(INDEX(Drinks!$E$4:$E$53,MATCH($B1384,Drinks!$A$4:$A$53,0)),0))</f>
        <v/>
      </c>
      <c r="P1384" s="10" t="str">
        <f aca="false">IF($B1384="","",$N1384*$O1384)</f>
        <v/>
      </c>
      <c r="Q1384" s="10" t="str">
        <f aca="false">IF($B1384="","",$N1384*IFERROR(INDEX(Drinks!$D$4:$D$53,MATCH($B1384,Drinks!$A$4:$A$53,0)),0))</f>
        <v/>
      </c>
      <c r="R1384" s="10" t="str">
        <f aca="false">IF($B1384="","",$P1384-$Q1384)</f>
        <v/>
      </c>
      <c r="S1384" s="23" t="str">
        <f aca="false">IF($B1384="","",IF(COUNTIFS($A$4:$A$2003,$A1384-1,$B$4:$B$2003,$B1384)=0,"first day",IF(SUMIFS($M$4:$M$2003,$A$4:$A$2003,$A1384-1,$B$4:$B$2003,$B1384)=$J1384,"OK","CHECK")))</f>
        <v/>
      </c>
      <c r="T1384" s="10" t="str">
        <f aca="false">IF($B1384="","",IFERROR(INDEX(Drinks!$D$4:$D$53,MATCH($B1384,Drinks!$A$4:$A$53,0)),0))</f>
        <v/>
      </c>
    </row>
    <row r="1385" customFormat="false" ht="15" hidden="false" customHeight="false" outlineLevel="0" collapsed="false">
      <c r="A1385" s="22"/>
      <c r="B1385" s="9"/>
      <c r="C1385" s="9"/>
      <c r="D1385" s="9"/>
      <c r="E1385" s="9"/>
      <c r="F1385" s="10" t="str">
        <f aca="false">IF($B1385="","",$C1385+$D1385-$E1385)</f>
        <v/>
      </c>
      <c r="G1385" s="10" t="str">
        <f aca="false">IF($B1385="","",IFERROR(INDEX(Drinks!$C$4:$C$53,MATCH($B1385,Drinks!$A$4:$A$53,0)),0))</f>
        <v/>
      </c>
      <c r="H1385" s="10" t="str">
        <f aca="false">IF($B1385="","",$D1385*$G1385)</f>
        <v/>
      </c>
      <c r="I1385" s="10" t="str">
        <f aca="false">IF($B1385="","",$F1385*$G1385)</f>
        <v/>
      </c>
      <c r="J1385" s="9"/>
      <c r="K1385" s="10" t="str">
        <f aca="false">IF($B1385="","",$E1385*IFERROR(INDEX(Drinks!$B$4:$B$53,MATCH($B1385,Drinks!$A$4:$A$53,0)),0))</f>
        <v/>
      </c>
      <c r="L1385" s="10" t="str">
        <f aca="false">IF($B1385="","",$J1385+$K1385)</f>
        <v/>
      </c>
      <c r="M1385" s="9"/>
      <c r="N1385" s="10" t="str">
        <f aca="false">IF($B1385="","",$L1385-$M1385)</f>
        <v/>
      </c>
      <c r="O1385" s="10" t="str">
        <f aca="false">IF($B1385="","",IFERROR(INDEX(Drinks!$E$4:$E$53,MATCH($B1385,Drinks!$A$4:$A$53,0)),0))</f>
        <v/>
      </c>
      <c r="P1385" s="10" t="str">
        <f aca="false">IF($B1385="","",$N1385*$O1385)</f>
        <v/>
      </c>
      <c r="Q1385" s="10" t="str">
        <f aca="false">IF($B1385="","",$N1385*IFERROR(INDEX(Drinks!$D$4:$D$53,MATCH($B1385,Drinks!$A$4:$A$53,0)),0))</f>
        <v/>
      </c>
      <c r="R1385" s="10" t="str">
        <f aca="false">IF($B1385="","",$P1385-$Q1385)</f>
        <v/>
      </c>
      <c r="S1385" s="23" t="str">
        <f aca="false">IF($B1385="","",IF(COUNTIFS($A$4:$A$2003,$A1385-1,$B$4:$B$2003,$B1385)=0,"first day",IF(SUMIFS($M$4:$M$2003,$A$4:$A$2003,$A1385-1,$B$4:$B$2003,$B1385)=$J1385,"OK","CHECK")))</f>
        <v/>
      </c>
      <c r="T1385" s="10" t="str">
        <f aca="false">IF($B1385="","",IFERROR(INDEX(Drinks!$D$4:$D$53,MATCH($B1385,Drinks!$A$4:$A$53,0)),0))</f>
        <v/>
      </c>
    </row>
    <row r="1386" customFormat="false" ht="15" hidden="false" customHeight="false" outlineLevel="0" collapsed="false">
      <c r="A1386" s="22"/>
      <c r="B1386" s="9"/>
      <c r="C1386" s="9"/>
      <c r="D1386" s="9"/>
      <c r="E1386" s="9"/>
      <c r="F1386" s="10" t="str">
        <f aca="false">IF($B1386="","",$C1386+$D1386-$E1386)</f>
        <v/>
      </c>
      <c r="G1386" s="10" t="str">
        <f aca="false">IF($B1386="","",IFERROR(INDEX(Drinks!$C$4:$C$53,MATCH($B1386,Drinks!$A$4:$A$53,0)),0))</f>
        <v/>
      </c>
      <c r="H1386" s="10" t="str">
        <f aca="false">IF($B1386="","",$D1386*$G1386)</f>
        <v/>
      </c>
      <c r="I1386" s="10" t="str">
        <f aca="false">IF($B1386="","",$F1386*$G1386)</f>
        <v/>
      </c>
      <c r="J1386" s="9"/>
      <c r="K1386" s="10" t="str">
        <f aca="false">IF($B1386="","",$E1386*IFERROR(INDEX(Drinks!$B$4:$B$53,MATCH($B1386,Drinks!$A$4:$A$53,0)),0))</f>
        <v/>
      </c>
      <c r="L1386" s="10" t="str">
        <f aca="false">IF($B1386="","",$J1386+$K1386)</f>
        <v/>
      </c>
      <c r="M1386" s="9"/>
      <c r="N1386" s="10" t="str">
        <f aca="false">IF($B1386="","",$L1386-$M1386)</f>
        <v/>
      </c>
      <c r="O1386" s="10" t="str">
        <f aca="false">IF($B1386="","",IFERROR(INDEX(Drinks!$E$4:$E$53,MATCH($B1386,Drinks!$A$4:$A$53,0)),0))</f>
        <v/>
      </c>
      <c r="P1386" s="10" t="str">
        <f aca="false">IF($B1386="","",$N1386*$O1386)</f>
        <v/>
      </c>
      <c r="Q1386" s="10" t="str">
        <f aca="false">IF($B1386="","",$N1386*IFERROR(INDEX(Drinks!$D$4:$D$53,MATCH($B1386,Drinks!$A$4:$A$53,0)),0))</f>
        <v/>
      </c>
      <c r="R1386" s="10" t="str">
        <f aca="false">IF($B1386="","",$P1386-$Q1386)</f>
        <v/>
      </c>
      <c r="S1386" s="23" t="str">
        <f aca="false">IF($B1386="","",IF(COUNTIFS($A$4:$A$2003,$A1386-1,$B$4:$B$2003,$B1386)=0,"first day",IF(SUMIFS($M$4:$M$2003,$A$4:$A$2003,$A1386-1,$B$4:$B$2003,$B1386)=$J1386,"OK","CHECK")))</f>
        <v/>
      </c>
      <c r="T1386" s="10" t="str">
        <f aca="false">IF($B1386="","",IFERROR(INDEX(Drinks!$D$4:$D$53,MATCH($B1386,Drinks!$A$4:$A$53,0)),0))</f>
        <v/>
      </c>
    </row>
    <row r="1387" customFormat="false" ht="15" hidden="false" customHeight="false" outlineLevel="0" collapsed="false">
      <c r="A1387" s="22"/>
      <c r="B1387" s="9"/>
      <c r="C1387" s="9"/>
      <c r="D1387" s="9"/>
      <c r="E1387" s="9"/>
      <c r="F1387" s="10" t="str">
        <f aca="false">IF($B1387="","",$C1387+$D1387-$E1387)</f>
        <v/>
      </c>
      <c r="G1387" s="10" t="str">
        <f aca="false">IF($B1387="","",IFERROR(INDEX(Drinks!$C$4:$C$53,MATCH($B1387,Drinks!$A$4:$A$53,0)),0))</f>
        <v/>
      </c>
      <c r="H1387" s="10" t="str">
        <f aca="false">IF($B1387="","",$D1387*$G1387)</f>
        <v/>
      </c>
      <c r="I1387" s="10" t="str">
        <f aca="false">IF($B1387="","",$F1387*$G1387)</f>
        <v/>
      </c>
      <c r="J1387" s="9"/>
      <c r="K1387" s="10" t="str">
        <f aca="false">IF($B1387="","",$E1387*IFERROR(INDEX(Drinks!$B$4:$B$53,MATCH($B1387,Drinks!$A$4:$A$53,0)),0))</f>
        <v/>
      </c>
      <c r="L1387" s="10" t="str">
        <f aca="false">IF($B1387="","",$J1387+$K1387)</f>
        <v/>
      </c>
      <c r="M1387" s="9"/>
      <c r="N1387" s="10" t="str">
        <f aca="false">IF($B1387="","",$L1387-$M1387)</f>
        <v/>
      </c>
      <c r="O1387" s="10" t="str">
        <f aca="false">IF($B1387="","",IFERROR(INDEX(Drinks!$E$4:$E$53,MATCH($B1387,Drinks!$A$4:$A$53,0)),0))</f>
        <v/>
      </c>
      <c r="P1387" s="10" t="str">
        <f aca="false">IF($B1387="","",$N1387*$O1387)</f>
        <v/>
      </c>
      <c r="Q1387" s="10" t="str">
        <f aca="false">IF($B1387="","",$N1387*IFERROR(INDEX(Drinks!$D$4:$D$53,MATCH($B1387,Drinks!$A$4:$A$53,0)),0))</f>
        <v/>
      </c>
      <c r="R1387" s="10" t="str">
        <f aca="false">IF($B1387="","",$P1387-$Q1387)</f>
        <v/>
      </c>
      <c r="S1387" s="23" t="str">
        <f aca="false">IF($B1387="","",IF(COUNTIFS($A$4:$A$2003,$A1387-1,$B$4:$B$2003,$B1387)=0,"first day",IF(SUMIFS($M$4:$M$2003,$A$4:$A$2003,$A1387-1,$B$4:$B$2003,$B1387)=$J1387,"OK","CHECK")))</f>
        <v/>
      </c>
      <c r="T1387" s="10" t="str">
        <f aca="false">IF($B1387="","",IFERROR(INDEX(Drinks!$D$4:$D$53,MATCH($B1387,Drinks!$A$4:$A$53,0)),0))</f>
        <v/>
      </c>
    </row>
    <row r="1388" customFormat="false" ht="15" hidden="false" customHeight="false" outlineLevel="0" collapsed="false">
      <c r="A1388" s="22"/>
      <c r="B1388" s="9"/>
      <c r="C1388" s="9"/>
      <c r="D1388" s="9"/>
      <c r="E1388" s="9"/>
      <c r="F1388" s="10" t="str">
        <f aca="false">IF($B1388="","",$C1388+$D1388-$E1388)</f>
        <v/>
      </c>
      <c r="G1388" s="10" t="str">
        <f aca="false">IF($B1388="","",IFERROR(INDEX(Drinks!$C$4:$C$53,MATCH($B1388,Drinks!$A$4:$A$53,0)),0))</f>
        <v/>
      </c>
      <c r="H1388" s="10" t="str">
        <f aca="false">IF($B1388="","",$D1388*$G1388)</f>
        <v/>
      </c>
      <c r="I1388" s="10" t="str">
        <f aca="false">IF($B1388="","",$F1388*$G1388)</f>
        <v/>
      </c>
      <c r="J1388" s="9"/>
      <c r="K1388" s="10" t="str">
        <f aca="false">IF($B1388="","",$E1388*IFERROR(INDEX(Drinks!$B$4:$B$53,MATCH($B1388,Drinks!$A$4:$A$53,0)),0))</f>
        <v/>
      </c>
      <c r="L1388" s="10" t="str">
        <f aca="false">IF($B1388="","",$J1388+$K1388)</f>
        <v/>
      </c>
      <c r="M1388" s="9"/>
      <c r="N1388" s="10" t="str">
        <f aca="false">IF($B1388="","",$L1388-$M1388)</f>
        <v/>
      </c>
      <c r="O1388" s="10" t="str">
        <f aca="false">IF($B1388="","",IFERROR(INDEX(Drinks!$E$4:$E$53,MATCH($B1388,Drinks!$A$4:$A$53,0)),0))</f>
        <v/>
      </c>
      <c r="P1388" s="10" t="str">
        <f aca="false">IF($B1388="","",$N1388*$O1388)</f>
        <v/>
      </c>
      <c r="Q1388" s="10" t="str">
        <f aca="false">IF($B1388="","",$N1388*IFERROR(INDEX(Drinks!$D$4:$D$53,MATCH($B1388,Drinks!$A$4:$A$53,0)),0))</f>
        <v/>
      </c>
      <c r="R1388" s="10" t="str">
        <f aca="false">IF($B1388="","",$P1388-$Q1388)</f>
        <v/>
      </c>
      <c r="S1388" s="23" t="str">
        <f aca="false">IF($B1388="","",IF(COUNTIFS($A$4:$A$2003,$A1388-1,$B$4:$B$2003,$B1388)=0,"first day",IF(SUMIFS($M$4:$M$2003,$A$4:$A$2003,$A1388-1,$B$4:$B$2003,$B1388)=$J1388,"OK","CHECK")))</f>
        <v/>
      </c>
      <c r="T1388" s="10" t="str">
        <f aca="false">IF($B1388="","",IFERROR(INDEX(Drinks!$D$4:$D$53,MATCH($B1388,Drinks!$A$4:$A$53,0)),0))</f>
        <v/>
      </c>
    </row>
    <row r="1389" customFormat="false" ht="15" hidden="false" customHeight="false" outlineLevel="0" collapsed="false">
      <c r="A1389" s="22"/>
      <c r="B1389" s="9"/>
      <c r="C1389" s="9"/>
      <c r="D1389" s="9"/>
      <c r="E1389" s="9"/>
      <c r="F1389" s="10" t="str">
        <f aca="false">IF($B1389="","",$C1389+$D1389-$E1389)</f>
        <v/>
      </c>
      <c r="G1389" s="10" t="str">
        <f aca="false">IF($B1389="","",IFERROR(INDEX(Drinks!$C$4:$C$53,MATCH($B1389,Drinks!$A$4:$A$53,0)),0))</f>
        <v/>
      </c>
      <c r="H1389" s="10" t="str">
        <f aca="false">IF($B1389="","",$D1389*$G1389)</f>
        <v/>
      </c>
      <c r="I1389" s="10" t="str">
        <f aca="false">IF($B1389="","",$F1389*$G1389)</f>
        <v/>
      </c>
      <c r="J1389" s="9"/>
      <c r="K1389" s="10" t="str">
        <f aca="false">IF($B1389="","",$E1389*IFERROR(INDEX(Drinks!$B$4:$B$53,MATCH($B1389,Drinks!$A$4:$A$53,0)),0))</f>
        <v/>
      </c>
      <c r="L1389" s="10" t="str">
        <f aca="false">IF($B1389="","",$J1389+$K1389)</f>
        <v/>
      </c>
      <c r="M1389" s="9"/>
      <c r="N1389" s="10" t="str">
        <f aca="false">IF($B1389="","",$L1389-$M1389)</f>
        <v/>
      </c>
      <c r="O1389" s="10" t="str">
        <f aca="false">IF($B1389="","",IFERROR(INDEX(Drinks!$E$4:$E$53,MATCH($B1389,Drinks!$A$4:$A$53,0)),0))</f>
        <v/>
      </c>
      <c r="P1389" s="10" t="str">
        <f aca="false">IF($B1389="","",$N1389*$O1389)</f>
        <v/>
      </c>
      <c r="Q1389" s="10" t="str">
        <f aca="false">IF($B1389="","",$N1389*IFERROR(INDEX(Drinks!$D$4:$D$53,MATCH($B1389,Drinks!$A$4:$A$53,0)),0))</f>
        <v/>
      </c>
      <c r="R1389" s="10" t="str">
        <f aca="false">IF($B1389="","",$P1389-$Q1389)</f>
        <v/>
      </c>
      <c r="S1389" s="23" t="str">
        <f aca="false">IF($B1389="","",IF(COUNTIFS($A$4:$A$2003,$A1389-1,$B$4:$B$2003,$B1389)=0,"first day",IF(SUMIFS($M$4:$M$2003,$A$4:$A$2003,$A1389-1,$B$4:$B$2003,$B1389)=$J1389,"OK","CHECK")))</f>
        <v/>
      </c>
      <c r="T1389" s="10" t="str">
        <f aca="false">IF($B1389="","",IFERROR(INDEX(Drinks!$D$4:$D$53,MATCH($B1389,Drinks!$A$4:$A$53,0)),0))</f>
        <v/>
      </c>
    </row>
    <row r="1390" customFormat="false" ht="15" hidden="false" customHeight="false" outlineLevel="0" collapsed="false">
      <c r="A1390" s="22"/>
      <c r="B1390" s="9"/>
      <c r="C1390" s="9"/>
      <c r="D1390" s="9"/>
      <c r="E1390" s="9"/>
      <c r="F1390" s="10" t="str">
        <f aca="false">IF($B1390="","",$C1390+$D1390-$E1390)</f>
        <v/>
      </c>
      <c r="G1390" s="10" t="str">
        <f aca="false">IF($B1390="","",IFERROR(INDEX(Drinks!$C$4:$C$53,MATCH($B1390,Drinks!$A$4:$A$53,0)),0))</f>
        <v/>
      </c>
      <c r="H1390" s="10" t="str">
        <f aca="false">IF($B1390="","",$D1390*$G1390)</f>
        <v/>
      </c>
      <c r="I1390" s="10" t="str">
        <f aca="false">IF($B1390="","",$F1390*$G1390)</f>
        <v/>
      </c>
      <c r="J1390" s="9"/>
      <c r="K1390" s="10" t="str">
        <f aca="false">IF($B1390="","",$E1390*IFERROR(INDEX(Drinks!$B$4:$B$53,MATCH($B1390,Drinks!$A$4:$A$53,0)),0))</f>
        <v/>
      </c>
      <c r="L1390" s="10" t="str">
        <f aca="false">IF($B1390="","",$J1390+$K1390)</f>
        <v/>
      </c>
      <c r="M1390" s="9"/>
      <c r="N1390" s="10" t="str">
        <f aca="false">IF($B1390="","",$L1390-$M1390)</f>
        <v/>
      </c>
      <c r="O1390" s="10" t="str">
        <f aca="false">IF($B1390="","",IFERROR(INDEX(Drinks!$E$4:$E$53,MATCH($B1390,Drinks!$A$4:$A$53,0)),0))</f>
        <v/>
      </c>
      <c r="P1390" s="10" t="str">
        <f aca="false">IF($B1390="","",$N1390*$O1390)</f>
        <v/>
      </c>
      <c r="Q1390" s="10" t="str">
        <f aca="false">IF($B1390="","",$N1390*IFERROR(INDEX(Drinks!$D$4:$D$53,MATCH($B1390,Drinks!$A$4:$A$53,0)),0))</f>
        <v/>
      </c>
      <c r="R1390" s="10" t="str">
        <f aca="false">IF($B1390="","",$P1390-$Q1390)</f>
        <v/>
      </c>
      <c r="S1390" s="23" t="str">
        <f aca="false">IF($B1390="","",IF(COUNTIFS($A$4:$A$2003,$A1390-1,$B$4:$B$2003,$B1390)=0,"first day",IF(SUMIFS($M$4:$M$2003,$A$4:$A$2003,$A1390-1,$B$4:$B$2003,$B1390)=$J1390,"OK","CHECK")))</f>
        <v/>
      </c>
      <c r="T1390" s="10" t="str">
        <f aca="false">IF($B1390="","",IFERROR(INDEX(Drinks!$D$4:$D$53,MATCH($B1390,Drinks!$A$4:$A$53,0)),0))</f>
        <v/>
      </c>
    </row>
    <row r="1391" customFormat="false" ht="15" hidden="false" customHeight="false" outlineLevel="0" collapsed="false">
      <c r="A1391" s="22"/>
      <c r="B1391" s="9"/>
      <c r="C1391" s="9"/>
      <c r="D1391" s="9"/>
      <c r="E1391" s="9"/>
      <c r="F1391" s="10" t="str">
        <f aca="false">IF($B1391="","",$C1391+$D1391-$E1391)</f>
        <v/>
      </c>
      <c r="G1391" s="10" t="str">
        <f aca="false">IF($B1391="","",IFERROR(INDEX(Drinks!$C$4:$C$53,MATCH($B1391,Drinks!$A$4:$A$53,0)),0))</f>
        <v/>
      </c>
      <c r="H1391" s="10" t="str">
        <f aca="false">IF($B1391="","",$D1391*$G1391)</f>
        <v/>
      </c>
      <c r="I1391" s="10" t="str">
        <f aca="false">IF($B1391="","",$F1391*$G1391)</f>
        <v/>
      </c>
      <c r="J1391" s="9"/>
      <c r="K1391" s="10" t="str">
        <f aca="false">IF($B1391="","",$E1391*IFERROR(INDEX(Drinks!$B$4:$B$53,MATCH($B1391,Drinks!$A$4:$A$53,0)),0))</f>
        <v/>
      </c>
      <c r="L1391" s="10" t="str">
        <f aca="false">IF($B1391="","",$J1391+$K1391)</f>
        <v/>
      </c>
      <c r="M1391" s="9"/>
      <c r="N1391" s="10" t="str">
        <f aca="false">IF($B1391="","",$L1391-$M1391)</f>
        <v/>
      </c>
      <c r="O1391" s="10" t="str">
        <f aca="false">IF($B1391="","",IFERROR(INDEX(Drinks!$E$4:$E$53,MATCH($B1391,Drinks!$A$4:$A$53,0)),0))</f>
        <v/>
      </c>
      <c r="P1391" s="10" t="str">
        <f aca="false">IF($B1391="","",$N1391*$O1391)</f>
        <v/>
      </c>
      <c r="Q1391" s="10" t="str">
        <f aca="false">IF($B1391="","",$N1391*IFERROR(INDEX(Drinks!$D$4:$D$53,MATCH($B1391,Drinks!$A$4:$A$53,0)),0))</f>
        <v/>
      </c>
      <c r="R1391" s="10" t="str">
        <f aca="false">IF($B1391="","",$P1391-$Q1391)</f>
        <v/>
      </c>
      <c r="S1391" s="23" t="str">
        <f aca="false">IF($B1391="","",IF(COUNTIFS($A$4:$A$2003,$A1391-1,$B$4:$B$2003,$B1391)=0,"first day",IF(SUMIFS($M$4:$M$2003,$A$4:$A$2003,$A1391-1,$B$4:$B$2003,$B1391)=$J1391,"OK","CHECK")))</f>
        <v/>
      </c>
      <c r="T1391" s="10" t="str">
        <f aca="false">IF($B1391="","",IFERROR(INDEX(Drinks!$D$4:$D$53,MATCH($B1391,Drinks!$A$4:$A$53,0)),0))</f>
        <v/>
      </c>
    </row>
    <row r="1392" customFormat="false" ht="15" hidden="false" customHeight="false" outlineLevel="0" collapsed="false">
      <c r="A1392" s="22"/>
      <c r="B1392" s="9"/>
      <c r="C1392" s="9"/>
      <c r="D1392" s="9"/>
      <c r="E1392" s="9"/>
      <c r="F1392" s="10" t="str">
        <f aca="false">IF($B1392="","",$C1392+$D1392-$E1392)</f>
        <v/>
      </c>
      <c r="G1392" s="10" t="str">
        <f aca="false">IF($B1392="","",IFERROR(INDEX(Drinks!$C$4:$C$53,MATCH($B1392,Drinks!$A$4:$A$53,0)),0))</f>
        <v/>
      </c>
      <c r="H1392" s="10" t="str">
        <f aca="false">IF($B1392="","",$D1392*$G1392)</f>
        <v/>
      </c>
      <c r="I1392" s="10" t="str">
        <f aca="false">IF($B1392="","",$F1392*$G1392)</f>
        <v/>
      </c>
      <c r="J1392" s="9"/>
      <c r="K1392" s="10" t="str">
        <f aca="false">IF($B1392="","",$E1392*IFERROR(INDEX(Drinks!$B$4:$B$53,MATCH($B1392,Drinks!$A$4:$A$53,0)),0))</f>
        <v/>
      </c>
      <c r="L1392" s="10" t="str">
        <f aca="false">IF($B1392="","",$J1392+$K1392)</f>
        <v/>
      </c>
      <c r="M1392" s="9"/>
      <c r="N1392" s="10" t="str">
        <f aca="false">IF($B1392="","",$L1392-$M1392)</f>
        <v/>
      </c>
      <c r="O1392" s="10" t="str">
        <f aca="false">IF($B1392="","",IFERROR(INDEX(Drinks!$E$4:$E$53,MATCH($B1392,Drinks!$A$4:$A$53,0)),0))</f>
        <v/>
      </c>
      <c r="P1392" s="10" t="str">
        <f aca="false">IF($B1392="","",$N1392*$O1392)</f>
        <v/>
      </c>
      <c r="Q1392" s="10" t="str">
        <f aca="false">IF($B1392="","",$N1392*IFERROR(INDEX(Drinks!$D$4:$D$53,MATCH($B1392,Drinks!$A$4:$A$53,0)),0))</f>
        <v/>
      </c>
      <c r="R1392" s="10" t="str">
        <f aca="false">IF($B1392="","",$P1392-$Q1392)</f>
        <v/>
      </c>
      <c r="S1392" s="23" t="str">
        <f aca="false">IF($B1392="","",IF(COUNTIFS($A$4:$A$2003,$A1392-1,$B$4:$B$2003,$B1392)=0,"first day",IF(SUMIFS($M$4:$M$2003,$A$4:$A$2003,$A1392-1,$B$4:$B$2003,$B1392)=$J1392,"OK","CHECK")))</f>
        <v/>
      </c>
      <c r="T1392" s="10" t="str">
        <f aca="false">IF($B1392="","",IFERROR(INDEX(Drinks!$D$4:$D$53,MATCH($B1392,Drinks!$A$4:$A$53,0)),0))</f>
        <v/>
      </c>
    </row>
    <row r="1393" customFormat="false" ht="15" hidden="false" customHeight="false" outlineLevel="0" collapsed="false">
      <c r="A1393" s="22"/>
      <c r="B1393" s="9"/>
      <c r="C1393" s="9"/>
      <c r="D1393" s="9"/>
      <c r="E1393" s="9"/>
      <c r="F1393" s="10" t="str">
        <f aca="false">IF($B1393="","",$C1393+$D1393-$E1393)</f>
        <v/>
      </c>
      <c r="G1393" s="10" t="str">
        <f aca="false">IF($B1393="","",IFERROR(INDEX(Drinks!$C$4:$C$53,MATCH($B1393,Drinks!$A$4:$A$53,0)),0))</f>
        <v/>
      </c>
      <c r="H1393" s="10" t="str">
        <f aca="false">IF($B1393="","",$D1393*$G1393)</f>
        <v/>
      </c>
      <c r="I1393" s="10" t="str">
        <f aca="false">IF($B1393="","",$F1393*$G1393)</f>
        <v/>
      </c>
      <c r="J1393" s="9"/>
      <c r="K1393" s="10" t="str">
        <f aca="false">IF($B1393="","",$E1393*IFERROR(INDEX(Drinks!$B$4:$B$53,MATCH($B1393,Drinks!$A$4:$A$53,0)),0))</f>
        <v/>
      </c>
      <c r="L1393" s="10" t="str">
        <f aca="false">IF($B1393="","",$J1393+$K1393)</f>
        <v/>
      </c>
      <c r="M1393" s="9"/>
      <c r="N1393" s="10" t="str">
        <f aca="false">IF($B1393="","",$L1393-$M1393)</f>
        <v/>
      </c>
      <c r="O1393" s="10" t="str">
        <f aca="false">IF($B1393="","",IFERROR(INDEX(Drinks!$E$4:$E$53,MATCH($B1393,Drinks!$A$4:$A$53,0)),0))</f>
        <v/>
      </c>
      <c r="P1393" s="10" t="str">
        <f aca="false">IF($B1393="","",$N1393*$O1393)</f>
        <v/>
      </c>
      <c r="Q1393" s="10" t="str">
        <f aca="false">IF($B1393="","",$N1393*IFERROR(INDEX(Drinks!$D$4:$D$53,MATCH($B1393,Drinks!$A$4:$A$53,0)),0))</f>
        <v/>
      </c>
      <c r="R1393" s="10" t="str">
        <f aca="false">IF($B1393="","",$P1393-$Q1393)</f>
        <v/>
      </c>
      <c r="S1393" s="23" t="str">
        <f aca="false">IF($B1393="","",IF(COUNTIFS($A$4:$A$2003,$A1393-1,$B$4:$B$2003,$B1393)=0,"first day",IF(SUMIFS($M$4:$M$2003,$A$4:$A$2003,$A1393-1,$B$4:$B$2003,$B1393)=$J1393,"OK","CHECK")))</f>
        <v/>
      </c>
      <c r="T1393" s="10" t="str">
        <f aca="false">IF($B1393="","",IFERROR(INDEX(Drinks!$D$4:$D$53,MATCH($B1393,Drinks!$A$4:$A$53,0)),0))</f>
        <v/>
      </c>
    </row>
    <row r="1394" customFormat="false" ht="15" hidden="false" customHeight="false" outlineLevel="0" collapsed="false">
      <c r="A1394" s="22"/>
      <c r="B1394" s="9"/>
      <c r="C1394" s="9"/>
      <c r="D1394" s="9"/>
      <c r="E1394" s="9"/>
      <c r="F1394" s="10" t="str">
        <f aca="false">IF($B1394="","",$C1394+$D1394-$E1394)</f>
        <v/>
      </c>
      <c r="G1394" s="10" t="str">
        <f aca="false">IF($B1394="","",IFERROR(INDEX(Drinks!$C$4:$C$53,MATCH($B1394,Drinks!$A$4:$A$53,0)),0))</f>
        <v/>
      </c>
      <c r="H1394" s="10" t="str">
        <f aca="false">IF($B1394="","",$D1394*$G1394)</f>
        <v/>
      </c>
      <c r="I1394" s="10" t="str">
        <f aca="false">IF($B1394="","",$F1394*$G1394)</f>
        <v/>
      </c>
      <c r="J1394" s="9"/>
      <c r="K1394" s="10" t="str">
        <f aca="false">IF($B1394="","",$E1394*IFERROR(INDEX(Drinks!$B$4:$B$53,MATCH($B1394,Drinks!$A$4:$A$53,0)),0))</f>
        <v/>
      </c>
      <c r="L1394" s="10" t="str">
        <f aca="false">IF($B1394="","",$J1394+$K1394)</f>
        <v/>
      </c>
      <c r="M1394" s="9"/>
      <c r="N1394" s="10" t="str">
        <f aca="false">IF($B1394="","",$L1394-$M1394)</f>
        <v/>
      </c>
      <c r="O1394" s="10" t="str">
        <f aca="false">IF($B1394="","",IFERROR(INDEX(Drinks!$E$4:$E$53,MATCH($B1394,Drinks!$A$4:$A$53,0)),0))</f>
        <v/>
      </c>
      <c r="P1394" s="10" t="str">
        <f aca="false">IF($B1394="","",$N1394*$O1394)</f>
        <v/>
      </c>
      <c r="Q1394" s="10" t="str">
        <f aca="false">IF($B1394="","",$N1394*IFERROR(INDEX(Drinks!$D$4:$D$53,MATCH($B1394,Drinks!$A$4:$A$53,0)),0))</f>
        <v/>
      </c>
      <c r="R1394" s="10" t="str">
        <f aca="false">IF($B1394="","",$P1394-$Q1394)</f>
        <v/>
      </c>
      <c r="S1394" s="23" t="str">
        <f aca="false">IF($B1394="","",IF(COUNTIFS($A$4:$A$2003,$A1394-1,$B$4:$B$2003,$B1394)=0,"first day",IF(SUMIFS($M$4:$M$2003,$A$4:$A$2003,$A1394-1,$B$4:$B$2003,$B1394)=$J1394,"OK","CHECK")))</f>
        <v/>
      </c>
      <c r="T1394" s="10" t="str">
        <f aca="false">IF($B1394="","",IFERROR(INDEX(Drinks!$D$4:$D$53,MATCH($B1394,Drinks!$A$4:$A$53,0)),0))</f>
        <v/>
      </c>
    </row>
    <row r="1395" customFormat="false" ht="15" hidden="false" customHeight="false" outlineLevel="0" collapsed="false">
      <c r="A1395" s="22"/>
      <c r="B1395" s="9"/>
      <c r="C1395" s="9"/>
      <c r="D1395" s="9"/>
      <c r="E1395" s="9"/>
      <c r="F1395" s="10" t="str">
        <f aca="false">IF($B1395="","",$C1395+$D1395-$E1395)</f>
        <v/>
      </c>
      <c r="G1395" s="10" t="str">
        <f aca="false">IF($B1395="","",IFERROR(INDEX(Drinks!$C$4:$C$53,MATCH($B1395,Drinks!$A$4:$A$53,0)),0))</f>
        <v/>
      </c>
      <c r="H1395" s="10" t="str">
        <f aca="false">IF($B1395="","",$D1395*$G1395)</f>
        <v/>
      </c>
      <c r="I1395" s="10" t="str">
        <f aca="false">IF($B1395="","",$F1395*$G1395)</f>
        <v/>
      </c>
      <c r="J1395" s="9"/>
      <c r="K1395" s="10" t="str">
        <f aca="false">IF($B1395="","",$E1395*IFERROR(INDEX(Drinks!$B$4:$B$53,MATCH($B1395,Drinks!$A$4:$A$53,0)),0))</f>
        <v/>
      </c>
      <c r="L1395" s="10" t="str">
        <f aca="false">IF($B1395="","",$J1395+$K1395)</f>
        <v/>
      </c>
      <c r="M1395" s="9"/>
      <c r="N1395" s="10" t="str">
        <f aca="false">IF($B1395="","",$L1395-$M1395)</f>
        <v/>
      </c>
      <c r="O1395" s="10" t="str">
        <f aca="false">IF($B1395="","",IFERROR(INDEX(Drinks!$E$4:$E$53,MATCH($B1395,Drinks!$A$4:$A$53,0)),0))</f>
        <v/>
      </c>
      <c r="P1395" s="10" t="str">
        <f aca="false">IF($B1395="","",$N1395*$O1395)</f>
        <v/>
      </c>
      <c r="Q1395" s="10" t="str">
        <f aca="false">IF($B1395="","",$N1395*IFERROR(INDEX(Drinks!$D$4:$D$53,MATCH($B1395,Drinks!$A$4:$A$53,0)),0))</f>
        <v/>
      </c>
      <c r="R1395" s="10" t="str">
        <f aca="false">IF($B1395="","",$P1395-$Q1395)</f>
        <v/>
      </c>
      <c r="S1395" s="23" t="str">
        <f aca="false">IF($B1395="","",IF(COUNTIFS($A$4:$A$2003,$A1395-1,$B$4:$B$2003,$B1395)=0,"first day",IF(SUMIFS($M$4:$M$2003,$A$4:$A$2003,$A1395-1,$B$4:$B$2003,$B1395)=$J1395,"OK","CHECK")))</f>
        <v/>
      </c>
      <c r="T1395" s="10" t="str">
        <f aca="false">IF($B1395="","",IFERROR(INDEX(Drinks!$D$4:$D$53,MATCH($B1395,Drinks!$A$4:$A$53,0)),0))</f>
        <v/>
      </c>
    </row>
    <row r="1396" customFormat="false" ht="15" hidden="false" customHeight="false" outlineLevel="0" collapsed="false">
      <c r="A1396" s="22"/>
      <c r="B1396" s="9"/>
      <c r="C1396" s="9"/>
      <c r="D1396" s="9"/>
      <c r="E1396" s="9"/>
      <c r="F1396" s="10" t="str">
        <f aca="false">IF($B1396="","",$C1396+$D1396-$E1396)</f>
        <v/>
      </c>
      <c r="G1396" s="10" t="str">
        <f aca="false">IF($B1396="","",IFERROR(INDEX(Drinks!$C$4:$C$53,MATCH($B1396,Drinks!$A$4:$A$53,0)),0))</f>
        <v/>
      </c>
      <c r="H1396" s="10" t="str">
        <f aca="false">IF($B1396="","",$D1396*$G1396)</f>
        <v/>
      </c>
      <c r="I1396" s="10" t="str">
        <f aca="false">IF($B1396="","",$F1396*$G1396)</f>
        <v/>
      </c>
      <c r="J1396" s="9"/>
      <c r="K1396" s="10" t="str">
        <f aca="false">IF($B1396="","",$E1396*IFERROR(INDEX(Drinks!$B$4:$B$53,MATCH($B1396,Drinks!$A$4:$A$53,0)),0))</f>
        <v/>
      </c>
      <c r="L1396" s="10" t="str">
        <f aca="false">IF($B1396="","",$J1396+$K1396)</f>
        <v/>
      </c>
      <c r="M1396" s="9"/>
      <c r="N1396" s="10" t="str">
        <f aca="false">IF($B1396="","",$L1396-$M1396)</f>
        <v/>
      </c>
      <c r="O1396" s="10" t="str">
        <f aca="false">IF($B1396="","",IFERROR(INDEX(Drinks!$E$4:$E$53,MATCH($B1396,Drinks!$A$4:$A$53,0)),0))</f>
        <v/>
      </c>
      <c r="P1396" s="10" t="str">
        <f aca="false">IF($B1396="","",$N1396*$O1396)</f>
        <v/>
      </c>
      <c r="Q1396" s="10" t="str">
        <f aca="false">IF($B1396="","",$N1396*IFERROR(INDEX(Drinks!$D$4:$D$53,MATCH($B1396,Drinks!$A$4:$A$53,0)),0))</f>
        <v/>
      </c>
      <c r="R1396" s="10" t="str">
        <f aca="false">IF($B1396="","",$P1396-$Q1396)</f>
        <v/>
      </c>
      <c r="S1396" s="23" t="str">
        <f aca="false">IF($B1396="","",IF(COUNTIFS($A$4:$A$2003,$A1396-1,$B$4:$B$2003,$B1396)=0,"first day",IF(SUMIFS($M$4:$M$2003,$A$4:$A$2003,$A1396-1,$B$4:$B$2003,$B1396)=$J1396,"OK","CHECK")))</f>
        <v/>
      </c>
      <c r="T1396" s="10" t="str">
        <f aca="false">IF($B1396="","",IFERROR(INDEX(Drinks!$D$4:$D$53,MATCH($B1396,Drinks!$A$4:$A$53,0)),0))</f>
        <v/>
      </c>
    </row>
    <row r="1397" customFormat="false" ht="15" hidden="false" customHeight="false" outlineLevel="0" collapsed="false">
      <c r="A1397" s="22"/>
      <c r="B1397" s="9"/>
      <c r="C1397" s="9"/>
      <c r="D1397" s="9"/>
      <c r="E1397" s="9"/>
      <c r="F1397" s="10" t="str">
        <f aca="false">IF($B1397="","",$C1397+$D1397-$E1397)</f>
        <v/>
      </c>
      <c r="G1397" s="10" t="str">
        <f aca="false">IF($B1397="","",IFERROR(INDEX(Drinks!$C$4:$C$53,MATCH($B1397,Drinks!$A$4:$A$53,0)),0))</f>
        <v/>
      </c>
      <c r="H1397" s="10" t="str">
        <f aca="false">IF($B1397="","",$D1397*$G1397)</f>
        <v/>
      </c>
      <c r="I1397" s="10" t="str">
        <f aca="false">IF($B1397="","",$F1397*$G1397)</f>
        <v/>
      </c>
      <c r="J1397" s="9"/>
      <c r="K1397" s="10" t="str">
        <f aca="false">IF($B1397="","",$E1397*IFERROR(INDEX(Drinks!$B$4:$B$53,MATCH($B1397,Drinks!$A$4:$A$53,0)),0))</f>
        <v/>
      </c>
      <c r="L1397" s="10" t="str">
        <f aca="false">IF($B1397="","",$J1397+$K1397)</f>
        <v/>
      </c>
      <c r="M1397" s="9"/>
      <c r="N1397" s="10" t="str">
        <f aca="false">IF($B1397="","",$L1397-$M1397)</f>
        <v/>
      </c>
      <c r="O1397" s="10" t="str">
        <f aca="false">IF($B1397="","",IFERROR(INDEX(Drinks!$E$4:$E$53,MATCH($B1397,Drinks!$A$4:$A$53,0)),0))</f>
        <v/>
      </c>
      <c r="P1397" s="10" t="str">
        <f aca="false">IF($B1397="","",$N1397*$O1397)</f>
        <v/>
      </c>
      <c r="Q1397" s="10" t="str">
        <f aca="false">IF($B1397="","",$N1397*IFERROR(INDEX(Drinks!$D$4:$D$53,MATCH($B1397,Drinks!$A$4:$A$53,0)),0))</f>
        <v/>
      </c>
      <c r="R1397" s="10" t="str">
        <f aca="false">IF($B1397="","",$P1397-$Q1397)</f>
        <v/>
      </c>
      <c r="S1397" s="23" t="str">
        <f aca="false">IF($B1397="","",IF(COUNTIFS($A$4:$A$2003,$A1397-1,$B$4:$B$2003,$B1397)=0,"first day",IF(SUMIFS($M$4:$M$2003,$A$4:$A$2003,$A1397-1,$B$4:$B$2003,$B1397)=$J1397,"OK","CHECK")))</f>
        <v/>
      </c>
      <c r="T1397" s="10" t="str">
        <f aca="false">IF($B1397="","",IFERROR(INDEX(Drinks!$D$4:$D$53,MATCH($B1397,Drinks!$A$4:$A$53,0)),0))</f>
        <v/>
      </c>
    </row>
    <row r="1398" customFormat="false" ht="15" hidden="false" customHeight="false" outlineLevel="0" collapsed="false">
      <c r="A1398" s="22"/>
      <c r="B1398" s="9"/>
      <c r="C1398" s="9"/>
      <c r="D1398" s="9"/>
      <c r="E1398" s="9"/>
      <c r="F1398" s="10" t="str">
        <f aca="false">IF($B1398="","",$C1398+$D1398-$E1398)</f>
        <v/>
      </c>
      <c r="G1398" s="10" t="str">
        <f aca="false">IF($B1398="","",IFERROR(INDEX(Drinks!$C$4:$C$53,MATCH($B1398,Drinks!$A$4:$A$53,0)),0))</f>
        <v/>
      </c>
      <c r="H1398" s="10" t="str">
        <f aca="false">IF($B1398="","",$D1398*$G1398)</f>
        <v/>
      </c>
      <c r="I1398" s="10" t="str">
        <f aca="false">IF($B1398="","",$F1398*$G1398)</f>
        <v/>
      </c>
      <c r="J1398" s="9"/>
      <c r="K1398" s="10" t="str">
        <f aca="false">IF($B1398="","",$E1398*IFERROR(INDEX(Drinks!$B$4:$B$53,MATCH($B1398,Drinks!$A$4:$A$53,0)),0))</f>
        <v/>
      </c>
      <c r="L1398" s="10" t="str">
        <f aca="false">IF($B1398="","",$J1398+$K1398)</f>
        <v/>
      </c>
      <c r="M1398" s="9"/>
      <c r="N1398" s="10" t="str">
        <f aca="false">IF($B1398="","",$L1398-$M1398)</f>
        <v/>
      </c>
      <c r="O1398" s="10" t="str">
        <f aca="false">IF($B1398="","",IFERROR(INDEX(Drinks!$E$4:$E$53,MATCH($B1398,Drinks!$A$4:$A$53,0)),0))</f>
        <v/>
      </c>
      <c r="P1398" s="10" t="str">
        <f aca="false">IF($B1398="","",$N1398*$O1398)</f>
        <v/>
      </c>
      <c r="Q1398" s="10" t="str">
        <f aca="false">IF($B1398="","",$N1398*IFERROR(INDEX(Drinks!$D$4:$D$53,MATCH($B1398,Drinks!$A$4:$A$53,0)),0))</f>
        <v/>
      </c>
      <c r="R1398" s="10" t="str">
        <f aca="false">IF($B1398="","",$P1398-$Q1398)</f>
        <v/>
      </c>
      <c r="S1398" s="23" t="str">
        <f aca="false">IF($B1398="","",IF(COUNTIFS($A$4:$A$2003,$A1398-1,$B$4:$B$2003,$B1398)=0,"first day",IF(SUMIFS($M$4:$M$2003,$A$4:$A$2003,$A1398-1,$B$4:$B$2003,$B1398)=$J1398,"OK","CHECK")))</f>
        <v/>
      </c>
      <c r="T1398" s="10" t="str">
        <f aca="false">IF($B1398="","",IFERROR(INDEX(Drinks!$D$4:$D$53,MATCH($B1398,Drinks!$A$4:$A$53,0)),0))</f>
        <v/>
      </c>
    </row>
    <row r="1399" customFormat="false" ht="15" hidden="false" customHeight="false" outlineLevel="0" collapsed="false">
      <c r="A1399" s="22"/>
      <c r="B1399" s="9"/>
      <c r="C1399" s="9"/>
      <c r="D1399" s="9"/>
      <c r="E1399" s="9"/>
      <c r="F1399" s="10" t="str">
        <f aca="false">IF($B1399="","",$C1399+$D1399-$E1399)</f>
        <v/>
      </c>
      <c r="G1399" s="10" t="str">
        <f aca="false">IF($B1399="","",IFERROR(INDEX(Drinks!$C$4:$C$53,MATCH($B1399,Drinks!$A$4:$A$53,0)),0))</f>
        <v/>
      </c>
      <c r="H1399" s="10" t="str">
        <f aca="false">IF($B1399="","",$D1399*$G1399)</f>
        <v/>
      </c>
      <c r="I1399" s="10" t="str">
        <f aca="false">IF($B1399="","",$F1399*$G1399)</f>
        <v/>
      </c>
      <c r="J1399" s="9"/>
      <c r="K1399" s="10" t="str">
        <f aca="false">IF($B1399="","",$E1399*IFERROR(INDEX(Drinks!$B$4:$B$53,MATCH($B1399,Drinks!$A$4:$A$53,0)),0))</f>
        <v/>
      </c>
      <c r="L1399" s="10" t="str">
        <f aca="false">IF($B1399="","",$J1399+$K1399)</f>
        <v/>
      </c>
      <c r="M1399" s="9"/>
      <c r="N1399" s="10" t="str">
        <f aca="false">IF($B1399="","",$L1399-$M1399)</f>
        <v/>
      </c>
      <c r="O1399" s="10" t="str">
        <f aca="false">IF($B1399="","",IFERROR(INDEX(Drinks!$E$4:$E$53,MATCH($B1399,Drinks!$A$4:$A$53,0)),0))</f>
        <v/>
      </c>
      <c r="P1399" s="10" t="str">
        <f aca="false">IF($B1399="","",$N1399*$O1399)</f>
        <v/>
      </c>
      <c r="Q1399" s="10" t="str">
        <f aca="false">IF($B1399="","",$N1399*IFERROR(INDEX(Drinks!$D$4:$D$53,MATCH($B1399,Drinks!$A$4:$A$53,0)),0))</f>
        <v/>
      </c>
      <c r="R1399" s="10" t="str">
        <f aca="false">IF($B1399="","",$P1399-$Q1399)</f>
        <v/>
      </c>
      <c r="S1399" s="23" t="str">
        <f aca="false">IF($B1399="","",IF(COUNTIFS($A$4:$A$2003,$A1399-1,$B$4:$B$2003,$B1399)=0,"first day",IF(SUMIFS($M$4:$M$2003,$A$4:$A$2003,$A1399-1,$B$4:$B$2003,$B1399)=$J1399,"OK","CHECK")))</f>
        <v/>
      </c>
      <c r="T1399" s="10" t="str">
        <f aca="false">IF($B1399="","",IFERROR(INDEX(Drinks!$D$4:$D$53,MATCH($B1399,Drinks!$A$4:$A$53,0)),0))</f>
        <v/>
      </c>
    </row>
    <row r="1400" customFormat="false" ht="15" hidden="false" customHeight="false" outlineLevel="0" collapsed="false">
      <c r="A1400" s="22"/>
      <c r="B1400" s="9"/>
      <c r="C1400" s="9"/>
      <c r="D1400" s="9"/>
      <c r="E1400" s="9"/>
      <c r="F1400" s="10" t="str">
        <f aca="false">IF($B1400="","",$C1400+$D1400-$E1400)</f>
        <v/>
      </c>
      <c r="G1400" s="10" t="str">
        <f aca="false">IF($B1400="","",IFERROR(INDEX(Drinks!$C$4:$C$53,MATCH($B1400,Drinks!$A$4:$A$53,0)),0))</f>
        <v/>
      </c>
      <c r="H1400" s="10" t="str">
        <f aca="false">IF($B1400="","",$D1400*$G1400)</f>
        <v/>
      </c>
      <c r="I1400" s="10" t="str">
        <f aca="false">IF($B1400="","",$F1400*$G1400)</f>
        <v/>
      </c>
      <c r="J1400" s="9"/>
      <c r="K1400" s="10" t="str">
        <f aca="false">IF($B1400="","",$E1400*IFERROR(INDEX(Drinks!$B$4:$B$53,MATCH($B1400,Drinks!$A$4:$A$53,0)),0))</f>
        <v/>
      </c>
      <c r="L1400" s="10" t="str">
        <f aca="false">IF($B1400="","",$J1400+$K1400)</f>
        <v/>
      </c>
      <c r="M1400" s="9"/>
      <c r="N1400" s="10" t="str">
        <f aca="false">IF($B1400="","",$L1400-$M1400)</f>
        <v/>
      </c>
      <c r="O1400" s="10" t="str">
        <f aca="false">IF($B1400="","",IFERROR(INDEX(Drinks!$E$4:$E$53,MATCH($B1400,Drinks!$A$4:$A$53,0)),0))</f>
        <v/>
      </c>
      <c r="P1400" s="10" t="str">
        <f aca="false">IF($B1400="","",$N1400*$O1400)</f>
        <v/>
      </c>
      <c r="Q1400" s="10" t="str">
        <f aca="false">IF($B1400="","",$N1400*IFERROR(INDEX(Drinks!$D$4:$D$53,MATCH($B1400,Drinks!$A$4:$A$53,0)),0))</f>
        <v/>
      </c>
      <c r="R1400" s="10" t="str">
        <f aca="false">IF($B1400="","",$P1400-$Q1400)</f>
        <v/>
      </c>
      <c r="S1400" s="23" t="str">
        <f aca="false">IF($B1400="","",IF(COUNTIFS($A$4:$A$2003,$A1400-1,$B$4:$B$2003,$B1400)=0,"first day",IF(SUMIFS($M$4:$M$2003,$A$4:$A$2003,$A1400-1,$B$4:$B$2003,$B1400)=$J1400,"OK","CHECK")))</f>
        <v/>
      </c>
      <c r="T1400" s="10" t="str">
        <f aca="false">IF($B1400="","",IFERROR(INDEX(Drinks!$D$4:$D$53,MATCH($B1400,Drinks!$A$4:$A$53,0)),0))</f>
        <v/>
      </c>
    </row>
    <row r="1401" customFormat="false" ht="15" hidden="false" customHeight="false" outlineLevel="0" collapsed="false">
      <c r="A1401" s="22"/>
      <c r="B1401" s="9"/>
      <c r="C1401" s="9"/>
      <c r="D1401" s="9"/>
      <c r="E1401" s="9"/>
      <c r="F1401" s="10" t="str">
        <f aca="false">IF($B1401="","",$C1401+$D1401-$E1401)</f>
        <v/>
      </c>
      <c r="G1401" s="10" t="str">
        <f aca="false">IF($B1401="","",IFERROR(INDEX(Drinks!$C$4:$C$53,MATCH($B1401,Drinks!$A$4:$A$53,0)),0))</f>
        <v/>
      </c>
      <c r="H1401" s="10" t="str">
        <f aca="false">IF($B1401="","",$D1401*$G1401)</f>
        <v/>
      </c>
      <c r="I1401" s="10" t="str">
        <f aca="false">IF($B1401="","",$F1401*$G1401)</f>
        <v/>
      </c>
      <c r="J1401" s="9"/>
      <c r="K1401" s="10" t="str">
        <f aca="false">IF($B1401="","",$E1401*IFERROR(INDEX(Drinks!$B$4:$B$53,MATCH($B1401,Drinks!$A$4:$A$53,0)),0))</f>
        <v/>
      </c>
      <c r="L1401" s="10" t="str">
        <f aca="false">IF($B1401="","",$J1401+$K1401)</f>
        <v/>
      </c>
      <c r="M1401" s="9"/>
      <c r="N1401" s="10" t="str">
        <f aca="false">IF($B1401="","",$L1401-$M1401)</f>
        <v/>
      </c>
      <c r="O1401" s="10" t="str">
        <f aca="false">IF($B1401="","",IFERROR(INDEX(Drinks!$E$4:$E$53,MATCH($B1401,Drinks!$A$4:$A$53,0)),0))</f>
        <v/>
      </c>
      <c r="P1401" s="10" t="str">
        <f aca="false">IF($B1401="","",$N1401*$O1401)</f>
        <v/>
      </c>
      <c r="Q1401" s="10" t="str">
        <f aca="false">IF($B1401="","",$N1401*IFERROR(INDEX(Drinks!$D$4:$D$53,MATCH($B1401,Drinks!$A$4:$A$53,0)),0))</f>
        <v/>
      </c>
      <c r="R1401" s="10" t="str">
        <f aca="false">IF($B1401="","",$P1401-$Q1401)</f>
        <v/>
      </c>
      <c r="S1401" s="23" t="str">
        <f aca="false">IF($B1401="","",IF(COUNTIFS($A$4:$A$2003,$A1401-1,$B$4:$B$2003,$B1401)=0,"first day",IF(SUMIFS($M$4:$M$2003,$A$4:$A$2003,$A1401-1,$B$4:$B$2003,$B1401)=$J1401,"OK","CHECK")))</f>
        <v/>
      </c>
      <c r="T1401" s="10" t="str">
        <f aca="false">IF($B1401="","",IFERROR(INDEX(Drinks!$D$4:$D$53,MATCH($B1401,Drinks!$A$4:$A$53,0)),0))</f>
        <v/>
      </c>
    </row>
    <row r="1402" customFormat="false" ht="15" hidden="false" customHeight="false" outlineLevel="0" collapsed="false">
      <c r="A1402" s="22"/>
      <c r="B1402" s="9"/>
      <c r="C1402" s="9"/>
      <c r="D1402" s="9"/>
      <c r="E1402" s="9"/>
      <c r="F1402" s="10" t="str">
        <f aca="false">IF($B1402="","",$C1402+$D1402-$E1402)</f>
        <v/>
      </c>
      <c r="G1402" s="10" t="str">
        <f aca="false">IF($B1402="","",IFERROR(INDEX(Drinks!$C$4:$C$53,MATCH($B1402,Drinks!$A$4:$A$53,0)),0))</f>
        <v/>
      </c>
      <c r="H1402" s="10" t="str">
        <f aca="false">IF($B1402="","",$D1402*$G1402)</f>
        <v/>
      </c>
      <c r="I1402" s="10" t="str">
        <f aca="false">IF($B1402="","",$F1402*$G1402)</f>
        <v/>
      </c>
      <c r="J1402" s="9"/>
      <c r="K1402" s="10" t="str">
        <f aca="false">IF($B1402="","",$E1402*IFERROR(INDEX(Drinks!$B$4:$B$53,MATCH($B1402,Drinks!$A$4:$A$53,0)),0))</f>
        <v/>
      </c>
      <c r="L1402" s="10" t="str">
        <f aca="false">IF($B1402="","",$J1402+$K1402)</f>
        <v/>
      </c>
      <c r="M1402" s="9"/>
      <c r="N1402" s="10" t="str">
        <f aca="false">IF($B1402="","",$L1402-$M1402)</f>
        <v/>
      </c>
      <c r="O1402" s="10" t="str">
        <f aca="false">IF($B1402="","",IFERROR(INDEX(Drinks!$E$4:$E$53,MATCH($B1402,Drinks!$A$4:$A$53,0)),0))</f>
        <v/>
      </c>
      <c r="P1402" s="10" t="str">
        <f aca="false">IF($B1402="","",$N1402*$O1402)</f>
        <v/>
      </c>
      <c r="Q1402" s="10" t="str">
        <f aca="false">IF($B1402="","",$N1402*IFERROR(INDEX(Drinks!$D$4:$D$53,MATCH($B1402,Drinks!$A$4:$A$53,0)),0))</f>
        <v/>
      </c>
      <c r="R1402" s="10" t="str">
        <f aca="false">IF($B1402="","",$P1402-$Q1402)</f>
        <v/>
      </c>
      <c r="S1402" s="23" t="str">
        <f aca="false">IF($B1402="","",IF(COUNTIFS($A$4:$A$2003,$A1402-1,$B$4:$B$2003,$B1402)=0,"first day",IF(SUMIFS($M$4:$M$2003,$A$4:$A$2003,$A1402-1,$B$4:$B$2003,$B1402)=$J1402,"OK","CHECK")))</f>
        <v/>
      </c>
      <c r="T1402" s="10" t="str">
        <f aca="false">IF($B1402="","",IFERROR(INDEX(Drinks!$D$4:$D$53,MATCH($B1402,Drinks!$A$4:$A$53,0)),0))</f>
        <v/>
      </c>
    </row>
    <row r="1403" customFormat="false" ht="15" hidden="false" customHeight="false" outlineLevel="0" collapsed="false">
      <c r="A1403" s="22"/>
      <c r="B1403" s="9"/>
      <c r="C1403" s="9"/>
      <c r="D1403" s="9"/>
      <c r="E1403" s="9"/>
      <c r="F1403" s="10" t="str">
        <f aca="false">IF($B1403="","",$C1403+$D1403-$E1403)</f>
        <v/>
      </c>
      <c r="G1403" s="10" t="str">
        <f aca="false">IF($B1403="","",IFERROR(INDEX(Drinks!$C$4:$C$53,MATCH($B1403,Drinks!$A$4:$A$53,0)),0))</f>
        <v/>
      </c>
      <c r="H1403" s="10" t="str">
        <f aca="false">IF($B1403="","",$D1403*$G1403)</f>
        <v/>
      </c>
      <c r="I1403" s="10" t="str">
        <f aca="false">IF($B1403="","",$F1403*$G1403)</f>
        <v/>
      </c>
      <c r="J1403" s="9"/>
      <c r="K1403" s="10" t="str">
        <f aca="false">IF($B1403="","",$E1403*IFERROR(INDEX(Drinks!$B$4:$B$53,MATCH($B1403,Drinks!$A$4:$A$53,0)),0))</f>
        <v/>
      </c>
      <c r="L1403" s="10" t="str">
        <f aca="false">IF($B1403="","",$J1403+$K1403)</f>
        <v/>
      </c>
      <c r="M1403" s="9"/>
      <c r="N1403" s="10" t="str">
        <f aca="false">IF($B1403="","",$L1403-$M1403)</f>
        <v/>
      </c>
      <c r="O1403" s="10" t="str">
        <f aca="false">IF($B1403="","",IFERROR(INDEX(Drinks!$E$4:$E$53,MATCH($B1403,Drinks!$A$4:$A$53,0)),0))</f>
        <v/>
      </c>
      <c r="P1403" s="10" t="str">
        <f aca="false">IF($B1403="","",$N1403*$O1403)</f>
        <v/>
      </c>
      <c r="Q1403" s="10" t="str">
        <f aca="false">IF($B1403="","",$N1403*IFERROR(INDEX(Drinks!$D$4:$D$53,MATCH($B1403,Drinks!$A$4:$A$53,0)),0))</f>
        <v/>
      </c>
      <c r="R1403" s="10" t="str">
        <f aca="false">IF($B1403="","",$P1403-$Q1403)</f>
        <v/>
      </c>
      <c r="S1403" s="23" t="str">
        <f aca="false">IF($B1403="","",IF(COUNTIFS($A$4:$A$2003,$A1403-1,$B$4:$B$2003,$B1403)=0,"first day",IF(SUMIFS($M$4:$M$2003,$A$4:$A$2003,$A1403-1,$B$4:$B$2003,$B1403)=$J1403,"OK","CHECK")))</f>
        <v/>
      </c>
      <c r="T1403" s="10" t="str">
        <f aca="false">IF($B1403="","",IFERROR(INDEX(Drinks!$D$4:$D$53,MATCH($B1403,Drinks!$A$4:$A$53,0)),0))</f>
        <v/>
      </c>
    </row>
    <row r="1404" customFormat="false" ht="15" hidden="false" customHeight="false" outlineLevel="0" collapsed="false">
      <c r="A1404" s="22"/>
      <c r="B1404" s="9"/>
      <c r="C1404" s="9"/>
      <c r="D1404" s="9"/>
      <c r="E1404" s="9"/>
      <c r="F1404" s="10" t="str">
        <f aca="false">IF($B1404="","",$C1404+$D1404-$E1404)</f>
        <v/>
      </c>
      <c r="G1404" s="10" t="str">
        <f aca="false">IF($B1404="","",IFERROR(INDEX(Drinks!$C$4:$C$53,MATCH($B1404,Drinks!$A$4:$A$53,0)),0))</f>
        <v/>
      </c>
      <c r="H1404" s="10" t="str">
        <f aca="false">IF($B1404="","",$D1404*$G1404)</f>
        <v/>
      </c>
      <c r="I1404" s="10" t="str">
        <f aca="false">IF($B1404="","",$F1404*$G1404)</f>
        <v/>
      </c>
      <c r="J1404" s="9"/>
      <c r="K1404" s="10" t="str">
        <f aca="false">IF($B1404="","",$E1404*IFERROR(INDEX(Drinks!$B$4:$B$53,MATCH($B1404,Drinks!$A$4:$A$53,0)),0))</f>
        <v/>
      </c>
      <c r="L1404" s="10" t="str">
        <f aca="false">IF($B1404="","",$J1404+$K1404)</f>
        <v/>
      </c>
      <c r="M1404" s="9"/>
      <c r="N1404" s="10" t="str">
        <f aca="false">IF($B1404="","",$L1404-$M1404)</f>
        <v/>
      </c>
      <c r="O1404" s="10" t="str">
        <f aca="false">IF($B1404="","",IFERROR(INDEX(Drinks!$E$4:$E$53,MATCH($B1404,Drinks!$A$4:$A$53,0)),0))</f>
        <v/>
      </c>
      <c r="P1404" s="10" t="str">
        <f aca="false">IF($B1404="","",$N1404*$O1404)</f>
        <v/>
      </c>
      <c r="Q1404" s="10" t="str">
        <f aca="false">IF($B1404="","",$N1404*IFERROR(INDEX(Drinks!$D$4:$D$53,MATCH($B1404,Drinks!$A$4:$A$53,0)),0))</f>
        <v/>
      </c>
      <c r="R1404" s="10" t="str">
        <f aca="false">IF($B1404="","",$P1404-$Q1404)</f>
        <v/>
      </c>
      <c r="S1404" s="23" t="str">
        <f aca="false">IF($B1404="","",IF(COUNTIFS($A$4:$A$2003,$A1404-1,$B$4:$B$2003,$B1404)=0,"first day",IF(SUMIFS($M$4:$M$2003,$A$4:$A$2003,$A1404-1,$B$4:$B$2003,$B1404)=$J1404,"OK","CHECK")))</f>
        <v/>
      </c>
      <c r="T1404" s="10" t="str">
        <f aca="false">IF($B1404="","",IFERROR(INDEX(Drinks!$D$4:$D$53,MATCH($B1404,Drinks!$A$4:$A$53,0)),0))</f>
        <v/>
      </c>
    </row>
    <row r="1405" customFormat="false" ht="15" hidden="false" customHeight="false" outlineLevel="0" collapsed="false">
      <c r="A1405" s="22"/>
      <c r="B1405" s="9"/>
      <c r="C1405" s="9"/>
      <c r="D1405" s="9"/>
      <c r="E1405" s="9"/>
      <c r="F1405" s="10" t="str">
        <f aca="false">IF($B1405="","",$C1405+$D1405-$E1405)</f>
        <v/>
      </c>
      <c r="G1405" s="10" t="str">
        <f aca="false">IF($B1405="","",IFERROR(INDEX(Drinks!$C$4:$C$53,MATCH($B1405,Drinks!$A$4:$A$53,0)),0))</f>
        <v/>
      </c>
      <c r="H1405" s="10" t="str">
        <f aca="false">IF($B1405="","",$D1405*$G1405)</f>
        <v/>
      </c>
      <c r="I1405" s="10" t="str">
        <f aca="false">IF($B1405="","",$F1405*$G1405)</f>
        <v/>
      </c>
      <c r="J1405" s="9"/>
      <c r="K1405" s="10" t="str">
        <f aca="false">IF($B1405="","",$E1405*IFERROR(INDEX(Drinks!$B$4:$B$53,MATCH($B1405,Drinks!$A$4:$A$53,0)),0))</f>
        <v/>
      </c>
      <c r="L1405" s="10" t="str">
        <f aca="false">IF($B1405="","",$J1405+$K1405)</f>
        <v/>
      </c>
      <c r="M1405" s="9"/>
      <c r="N1405" s="10" t="str">
        <f aca="false">IF($B1405="","",$L1405-$M1405)</f>
        <v/>
      </c>
      <c r="O1405" s="10" t="str">
        <f aca="false">IF($B1405="","",IFERROR(INDEX(Drinks!$E$4:$E$53,MATCH($B1405,Drinks!$A$4:$A$53,0)),0))</f>
        <v/>
      </c>
      <c r="P1405" s="10" t="str">
        <f aca="false">IF($B1405="","",$N1405*$O1405)</f>
        <v/>
      </c>
      <c r="Q1405" s="10" t="str">
        <f aca="false">IF($B1405="","",$N1405*IFERROR(INDEX(Drinks!$D$4:$D$53,MATCH($B1405,Drinks!$A$4:$A$53,0)),0))</f>
        <v/>
      </c>
      <c r="R1405" s="10" t="str">
        <f aca="false">IF($B1405="","",$P1405-$Q1405)</f>
        <v/>
      </c>
      <c r="S1405" s="23" t="str">
        <f aca="false">IF($B1405="","",IF(COUNTIFS($A$4:$A$2003,$A1405-1,$B$4:$B$2003,$B1405)=0,"first day",IF(SUMIFS($M$4:$M$2003,$A$4:$A$2003,$A1405-1,$B$4:$B$2003,$B1405)=$J1405,"OK","CHECK")))</f>
        <v/>
      </c>
      <c r="T1405" s="10" t="str">
        <f aca="false">IF($B1405="","",IFERROR(INDEX(Drinks!$D$4:$D$53,MATCH($B1405,Drinks!$A$4:$A$53,0)),0))</f>
        <v/>
      </c>
    </row>
    <row r="1406" customFormat="false" ht="15" hidden="false" customHeight="false" outlineLevel="0" collapsed="false">
      <c r="A1406" s="22"/>
      <c r="B1406" s="9"/>
      <c r="C1406" s="9"/>
      <c r="D1406" s="9"/>
      <c r="E1406" s="9"/>
      <c r="F1406" s="10" t="str">
        <f aca="false">IF($B1406="","",$C1406+$D1406-$E1406)</f>
        <v/>
      </c>
      <c r="G1406" s="10" t="str">
        <f aca="false">IF($B1406="","",IFERROR(INDEX(Drinks!$C$4:$C$53,MATCH($B1406,Drinks!$A$4:$A$53,0)),0))</f>
        <v/>
      </c>
      <c r="H1406" s="10" t="str">
        <f aca="false">IF($B1406="","",$D1406*$G1406)</f>
        <v/>
      </c>
      <c r="I1406" s="10" t="str">
        <f aca="false">IF($B1406="","",$F1406*$G1406)</f>
        <v/>
      </c>
      <c r="J1406" s="9"/>
      <c r="K1406" s="10" t="str">
        <f aca="false">IF($B1406="","",$E1406*IFERROR(INDEX(Drinks!$B$4:$B$53,MATCH($B1406,Drinks!$A$4:$A$53,0)),0))</f>
        <v/>
      </c>
      <c r="L1406" s="10" t="str">
        <f aca="false">IF($B1406="","",$J1406+$K1406)</f>
        <v/>
      </c>
      <c r="M1406" s="9"/>
      <c r="N1406" s="10" t="str">
        <f aca="false">IF($B1406="","",$L1406-$M1406)</f>
        <v/>
      </c>
      <c r="O1406" s="10" t="str">
        <f aca="false">IF($B1406="","",IFERROR(INDEX(Drinks!$E$4:$E$53,MATCH($B1406,Drinks!$A$4:$A$53,0)),0))</f>
        <v/>
      </c>
      <c r="P1406" s="10" t="str">
        <f aca="false">IF($B1406="","",$N1406*$O1406)</f>
        <v/>
      </c>
      <c r="Q1406" s="10" t="str">
        <f aca="false">IF($B1406="","",$N1406*IFERROR(INDEX(Drinks!$D$4:$D$53,MATCH($B1406,Drinks!$A$4:$A$53,0)),0))</f>
        <v/>
      </c>
      <c r="R1406" s="10" t="str">
        <f aca="false">IF($B1406="","",$P1406-$Q1406)</f>
        <v/>
      </c>
      <c r="S1406" s="23" t="str">
        <f aca="false">IF($B1406="","",IF(COUNTIFS($A$4:$A$2003,$A1406-1,$B$4:$B$2003,$B1406)=0,"first day",IF(SUMIFS($M$4:$M$2003,$A$4:$A$2003,$A1406-1,$B$4:$B$2003,$B1406)=$J1406,"OK","CHECK")))</f>
        <v/>
      </c>
      <c r="T1406" s="10" t="str">
        <f aca="false">IF($B1406="","",IFERROR(INDEX(Drinks!$D$4:$D$53,MATCH($B1406,Drinks!$A$4:$A$53,0)),0))</f>
        <v/>
      </c>
    </row>
    <row r="1407" customFormat="false" ht="15" hidden="false" customHeight="false" outlineLevel="0" collapsed="false">
      <c r="A1407" s="22"/>
      <c r="B1407" s="9"/>
      <c r="C1407" s="9"/>
      <c r="D1407" s="9"/>
      <c r="E1407" s="9"/>
      <c r="F1407" s="10" t="str">
        <f aca="false">IF($B1407="","",$C1407+$D1407-$E1407)</f>
        <v/>
      </c>
      <c r="G1407" s="10" t="str">
        <f aca="false">IF($B1407="","",IFERROR(INDEX(Drinks!$C$4:$C$53,MATCH($B1407,Drinks!$A$4:$A$53,0)),0))</f>
        <v/>
      </c>
      <c r="H1407" s="10" t="str">
        <f aca="false">IF($B1407="","",$D1407*$G1407)</f>
        <v/>
      </c>
      <c r="I1407" s="10" t="str">
        <f aca="false">IF($B1407="","",$F1407*$G1407)</f>
        <v/>
      </c>
      <c r="J1407" s="9"/>
      <c r="K1407" s="10" t="str">
        <f aca="false">IF($B1407="","",$E1407*IFERROR(INDEX(Drinks!$B$4:$B$53,MATCH($B1407,Drinks!$A$4:$A$53,0)),0))</f>
        <v/>
      </c>
      <c r="L1407" s="10" t="str">
        <f aca="false">IF($B1407="","",$J1407+$K1407)</f>
        <v/>
      </c>
      <c r="M1407" s="9"/>
      <c r="N1407" s="10" t="str">
        <f aca="false">IF($B1407="","",$L1407-$M1407)</f>
        <v/>
      </c>
      <c r="O1407" s="10" t="str">
        <f aca="false">IF($B1407="","",IFERROR(INDEX(Drinks!$E$4:$E$53,MATCH($B1407,Drinks!$A$4:$A$53,0)),0))</f>
        <v/>
      </c>
      <c r="P1407" s="10" t="str">
        <f aca="false">IF($B1407="","",$N1407*$O1407)</f>
        <v/>
      </c>
      <c r="Q1407" s="10" t="str">
        <f aca="false">IF($B1407="","",$N1407*IFERROR(INDEX(Drinks!$D$4:$D$53,MATCH($B1407,Drinks!$A$4:$A$53,0)),0))</f>
        <v/>
      </c>
      <c r="R1407" s="10" t="str">
        <f aca="false">IF($B1407="","",$P1407-$Q1407)</f>
        <v/>
      </c>
      <c r="S1407" s="23" t="str">
        <f aca="false">IF($B1407="","",IF(COUNTIFS($A$4:$A$2003,$A1407-1,$B$4:$B$2003,$B1407)=0,"first day",IF(SUMIFS($M$4:$M$2003,$A$4:$A$2003,$A1407-1,$B$4:$B$2003,$B1407)=$J1407,"OK","CHECK")))</f>
        <v/>
      </c>
      <c r="T1407" s="10" t="str">
        <f aca="false">IF($B1407="","",IFERROR(INDEX(Drinks!$D$4:$D$53,MATCH($B1407,Drinks!$A$4:$A$53,0)),0))</f>
        <v/>
      </c>
    </row>
    <row r="1408" customFormat="false" ht="15" hidden="false" customHeight="false" outlineLevel="0" collapsed="false">
      <c r="A1408" s="22"/>
      <c r="B1408" s="9"/>
      <c r="C1408" s="9"/>
      <c r="D1408" s="9"/>
      <c r="E1408" s="9"/>
      <c r="F1408" s="10" t="str">
        <f aca="false">IF($B1408="","",$C1408+$D1408-$E1408)</f>
        <v/>
      </c>
      <c r="G1408" s="10" t="str">
        <f aca="false">IF($B1408="","",IFERROR(INDEX(Drinks!$C$4:$C$53,MATCH($B1408,Drinks!$A$4:$A$53,0)),0))</f>
        <v/>
      </c>
      <c r="H1408" s="10" t="str">
        <f aca="false">IF($B1408="","",$D1408*$G1408)</f>
        <v/>
      </c>
      <c r="I1408" s="10" t="str">
        <f aca="false">IF($B1408="","",$F1408*$G1408)</f>
        <v/>
      </c>
      <c r="J1408" s="9"/>
      <c r="K1408" s="10" t="str">
        <f aca="false">IF($B1408="","",$E1408*IFERROR(INDEX(Drinks!$B$4:$B$53,MATCH($B1408,Drinks!$A$4:$A$53,0)),0))</f>
        <v/>
      </c>
      <c r="L1408" s="10" t="str">
        <f aca="false">IF($B1408="","",$J1408+$K1408)</f>
        <v/>
      </c>
      <c r="M1408" s="9"/>
      <c r="N1408" s="10" t="str">
        <f aca="false">IF($B1408="","",$L1408-$M1408)</f>
        <v/>
      </c>
      <c r="O1408" s="10" t="str">
        <f aca="false">IF($B1408="","",IFERROR(INDEX(Drinks!$E$4:$E$53,MATCH($B1408,Drinks!$A$4:$A$53,0)),0))</f>
        <v/>
      </c>
      <c r="P1408" s="10" t="str">
        <f aca="false">IF($B1408="","",$N1408*$O1408)</f>
        <v/>
      </c>
      <c r="Q1408" s="10" t="str">
        <f aca="false">IF($B1408="","",$N1408*IFERROR(INDEX(Drinks!$D$4:$D$53,MATCH($B1408,Drinks!$A$4:$A$53,0)),0))</f>
        <v/>
      </c>
      <c r="R1408" s="10" t="str">
        <f aca="false">IF($B1408="","",$P1408-$Q1408)</f>
        <v/>
      </c>
      <c r="S1408" s="23" t="str">
        <f aca="false">IF($B1408="","",IF(COUNTIFS($A$4:$A$2003,$A1408-1,$B$4:$B$2003,$B1408)=0,"first day",IF(SUMIFS($M$4:$M$2003,$A$4:$A$2003,$A1408-1,$B$4:$B$2003,$B1408)=$J1408,"OK","CHECK")))</f>
        <v/>
      </c>
      <c r="T1408" s="10" t="str">
        <f aca="false">IF($B1408="","",IFERROR(INDEX(Drinks!$D$4:$D$53,MATCH($B1408,Drinks!$A$4:$A$53,0)),0))</f>
        <v/>
      </c>
    </row>
    <row r="1409" customFormat="false" ht="15" hidden="false" customHeight="false" outlineLevel="0" collapsed="false">
      <c r="A1409" s="22"/>
      <c r="B1409" s="9"/>
      <c r="C1409" s="9"/>
      <c r="D1409" s="9"/>
      <c r="E1409" s="9"/>
      <c r="F1409" s="10" t="str">
        <f aca="false">IF($B1409="","",$C1409+$D1409-$E1409)</f>
        <v/>
      </c>
      <c r="G1409" s="10" t="str">
        <f aca="false">IF($B1409="","",IFERROR(INDEX(Drinks!$C$4:$C$53,MATCH($B1409,Drinks!$A$4:$A$53,0)),0))</f>
        <v/>
      </c>
      <c r="H1409" s="10" t="str">
        <f aca="false">IF($B1409="","",$D1409*$G1409)</f>
        <v/>
      </c>
      <c r="I1409" s="10" t="str">
        <f aca="false">IF($B1409="","",$F1409*$G1409)</f>
        <v/>
      </c>
      <c r="J1409" s="9"/>
      <c r="K1409" s="10" t="str">
        <f aca="false">IF($B1409="","",$E1409*IFERROR(INDEX(Drinks!$B$4:$B$53,MATCH($B1409,Drinks!$A$4:$A$53,0)),0))</f>
        <v/>
      </c>
      <c r="L1409" s="10" t="str">
        <f aca="false">IF($B1409="","",$J1409+$K1409)</f>
        <v/>
      </c>
      <c r="M1409" s="9"/>
      <c r="N1409" s="10" t="str">
        <f aca="false">IF($B1409="","",$L1409-$M1409)</f>
        <v/>
      </c>
      <c r="O1409" s="10" t="str">
        <f aca="false">IF($B1409="","",IFERROR(INDEX(Drinks!$E$4:$E$53,MATCH($B1409,Drinks!$A$4:$A$53,0)),0))</f>
        <v/>
      </c>
      <c r="P1409" s="10" t="str">
        <f aca="false">IF($B1409="","",$N1409*$O1409)</f>
        <v/>
      </c>
      <c r="Q1409" s="10" t="str">
        <f aca="false">IF($B1409="","",$N1409*IFERROR(INDEX(Drinks!$D$4:$D$53,MATCH($B1409,Drinks!$A$4:$A$53,0)),0))</f>
        <v/>
      </c>
      <c r="R1409" s="10" t="str">
        <f aca="false">IF($B1409="","",$P1409-$Q1409)</f>
        <v/>
      </c>
      <c r="S1409" s="23" t="str">
        <f aca="false">IF($B1409="","",IF(COUNTIFS($A$4:$A$2003,$A1409-1,$B$4:$B$2003,$B1409)=0,"first day",IF(SUMIFS($M$4:$M$2003,$A$4:$A$2003,$A1409-1,$B$4:$B$2003,$B1409)=$J1409,"OK","CHECK")))</f>
        <v/>
      </c>
      <c r="T1409" s="10" t="str">
        <f aca="false">IF($B1409="","",IFERROR(INDEX(Drinks!$D$4:$D$53,MATCH($B1409,Drinks!$A$4:$A$53,0)),0))</f>
        <v/>
      </c>
    </row>
    <row r="1410" customFormat="false" ht="15" hidden="false" customHeight="false" outlineLevel="0" collapsed="false">
      <c r="A1410" s="22"/>
      <c r="B1410" s="9"/>
      <c r="C1410" s="9"/>
      <c r="D1410" s="9"/>
      <c r="E1410" s="9"/>
      <c r="F1410" s="10" t="str">
        <f aca="false">IF($B1410="","",$C1410+$D1410-$E1410)</f>
        <v/>
      </c>
      <c r="G1410" s="10" t="str">
        <f aca="false">IF($B1410="","",IFERROR(INDEX(Drinks!$C$4:$C$53,MATCH($B1410,Drinks!$A$4:$A$53,0)),0))</f>
        <v/>
      </c>
      <c r="H1410" s="10" t="str">
        <f aca="false">IF($B1410="","",$D1410*$G1410)</f>
        <v/>
      </c>
      <c r="I1410" s="10" t="str">
        <f aca="false">IF($B1410="","",$F1410*$G1410)</f>
        <v/>
      </c>
      <c r="J1410" s="9"/>
      <c r="K1410" s="10" t="str">
        <f aca="false">IF($B1410="","",$E1410*IFERROR(INDEX(Drinks!$B$4:$B$53,MATCH($B1410,Drinks!$A$4:$A$53,0)),0))</f>
        <v/>
      </c>
      <c r="L1410" s="10" t="str">
        <f aca="false">IF($B1410="","",$J1410+$K1410)</f>
        <v/>
      </c>
      <c r="M1410" s="9"/>
      <c r="N1410" s="10" t="str">
        <f aca="false">IF($B1410="","",$L1410-$M1410)</f>
        <v/>
      </c>
      <c r="O1410" s="10" t="str">
        <f aca="false">IF($B1410="","",IFERROR(INDEX(Drinks!$E$4:$E$53,MATCH($B1410,Drinks!$A$4:$A$53,0)),0))</f>
        <v/>
      </c>
      <c r="P1410" s="10" t="str">
        <f aca="false">IF($B1410="","",$N1410*$O1410)</f>
        <v/>
      </c>
      <c r="Q1410" s="10" t="str">
        <f aca="false">IF($B1410="","",$N1410*IFERROR(INDEX(Drinks!$D$4:$D$53,MATCH($B1410,Drinks!$A$4:$A$53,0)),0))</f>
        <v/>
      </c>
      <c r="R1410" s="10" t="str">
        <f aca="false">IF($B1410="","",$P1410-$Q1410)</f>
        <v/>
      </c>
      <c r="S1410" s="23" t="str">
        <f aca="false">IF($B1410="","",IF(COUNTIFS($A$4:$A$2003,$A1410-1,$B$4:$B$2003,$B1410)=0,"first day",IF(SUMIFS($M$4:$M$2003,$A$4:$A$2003,$A1410-1,$B$4:$B$2003,$B1410)=$J1410,"OK","CHECK")))</f>
        <v/>
      </c>
      <c r="T1410" s="10" t="str">
        <f aca="false">IF($B1410="","",IFERROR(INDEX(Drinks!$D$4:$D$53,MATCH($B1410,Drinks!$A$4:$A$53,0)),0))</f>
        <v/>
      </c>
    </row>
    <row r="1411" customFormat="false" ht="15" hidden="false" customHeight="false" outlineLevel="0" collapsed="false">
      <c r="A1411" s="22"/>
      <c r="B1411" s="9"/>
      <c r="C1411" s="9"/>
      <c r="D1411" s="9"/>
      <c r="E1411" s="9"/>
      <c r="F1411" s="10" t="str">
        <f aca="false">IF($B1411="","",$C1411+$D1411-$E1411)</f>
        <v/>
      </c>
      <c r="G1411" s="10" t="str">
        <f aca="false">IF($B1411="","",IFERROR(INDEX(Drinks!$C$4:$C$53,MATCH($B1411,Drinks!$A$4:$A$53,0)),0))</f>
        <v/>
      </c>
      <c r="H1411" s="10" t="str">
        <f aca="false">IF($B1411="","",$D1411*$G1411)</f>
        <v/>
      </c>
      <c r="I1411" s="10" t="str">
        <f aca="false">IF($B1411="","",$F1411*$G1411)</f>
        <v/>
      </c>
      <c r="J1411" s="9"/>
      <c r="K1411" s="10" t="str">
        <f aca="false">IF($B1411="","",$E1411*IFERROR(INDEX(Drinks!$B$4:$B$53,MATCH($B1411,Drinks!$A$4:$A$53,0)),0))</f>
        <v/>
      </c>
      <c r="L1411" s="10" t="str">
        <f aca="false">IF($B1411="","",$J1411+$K1411)</f>
        <v/>
      </c>
      <c r="M1411" s="9"/>
      <c r="N1411" s="10" t="str">
        <f aca="false">IF($B1411="","",$L1411-$M1411)</f>
        <v/>
      </c>
      <c r="O1411" s="10" t="str">
        <f aca="false">IF($B1411="","",IFERROR(INDEX(Drinks!$E$4:$E$53,MATCH($B1411,Drinks!$A$4:$A$53,0)),0))</f>
        <v/>
      </c>
      <c r="P1411" s="10" t="str">
        <f aca="false">IF($B1411="","",$N1411*$O1411)</f>
        <v/>
      </c>
      <c r="Q1411" s="10" t="str">
        <f aca="false">IF($B1411="","",$N1411*IFERROR(INDEX(Drinks!$D$4:$D$53,MATCH($B1411,Drinks!$A$4:$A$53,0)),0))</f>
        <v/>
      </c>
      <c r="R1411" s="10" t="str">
        <f aca="false">IF($B1411="","",$P1411-$Q1411)</f>
        <v/>
      </c>
      <c r="S1411" s="23" t="str">
        <f aca="false">IF($B1411="","",IF(COUNTIFS($A$4:$A$2003,$A1411-1,$B$4:$B$2003,$B1411)=0,"first day",IF(SUMIFS($M$4:$M$2003,$A$4:$A$2003,$A1411-1,$B$4:$B$2003,$B1411)=$J1411,"OK","CHECK")))</f>
        <v/>
      </c>
      <c r="T1411" s="10" t="str">
        <f aca="false">IF($B1411="","",IFERROR(INDEX(Drinks!$D$4:$D$53,MATCH($B1411,Drinks!$A$4:$A$53,0)),0))</f>
        <v/>
      </c>
    </row>
    <row r="1412" customFormat="false" ht="15" hidden="false" customHeight="false" outlineLevel="0" collapsed="false">
      <c r="A1412" s="22"/>
      <c r="B1412" s="9"/>
      <c r="C1412" s="9"/>
      <c r="D1412" s="9"/>
      <c r="E1412" s="9"/>
      <c r="F1412" s="10" t="str">
        <f aca="false">IF($B1412="","",$C1412+$D1412-$E1412)</f>
        <v/>
      </c>
      <c r="G1412" s="10" t="str">
        <f aca="false">IF($B1412="","",IFERROR(INDEX(Drinks!$C$4:$C$53,MATCH($B1412,Drinks!$A$4:$A$53,0)),0))</f>
        <v/>
      </c>
      <c r="H1412" s="10" t="str">
        <f aca="false">IF($B1412="","",$D1412*$G1412)</f>
        <v/>
      </c>
      <c r="I1412" s="10" t="str">
        <f aca="false">IF($B1412="","",$F1412*$G1412)</f>
        <v/>
      </c>
      <c r="J1412" s="9"/>
      <c r="K1412" s="10" t="str">
        <f aca="false">IF($B1412="","",$E1412*IFERROR(INDEX(Drinks!$B$4:$B$53,MATCH($B1412,Drinks!$A$4:$A$53,0)),0))</f>
        <v/>
      </c>
      <c r="L1412" s="10" t="str">
        <f aca="false">IF($B1412="","",$J1412+$K1412)</f>
        <v/>
      </c>
      <c r="M1412" s="9"/>
      <c r="N1412" s="10" t="str">
        <f aca="false">IF($B1412="","",$L1412-$M1412)</f>
        <v/>
      </c>
      <c r="O1412" s="10" t="str">
        <f aca="false">IF($B1412="","",IFERROR(INDEX(Drinks!$E$4:$E$53,MATCH($B1412,Drinks!$A$4:$A$53,0)),0))</f>
        <v/>
      </c>
      <c r="P1412" s="10" t="str">
        <f aca="false">IF($B1412="","",$N1412*$O1412)</f>
        <v/>
      </c>
      <c r="Q1412" s="10" t="str">
        <f aca="false">IF($B1412="","",$N1412*IFERROR(INDEX(Drinks!$D$4:$D$53,MATCH($B1412,Drinks!$A$4:$A$53,0)),0))</f>
        <v/>
      </c>
      <c r="R1412" s="10" t="str">
        <f aca="false">IF($B1412="","",$P1412-$Q1412)</f>
        <v/>
      </c>
      <c r="S1412" s="23" t="str">
        <f aca="false">IF($B1412="","",IF(COUNTIFS($A$4:$A$2003,$A1412-1,$B$4:$B$2003,$B1412)=0,"first day",IF(SUMIFS($M$4:$M$2003,$A$4:$A$2003,$A1412-1,$B$4:$B$2003,$B1412)=$J1412,"OK","CHECK")))</f>
        <v/>
      </c>
      <c r="T1412" s="10" t="str">
        <f aca="false">IF($B1412="","",IFERROR(INDEX(Drinks!$D$4:$D$53,MATCH($B1412,Drinks!$A$4:$A$53,0)),0))</f>
        <v/>
      </c>
    </row>
    <row r="1413" customFormat="false" ht="15" hidden="false" customHeight="false" outlineLevel="0" collapsed="false">
      <c r="A1413" s="22"/>
      <c r="B1413" s="9"/>
      <c r="C1413" s="9"/>
      <c r="D1413" s="9"/>
      <c r="E1413" s="9"/>
      <c r="F1413" s="10" t="str">
        <f aca="false">IF($B1413="","",$C1413+$D1413-$E1413)</f>
        <v/>
      </c>
      <c r="G1413" s="10" t="str">
        <f aca="false">IF($B1413="","",IFERROR(INDEX(Drinks!$C$4:$C$53,MATCH($B1413,Drinks!$A$4:$A$53,0)),0))</f>
        <v/>
      </c>
      <c r="H1413" s="10" t="str">
        <f aca="false">IF($B1413="","",$D1413*$G1413)</f>
        <v/>
      </c>
      <c r="I1413" s="10" t="str">
        <f aca="false">IF($B1413="","",$F1413*$G1413)</f>
        <v/>
      </c>
      <c r="J1413" s="9"/>
      <c r="K1413" s="10" t="str">
        <f aca="false">IF($B1413="","",$E1413*IFERROR(INDEX(Drinks!$B$4:$B$53,MATCH($B1413,Drinks!$A$4:$A$53,0)),0))</f>
        <v/>
      </c>
      <c r="L1413" s="10" t="str">
        <f aca="false">IF($B1413="","",$J1413+$K1413)</f>
        <v/>
      </c>
      <c r="M1413" s="9"/>
      <c r="N1413" s="10" t="str">
        <f aca="false">IF($B1413="","",$L1413-$M1413)</f>
        <v/>
      </c>
      <c r="O1413" s="10" t="str">
        <f aca="false">IF($B1413="","",IFERROR(INDEX(Drinks!$E$4:$E$53,MATCH($B1413,Drinks!$A$4:$A$53,0)),0))</f>
        <v/>
      </c>
      <c r="P1413" s="10" t="str">
        <f aca="false">IF($B1413="","",$N1413*$O1413)</f>
        <v/>
      </c>
      <c r="Q1413" s="10" t="str">
        <f aca="false">IF($B1413="","",$N1413*IFERROR(INDEX(Drinks!$D$4:$D$53,MATCH($B1413,Drinks!$A$4:$A$53,0)),0))</f>
        <v/>
      </c>
      <c r="R1413" s="10" t="str">
        <f aca="false">IF($B1413="","",$P1413-$Q1413)</f>
        <v/>
      </c>
      <c r="S1413" s="23" t="str">
        <f aca="false">IF($B1413="","",IF(COUNTIFS($A$4:$A$2003,$A1413-1,$B$4:$B$2003,$B1413)=0,"first day",IF(SUMIFS($M$4:$M$2003,$A$4:$A$2003,$A1413-1,$B$4:$B$2003,$B1413)=$J1413,"OK","CHECK")))</f>
        <v/>
      </c>
      <c r="T1413" s="10" t="str">
        <f aca="false">IF($B1413="","",IFERROR(INDEX(Drinks!$D$4:$D$53,MATCH($B1413,Drinks!$A$4:$A$53,0)),0))</f>
        <v/>
      </c>
    </row>
    <row r="1414" customFormat="false" ht="15" hidden="false" customHeight="false" outlineLevel="0" collapsed="false">
      <c r="A1414" s="22"/>
      <c r="B1414" s="9"/>
      <c r="C1414" s="9"/>
      <c r="D1414" s="9"/>
      <c r="E1414" s="9"/>
      <c r="F1414" s="10" t="str">
        <f aca="false">IF($B1414="","",$C1414+$D1414-$E1414)</f>
        <v/>
      </c>
      <c r="G1414" s="10" t="str">
        <f aca="false">IF($B1414="","",IFERROR(INDEX(Drinks!$C$4:$C$53,MATCH($B1414,Drinks!$A$4:$A$53,0)),0))</f>
        <v/>
      </c>
      <c r="H1414" s="10" t="str">
        <f aca="false">IF($B1414="","",$D1414*$G1414)</f>
        <v/>
      </c>
      <c r="I1414" s="10" t="str">
        <f aca="false">IF($B1414="","",$F1414*$G1414)</f>
        <v/>
      </c>
      <c r="J1414" s="9"/>
      <c r="K1414" s="10" t="str">
        <f aca="false">IF($B1414="","",$E1414*IFERROR(INDEX(Drinks!$B$4:$B$53,MATCH($B1414,Drinks!$A$4:$A$53,0)),0))</f>
        <v/>
      </c>
      <c r="L1414" s="10" t="str">
        <f aca="false">IF($B1414="","",$J1414+$K1414)</f>
        <v/>
      </c>
      <c r="M1414" s="9"/>
      <c r="N1414" s="10" t="str">
        <f aca="false">IF($B1414="","",$L1414-$M1414)</f>
        <v/>
      </c>
      <c r="O1414" s="10" t="str">
        <f aca="false">IF($B1414="","",IFERROR(INDEX(Drinks!$E$4:$E$53,MATCH($B1414,Drinks!$A$4:$A$53,0)),0))</f>
        <v/>
      </c>
      <c r="P1414" s="10" t="str">
        <f aca="false">IF($B1414="","",$N1414*$O1414)</f>
        <v/>
      </c>
      <c r="Q1414" s="10" t="str">
        <f aca="false">IF($B1414="","",$N1414*IFERROR(INDEX(Drinks!$D$4:$D$53,MATCH($B1414,Drinks!$A$4:$A$53,0)),0))</f>
        <v/>
      </c>
      <c r="R1414" s="10" t="str">
        <f aca="false">IF($B1414="","",$P1414-$Q1414)</f>
        <v/>
      </c>
      <c r="S1414" s="23" t="str">
        <f aca="false">IF($B1414="","",IF(COUNTIFS($A$4:$A$2003,$A1414-1,$B$4:$B$2003,$B1414)=0,"first day",IF(SUMIFS($M$4:$M$2003,$A$4:$A$2003,$A1414-1,$B$4:$B$2003,$B1414)=$J1414,"OK","CHECK")))</f>
        <v/>
      </c>
      <c r="T1414" s="10" t="str">
        <f aca="false">IF($B1414="","",IFERROR(INDEX(Drinks!$D$4:$D$53,MATCH($B1414,Drinks!$A$4:$A$53,0)),0))</f>
        <v/>
      </c>
    </row>
    <row r="1415" customFormat="false" ht="15" hidden="false" customHeight="false" outlineLevel="0" collapsed="false">
      <c r="A1415" s="22"/>
      <c r="B1415" s="9"/>
      <c r="C1415" s="9"/>
      <c r="D1415" s="9"/>
      <c r="E1415" s="9"/>
      <c r="F1415" s="10" t="str">
        <f aca="false">IF($B1415="","",$C1415+$D1415-$E1415)</f>
        <v/>
      </c>
      <c r="G1415" s="10" t="str">
        <f aca="false">IF($B1415="","",IFERROR(INDEX(Drinks!$C$4:$C$53,MATCH($B1415,Drinks!$A$4:$A$53,0)),0))</f>
        <v/>
      </c>
      <c r="H1415" s="10" t="str">
        <f aca="false">IF($B1415="","",$D1415*$G1415)</f>
        <v/>
      </c>
      <c r="I1415" s="10" t="str">
        <f aca="false">IF($B1415="","",$F1415*$G1415)</f>
        <v/>
      </c>
      <c r="J1415" s="9"/>
      <c r="K1415" s="10" t="str">
        <f aca="false">IF($B1415="","",$E1415*IFERROR(INDEX(Drinks!$B$4:$B$53,MATCH($B1415,Drinks!$A$4:$A$53,0)),0))</f>
        <v/>
      </c>
      <c r="L1415" s="10" t="str">
        <f aca="false">IF($B1415="","",$J1415+$K1415)</f>
        <v/>
      </c>
      <c r="M1415" s="9"/>
      <c r="N1415" s="10" t="str">
        <f aca="false">IF($B1415="","",$L1415-$M1415)</f>
        <v/>
      </c>
      <c r="O1415" s="10" t="str">
        <f aca="false">IF($B1415="","",IFERROR(INDEX(Drinks!$E$4:$E$53,MATCH($B1415,Drinks!$A$4:$A$53,0)),0))</f>
        <v/>
      </c>
      <c r="P1415" s="10" t="str">
        <f aca="false">IF($B1415="","",$N1415*$O1415)</f>
        <v/>
      </c>
      <c r="Q1415" s="10" t="str">
        <f aca="false">IF($B1415="","",$N1415*IFERROR(INDEX(Drinks!$D$4:$D$53,MATCH($B1415,Drinks!$A$4:$A$53,0)),0))</f>
        <v/>
      </c>
      <c r="R1415" s="10" t="str">
        <f aca="false">IF($B1415="","",$P1415-$Q1415)</f>
        <v/>
      </c>
      <c r="S1415" s="23" t="str">
        <f aca="false">IF($B1415="","",IF(COUNTIFS($A$4:$A$2003,$A1415-1,$B$4:$B$2003,$B1415)=0,"first day",IF(SUMIFS($M$4:$M$2003,$A$4:$A$2003,$A1415-1,$B$4:$B$2003,$B1415)=$J1415,"OK","CHECK")))</f>
        <v/>
      </c>
      <c r="T1415" s="10" t="str">
        <f aca="false">IF($B1415="","",IFERROR(INDEX(Drinks!$D$4:$D$53,MATCH($B1415,Drinks!$A$4:$A$53,0)),0))</f>
        <v/>
      </c>
    </row>
    <row r="1416" customFormat="false" ht="15" hidden="false" customHeight="false" outlineLevel="0" collapsed="false">
      <c r="A1416" s="22"/>
      <c r="B1416" s="9"/>
      <c r="C1416" s="9"/>
      <c r="D1416" s="9"/>
      <c r="E1416" s="9"/>
      <c r="F1416" s="10" t="str">
        <f aca="false">IF($B1416="","",$C1416+$D1416-$E1416)</f>
        <v/>
      </c>
      <c r="G1416" s="10" t="str">
        <f aca="false">IF($B1416="","",IFERROR(INDEX(Drinks!$C$4:$C$53,MATCH($B1416,Drinks!$A$4:$A$53,0)),0))</f>
        <v/>
      </c>
      <c r="H1416" s="10" t="str">
        <f aca="false">IF($B1416="","",$D1416*$G1416)</f>
        <v/>
      </c>
      <c r="I1416" s="10" t="str">
        <f aca="false">IF($B1416="","",$F1416*$G1416)</f>
        <v/>
      </c>
      <c r="J1416" s="9"/>
      <c r="K1416" s="10" t="str">
        <f aca="false">IF($B1416="","",$E1416*IFERROR(INDEX(Drinks!$B$4:$B$53,MATCH($B1416,Drinks!$A$4:$A$53,0)),0))</f>
        <v/>
      </c>
      <c r="L1416" s="10" t="str">
        <f aca="false">IF($B1416="","",$J1416+$K1416)</f>
        <v/>
      </c>
      <c r="M1416" s="9"/>
      <c r="N1416" s="10" t="str">
        <f aca="false">IF($B1416="","",$L1416-$M1416)</f>
        <v/>
      </c>
      <c r="O1416" s="10" t="str">
        <f aca="false">IF($B1416="","",IFERROR(INDEX(Drinks!$E$4:$E$53,MATCH($B1416,Drinks!$A$4:$A$53,0)),0))</f>
        <v/>
      </c>
      <c r="P1416" s="10" t="str">
        <f aca="false">IF($B1416="","",$N1416*$O1416)</f>
        <v/>
      </c>
      <c r="Q1416" s="10" t="str">
        <f aca="false">IF($B1416="","",$N1416*IFERROR(INDEX(Drinks!$D$4:$D$53,MATCH($B1416,Drinks!$A$4:$A$53,0)),0))</f>
        <v/>
      </c>
      <c r="R1416" s="10" t="str">
        <f aca="false">IF($B1416="","",$P1416-$Q1416)</f>
        <v/>
      </c>
      <c r="S1416" s="23" t="str">
        <f aca="false">IF($B1416="","",IF(COUNTIFS($A$4:$A$2003,$A1416-1,$B$4:$B$2003,$B1416)=0,"first day",IF(SUMIFS($M$4:$M$2003,$A$4:$A$2003,$A1416-1,$B$4:$B$2003,$B1416)=$J1416,"OK","CHECK")))</f>
        <v/>
      </c>
      <c r="T1416" s="10" t="str">
        <f aca="false">IF($B1416="","",IFERROR(INDEX(Drinks!$D$4:$D$53,MATCH($B1416,Drinks!$A$4:$A$53,0)),0))</f>
        <v/>
      </c>
    </row>
    <row r="1417" customFormat="false" ht="15" hidden="false" customHeight="false" outlineLevel="0" collapsed="false">
      <c r="A1417" s="22"/>
      <c r="B1417" s="9"/>
      <c r="C1417" s="9"/>
      <c r="D1417" s="9"/>
      <c r="E1417" s="9"/>
      <c r="F1417" s="10" t="str">
        <f aca="false">IF($B1417="","",$C1417+$D1417-$E1417)</f>
        <v/>
      </c>
      <c r="G1417" s="10" t="str">
        <f aca="false">IF($B1417="","",IFERROR(INDEX(Drinks!$C$4:$C$53,MATCH($B1417,Drinks!$A$4:$A$53,0)),0))</f>
        <v/>
      </c>
      <c r="H1417" s="10" t="str">
        <f aca="false">IF($B1417="","",$D1417*$G1417)</f>
        <v/>
      </c>
      <c r="I1417" s="10" t="str">
        <f aca="false">IF($B1417="","",$F1417*$G1417)</f>
        <v/>
      </c>
      <c r="J1417" s="9"/>
      <c r="K1417" s="10" t="str">
        <f aca="false">IF($B1417="","",$E1417*IFERROR(INDEX(Drinks!$B$4:$B$53,MATCH($B1417,Drinks!$A$4:$A$53,0)),0))</f>
        <v/>
      </c>
      <c r="L1417" s="10" t="str">
        <f aca="false">IF($B1417="","",$J1417+$K1417)</f>
        <v/>
      </c>
      <c r="M1417" s="9"/>
      <c r="N1417" s="10" t="str">
        <f aca="false">IF($B1417="","",$L1417-$M1417)</f>
        <v/>
      </c>
      <c r="O1417" s="10" t="str">
        <f aca="false">IF($B1417="","",IFERROR(INDEX(Drinks!$E$4:$E$53,MATCH($B1417,Drinks!$A$4:$A$53,0)),0))</f>
        <v/>
      </c>
      <c r="P1417" s="10" t="str">
        <f aca="false">IF($B1417="","",$N1417*$O1417)</f>
        <v/>
      </c>
      <c r="Q1417" s="10" t="str">
        <f aca="false">IF($B1417="","",$N1417*IFERROR(INDEX(Drinks!$D$4:$D$53,MATCH($B1417,Drinks!$A$4:$A$53,0)),0))</f>
        <v/>
      </c>
      <c r="R1417" s="10" t="str">
        <f aca="false">IF($B1417="","",$P1417-$Q1417)</f>
        <v/>
      </c>
      <c r="S1417" s="23" t="str">
        <f aca="false">IF($B1417="","",IF(COUNTIFS($A$4:$A$2003,$A1417-1,$B$4:$B$2003,$B1417)=0,"first day",IF(SUMIFS($M$4:$M$2003,$A$4:$A$2003,$A1417-1,$B$4:$B$2003,$B1417)=$J1417,"OK","CHECK")))</f>
        <v/>
      </c>
      <c r="T1417" s="10" t="str">
        <f aca="false">IF($B1417="","",IFERROR(INDEX(Drinks!$D$4:$D$53,MATCH($B1417,Drinks!$A$4:$A$53,0)),0))</f>
        <v/>
      </c>
    </row>
    <row r="1418" customFormat="false" ht="15" hidden="false" customHeight="false" outlineLevel="0" collapsed="false">
      <c r="A1418" s="22"/>
      <c r="B1418" s="9"/>
      <c r="C1418" s="9"/>
      <c r="D1418" s="9"/>
      <c r="E1418" s="9"/>
      <c r="F1418" s="10" t="str">
        <f aca="false">IF($B1418="","",$C1418+$D1418-$E1418)</f>
        <v/>
      </c>
      <c r="G1418" s="10" t="str">
        <f aca="false">IF($B1418="","",IFERROR(INDEX(Drinks!$C$4:$C$53,MATCH($B1418,Drinks!$A$4:$A$53,0)),0))</f>
        <v/>
      </c>
      <c r="H1418" s="10" t="str">
        <f aca="false">IF($B1418="","",$D1418*$G1418)</f>
        <v/>
      </c>
      <c r="I1418" s="10" t="str">
        <f aca="false">IF($B1418="","",$F1418*$G1418)</f>
        <v/>
      </c>
      <c r="J1418" s="9"/>
      <c r="K1418" s="10" t="str">
        <f aca="false">IF($B1418="","",$E1418*IFERROR(INDEX(Drinks!$B$4:$B$53,MATCH($B1418,Drinks!$A$4:$A$53,0)),0))</f>
        <v/>
      </c>
      <c r="L1418" s="10" t="str">
        <f aca="false">IF($B1418="","",$J1418+$K1418)</f>
        <v/>
      </c>
      <c r="M1418" s="9"/>
      <c r="N1418" s="10" t="str">
        <f aca="false">IF($B1418="","",$L1418-$M1418)</f>
        <v/>
      </c>
      <c r="O1418" s="10" t="str">
        <f aca="false">IF($B1418="","",IFERROR(INDEX(Drinks!$E$4:$E$53,MATCH($B1418,Drinks!$A$4:$A$53,0)),0))</f>
        <v/>
      </c>
      <c r="P1418" s="10" t="str">
        <f aca="false">IF($B1418="","",$N1418*$O1418)</f>
        <v/>
      </c>
      <c r="Q1418" s="10" t="str">
        <f aca="false">IF($B1418="","",$N1418*IFERROR(INDEX(Drinks!$D$4:$D$53,MATCH($B1418,Drinks!$A$4:$A$53,0)),0))</f>
        <v/>
      </c>
      <c r="R1418" s="10" t="str">
        <f aca="false">IF($B1418="","",$P1418-$Q1418)</f>
        <v/>
      </c>
      <c r="S1418" s="23" t="str">
        <f aca="false">IF($B1418="","",IF(COUNTIFS($A$4:$A$2003,$A1418-1,$B$4:$B$2003,$B1418)=0,"first day",IF(SUMIFS($M$4:$M$2003,$A$4:$A$2003,$A1418-1,$B$4:$B$2003,$B1418)=$J1418,"OK","CHECK")))</f>
        <v/>
      </c>
      <c r="T1418" s="10" t="str">
        <f aca="false">IF($B1418="","",IFERROR(INDEX(Drinks!$D$4:$D$53,MATCH($B1418,Drinks!$A$4:$A$53,0)),0))</f>
        <v/>
      </c>
    </row>
    <row r="1419" customFormat="false" ht="15" hidden="false" customHeight="false" outlineLevel="0" collapsed="false">
      <c r="A1419" s="22"/>
      <c r="B1419" s="9"/>
      <c r="C1419" s="9"/>
      <c r="D1419" s="9"/>
      <c r="E1419" s="9"/>
      <c r="F1419" s="10" t="str">
        <f aca="false">IF($B1419="","",$C1419+$D1419-$E1419)</f>
        <v/>
      </c>
      <c r="G1419" s="10" t="str">
        <f aca="false">IF($B1419="","",IFERROR(INDEX(Drinks!$C$4:$C$53,MATCH($B1419,Drinks!$A$4:$A$53,0)),0))</f>
        <v/>
      </c>
      <c r="H1419" s="10" t="str">
        <f aca="false">IF($B1419="","",$D1419*$G1419)</f>
        <v/>
      </c>
      <c r="I1419" s="10" t="str">
        <f aca="false">IF($B1419="","",$F1419*$G1419)</f>
        <v/>
      </c>
      <c r="J1419" s="9"/>
      <c r="K1419" s="10" t="str">
        <f aca="false">IF($B1419="","",$E1419*IFERROR(INDEX(Drinks!$B$4:$B$53,MATCH($B1419,Drinks!$A$4:$A$53,0)),0))</f>
        <v/>
      </c>
      <c r="L1419" s="10" t="str">
        <f aca="false">IF($B1419="","",$J1419+$K1419)</f>
        <v/>
      </c>
      <c r="M1419" s="9"/>
      <c r="N1419" s="10" t="str">
        <f aca="false">IF($B1419="","",$L1419-$M1419)</f>
        <v/>
      </c>
      <c r="O1419" s="10" t="str">
        <f aca="false">IF($B1419="","",IFERROR(INDEX(Drinks!$E$4:$E$53,MATCH($B1419,Drinks!$A$4:$A$53,0)),0))</f>
        <v/>
      </c>
      <c r="P1419" s="10" t="str">
        <f aca="false">IF($B1419="","",$N1419*$O1419)</f>
        <v/>
      </c>
      <c r="Q1419" s="10" t="str">
        <f aca="false">IF($B1419="","",$N1419*IFERROR(INDEX(Drinks!$D$4:$D$53,MATCH($B1419,Drinks!$A$4:$A$53,0)),0))</f>
        <v/>
      </c>
      <c r="R1419" s="10" t="str">
        <f aca="false">IF($B1419="","",$P1419-$Q1419)</f>
        <v/>
      </c>
      <c r="S1419" s="23" t="str">
        <f aca="false">IF($B1419="","",IF(COUNTIFS($A$4:$A$2003,$A1419-1,$B$4:$B$2003,$B1419)=0,"first day",IF(SUMIFS($M$4:$M$2003,$A$4:$A$2003,$A1419-1,$B$4:$B$2003,$B1419)=$J1419,"OK","CHECK")))</f>
        <v/>
      </c>
      <c r="T1419" s="10" t="str">
        <f aca="false">IF($B1419="","",IFERROR(INDEX(Drinks!$D$4:$D$53,MATCH($B1419,Drinks!$A$4:$A$53,0)),0))</f>
        <v/>
      </c>
    </row>
    <row r="1420" customFormat="false" ht="15" hidden="false" customHeight="false" outlineLevel="0" collapsed="false">
      <c r="A1420" s="22"/>
      <c r="B1420" s="9"/>
      <c r="C1420" s="9"/>
      <c r="D1420" s="9"/>
      <c r="E1420" s="9"/>
      <c r="F1420" s="10" t="str">
        <f aca="false">IF($B1420="","",$C1420+$D1420-$E1420)</f>
        <v/>
      </c>
      <c r="G1420" s="10" t="str">
        <f aca="false">IF($B1420="","",IFERROR(INDEX(Drinks!$C$4:$C$53,MATCH($B1420,Drinks!$A$4:$A$53,0)),0))</f>
        <v/>
      </c>
      <c r="H1420" s="10" t="str">
        <f aca="false">IF($B1420="","",$D1420*$G1420)</f>
        <v/>
      </c>
      <c r="I1420" s="10" t="str">
        <f aca="false">IF($B1420="","",$F1420*$G1420)</f>
        <v/>
      </c>
      <c r="J1420" s="9"/>
      <c r="K1420" s="10" t="str">
        <f aca="false">IF($B1420="","",$E1420*IFERROR(INDEX(Drinks!$B$4:$B$53,MATCH($B1420,Drinks!$A$4:$A$53,0)),0))</f>
        <v/>
      </c>
      <c r="L1420" s="10" t="str">
        <f aca="false">IF($B1420="","",$J1420+$K1420)</f>
        <v/>
      </c>
      <c r="M1420" s="9"/>
      <c r="N1420" s="10" t="str">
        <f aca="false">IF($B1420="","",$L1420-$M1420)</f>
        <v/>
      </c>
      <c r="O1420" s="10" t="str">
        <f aca="false">IF($B1420="","",IFERROR(INDEX(Drinks!$E$4:$E$53,MATCH($B1420,Drinks!$A$4:$A$53,0)),0))</f>
        <v/>
      </c>
      <c r="P1420" s="10" t="str">
        <f aca="false">IF($B1420="","",$N1420*$O1420)</f>
        <v/>
      </c>
      <c r="Q1420" s="10" t="str">
        <f aca="false">IF($B1420="","",$N1420*IFERROR(INDEX(Drinks!$D$4:$D$53,MATCH($B1420,Drinks!$A$4:$A$53,0)),0))</f>
        <v/>
      </c>
      <c r="R1420" s="10" t="str">
        <f aca="false">IF($B1420="","",$P1420-$Q1420)</f>
        <v/>
      </c>
      <c r="S1420" s="23" t="str">
        <f aca="false">IF($B1420="","",IF(COUNTIFS($A$4:$A$2003,$A1420-1,$B$4:$B$2003,$B1420)=0,"first day",IF(SUMIFS($M$4:$M$2003,$A$4:$A$2003,$A1420-1,$B$4:$B$2003,$B1420)=$J1420,"OK","CHECK")))</f>
        <v/>
      </c>
      <c r="T1420" s="10" t="str">
        <f aca="false">IF($B1420="","",IFERROR(INDEX(Drinks!$D$4:$D$53,MATCH($B1420,Drinks!$A$4:$A$53,0)),0))</f>
        <v/>
      </c>
    </row>
    <row r="1421" customFormat="false" ht="15" hidden="false" customHeight="false" outlineLevel="0" collapsed="false">
      <c r="A1421" s="22"/>
      <c r="B1421" s="9"/>
      <c r="C1421" s="9"/>
      <c r="D1421" s="9"/>
      <c r="E1421" s="9"/>
      <c r="F1421" s="10" t="str">
        <f aca="false">IF($B1421="","",$C1421+$D1421-$E1421)</f>
        <v/>
      </c>
      <c r="G1421" s="10" t="str">
        <f aca="false">IF($B1421="","",IFERROR(INDEX(Drinks!$C$4:$C$53,MATCH($B1421,Drinks!$A$4:$A$53,0)),0))</f>
        <v/>
      </c>
      <c r="H1421" s="10" t="str">
        <f aca="false">IF($B1421="","",$D1421*$G1421)</f>
        <v/>
      </c>
      <c r="I1421" s="10" t="str">
        <f aca="false">IF($B1421="","",$F1421*$G1421)</f>
        <v/>
      </c>
      <c r="J1421" s="9"/>
      <c r="K1421" s="10" t="str">
        <f aca="false">IF($B1421="","",$E1421*IFERROR(INDEX(Drinks!$B$4:$B$53,MATCH($B1421,Drinks!$A$4:$A$53,0)),0))</f>
        <v/>
      </c>
      <c r="L1421" s="10" t="str">
        <f aca="false">IF($B1421="","",$J1421+$K1421)</f>
        <v/>
      </c>
      <c r="M1421" s="9"/>
      <c r="N1421" s="10" t="str">
        <f aca="false">IF($B1421="","",$L1421-$M1421)</f>
        <v/>
      </c>
      <c r="O1421" s="10" t="str">
        <f aca="false">IF($B1421="","",IFERROR(INDEX(Drinks!$E$4:$E$53,MATCH($B1421,Drinks!$A$4:$A$53,0)),0))</f>
        <v/>
      </c>
      <c r="P1421" s="10" t="str">
        <f aca="false">IF($B1421="","",$N1421*$O1421)</f>
        <v/>
      </c>
      <c r="Q1421" s="10" t="str">
        <f aca="false">IF($B1421="","",$N1421*IFERROR(INDEX(Drinks!$D$4:$D$53,MATCH($B1421,Drinks!$A$4:$A$53,0)),0))</f>
        <v/>
      </c>
      <c r="R1421" s="10" t="str">
        <f aca="false">IF($B1421="","",$P1421-$Q1421)</f>
        <v/>
      </c>
      <c r="S1421" s="23" t="str">
        <f aca="false">IF($B1421="","",IF(COUNTIFS($A$4:$A$2003,$A1421-1,$B$4:$B$2003,$B1421)=0,"first day",IF(SUMIFS($M$4:$M$2003,$A$4:$A$2003,$A1421-1,$B$4:$B$2003,$B1421)=$J1421,"OK","CHECK")))</f>
        <v/>
      </c>
      <c r="T1421" s="10" t="str">
        <f aca="false">IF($B1421="","",IFERROR(INDEX(Drinks!$D$4:$D$53,MATCH($B1421,Drinks!$A$4:$A$53,0)),0))</f>
        <v/>
      </c>
    </row>
    <row r="1422" customFormat="false" ht="15" hidden="false" customHeight="false" outlineLevel="0" collapsed="false">
      <c r="A1422" s="22"/>
      <c r="B1422" s="9"/>
      <c r="C1422" s="9"/>
      <c r="D1422" s="9"/>
      <c r="E1422" s="9"/>
      <c r="F1422" s="10" t="str">
        <f aca="false">IF($B1422="","",$C1422+$D1422-$E1422)</f>
        <v/>
      </c>
      <c r="G1422" s="10" t="str">
        <f aca="false">IF($B1422="","",IFERROR(INDEX(Drinks!$C$4:$C$53,MATCH($B1422,Drinks!$A$4:$A$53,0)),0))</f>
        <v/>
      </c>
      <c r="H1422" s="10" t="str">
        <f aca="false">IF($B1422="","",$D1422*$G1422)</f>
        <v/>
      </c>
      <c r="I1422" s="10" t="str">
        <f aca="false">IF($B1422="","",$F1422*$G1422)</f>
        <v/>
      </c>
      <c r="J1422" s="9"/>
      <c r="K1422" s="10" t="str">
        <f aca="false">IF($B1422="","",$E1422*IFERROR(INDEX(Drinks!$B$4:$B$53,MATCH($B1422,Drinks!$A$4:$A$53,0)),0))</f>
        <v/>
      </c>
      <c r="L1422" s="10" t="str">
        <f aca="false">IF($B1422="","",$J1422+$K1422)</f>
        <v/>
      </c>
      <c r="M1422" s="9"/>
      <c r="N1422" s="10" t="str">
        <f aca="false">IF($B1422="","",$L1422-$M1422)</f>
        <v/>
      </c>
      <c r="O1422" s="10" t="str">
        <f aca="false">IF($B1422="","",IFERROR(INDEX(Drinks!$E$4:$E$53,MATCH($B1422,Drinks!$A$4:$A$53,0)),0))</f>
        <v/>
      </c>
      <c r="P1422" s="10" t="str">
        <f aca="false">IF($B1422="","",$N1422*$O1422)</f>
        <v/>
      </c>
      <c r="Q1422" s="10" t="str">
        <f aca="false">IF($B1422="","",$N1422*IFERROR(INDEX(Drinks!$D$4:$D$53,MATCH($B1422,Drinks!$A$4:$A$53,0)),0))</f>
        <v/>
      </c>
      <c r="R1422" s="10" t="str">
        <f aca="false">IF($B1422="","",$P1422-$Q1422)</f>
        <v/>
      </c>
      <c r="S1422" s="23" t="str">
        <f aca="false">IF($B1422="","",IF(COUNTIFS($A$4:$A$2003,$A1422-1,$B$4:$B$2003,$B1422)=0,"first day",IF(SUMIFS($M$4:$M$2003,$A$4:$A$2003,$A1422-1,$B$4:$B$2003,$B1422)=$J1422,"OK","CHECK")))</f>
        <v/>
      </c>
      <c r="T1422" s="10" t="str">
        <f aca="false">IF($B1422="","",IFERROR(INDEX(Drinks!$D$4:$D$53,MATCH($B1422,Drinks!$A$4:$A$53,0)),0))</f>
        <v/>
      </c>
    </row>
    <row r="1423" customFormat="false" ht="15" hidden="false" customHeight="false" outlineLevel="0" collapsed="false">
      <c r="A1423" s="22"/>
      <c r="B1423" s="9"/>
      <c r="C1423" s="9"/>
      <c r="D1423" s="9"/>
      <c r="E1423" s="9"/>
      <c r="F1423" s="10" t="str">
        <f aca="false">IF($B1423="","",$C1423+$D1423-$E1423)</f>
        <v/>
      </c>
      <c r="G1423" s="10" t="str">
        <f aca="false">IF($B1423="","",IFERROR(INDEX(Drinks!$C$4:$C$53,MATCH($B1423,Drinks!$A$4:$A$53,0)),0))</f>
        <v/>
      </c>
      <c r="H1423" s="10" t="str">
        <f aca="false">IF($B1423="","",$D1423*$G1423)</f>
        <v/>
      </c>
      <c r="I1423" s="10" t="str">
        <f aca="false">IF($B1423="","",$F1423*$G1423)</f>
        <v/>
      </c>
      <c r="J1423" s="9"/>
      <c r="K1423" s="10" t="str">
        <f aca="false">IF($B1423="","",$E1423*IFERROR(INDEX(Drinks!$B$4:$B$53,MATCH($B1423,Drinks!$A$4:$A$53,0)),0))</f>
        <v/>
      </c>
      <c r="L1423" s="10" t="str">
        <f aca="false">IF($B1423="","",$J1423+$K1423)</f>
        <v/>
      </c>
      <c r="M1423" s="9"/>
      <c r="N1423" s="10" t="str">
        <f aca="false">IF($B1423="","",$L1423-$M1423)</f>
        <v/>
      </c>
      <c r="O1423" s="10" t="str">
        <f aca="false">IF($B1423="","",IFERROR(INDEX(Drinks!$E$4:$E$53,MATCH($B1423,Drinks!$A$4:$A$53,0)),0))</f>
        <v/>
      </c>
      <c r="P1423" s="10" t="str">
        <f aca="false">IF($B1423="","",$N1423*$O1423)</f>
        <v/>
      </c>
      <c r="Q1423" s="10" t="str">
        <f aca="false">IF($B1423="","",$N1423*IFERROR(INDEX(Drinks!$D$4:$D$53,MATCH($B1423,Drinks!$A$4:$A$53,0)),0))</f>
        <v/>
      </c>
      <c r="R1423" s="10" t="str">
        <f aca="false">IF($B1423="","",$P1423-$Q1423)</f>
        <v/>
      </c>
      <c r="S1423" s="23" t="str">
        <f aca="false">IF($B1423="","",IF(COUNTIFS($A$4:$A$2003,$A1423-1,$B$4:$B$2003,$B1423)=0,"first day",IF(SUMIFS($M$4:$M$2003,$A$4:$A$2003,$A1423-1,$B$4:$B$2003,$B1423)=$J1423,"OK","CHECK")))</f>
        <v/>
      </c>
      <c r="T1423" s="10" t="str">
        <f aca="false">IF($B1423="","",IFERROR(INDEX(Drinks!$D$4:$D$53,MATCH($B1423,Drinks!$A$4:$A$53,0)),0))</f>
        <v/>
      </c>
    </row>
    <row r="1424" customFormat="false" ht="15" hidden="false" customHeight="false" outlineLevel="0" collapsed="false">
      <c r="A1424" s="22"/>
      <c r="B1424" s="9"/>
      <c r="C1424" s="9"/>
      <c r="D1424" s="9"/>
      <c r="E1424" s="9"/>
      <c r="F1424" s="10" t="str">
        <f aca="false">IF($B1424="","",$C1424+$D1424-$E1424)</f>
        <v/>
      </c>
      <c r="G1424" s="10" t="str">
        <f aca="false">IF($B1424="","",IFERROR(INDEX(Drinks!$C$4:$C$53,MATCH($B1424,Drinks!$A$4:$A$53,0)),0))</f>
        <v/>
      </c>
      <c r="H1424" s="10" t="str">
        <f aca="false">IF($B1424="","",$D1424*$G1424)</f>
        <v/>
      </c>
      <c r="I1424" s="10" t="str">
        <f aca="false">IF($B1424="","",$F1424*$G1424)</f>
        <v/>
      </c>
      <c r="J1424" s="9"/>
      <c r="K1424" s="10" t="str">
        <f aca="false">IF($B1424="","",$E1424*IFERROR(INDEX(Drinks!$B$4:$B$53,MATCH($B1424,Drinks!$A$4:$A$53,0)),0))</f>
        <v/>
      </c>
      <c r="L1424" s="10" t="str">
        <f aca="false">IF($B1424="","",$J1424+$K1424)</f>
        <v/>
      </c>
      <c r="M1424" s="9"/>
      <c r="N1424" s="10" t="str">
        <f aca="false">IF($B1424="","",$L1424-$M1424)</f>
        <v/>
      </c>
      <c r="O1424" s="10" t="str">
        <f aca="false">IF($B1424="","",IFERROR(INDEX(Drinks!$E$4:$E$53,MATCH($B1424,Drinks!$A$4:$A$53,0)),0))</f>
        <v/>
      </c>
      <c r="P1424" s="10" t="str">
        <f aca="false">IF($B1424="","",$N1424*$O1424)</f>
        <v/>
      </c>
      <c r="Q1424" s="10" t="str">
        <f aca="false">IF($B1424="","",$N1424*IFERROR(INDEX(Drinks!$D$4:$D$53,MATCH($B1424,Drinks!$A$4:$A$53,0)),0))</f>
        <v/>
      </c>
      <c r="R1424" s="10" t="str">
        <f aca="false">IF($B1424="","",$P1424-$Q1424)</f>
        <v/>
      </c>
      <c r="S1424" s="23" t="str">
        <f aca="false">IF($B1424="","",IF(COUNTIFS($A$4:$A$2003,$A1424-1,$B$4:$B$2003,$B1424)=0,"first day",IF(SUMIFS($M$4:$M$2003,$A$4:$A$2003,$A1424-1,$B$4:$B$2003,$B1424)=$J1424,"OK","CHECK")))</f>
        <v/>
      </c>
      <c r="T1424" s="10" t="str">
        <f aca="false">IF($B1424="","",IFERROR(INDEX(Drinks!$D$4:$D$53,MATCH($B1424,Drinks!$A$4:$A$53,0)),0))</f>
        <v/>
      </c>
    </row>
    <row r="1425" customFormat="false" ht="15" hidden="false" customHeight="false" outlineLevel="0" collapsed="false">
      <c r="A1425" s="22"/>
      <c r="B1425" s="9"/>
      <c r="C1425" s="9"/>
      <c r="D1425" s="9"/>
      <c r="E1425" s="9"/>
      <c r="F1425" s="10" t="str">
        <f aca="false">IF($B1425="","",$C1425+$D1425-$E1425)</f>
        <v/>
      </c>
      <c r="G1425" s="10" t="str">
        <f aca="false">IF($B1425="","",IFERROR(INDEX(Drinks!$C$4:$C$53,MATCH($B1425,Drinks!$A$4:$A$53,0)),0))</f>
        <v/>
      </c>
      <c r="H1425" s="10" t="str">
        <f aca="false">IF($B1425="","",$D1425*$G1425)</f>
        <v/>
      </c>
      <c r="I1425" s="10" t="str">
        <f aca="false">IF($B1425="","",$F1425*$G1425)</f>
        <v/>
      </c>
      <c r="J1425" s="9"/>
      <c r="K1425" s="10" t="str">
        <f aca="false">IF($B1425="","",$E1425*IFERROR(INDEX(Drinks!$B$4:$B$53,MATCH($B1425,Drinks!$A$4:$A$53,0)),0))</f>
        <v/>
      </c>
      <c r="L1425" s="10" t="str">
        <f aca="false">IF($B1425="","",$J1425+$K1425)</f>
        <v/>
      </c>
      <c r="M1425" s="9"/>
      <c r="N1425" s="10" t="str">
        <f aca="false">IF($B1425="","",$L1425-$M1425)</f>
        <v/>
      </c>
      <c r="O1425" s="10" t="str">
        <f aca="false">IF($B1425="","",IFERROR(INDEX(Drinks!$E$4:$E$53,MATCH($B1425,Drinks!$A$4:$A$53,0)),0))</f>
        <v/>
      </c>
      <c r="P1425" s="10" t="str">
        <f aca="false">IF($B1425="","",$N1425*$O1425)</f>
        <v/>
      </c>
      <c r="Q1425" s="10" t="str">
        <f aca="false">IF($B1425="","",$N1425*IFERROR(INDEX(Drinks!$D$4:$D$53,MATCH($B1425,Drinks!$A$4:$A$53,0)),0))</f>
        <v/>
      </c>
      <c r="R1425" s="10" t="str">
        <f aca="false">IF($B1425="","",$P1425-$Q1425)</f>
        <v/>
      </c>
      <c r="S1425" s="23" t="str">
        <f aca="false">IF($B1425="","",IF(COUNTIFS($A$4:$A$2003,$A1425-1,$B$4:$B$2003,$B1425)=0,"first day",IF(SUMIFS($M$4:$M$2003,$A$4:$A$2003,$A1425-1,$B$4:$B$2003,$B1425)=$J1425,"OK","CHECK")))</f>
        <v/>
      </c>
      <c r="T1425" s="10" t="str">
        <f aca="false">IF($B1425="","",IFERROR(INDEX(Drinks!$D$4:$D$53,MATCH($B1425,Drinks!$A$4:$A$53,0)),0))</f>
        <v/>
      </c>
    </row>
    <row r="1426" customFormat="false" ht="15" hidden="false" customHeight="false" outlineLevel="0" collapsed="false">
      <c r="A1426" s="22"/>
      <c r="B1426" s="9"/>
      <c r="C1426" s="9"/>
      <c r="D1426" s="9"/>
      <c r="E1426" s="9"/>
      <c r="F1426" s="10" t="str">
        <f aca="false">IF($B1426="","",$C1426+$D1426-$E1426)</f>
        <v/>
      </c>
      <c r="G1426" s="10" t="str">
        <f aca="false">IF($B1426="","",IFERROR(INDEX(Drinks!$C$4:$C$53,MATCH($B1426,Drinks!$A$4:$A$53,0)),0))</f>
        <v/>
      </c>
      <c r="H1426" s="10" t="str">
        <f aca="false">IF($B1426="","",$D1426*$G1426)</f>
        <v/>
      </c>
      <c r="I1426" s="10" t="str">
        <f aca="false">IF($B1426="","",$F1426*$G1426)</f>
        <v/>
      </c>
      <c r="J1426" s="9"/>
      <c r="K1426" s="10" t="str">
        <f aca="false">IF($B1426="","",$E1426*IFERROR(INDEX(Drinks!$B$4:$B$53,MATCH($B1426,Drinks!$A$4:$A$53,0)),0))</f>
        <v/>
      </c>
      <c r="L1426" s="10" t="str">
        <f aca="false">IF($B1426="","",$J1426+$K1426)</f>
        <v/>
      </c>
      <c r="M1426" s="9"/>
      <c r="N1426" s="10" t="str">
        <f aca="false">IF($B1426="","",$L1426-$M1426)</f>
        <v/>
      </c>
      <c r="O1426" s="10" t="str">
        <f aca="false">IF($B1426="","",IFERROR(INDEX(Drinks!$E$4:$E$53,MATCH($B1426,Drinks!$A$4:$A$53,0)),0))</f>
        <v/>
      </c>
      <c r="P1426" s="10" t="str">
        <f aca="false">IF($B1426="","",$N1426*$O1426)</f>
        <v/>
      </c>
      <c r="Q1426" s="10" t="str">
        <f aca="false">IF($B1426="","",$N1426*IFERROR(INDEX(Drinks!$D$4:$D$53,MATCH($B1426,Drinks!$A$4:$A$53,0)),0))</f>
        <v/>
      </c>
      <c r="R1426" s="10" t="str">
        <f aca="false">IF($B1426="","",$P1426-$Q1426)</f>
        <v/>
      </c>
      <c r="S1426" s="23" t="str">
        <f aca="false">IF($B1426="","",IF(COUNTIFS($A$4:$A$2003,$A1426-1,$B$4:$B$2003,$B1426)=0,"first day",IF(SUMIFS($M$4:$M$2003,$A$4:$A$2003,$A1426-1,$B$4:$B$2003,$B1426)=$J1426,"OK","CHECK")))</f>
        <v/>
      </c>
      <c r="T1426" s="10" t="str">
        <f aca="false">IF($B1426="","",IFERROR(INDEX(Drinks!$D$4:$D$53,MATCH($B1426,Drinks!$A$4:$A$53,0)),0))</f>
        <v/>
      </c>
    </row>
    <row r="1427" customFormat="false" ht="15" hidden="false" customHeight="false" outlineLevel="0" collapsed="false">
      <c r="A1427" s="22"/>
      <c r="B1427" s="9"/>
      <c r="C1427" s="9"/>
      <c r="D1427" s="9"/>
      <c r="E1427" s="9"/>
      <c r="F1427" s="10" t="str">
        <f aca="false">IF($B1427="","",$C1427+$D1427-$E1427)</f>
        <v/>
      </c>
      <c r="G1427" s="10" t="str">
        <f aca="false">IF($B1427="","",IFERROR(INDEX(Drinks!$C$4:$C$53,MATCH($B1427,Drinks!$A$4:$A$53,0)),0))</f>
        <v/>
      </c>
      <c r="H1427" s="10" t="str">
        <f aca="false">IF($B1427="","",$D1427*$G1427)</f>
        <v/>
      </c>
      <c r="I1427" s="10" t="str">
        <f aca="false">IF($B1427="","",$F1427*$G1427)</f>
        <v/>
      </c>
      <c r="J1427" s="9"/>
      <c r="K1427" s="10" t="str">
        <f aca="false">IF($B1427="","",$E1427*IFERROR(INDEX(Drinks!$B$4:$B$53,MATCH($B1427,Drinks!$A$4:$A$53,0)),0))</f>
        <v/>
      </c>
      <c r="L1427" s="10" t="str">
        <f aca="false">IF($B1427="","",$J1427+$K1427)</f>
        <v/>
      </c>
      <c r="M1427" s="9"/>
      <c r="N1427" s="10" t="str">
        <f aca="false">IF($B1427="","",$L1427-$M1427)</f>
        <v/>
      </c>
      <c r="O1427" s="10" t="str">
        <f aca="false">IF($B1427="","",IFERROR(INDEX(Drinks!$E$4:$E$53,MATCH($B1427,Drinks!$A$4:$A$53,0)),0))</f>
        <v/>
      </c>
      <c r="P1427" s="10" t="str">
        <f aca="false">IF($B1427="","",$N1427*$O1427)</f>
        <v/>
      </c>
      <c r="Q1427" s="10" t="str">
        <f aca="false">IF($B1427="","",$N1427*IFERROR(INDEX(Drinks!$D$4:$D$53,MATCH($B1427,Drinks!$A$4:$A$53,0)),0))</f>
        <v/>
      </c>
      <c r="R1427" s="10" t="str">
        <f aca="false">IF($B1427="","",$P1427-$Q1427)</f>
        <v/>
      </c>
      <c r="S1427" s="23" t="str">
        <f aca="false">IF($B1427="","",IF(COUNTIFS($A$4:$A$2003,$A1427-1,$B$4:$B$2003,$B1427)=0,"first day",IF(SUMIFS($M$4:$M$2003,$A$4:$A$2003,$A1427-1,$B$4:$B$2003,$B1427)=$J1427,"OK","CHECK")))</f>
        <v/>
      </c>
      <c r="T1427" s="10" t="str">
        <f aca="false">IF($B1427="","",IFERROR(INDEX(Drinks!$D$4:$D$53,MATCH($B1427,Drinks!$A$4:$A$53,0)),0))</f>
        <v/>
      </c>
    </row>
    <row r="1428" customFormat="false" ht="15" hidden="false" customHeight="false" outlineLevel="0" collapsed="false">
      <c r="A1428" s="22"/>
      <c r="B1428" s="9"/>
      <c r="C1428" s="9"/>
      <c r="D1428" s="9"/>
      <c r="E1428" s="9"/>
      <c r="F1428" s="10" t="str">
        <f aca="false">IF($B1428="","",$C1428+$D1428-$E1428)</f>
        <v/>
      </c>
      <c r="G1428" s="10" t="str">
        <f aca="false">IF($B1428="","",IFERROR(INDEX(Drinks!$C$4:$C$53,MATCH($B1428,Drinks!$A$4:$A$53,0)),0))</f>
        <v/>
      </c>
      <c r="H1428" s="10" t="str">
        <f aca="false">IF($B1428="","",$D1428*$G1428)</f>
        <v/>
      </c>
      <c r="I1428" s="10" t="str">
        <f aca="false">IF($B1428="","",$F1428*$G1428)</f>
        <v/>
      </c>
      <c r="J1428" s="9"/>
      <c r="K1428" s="10" t="str">
        <f aca="false">IF($B1428="","",$E1428*IFERROR(INDEX(Drinks!$B$4:$B$53,MATCH($B1428,Drinks!$A$4:$A$53,0)),0))</f>
        <v/>
      </c>
      <c r="L1428" s="10" t="str">
        <f aca="false">IF($B1428="","",$J1428+$K1428)</f>
        <v/>
      </c>
      <c r="M1428" s="9"/>
      <c r="N1428" s="10" t="str">
        <f aca="false">IF($B1428="","",$L1428-$M1428)</f>
        <v/>
      </c>
      <c r="O1428" s="10" t="str">
        <f aca="false">IF($B1428="","",IFERROR(INDEX(Drinks!$E$4:$E$53,MATCH($B1428,Drinks!$A$4:$A$53,0)),0))</f>
        <v/>
      </c>
      <c r="P1428" s="10" t="str">
        <f aca="false">IF($B1428="","",$N1428*$O1428)</f>
        <v/>
      </c>
      <c r="Q1428" s="10" t="str">
        <f aca="false">IF($B1428="","",$N1428*IFERROR(INDEX(Drinks!$D$4:$D$53,MATCH($B1428,Drinks!$A$4:$A$53,0)),0))</f>
        <v/>
      </c>
      <c r="R1428" s="10" t="str">
        <f aca="false">IF($B1428="","",$P1428-$Q1428)</f>
        <v/>
      </c>
      <c r="S1428" s="23" t="str">
        <f aca="false">IF($B1428="","",IF(COUNTIFS($A$4:$A$2003,$A1428-1,$B$4:$B$2003,$B1428)=0,"first day",IF(SUMIFS($M$4:$M$2003,$A$4:$A$2003,$A1428-1,$B$4:$B$2003,$B1428)=$J1428,"OK","CHECK")))</f>
        <v/>
      </c>
      <c r="T1428" s="10" t="str">
        <f aca="false">IF($B1428="","",IFERROR(INDEX(Drinks!$D$4:$D$53,MATCH($B1428,Drinks!$A$4:$A$53,0)),0))</f>
        <v/>
      </c>
    </row>
    <row r="1429" customFormat="false" ht="15" hidden="false" customHeight="false" outlineLevel="0" collapsed="false">
      <c r="A1429" s="22"/>
      <c r="B1429" s="9"/>
      <c r="C1429" s="9"/>
      <c r="D1429" s="9"/>
      <c r="E1429" s="9"/>
      <c r="F1429" s="10" t="str">
        <f aca="false">IF($B1429="","",$C1429+$D1429-$E1429)</f>
        <v/>
      </c>
      <c r="G1429" s="10" t="str">
        <f aca="false">IF($B1429="","",IFERROR(INDEX(Drinks!$C$4:$C$53,MATCH($B1429,Drinks!$A$4:$A$53,0)),0))</f>
        <v/>
      </c>
      <c r="H1429" s="10" t="str">
        <f aca="false">IF($B1429="","",$D1429*$G1429)</f>
        <v/>
      </c>
      <c r="I1429" s="10" t="str">
        <f aca="false">IF($B1429="","",$F1429*$G1429)</f>
        <v/>
      </c>
      <c r="J1429" s="9"/>
      <c r="K1429" s="10" t="str">
        <f aca="false">IF($B1429="","",$E1429*IFERROR(INDEX(Drinks!$B$4:$B$53,MATCH($B1429,Drinks!$A$4:$A$53,0)),0))</f>
        <v/>
      </c>
      <c r="L1429" s="10" t="str">
        <f aca="false">IF($B1429="","",$J1429+$K1429)</f>
        <v/>
      </c>
      <c r="M1429" s="9"/>
      <c r="N1429" s="10" t="str">
        <f aca="false">IF($B1429="","",$L1429-$M1429)</f>
        <v/>
      </c>
      <c r="O1429" s="10" t="str">
        <f aca="false">IF($B1429="","",IFERROR(INDEX(Drinks!$E$4:$E$53,MATCH($B1429,Drinks!$A$4:$A$53,0)),0))</f>
        <v/>
      </c>
      <c r="P1429" s="10" t="str">
        <f aca="false">IF($B1429="","",$N1429*$O1429)</f>
        <v/>
      </c>
      <c r="Q1429" s="10" t="str">
        <f aca="false">IF($B1429="","",$N1429*IFERROR(INDEX(Drinks!$D$4:$D$53,MATCH($B1429,Drinks!$A$4:$A$53,0)),0))</f>
        <v/>
      </c>
      <c r="R1429" s="10" t="str">
        <f aca="false">IF($B1429="","",$P1429-$Q1429)</f>
        <v/>
      </c>
      <c r="S1429" s="23" t="str">
        <f aca="false">IF($B1429="","",IF(COUNTIFS($A$4:$A$2003,$A1429-1,$B$4:$B$2003,$B1429)=0,"first day",IF(SUMIFS($M$4:$M$2003,$A$4:$A$2003,$A1429-1,$B$4:$B$2003,$B1429)=$J1429,"OK","CHECK")))</f>
        <v/>
      </c>
      <c r="T1429" s="10" t="str">
        <f aca="false">IF($B1429="","",IFERROR(INDEX(Drinks!$D$4:$D$53,MATCH($B1429,Drinks!$A$4:$A$53,0)),0))</f>
        <v/>
      </c>
    </row>
    <row r="1430" customFormat="false" ht="15" hidden="false" customHeight="false" outlineLevel="0" collapsed="false">
      <c r="A1430" s="22"/>
      <c r="B1430" s="9"/>
      <c r="C1430" s="9"/>
      <c r="D1430" s="9"/>
      <c r="E1430" s="9"/>
      <c r="F1430" s="10" t="str">
        <f aca="false">IF($B1430="","",$C1430+$D1430-$E1430)</f>
        <v/>
      </c>
      <c r="G1430" s="10" t="str">
        <f aca="false">IF($B1430="","",IFERROR(INDEX(Drinks!$C$4:$C$53,MATCH($B1430,Drinks!$A$4:$A$53,0)),0))</f>
        <v/>
      </c>
      <c r="H1430" s="10" t="str">
        <f aca="false">IF($B1430="","",$D1430*$G1430)</f>
        <v/>
      </c>
      <c r="I1430" s="10" t="str">
        <f aca="false">IF($B1430="","",$F1430*$G1430)</f>
        <v/>
      </c>
      <c r="J1430" s="9"/>
      <c r="K1430" s="10" t="str">
        <f aca="false">IF($B1430="","",$E1430*IFERROR(INDEX(Drinks!$B$4:$B$53,MATCH($B1430,Drinks!$A$4:$A$53,0)),0))</f>
        <v/>
      </c>
      <c r="L1430" s="10" t="str">
        <f aca="false">IF($B1430="","",$J1430+$K1430)</f>
        <v/>
      </c>
      <c r="M1430" s="9"/>
      <c r="N1430" s="10" t="str">
        <f aca="false">IF($B1430="","",$L1430-$M1430)</f>
        <v/>
      </c>
      <c r="O1430" s="10" t="str">
        <f aca="false">IF($B1430="","",IFERROR(INDEX(Drinks!$E$4:$E$53,MATCH($B1430,Drinks!$A$4:$A$53,0)),0))</f>
        <v/>
      </c>
      <c r="P1430" s="10" t="str">
        <f aca="false">IF($B1430="","",$N1430*$O1430)</f>
        <v/>
      </c>
      <c r="Q1430" s="10" t="str">
        <f aca="false">IF($B1430="","",$N1430*IFERROR(INDEX(Drinks!$D$4:$D$53,MATCH($B1430,Drinks!$A$4:$A$53,0)),0))</f>
        <v/>
      </c>
      <c r="R1430" s="10" t="str">
        <f aca="false">IF($B1430="","",$P1430-$Q1430)</f>
        <v/>
      </c>
      <c r="S1430" s="23" t="str">
        <f aca="false">IF($B1430="","",IF(COUNTIFS($A$4:$A$2003,$A1430-1,$B$4:$B$2003,$B1430)=0,"first day",IF(SUMIFS($M$4:$M$2003,$A$4:$A$2003,$A1430-1,$B$4:$B$2003,$B1430)=$J1430,"OK","CHECK")))</f>
        <v/>
      </c>
      <c r="T1430" s="10" t="str">
        <f aca="false">IF($B1430="","",IFERROR(INDEX(Drinks!$D$4:$D$53,MATCH($B1430,Drinks!$A$4:$A$53,0)),0))</f>
        <v/>
      </c>
    </row>
    <row r="1431" customFormat="false" ht="15" hidden="false" customHeight="false" outlineLevel="0" collapsed="false">
      <c r="A1431" s="22"/>
      <c r="B1431" s="9"/>
      <c r="C1431" s="9"/>
      <c r="D1431" s="9"/>
      <c r="E1431" s="9"/>
      <c r="F1431" s="10" t="str">
        <f aca="false">IF($B1431="","",$C1431+$D1431-$E1431)</f>
        <v/>
      </c>
      <c r="G1431" s="10" t="str">
        <f aca="false">IF($B1431="","",IFERROR(INDEX(Drinks!$C$4:$C$53,MATCH($B1431,Drinks!$A$4:$A$53,0)),0))</f>
        <v/>
      </c>
      <c r="H1431" s="10" t="str">
        <f aca="false">IF($B1431="","",$D1431*$G1431)</f>
        <v/>
      </c>
      <c r="I1431" s="10" t="str">
        <f aca="false">IF($B1431="","",$F1431*$G1431)</f>
        <v/>
      </c>
      <c r="J1431" s="9"/>
      <c r="K1431" s="10" t="str">
        <f aca="false">IF($B1431="","",$E1431*IFERROR(INDEX(Drinks!$B$4:$B$53,MATCH($B1431,Drinks!$A$4:$A$53,0)),0))</f>
        <v/>
      </c>
      <c r="L1431" s="10" t="str">
        <f aca="false">IF($B1431="","",$J1431+$K1431)</f>
        <v/>
      </c>
      <c r="M1431" s="9"/>
      <c r="N1431" s="10" t="str">
        <f aca="false">IF($B1431="","",$L1431-$M1431)</f>
        <v/>
      </c>
      <c r="O1431" s="10" t="str">
        <f aca="false">IF($B1431="","",IFERROR(INDEX(Drinks!$E$4:$E$53,MATCH($B1431,Drinks!$A$4:$A$53,0)),0))</f>
        <v/>
      </c>
      <c r="P1431" s="10" t="str">
        <f aca="false">IF($B1431="","",$N1431*$O1431)</f>
        <v/>
      </c>
      <c r="Q1431" s="10" t="str">
        <f aca="false">IF($B1431="","",$N1431*IFERROR(INDEX(Drinks!$D$4:$D$53,MATCH($B1431,Drinks!$A$4:$A$53,0)),0))</f>
        <v/>
      </c>
      <c r="R1431" s="10" t="str">
        <f aca="false">IF($B1431="","",$P1431-$Q1431)</f>
        <v/>
      </c>
      <c r="S1431" s="23" t="str">
        <f aca="false">IF($B1431="","",IF(COUNTIFS($A$4:$A$2003,$A1431-1,$B$4:$B$2003,$B1431)=0,"first day",IF(SUMIFS($M$4:$M$2003,$A$4:$A$2003,$A1431-1,$B$4:$B$2003,$B1431)=$J1431,"OK","CHECK")))</f>
        <v/>
      </c>
      <c r="T1431" s="10" t="str">
        <f aca="false">IF($B1431="","",IFERROR(INDEX(Drinks!$D$4:$D$53,MATCH($B1431,Drinks!$A$4:$A$53,0)),0))</f>
        <v/>
      </c>
    </row>
    <row r="1432" customFormat="false" ht="15" hidden="false" customHeight="false" outlineLevel="0" collapsed="false">
      <c r="A1432" s="22"/>
      <c r="B1432" s="9"/>
      <c r="C1432" s="9"/>
      <c r="D1432" s="9"/>
      <c r="E1432" s="9"/>
      <c r="F1432" s="10" t="str">
        <f aca="false">IF($B1432="","",$C1432+$D1432-$E1432)</f>
        <v/>
      </c>
      <c r="G1432" s="10" t="str">
        <f aca="false">IF($B1432="","",IFERROR(INDEX(Drinks!$C$4:$C$53,MATCH($B1432,Drinks!$A$4:$A$53,0)),0))</f>
        <v/>
      </c>
      <c r="H1432" s="10" t="str">
        <f aca="false">IF($B1432="","",$D1432*$G1432)</f>
        <v/>
      </c>
      <c r="I1432" s="10" t="str">
        <f aca="false">IF($B1432="","",$F1432*$G1432)</f>
        <v/>
      </c>
      <c r="J1432" s="9"/>
      <c r="K1432" s="10" t="str">
        <f aca="false">IF($B1432="","",$E1432*IFERROR(INDEX(Drinks!$B$4:$B$53,MATCH($B1432,Drinks!$A$4:$A$53,0)),0))</f>
        <v/>
      </c>
      <c r="L1432" s="10" t="str">
        <f aca="false">IF($B1432="","",$J1432+$K1432)</f>
        <v/>
      </c>
      <c r="M1432" s="9"/>
      <c r="N1432" s="10" t="str">
        <f aca="false">IF($B1432="","",$L1432-$M1432)</f>
        <v/>
      </c>
      <c r="O1432" s="10" t="str">
        <f aca="false">IF($B1432="","",IFERROR(INDEX(Drinks!$E$4:$E$53,MATCH($B1432,Drinks!$A$4:$A$53,0)),0))</f>
        <v/>
      </c>
      <c r="P1432" s="10" t="str">
        <f aca="false">IF($B1432="","",$N1432*$O1432)</f>
        <v/>
      </c>
      <c r="Q1432" s="10" t="str">
        <f aca="false">IF($B1432="","",$N1432*IFERROR(INDEX(Drinks!$D$4:$D$53,MATCH($B1432,Drinks!$A$4:$A$53,0)),0))</f>
        <v/>
      </c>
      <c r="R1432" s="10" t="str">
        <f aca="false">IF($B1432="","",$P1432-$Q1432)</f>
        <v/>
      </c>
      <c r="S1432" s="23" t="str">
        <f aca="false">IF($B1432="","",IF(COUNTIFS($A$4:$A$2003,$A1432-1,$B$4:$B$2003,$B1432)=0,"first day",IF(SUMIFS($M$4:$M$2003,$A$4:$A$2003,$A1432-1,$B$4:$B$2003,$B1432)=$J1432,"OK","CHECK")))</f>
        <v/>
      </c>
      <c r="T1432" s="10" t="str">
        <f aca="false">IF($B1432="","",IFERROR(INDEX(Drinks!$D$4:$D$53,MATCH($B1432,Drinks!$A$4:$A$53,0)),0))</f>
        <v/>
      </c>
    </row>
    <row r="1433" customFormat="false" ht="15" hidden="false" customHeight="false" outlineLevel="0" collapsed="false">
      <c r="A1433" s="22"/>
      <c r="B1433" s="9"/>
      <c r="C1433" s="9"/>
      <c r="D1433" s="9"/>
      <c r="E1433" s="9"/>
      <c r="F1433" s="10" t="str">
        <f aca="false">IF($B1433="","",$C1433+$D1433-$E1433)</f>
        <v/>
      </c>
      <c r="G1433" s="10" t="str">
        <f aca="false">IF($B1433="","",IFERROR(INDEX(Drinks!$C$4:$C$53,MATCH($B1433,Drinks!$A$4:$A$53,0)),0))</f>
        <v/>
      </c>
      <c r="H1433" s="10" t="str">
        <f aca="false">IF($B1433="","",$D1433*$G1433)</f>
        <v/>
      </c>
      <c r="I1433" s="10" t="str">
        <f aca="false">IF($B1433="","",$F1433*$G1433)</f>
        <v/>
      </c>
      <c r="J1433" s="9"/>
      <c r="K1433" s="10" t="str">
        <f aca="false">IF($B1433="","",$E1433*IFERROR(INDEX(Drinks!$B$4:$B$53,MATCH($B1433,Drinks!$A$4:$A$53,0)),0))</f>
        <v/>
      </c>
      <c r="L1433" s="10" t="str">
        <f aca="false">IF($B1433="","",$J1433+$K1433)</f>
        <v/>
      </c>
      <c r="M1433" s="9"/>
      <c r="N1433" s="10" t="str">
        <f aca="false">IF($B1433="","",$L1433-$M1433)</f>
        <v/>
      </c>
      <c r="O1433" s="10" t="str">
        <f aca="false">IF($B1433="","",IFERROR(INDEX(Drinks!$E$4:$E$53,MATCH($B1433,Drinks!$A$4:$A$53,0)),0))</f>
        <v/>
      </c>
      <c r="P1433" s="10" t="str">
        <f aca="false">IF($B1433="","",$N1433*$O1433)</f>
        <v/>
      </c>
      <c r="Q1433" s="10" t="str">
        <f aca="false">IF($B1433="","",$N1433*IFERROR(INDEX(Drinks!$D$4:$D$53,MATCH($B1433,Drinks!$A$4:$A$53,0)),0))</f>
        <v/>
      </c>
      <c r="R1433" s="10" t="str">
        <f aca="false">IF($B1433="","",$P1433-$Q1433)</f>
        <v/>
      </c>
      <c r="S1433" s="23" t="str">
        <f aca="false">IF($B1433="","",IF(COUNTIFS($A$4:$A$2003,$A1433-1,$B$4:$B$2003,$B1433)=0,"first day",IF(SUMIFS($M$4:$M$2003,$A$4:$A$2003,$A1433-1,$B$4:$B$2003,$B1433)=$J1433,"OK","CHECK")))</f>
        <v/>
      </c>
      <c r="T1433" s="10" t="str">
        <f aca="false">IF($B1433="","",IFERROR(INDEX(Drinks!$D$4:$D$53,MATCH($B1433,Drinks!$A$4:$A$53,0)),0))</f>
        <v/>
      </c>
    </row>
    <row r="1434" customFormat="false" ht="15" hidden="false" customHeight="false" outlineLevel="0" collapsed="false">
      <c r="A1434" s="22"/>
      <c r="B1434" s="9"/>
      <c r="C1434" s="9"/>
      <c r="D1434" s="9"/>
      <c r="E1434" s="9"/>
      <c r="F1434" s="10" t="str">
        <f aca="false">IF($B1434="","",$C1434+$D1434-$E1434)</f>
        <v/>
      </c>
      <c r="G1434" s="10" t="str">
        <f aca="false">IF($B1434="","",IFERROR(INDEX(Drinks!$C$4:$C$53,MATCH($B1434,Drinks!$A$4:$A$53,0)),0))</f>
        <v/>
      </c>
      <c r="H1434" s="10" t="str">
        <f aca="false">IF($B1434="","",$D1434*$G1434)</f>
        <v/>
      </c>
      <c r="I1434" s="10" t="str">
        <f aca="false">IF($B1434="","",$F1434*$G1434)</f>
        <v/>
      </c>
      <c r="J1434" s="9"/>
      <c r="K1434" s="10" t="str">
        <f aca="false">IF($B1434="","",$E1434*IFERROR(INDEX(Drinks!$B$4:$B$53,MATCH($B1434,Drinks!$A$4:$A$53,0)),0))</f>
        <v/>
      </c>
      <c r="L1434" s="10" t="str">
        <f aca="false">IF($B1434="","",$J1434+$K1434)</f>
        <v/>
      </c>
      <c r="M1434" s="9"/>
      <c r="N1434" s="10" t="str">
        <f aca="false">IF($B1434="","",$L1434-$M1434)</f>
        <v/>
      </c>
      <c r="O1434" s="10" t="str">
        <f aca="false">IF($B1434="","",IFERROR(INDEX(Drinks!$E$4:$E$53,MATCH($B1434,Drinks!$A$4:$A$53,0)),0))</f>
        <v/>
      </c>
      <c r="P1434" s="10" t="str">
        <f aca="false">IF($B1434="","",$N1434*$O1434)</f>
        <v/>
      </c>
      <c r="Q1434" s="10" t="str">
        <f aca="false">IF($B1434="","",$N1434*IFERROR(INDEX(Drinks!$D$4:$D$53,MATCH($B1434,Drinks!$A$4:$A$53,0)),0))</f>
        <v/>
      </c>
      <c r="R1434" s="10" t="str">
        <f aca="false">IF($B1434="","",$P1434-$Q1434)</f>
        <v/>
      </c>
      <c r="S1434" s="23" t="str">
        <f aca="false">IF($B1434="","",IF(COUNTIFS($A$4:$A$2003,$A1434-1,$B$4:$B$2003,$B1434)=0,"first day",IF(SUMIFS($M$4:$M$2003,$A$4:$A$2003,$A1434-1,$B$4:$B$2003,$B1434)=$J1434,"OK","CHECK")))</f>
        <v/>
      </c>
      <c r="T1434" s="10" t="str">
        <f aca="false">IF($B1434="","",IFERROR(INDEX(Drinks!$D$4:$D$53,MATCH($B1434,Drinks!$A$4:$A$53,0)),0))</f>
        <v/>
      </c>
    </row>
    <row r="1435" customFormat="false" ht="15" hidden="false" customHeight="false" outlineLevel="0" collapsed="false">
      <c r="A1435" s="22"/>
      <c r="B1435" s="9"/>
      <c r="C1435" s="9"/>
      <c r="D1435" s="9"/>
      <c r="E1435" s="9"/>
      <c r="F1435" s="10" t="str">
        <f aca="false">IF($B1435="","",$C1435+$D1435-$E1435)</f>
        <v/>
      </c>
      <c r="G1435" s="10" t="str">
        <f aca="false">IF($B1435="","",IFERROR(INDEX(Drinks!$C$4:$C$53,MATCH($B1435,Drinks!$A$4:$A$53,0)),0))</f>
        <v/>
      </c>
      <c r="H1435" s="10" t="str">
        <f aca="false">IF($B1435="","",$D1435*$G1435)</f>
        <v/>
      </c>
      <c r="I1435" s="10" t="str">
        <f aca="false">IF($B1435="","",$F1435*$G1435)</f>
        <v/>
      </c>
      <c r="J1435" s="9"/>
      <c r="K1435" s="10" t="str">
        <f aca="false">IF($B1435="","",$E1435*IFERROR(INDEX(Drinks!$B$4:$B$53,MATCH($B1435,Drinks!$A$4:$A$53,0)),0))</f>
        <v/>
      </c>
      <c r="L1435" s="10" t="str">
        <f aca="false">IF($B1435="","",$J1435+$K1435)</f>
        <v/>
      </c>
      <c r="M1435" s="9"/>
      <c r="N1435" s="10" t="str">
        <f aca="false">IF($B1435="","",$L1435-$M1435)</f>
        <v/>
      </c>
      <c r="O1435" s="10" t="str">
        <f aca="false">IF($B1435="","",IFERROR(INDEX(Drinks!$E$4:$E$53,MATCH($B1435,Drinks!$A$4:$A$53,0)),0))</f>
        <v/>
      </c>
      <c r="P1435" s="10" t="str">
        <f aca="false">IF($B1435="","",$N1435*$O1435)</f>
        <v/>
      </c>
      <c r="Q1435" s="10" t="str">
        <f aca="false">IF($B1435="","",$N1435*IFERROR(INDEX(Drinks!$D$4:$D$53,MATCH($B1435,Drinks!$A$4:$A$53,0)),0))</f>
        <v/>
      </c>
      <c r="R1435" s="10" t="str">
        <f aca="false">IF($B1435="","",$P1435-$Q1435)</f>
        <v/>
      </c>
      <c r="S1435" s="23" t="str">
        <f aca="false">IF($B1435="","",IF(COUNTIFS($A$4:$A$2003,$A1435-1,$B$4:$B$2003,$B1435)=0,"first day",IF(SUMIFS($M$4:$M$2003,$A$4:$A$2003,$A1435-1,$B$4:$B$2003,$B1435)=$J1435,"OK","CHECK")))</f>
        <v/>
      </c>
      <c r="T1435" s="10" t="str">
        <f aca="false">IF($B1435="","",IFERROR(INDEX(Drinks!$D$4:$D$53,MATCH($B1435,Drinks!$A$4:$A$53,0)),0))</f>
        <v/>
      </c>
    </row>
    <row r="1436" customFormat="false" ht="15" hidden="false" customHeight="false" outlineLevel="0" collapsed="false">
      <c r="A1436" s="22"/>
      <c r="B1436" s="9"/>
      <c r="C1436" s="9"/>
      <c r="D1436" s="9"/>
      <c r="E1436" s="9"/>
      <c r="F1436" s="10" t="str">
        <f aca="false">IF($B1436="","",$C1436+$D1436-$E1436)</f>
        <v/>
      </c>
      <c r="G1436" s="10" t="str">
        <f aca="false">IF($B1436="","",IFERROR(INDEX(Drinks!$C$4:$C$53,MATCH($B1436,Drinks!$A$4:$A$53,0)),0))</f>
        <v/>
      </c>
      <c r="H1436" s="10" t="str">
        <f aca="false">IF($B1436="","",$D1436*$G1436)</f>
        <v/>
      </c>
      <c r="I1436" s="10" t="str">
        <f aca="false">IF($B1436="","",$F1436*$G1436)</f>
        <v/>
      </c>
      <c r="J1436" s="9"/>
      <c r="K1436" s="10" t="str">
        <f aca="false">IF($B1436="","",$E1436*IFERROR(INDEX(Drinks!$B$4:$B$53,MATCH($B1436,Drinks!$A$4:$A$53,0)),0))</f>
        <v/>
      </c>
      <c r="L1436" s="10" t="str">
        <f aca="false">IF($B1436="","",$J1436+$K1436)</f>
        <v/>
      </c>
      <c r="M1436" s="9"/>
      <c r="N1436" s="10" t="str">
        <f aca="false">IF($B1436="","",$L1436-$M1436)</f>
        <v/>
      </c>
      <c r="O1436" s="10" t="str">
        <f aca="false">IF($B1436="","",IFERROR(INDEX(Drinks!$E$4:$E$53,MATCH($B1436,Drinks!$A$4:$A$53,0)),0))</f>
        <v/>
      </c>
      <c r="P1436" s="10" t="str">
        <f aca="false">IF($B1436="","",$N1436*$O1436)</f>
        <v/>
      </c>
      <c r="Q1436" s="10" t="str">
        <f aca="false">IF($B1436="","",$N1436*IFERROR(INDEX(Drinks!$D$4:$D$53,MATCH($B1436,Drinks!$A$4:$A$53,0)),0))</f>
        <v/>
      </c>
      <c r="R1436" s="10" t="str">
        <f aca="false">IF($B1436="","",$P1436-$Q1436)</f>
        <v/>
      </c>
      <c r="S1436" s="23" t="str">
        <f aca="false">IF($B1436="","",IF(COUNTIFS($A$4:$A$2003,$A1436-1,$B$4:$B$2003,$B1436)=0,"first day",IF(SUMIFS($M$4:$M$2003,$A$4:$A$2003,$A1436-1,$B$4:$B$2003,$B1436)=$J1436,"OK","CHECK")))</f>
        <v/>
      </c>
      <c r="T1436" s="10" t="str">
        <f aca="false">IF($B1436="","",IFERROR(INDEX(Drinks!$D$4:$D$53,MATCH($B1436,Drinks!$A$4:$A$53,0)),0))</f>
        <v/>
      </c>
    </row>
    <row r="1437" customFormat="false" ht="15" hidden="false" customHeight="false" outlineLevel="0" collapsed="false">
      <c r="A1437" s="22"/>
      <c r="B1437" s="9"/>
      <c r="C1437" s="9"/>
      <c r="D1437" s="9"/>
      <c r="E1437" s="9"/>
      <c r="F1437" s="10" t="str">
        <f aca="false">IF($B1437="","",$C1437+$D1437-$E1437)</f>
        <v/>
      </c>
      <c r="G1437" s="10" t="str">
        <f aca="false">IF($B1437="","",IFERROR(INDEX(Drinks!$C$4:$C$53,MATCH($B1437,Drinks!$A$4:$A$53,0)),0))</f>
        <v/>
      </c>
      <c r="H1437" s="10" t="str">
        <f aca="false">IF($B1437="","",$D1437*$G1437)</f>
        <v/>
      </c>
      <c r="I1437" s="10" t="str">
        <f aca="false">IF($B1437="","",$F1437*$G1437)</f>
        <v/>
      </c>
      <c r="J1437" s="9"/>
      <c r="K1437" s="10" t="str">
        <f aca="false">IF($B1437="","",$E1437*IFERROR(INDEX(Drinks!$B$4:$B$53,MATCH($B1437,Drinks!$A$4:$A$53,0)),0))</f>
        <v/>
      </c>
      <c r="L1437" s="10" t="str">
        <f aca="false">IF($B1437="","",$J1437+$K1437)</f>
        <v/>
      </c>
      <c r="M1437" s="9"/>
      <c r="N1437" s="10" t="str">
        <f aca="false">IF($B1437="","",$L1437-$M1437)</f>
        <v/>
      </c>
      <c r="O1437" s="10" t="str">
        <f aca="false">IF($B1437="","",IFERROR(INDEX(Drinks!$E$4:$E$53,MATCH($B1437,Drinks!$A$4:$A$53,0)),0))</f>
        <v/>
      </c>
      <c r="P1437" s="10" t="str">
        <f aca="false">IF($B1437="","",$N1437*$O1437)</f>
        <v/>
      </c>
      <c r="Q1437" s="10" t="str">
        <f aca="false">IF($B1437="","",$N1437*IFERROR(INDEX(Drinks!$D$4:$D$53,MATCH($B1437,Drinks!$A$4:$A$53,0)),0))</f>
        <v/>
      </c>
      <c r="R1437" s="10" t="str">
        <f aca="false">IF($B1437="","",$P1437-$Q1437)</f>
        <v/>
      </c>
      <c r="S1437" s="23" t="str">
        <f aca="false">IF($B1437="","",IF(COUNTIFS($A$4:$A$2003,$A1437-1,$B$4:$B$2003,$B1437)=0,"first day",IF(SUMIFS($M$4:$M$2003,$A$4:$A$2003,$A1437-1,$B$4:$B$2003,$B1437)=$J1437,"OK","CHECK")))</f>
        <v/>
      </c>
      <c r="T1437" s="10" t="str">
        <f aca="false">IF($B1437="","",IFERROR(INDEX(Drinks!$D$4:$D$53,MATCH($B1437,Drinks!$A$4:$A$53,0)),0))</f>
        <v/>
      </c>
    </row>
    <row r="1438" customFormat="false" ht="15" hidden="false" customHeight="false" outlineLevel="0" collapsed="false">
      <c r="A1438" s="22"/>
      <c r="B1438" s="9"/>
      <c r="C1438" s="9"/>
      <c r="D1438" s="9"/>
      <c r="E1438" s="9"/>
      <c r="F1438" s="10" t="str">
        <f aca="false">IF($B1438="","",$C1438+$D1438-$E1438)</f>
        <v/>
      </c>
      <c r="G1438" s="10" t="str">
        <f aca="false">IF($B1438="","",IFERROR(INDEX(Drinks!$C$4:$C$53,MATCH($B1438,Drinks!$A$4:$A$53,0)),0))</f>
        <v/>
      </c>
      <c r="H1438" s="10" t="str">
        <f aca="false">IF($B1438="","",$D1438*$G1438)</f>
        <v/>
      </c>
      <c r="I1438" s="10" t="str">
        <f aca="false">IF($B1438="","",$F1438*$G1438)</f>
        <v/>
      </c>
      <c r="J1438" s="9"/>
      <c r="K1438" s="10" t="str">
        <f aca="false">IF($B1438="","",$E1438*IFERROR(INDEX(Drinks!$B$4:$B$53,MATCH($B1438,Drinks!$A$4:$A$53,0)),0))</f>
        <v/>
      </c>
      <c r="L1438" s="10" t="str">
        <f aca="false">IF($B1438="","",$J1438+$K1438)</f>
        <v/>
      </c>
      <c r="M1438" s="9"/>
      <c r="N1438" s="10" t="str">
        <f aca="false">IF($B1438="","",$L1438-$M1438)</f>
        <v/>
      </c>
      <c r="O1438" s="10" t="str">
        <f aca="false">IF($B1438="","",IFERROR(INDEX(Drinks!$E$4:$E$53,MATCH($B1438,Drinks!$A$4:$A$53,0)),0))</f>
        <v/>
      </c>
      <c r="P1438" s="10" t="str">
        <f aca="false">IF($B1438="","",$N1438*$O1438)</f>
        <v/>
      </c>
      <c r="Q1438" s="10" t="str">
        <f aca="false">IF($B1438="","",$N1438*IFERROR(INDEX(Drinks!$D$4:$D$53,MATCH($B1438,Drinks!$A$4:$A$53,0)),0))</f>
        <v/>
      </c>
      <c r="R1438" s="10" t="str">
        <f aca="false">IF($B1438="","",$P1438-$Q1438)</f>
        <v/>
      </c>
      <c r="S1438" s="23" t="str">
        <f aca="false">IF($B1438="","",IF(COUNTIFS($A$4:$A$2003,$A1438-1,$B$4:$B$2003,$B1438)=0,"first day",IF(SUMIFS($M$4:$M$2003,$A$4:$A$2003,$A1438-1,$B$4:$B$2003,$B1438)=$J1438,"OK","CHECK")))</f>
        <v/>
      </c>
      <c r="T1438" s="10" t="str">
        <f aca="false">IF($B1438="","",IFERROR(INDEX(Drinks!$D$4:$D$53,MATCH($B1438,Drinks!$A$4:$A$53,0)),0))</f>
        <v/>
      </c>
    </row>
    <row r="1439" customFormat="false" ht="15" hidden="false" customHeight="false" outlineLevel="0" collapsed="false">
      <c r="A1439" s="22"/>
      <c r="B1439" s="9"/>
      <c r="C1439" s="9"/>
      <c r="D1439" s="9"/>
      <c r="E1439" s="9"/>
      <c r="F1439" s="10" t="str">
        <f aca="false">IF($B1439="","",$C1439+$D1439-$E1439)</f>
        <v/>
      </c>
      <c r="G1439" s="10" t="str">
        <f aca="false">IF($B1439="","",IFERROR(INDEX(Drinks!$C$4:$C$53,MATCH($B1439,Drinks!$A$4:$A$53,0)),0))</f>
        <v/>
      </c>
      <c r="H1439" s="10" t="str">
        <f aca="false">IF($B1439="","",$D1439*$G1439)</f>
        <v/>
      </c>
      <c r="I1439" s="10" t="str">
        <f aca="false">IF($B1439="","",$F1439*$G1439)</f>
        <v/>
      </c>
      <c r="J1439" s="9"/>
      <c r="K1439" s="10" t="str">
        <f aca="false">IF($B1439="","",$E1439*IFERROR(INDEX(Drinks!$B$4:$B$53,MATCH($B1439,Drinks!$A$4:$A$53,0)),0))</f>
        <v/>
      </c>
      <c r="L1439" s="10" t="str">
        <f aca="false">IF($B1439="","",$J1439+$K1439)</f>
        <v/>
      </c>
      <c r="M1439" s="9"/>
      <c r="N1439" s="10" t="str">
        <f aca="false">IF($B1439="","",$L1439-$M1439)</f>
        <v/>
      </c>
      <c r="O1439" s="10" t="str">
        <f aca="false">IF($B1439="","",IFERROR(INDEX(Drinks!$E$4:$E$53,MATCH($B1439,Drinks!$A$4:$A$53,0)),0))</f>
        <v/>
      </c>
      <c r="P1439" s="10" t="str">
        <f aca="false">IF($B1439="","",$N1439*$O1439)</f>
        <v/>
      </c>
      <c r="Q1439" s="10" t="str">
        <f aca="false">IF($B1439="","",$N1439*IFERROR(INDEX(Drinks!$D$4:$D$53,MATCH($B1439,Drinks!$A$4:$A$53,0)),0))</f>
        <v/>
      </c>
      <c r="R1439" s="10" t="str">
        <f aca="false">IF($B1439="","",$P1439-$Q1439)</f>
        <v/>
      </c>
      <c r="S1439" s="23" t="str">
        <f aca="false">IF($B1439="","",IF(COUNTIFS($A$4:$A$2003,$A1439-1,$B$4:$B$2003,$B1439)=0,"first day",IF(SUMIFS($M$4:$M$2003,$A$4:$A$2003,$A1439-1,$B$4:$B$2003,$B1439)=$J1439,"OK","CHECK")))</f>
        <v/>
      </c>
      <c r="T1439" s="10" t="str">
        <f aca="false">IF($B1439="","",IFERROR(INDEX(Drinks!$D$4:$D$53,MATCH($B1439,Drinks!$A$4:$A$53,0)),0))</f>
        <v/>
      </c>
    </row>
    <row r="1440" customFormat="false" ht="15" hidden="false" customHeight="false" outlineLevel="0" collapsed="false">
      <c r="A1440" s="22"/>
      <c r="B1440" s="9"/>
      <c r="C1440" s="9"/>
      <c r="D1440" s="9"/>
      <c r="E1440" s="9"/>
      <c r="F1440" s="10" t="str">
        <f aca="false">IF($B1440="","",$C1440+$D1440-$E1440)</f>
        <v/>
      </c>
      <c r="G1440" s="10" t="str">
        <f aca="false">IF($B1440="","",IFERROR(INDEX(Drinks!$C$4:$C$53,MATCH($B1440,Drinks!$A$4:$A$53,0)),0))</f>
        <v/>
      </c>
      <c r="H1440" s="10" t="str">
        <f aca="false">IF($B1440="","",$D1440*$G1440)</f>
        <v/>
      </c>
      <c r="I1440" s="10" t="str">
        <f aca="false">IF($B1440="","",$F1440*$G1440)</f>
        <v/>
      </c>
      <c r="J1440" s="9"/>
      <c r="K1440" s="10" t="str">
        <f aca="false">IF($B1440="","",$E1440*IFERROR(INDEX(Drinks!$B$4:$B$53,MATCH($B1440,Drinks!$A$4:$A$53,0)),0))</f>
        <v/>
      </c>
      <c r="L1440" s="10" t="str">
        <f aca="false">IF($B1440="","",$J1440+$K1440)</f>
        <v/>
      </c>
      <c r="M1440" s="9"/>
      <c r="N1440" s="10" t="str">
        <f aca="false">IF($B1440="","",$L1440-$M1440)</f>
        <v/>
      </c>
      <c r="O1440" s="10" t="str">
        <f aca="false">IF($B1440="","",IFERROR(INDEX(Drinks!$E$4:$E$53,MATCH($B1440,Drinks!$A$4:$A$53,0)),0))</f>
        <v/>
      </c>
      <c r="P1440" s="10" t="str">
        <f aca="false">IF($B1440="","",$N1440*$O1440)</f>
        <v/>
      </c>
      <c r="Q1440" s="10" t="str">
        <f aca="false">IF($B1440="","",$N1440*IFERROR(INDEX(Drinks!$D$4:$D$53,MATCH($B1440,Drinks!$A$4:$A$53,0)),0))</f>
        <v/>
      </c>
      <c r="R1440" s="10" t="str">
        <f aca="false">IF($B1440="","",$P1440-$Q1440)</f>
        <v/>
      </c>
      <c r="S1440" s="23" t="str">
        <f aca="false">IF($B1440="","",IF(COUNTIFS($A$4:$A$2003,$A1440-1,$B$4:$B$2003,$B1440)=0,"first day",IF(SUMIFS($M$4:$M$2003,$A$4:$A$2003,$A1440-1,$B$4:$B$2003,$B1440)=$J1440,"OK","CHECK")))</f>
        <v/>
      </c>
      <c r="T1440" s="10" t="str">
        <f aca="false">IF($B1440="","",IFERROR(INDEX(Drinks!$D$4:$D$53,MATCH($B1440,Drinks!$A$4:$A$53,0)),0))</f>
        <v/>
      </c>
    </row>
    <row r="1441" customFormat="false" ht="15" hidden="false" customHeight="false" outlineLevel="0" collapsed="false">
      <c r="A1441" s="22"/>
      <c r="B1441" s="9"/>
      <c r="C1441" s="9"/>
      <c r="D1441" s="9"/>
      <c r="E1441" s="9"/>
      <c r="F1441" s="10" t="str">
        <f aca="false">IF($B1441="","",$C1441+$D1441-$E1441)</f>
        <v/>
      </c>
      <c r="G1441" s="10" t="str">
        <f aca="false">IF($B1441="","",IFERROR(INDEX(Drinks!$C$4:$C$53,MATCH($B1441,Drinks!$A$4:$A$53,0)),0))</f>
        <v/>
      </c>
      <c r="H1441" s="10" t="str">
        <f aca="false">IF($B1441="","",$D1441*$G1441)</f>
        <v/>
      </c>
      <c r="I1441" s="10" t="str">
        <f aca="false">IF($B1441="","",$F1441*$G1441)</f>
        <v/>
      </c>
      <c r="J1441" s="9"/>
      <c r="K1441" s="10" t="str">
        <f aca="false">IF($B1441="","",$E1441*IFERROR(INDEX(Drinks!$B$4:$B$53,MATCH($B1441,Drinks!$A$4:$A$53,0)),0))</f>
        <v/>
      </c>
      <c r="L1441" s="10" t="str">
        <f aca="false">IF($B1441="","",$J1441+$K1441)</f>
        <v/>
      </c>
      <c r="M1441" s="9"/>
      <c r="N1441" s="10" t="str">
        <f aca="false">IF($B1441="","",$L1441-$M1441)</f>
        <v/>
      </c>
      <c r="O1441" s="10" t="str">
        <f aca="false">IF($B1441="","",IFERROR(INDEX(Drinks!$E$4:$E$53,MATCH($B1441,Drinks!$A$4:$A$53,0)),0))</f>
        <v/>
      </c>
      <c r="P1441" s="10" t="str">
        <f aca="false">IF($B1441="","",$N1441*$O1441)</f>
        <v/>
      </c>
      <c r="Q1441" s="10" t="str">
        <f aca="false">IF($B1441="","",$N1441*IFERROR(INDEX(Drinks!$D$4:$D$53,MATCH($B1441,Drinks!$A$4:$A$53,0)),0))</f>
        <v/>
      </c>
      <c r="R1441" s="10" t="str">
        <f aca="false">IF($B1441="","",$P1441-$Q1441)</f>
        <v/>
      </c>
      <c r="S1441" s="23" t="str">
        <f aca="false">IF($B1441="","",IF(COUNTIFS($A$4:$A$2003,$A1441-1,$B$4:$B$2003,$B1441)=0,"first day",IF(SUMIFS($M$4:$M$2003,$A$4:$A$2003,$A1441-1,$B$4:$B$2003,$B1441)=$J1441,"OK","CHECK")))</f>
        <v/>
      </c>
      <c r="T1441" s="10" t="str">
        <f aca="false">IF($B1441="","",IFERROR(INDEX(Drinks!$D$4:$D$53,MATCH($B1441,Drinks!$A$4:$A$53,0)),0))</f>
        <v/>
      </c>
    </row>
    <row r="1442" customFormat="false" ht="15" hidden="false" customHeight="false" outlineLevel="0" collapsed="false">
      <c r="A1442" s="22"/>
      <c r="B1442" s="9"/>
      <c r="C1442" s="9"/>
      <c r="D1442" s="9"/>
      <c r="E1442" s="9"/>
      <c r="F1442" s="10" t="str">
        <f aca="false">IF($B1442="","",$C1442+$D1442-$E1442)</f>
        <v/>
      </c>
      <c r="G1442" s="10" t="str">
        <f aca="false">IF($B1442="","",IFERROR(INDEX(Drinks!$C$4:$C$53,MATCH($B1442,Drinks!$A$4:$A$53,0)),0))</f>
        <v/>
      </c>
      <c r="H1442" s="10" t="str">
        <f aca="false">IF($B1442="","",$D1442*$G1442)</f>
        <v/>
      </c>
      <c r="I1442" s="10" t="str">
        <f aca="false">IF($B1442="","",$F1442*$G1442)</f>
        <v/>
      </c>
      <c r="J1442" s="9"/>
      <c r="K1442" s="10" t="str">
        <f aca="false">IF($B1442="","",$E1442*IFERROR(INDEX(Drinks!$B$4:$B$53,MATCH($B1442,Drinks!$A$4:$A$53,0)),0))</f>
        <v/>
      </c>
      <c r="L1442" s="10" t="str">
        <f aca="false">IF($B1442="","",$J1442+$K1442)</f>
        <v/>
      </c>
      <c r="M1442" s="9"/>
      <c r="N1442" s="10" t="str">
        <f aca="false">IF($B1442="","",$L1442-$M1442)</f>
        <v/>
      </c>
      <c r="O1442" s="10" t="str">
        <f aca="false">IF($B1442="","",IFERROR(INDEX(Drinks!$E$4:$E$53,MATCH($B1442,Drinks!$A$4:$A$53,0)),0))</f>
        <v/>
      </c>
      <c r="P1442" s="10" t="str">
        <f aca="false">IF($B1442="","",$N1442*$O1442)</f>
        <v/>
      </c>
      <c r="Q1442" s="10" t="str">
        <f aca="false">IF($B1442="","",$N1442*IFERROR(INDEX(Drinks!$D$4:$D$53,MATCH($B1442,Drinks!$A$4:$A$53,0)),0))</f>
        <v/>
      </c>
      <c r="R1442" s="10" t="str">
        <f aca="false">IF($B1442="","",$P1442-$Q1442)</f>
        <v/>
      </c>
      <c r="S1442" s="23" t="str">
        <f aca="false">IF($B1442="","",IF(COUNTIFS($A$4:$A$2003,$A1442-1,$B$4:$B$2003,$B1442)=0,"first day",IF(SUMIFS($M$4:$M$2003,$A$4:$A$2003,$A1442-1,$B$4:$B$2003,$B1442)=$J1442,"OK","CHECK")))</f>
        <v/>
      </c>
      <c r="T1442" s="10" t="str">
        <f aca="false">IF($B1442="","",IFERROR(INDEX(Drinks!$D$4:$D$53,MATCH($B1442,Drinks!$A$4:$A$53,0)),0))</f>
        <v/>
      </c>
    </row>
    <row r="1443" customFormat="false" ht="15" hidden="false" customHeight="false" outlineLevel="0" collapsed="false">
      <c r="A1443" s="22"/>
      <c r="B1443" s="9"/>
      <c r="C1443" s="9"/>
      <c r="D1443" s="9"/>
      <c r="E1443" s="9"/>
      <c r="F1443" s="10" t="str">
        <f aca="false">IF($B1443="","",$C1443+$D1443-$E1443)</f>
        <v/>
      </c>
      <c r="G1443" s="10" t="str">
        <f aca="false">IF($B1443="","",IFERROR(INDEX(Drinks!$C$4:$C$53,MATCH($B1443,Drinks!$A$4:$A$53,0)),0))</f>
        <v/>
      </c>
      <c r="H1443" s="10" t="str">
        <f aca="false">IF($B1443="","",$D1443*$G1443)</f>
        <v/>
      </c>
      <c r="I1443" s="10" t="str">
        <f aca="false">IF($B1443="","",$F1443*$G1443)</f>
        <v/>
      </c>
      <c r="J1443" s="9"/>
      <c r="K1443" s="10" t="str">
        <f aca="false">IF($B1443="","",$E1443*IFERROR(INDEX(Drinks!$B$4:$B$53,MATCH($B1443,Drinks!$A$4:$A$53,0)),0))</f>
        <v/>
      </c>
      <c r="L1443" s="10" t="str">
        <f aca="false">IF($B1443="","",$J1443+$K1443)</f>
        <v/>
      </c>
      <c r="M1443" s="9"/>
      <c r="N1443" s="10" t="str">
        <f aca="false">IF($B1443="","",$L1443-$M1443)</f>
        <v/>
      </c>
      <c r="O1443" s="10" t="str">
        <f aca="false">IF($B1443="","",IFERROR(INDEX(Drinks!$E$4:$E$53,MATCH($B1443,Drinks!$A$4:$A$53,0)),0))</f>
        <v/>
      </c>
      <c r="P1443" s="10" t="str">
        <f aca="false">IF($B1443="","",$N1443*$O1443)</f>
        <v/>
      </c>
      <c r="Q1443" s="10" t="str">
        <f aca="false">IF($B1443="","",$N1443*IFERROR(INDEX(Drinks!$D$4:$D$53,MATCH($B1443,Drinks!$A$4:$A$53,0)),0))</f>
        <v/>
      </c>
      <c r="R1443" s="10" t="str">
        <f aca="false">IF($B1443="","",$P1443-$Q1443)</f>
        <v/>
      </c>
      <c r="S1443" s="23" t="str">
        <f aca="false">IF($B1443="","",IF(COUNTIFS($A$4:$A$2003,$A1443-1,$B$4:$B$2003,$B1443)=0,"first day",IF(SUMIFS($M$4:$M$2003,$A$4:$A$2003,$A1443-1,$B$4:$B$2003,$B1443)=$J1443,"OK","CHECK")))</f>
        <v/>
      </c>
      <c r="T1443" s="10" t="str">
        <f aca="false">IF($B1443="","",IFERROR(INDEX(Drinks!$D$4:$D$53,MATCH($B1443,Drinks!$A$4:$A$53,0)),0))</f>
        <v/>
      </c>
    </row>
    <row r="1444" customFormat="false" ht="15" hidden="false" customHeight="false" outlineLevel="0" collapsed="false">
      <c r="A1444" s="22"/>
      <c r="B1444" s="9"/>
      <c r="C1444" s="9"/>
      <c r="D1444" s="9"/>
      <c r="E1444" s="9"/>
      <c r="F1444" s="10" t="str">
        <f aca="false">IF($B1444="","",$C1444+$D1444-$E1444)</f>
        <v/>
      </c>
      <c r="G1444" s="10" t="str">
        <f aca="false">IF($B1444="","",IFERROR(INDEX(Drinks!$C$4:$C$53,MATCH($B1444,Drinks!$A$4:$A$53,0)),0))</f>
        <v/>
      </c>
      <c r="H1444" s="10" t="str">
        <f aca="false">IF($B1444="","",$D1444*$G1444)</f>
        <v/>
      </c>
      <c r="I1444" s="10" t="str">
        <f aca="false">IF($B1444="","",$F1444*$G1444)</f>
        <v/>
      </c>
      <c r="J1444" s="9"/>
      <c r="K1444" s="10" t="str">
        <f aca="false">IF($B1444="","",$E1444*IFERROR(INDEX(Drinks!$B$4:$B$53,MATCH($B1444,Drinks!$A$4:$A$53,0)),0))</f>
        <v/>
      </c>
      <c r="L1444" s="10" t="str">
        <f aca="false">IF($B1444="","",$J1444+$K1444)</f>
        <v/>
      </c>
      <c r="M1444" s="9"/>
      <c r="N1444" s="10" t="str">
        <f aca="false">IF($B1444="","",$L1444-$M1444)</f>
        <v/>
      </c>
      <c r="O1444" s="10" t="str">
        <f aca="false">IF($B1444="","",IFERROR(INDEX(Drinks!$E$4:$E$53,MATCH($B1444,Drinks!$A$4:$A$53,0)),0))</f>
        <v/>
      </c>
      <c r="P1444" s="10" t="str">
        <f aca="false">IF($B1444="","",$N1444*$O1444)</f>
        <v/>
      </c>
      <c r="Q1444" s="10" t="str">
        <f aca="false">IF($B1444="","",$N1444*IFERROR(INDEX(Drinks!$D$4:$D$53,MATCH($B1444,Drinks!$A$4:$A$53,0)),0))</f>
        <v/>
      </c>
      <c r="R1444" s="10" t="str">
        <f aca="false">IF($B1444="","",$P1444-$Q1444)</f>
        <v/>
      </c>
      <c r="S1444" s="23" t="str">
        <f aca="false">IF($B1444="","",IF(COUNTIFS($A$4:$A$2003,$A1444-1,$B$4:$B$2003,$B1444)=0,"first day",IF(SUMIFS($M$4:$M$2003,$A$4:$A$2003,$A1444-1,$B$4:$B$2003,$B1444)=$J1444,"OK","CHECK")))</f>
        <v/>
      </c>
      <c r="T1444" s="10" t="str">
        <f aca="false">IF($B1444="","",IFERROR(INDEX(Drinks!$D$4:$D$53,MATCH($B1444,Drinks!$A$4:$A$53,0)),0))</f>
        <v/>
      </c>
    </row>
    <row r="1445" customFormat="false" ht="15" hidden="false" customHeight="false" outlineLevel="0" collapsed="false">
      <c r="A1445" s="22"/>
      <c r="B1445" s="9"/>
      <c r="C1445" s="9"/>
      <c r="D1445" s="9"/>
      <c r="E1445" s="9"/>
      <c r="F1445" s="10" t="str">
        <f aca="false">IF($B1445="","",$C1445+$D1445-$E1445)</f>
        <v/>
      </c>
      <c r="G1445" s="10" t="str">
        <f aca="false">IF($B1445="","",IFERROR(INDEX(Drinks!$C$4:$C$53,MATCH($B1445,Drinks!$A$4:$A$53,0)),0))</f>
        <v/>
      </c>
      <c r="H1445" s="10" t="str">
        <f aca="false">IF($B1445="","",$D1445*$G1445)</f>
        <v/>
      </c>
      <c r="I1445" s="10" t="str">
        <f aca="false">IF($B1445="","",$F1445*$G1445)</f>
        <v/>
      </c>
      <c r="J1445" s="9"/>
      <c r="K1445" s="10" t="str">
        <f aca="false">IF($B1445="","",$E1445*IFERROR(INDEX(Drinks!$B$4:$B$53,MATCH($B1445,Drinks!$A$4:$A$53,0)),0))</f>
        <v/>
      </c>
      <c r="L1445" s="10" t="str">
        <f aca="false">IF($B1445="","",$J1445+$K1445)</f>
        <v/>
      </c>
      <c r="M1445" s="9"/>
      <c r="N1445" s="10" t="str">
        <f aca="false">IF($B1445="","",$L1445-$M1445)</f>
        <v/>
      </c>
      <c r="O1445" s="10" t="str">
        <f aca="false">IF($B1445="","",IFERROR(INDEX(Drinks!$E$4:$E$53,MATCH($B1445,Drinks!$A$4:$A$53,0)),0))</f>
        <v/>
      </c>
      <c r="P1445" s="10" t="str">
        <f aca="false">IF($B1445="","",$N1445*$O1445)</f>
        <v/>
      </c>
      <c r="Q1445" s="10" t="str">
        <f aca="false">IF($B1445="","",$N1445*IFERROR(INDEX(Drinks!$D$4:$D$53,MATCH($B1445,Drinks!$A$4:$A$53,0)),0))</f>
        <v/>
      </c>
      <c r="R1445" s="10" t="str">
        <f aca="false">IF($B1445="","",$P1445-$Q1445)</f>
        <v/>
      </c>
      <c r="S1445" s="23" t="str">
        <f aca="false">IF($B1445="","",IF(COUNTIFS($A$4:$A$2003,$A1445-1,$B$4:$B$2003,$B1445)=0,"first day",IF(SUMIFS($M$4:$M$2003,$A$4:$A$2003,$A1445-1,$B$4:$B$2003,$B1445)=$J1445,"OK","CHECK")))</f>
        <v/>
      </c>
      <c r="T1445" s="10" t="str">
        <f aca="false">IF($B1445="","",IFERROR(INDEX(Drinks!$D$4:$D$53,MATCH($B1445,Drinks!$A$4:$A$53,0)),0))</f>
        <v/>
      </c>
    </row>
    <row r="1446" customFormat="false" ht="15" hidden="false" customHeight="false" outlineLevel="0" collapsed="false">
      <c r="A1446" s="22"/>
      <c r="B1446" s="9"/>
      <c r="C1446" s="9"/>
      <c r="D1446" s="9"/>
      <c r="E1446" s="9"/>
      <c r="F1446" s="10" t="str">
        <f aca="false">IF($B1446="","",$C1446+$D1446-$E1446)</f>
        <v/>
      </c>
      <c r="G1446" s="10" t="str">
        <f aca="false">IF($B1446="","",IFERROR(INDEX(Drinks!$C$4:$C$53,MATCH($B1446,Drinks!$A$4:$A$53,0)),0))</f>
        <v/>
      </c>
      <c r="H1446" s="10" t="str">
        <f aca="false">IF($B1446="","",$D1446*$G1446)</f>
        <v/>
      </c>
      <c r="I1446" s="10" t="str">
        <f aca="false">IF($B1446="","",$F1446*$G1446)</f>
        <v/>
      </c>
      <c r="J1446" s="9"/>
      <c r="K1446" s="10" t="str">
        <f aca="false">IF($B1446="","",$E1446*IFERROR(INDEX(Drinks!$B$4:$B$53,MATCH($B1446,Drinks!$A$4:$A$53,0)),0))</f>
        <v/>
      </c>
      <c r="L1446" s="10" t="str">
        <f aca="false">IF($B1446="","",$J1446+$K1446)</f>
        <v/>
      </c>
      <c r="M1446" s="9"/>
      <c r="N1446" s="10" t="str">
        <f aca="false">IF($B1446="","",$L1446-$M1446)</f>
        <v/>
      </c>
      <c r="O1446" s="10" t="str">
        <f aca="false">IF($B1446="","",IFERROR(INDEX(Drinks!$E$4:$E$53,MATCH($B1446,Drinks!$A$4:$A$53,0)),0))</f>
        <v/>
      </c>
      <c r="P1446" s="10" t="str">
        <f aca="false">IF($B1446="","",$N1446*$O1446)</f>
        <v/>
      </c>
      <c r="Q1446" s="10" t="str">
        <f aca="false">IF($B1446="","",$N1446*IFERROR(INDEX(Drinks!$D$4:$D$53,MATCH($B1446,Drinks!$A$4:$A$53,0)),0))</f>
        <v/>
      </c>
      <c r="R1446" s="10" t="str">
        <f aca="false">IF($B1446="","",$P1446-$Q1446)</f>
        <v/>
      </c>
      <c r="S1446" s="23" t="str">
        <f aca="false">IF($B1446="","",IF(COUNTIFS($A$4:$A$2003,$A1446-1,$B$4:$B$2003,$B1446)=0,"first day",IF(SUMIFS($M$4:$M$2003,$A$4:$A$2003,$A1446-1,$B$4:$B$2003,$B1446)=$J1446,"OK","CHECK")))</f>
        <v/>
      </c>
      <c r="T1446" s="10" t="str">
        <f aca="false">IF($B1446="","",IFERROR(INDEX(Drinks!$D$4:$D$53,MATCH($B1446,Drinks!$A$4:$A$53,0)),0))</f>
        <v/>
      </c>
    </row>
    <row r="1447" customFormat="false" ht="15" hidden="false" customHeight="false" outlineLevel="0" collapsed="false">
      <c r="A1447" s="22"/>
      <c r="B1447" s="9"/>
      <c r="C1447" s="9"/>
      <c r="D1447" s="9"/>
      <c r="E1447" s="9"/>
      <c r="F1447" s="10" t="str">
        <f aca="false">IF($B1447="","",$C1447+$D1447-$E1447)</f>
        <v/>
      </c>
      <c r="G1447" s="10" t="str">
        <f aca="false">IF($B1447="","",IFERROR(INDEX(Drinks!$C$4:$C$53,MATCH($B1447,Drinks!$A$4:$A$53,0)),0))</f>
        <v/>
      </c>
      <c r="H1447" s="10" t="str">
        <f aca="false">IF($B1447="","",$D1447*$G1447)</f>
        <v/>
      </c>
      <c r="I1447" s="10" t="str">
        <f aca="false">IF($B1447="","",$F1447*$G1447)</f>
        <v/>
      </c>
      <c r="J1447" s="9"/>
      <c r="K1447" s="10" t="str">
        <f aca="false">IF($B1447="","",$E1447*IFERROR(INDEX(Drinks!$B$4:$B$53,MATCH($B1447,Drinks!$A$4:$A$53,0)),0))</f>
        <v/>
      </c>
      <c r="L1447" s="10" t="str">
        <f aca="false">IF($B1447="","",$J1447+$K1447)</f>
        <v/>
      </c>
      <c r="M1447" s="9"/>
      <c r="N1447" s="10" t="str">
        <f aca="false">IF($B1447="","",$L1447-$M1447)</f>
        <v/>
      </c>
      <c r="O1447" s="10" t="str">
        <f aca="false">IF($B1447="","",IFERROR(INDEX(Drinks!$E$4:$E$53,MATCH($B1447,Drinks!$A$4:$A$53,0)),0))</f>
        <v/>
      </c>
      <c r="P1447" s="10" t="str">
        <f aca="false">IF($B1447="","",$N1447*$O1447)</f>
        <v/>
      </c>
      <c r="Q1447" s="10" t="str">
        <f aca="false">IF($B1447="","",$N1447*IFERROR(INDEX(Drinks!$D$4:$D$53,MATCH($B1447,Drinks!$A$4:$A$53,0)),0))</f>
        <v/>
      </c>
      <c r="R1447" s="10" t="str">
        <f aca="false">IF($B1447="","",$P1447-$Q1447)</f>
        <v/>
      </c>
      <c r="S1447" s="23" t="str">
        <f aca="false">IF($B1447="","",IF(COUNTIFS($A$4:$A$2003,$A1447-1,$B$4:$B$2003,$B1447)=0,"first day",IF(SUMIFS($M$4:$M$2003,$A$4:$A$2003,$A1447-1,$B$4:$B$2003,$B1447)=$J1447,"OK","CHECK")))</f>
        <v/>
      </c>
      <c r="T1447" s="10" t="str">
        <f aca="false">IF($B1447="","",IFERROR(INDEX(Drinks!$D$4:$D$53,MATCH($B1447,Drinks!$A$4:$A$53,0)),0))</f>
        <v/>
      </c>
    </row>
    <row r="1448" customFormat="false" ht="15" hidden="false" customHeight="false" outlineLevel="0" collapsed="false">
      <c r="A1448" s="22"/>
      <c r="B1448" s="9"/>
      <c r="C1448" s="9"/>
      <c r="D1448" s="9"/>
      <c r="E1448" s="9"/>
      <c r="F1448" s="10" t="str">
        <f aca="false">IF($B1448="","",$C1448+$D1448-$E1448)</f>
        <v/>
      </c>
      <c r="G1448" s="10" t="str">
        <f aca="false">IF($B1448="","",IFERROR(INDEX(Drinks!$C$4:$C$53,MATCH($B1448,Drinks!$A$4:$A$53,0)),0))</f>
        <v/>
      </c>
      <c r="H1448" s="10" t="str">
        <f aca="false">IF($B1448="","",$D1448*$G1448)</f>
        <v/>
      </c>
      <c r="I1448" s="10" t="str">
        <f aca="false">IF($B1448="","",$F1448*$G1448)</f>
        <v/>
      </c>
      <c r="J1448" s="9"/>
      <c r="K1448" s="10" t="str">
        <f aca="false">IF($B1448="","",$E1448*IFERROR(INDEX(Drinks!$B$4:$B$53,MATCH($B1448,Drinks!$A$4:$A$53,0)),0))</f>
        <v/>
      </c>
      <c r="L1448" s="10" t="str">
        <f aca="false">IF($B1448="","",$J1448+$K1448)</f>
        <v/>
      </c>
      <c r="M1448" s="9"/>
      <c r="N1448" s="10" t="str">
        <f aca="false">IF($B1448="","",$L1448-$M1448)</f>
        <v/>
      </c>
      <c r="O1448" s="10" t="str">
        <f aca="false">IF($B1448="","",IFERROR(INDEX(Drinks!$E$4:$E$53,MATCH($B1448,Drinks!$A$4:$A$53,0)),0))</f>
        <v/>
      </c>
      <c r="P1448" s="10" t="str">
        <f aca="false">IF($B1448="","",$N1448*$O1448)</f>
        <v/>
      </c>
      <c r="Q1448" s="10" t="str">
        <f aca="false">IF($B1448="","",$N1448*IFERROR(INDEX(Drinks!$D$4:$D$53,MATCH($B1448,Drinks!$A$4:$A$53,0)),0))</f>
        <v/>
      </c>
      <c r="R1448" s="10" t="str">
        <f aca="false">IF($B1448="","",$P1448-$Q1448)</f>
        <v/>
      </c>
      <c r="S1448" s="23" t="str">
        <f aca="false">IF($B1448="","",IF(COUNTIFS($A$4:$A$2003,$A1448-1,$B$4:$B$2003,$B1448)=0,"first day",IF(SUMIFS($M$4:$M$2003,$A$4:$A$2003,$A1448-1,$B$4:$B$2003,$B1448)=$J1448,"OK","CHECK")))</f>
        <v/>
      </c>
      <c r="T1448" s="10" t="str">
        <f aca="false">IF($B1448="","",IFERROR(INDEX(Drinks!$D$4:$D$53,MATCH($B1448,Drinks!$A$4:$A$53,0)),0))</f>
        <v/>
      </c>
    </row>
    <row r="1449" customFormat="false" ht="15" hidden="false" customHeight="false" outlineLevel="0" collapsed="false">
      <c r="A1449" s="22"/>
      <c r="B1449" s="9"/>
      <c r="C1449" s="9"/>
      <c r="D1449" s="9"/>
      <c r="E1449" s="9"/>
      <c r="F1449" s="10" t="str">
        <f aca="false">IF($B1449="","",$C1449+$D1449-$E1449)</f>
        <v/>
      </c>
      <c r="G1449" s="10" t="str">
        <f aca="false">IF($B1449="","",IFERROR(INDEX(Drinks!$C$4:$C$53,MATCH($B1449,Drinks!$A$4:$A$53,0)),0))</f>
        <v/>
      </c>
      <c r="H1449" s="10" t="str">
        <f aca="false">IF($B1449="","",$D1449*$G1449)</f>
        <v/>
      </c>
      <c r="I1449" s="10" t="str">
        <f aca="false">IF($B1449="","",$F1449*$G1449)</f>
        <v/>
      </c>
      <c r="J1449" s="9"/>
      <c r="K1449" s="10" t="str">
        <f aca="false">IF($B1449="","",$E1449*IFERROR(INDEX(Drinks!$B$4:$B$53,MATCH($B1449,Drinks!$A$4:$A$53,0)),0))</f>
        <v/>
      </c>
      <c r="L1449" s="10" t="str">
        <f aca="false">IF($B1449="","",$J1449+$K1449)</f>
        <v/>
      </c>
      <c r="M1449" s="9"/>
      <c r="N1449" s="10" t="str">
        <f aca="false">IF($B1449="","",$L1449-$M1449)</f>
        <v/>
      </c>
      <c r="O1449" s="10" t="str">
        <f aca="false">IF($B1449="","",IFERROR(INDEX(Drinks!$E$4:$E$53,MATCH($B1449,Drinks!$A$4:$A$53,0)),0))</f>
        <v/>
      </c>
      <c r="P1449" s="10" t="str">
        <f aca="false">IF($B1449="","",$N1449*$O1449)</f>
        <v/>
      </c>
      <c r="Q1449" s="10" t="str">
        <f aca="false">IF($B1449="","",$N1449*IFERROR(INDEX(Drinks!$D$4:$D$53,MATCH($B1449,Drinks!$A$4:$A$53,0)),0))</f>
        <v/>
      </c>
      <c r="R1449" s="10" t="str">
        <f aca="false">IF($B1449="","",$P1449-$Q1449)</f>
        <v/>
      </c>
      <c r="S1449" s="23" t="str">
        <f aca="false">IF($B1449="","",IF(COUNTIFS($A$4:$A$2003,$A1449-1,$B$4:$B$2003,$B1449)=0,"first day",IF(SUMIFS($M$4:$M$2003,$A$4:$A$2003,$A1449-1,$B$4:$B$2003,$B1449)=$J1449,"OK","CHECK")))</f>
        <v/>
      </c>
      <c r="T1449" s="10" t="str">
        <f aca="false">IF($B1449="","",IFERROR(INDEX(Drinks!$D$4:$D$53,MATCH($B1449,Drinks!$A$4:$A$53,0)),0))</f>
        <v/>
      </c>
    </row>
    <row r="1450" customFormat="false" ht="15" hidden="false" customHeight="false" outlineLevel="0" collapsed="false">
      <c r="A1450" s="22"/>
      <c r="B1450" s="9"/>
      <c r="C1450" s="9"/>
      <c r="D1450" s="9"/>
      <c r="E1450" s="9"/>
      <c r="F1450" s="10" t="str">
        <f aca="false">IF($B1450="","",$C1450+$D1450-$E1450)</f>
        <v/>
      </c>
      <c r="G1450" s="10" t="str">
        <f aca="false">IF($B1450="","",IFERROR(INDEX(Drinks!$C$4:$C$53,MATCH($B1450,Drinks!$A$4:$A$53,0)),0))</f>
        <v/>
      </c>
      <c r="H1450" s="10" t="str">
        <f aca="false">IF($B1450="","",$D1450*$G1450)</f>
        <v/>
      </c>
      <c r="I1450" s="10" t="str">
        <f aca="false">IF($B1450="","",$F1450*$G1450)</f>
        <v/>
      </c>
      <c r="J1450" s="9"/>
      <c r="K1450" s="10" t="str">
        <f aca="false">IF($B1450="","",$E1450*IFERROR(INDEX(Drinks!$B$4:$B$53,MATCH($B1450,Drinks!$A$4:$A$53,0)),0))</f>
        <v/>
      </c>
      <c r="L1450" s="10" t="str">
        <f aca="false">IF($B1450="","",$J1450+$K1450)</f>
        <v/>
      </c>
      <c r="M1450" s="9"/>
      <c r="N1450" s="10" t="str">
        <f aca="false">IF($B1450="","",$L1450-$M1450)</f>
        <v/>
      </c>
      <c r="O1450" s="10" t="str">
        <f aca="false">IF($B1450="","",IFERROR(INDEX(Drinks!$E$4:$E$53,MATCH($B1450,Drinks!$A$4:$A$53,0)),0))</f>
        <v/>
      </c>
      <c r="P1450" s="10" t="str">
        <f aca="false">IF($B1450="","",$N1450*$O1450)</f>
        <v/>
      </c>
      <c r="Q1450" s="10" t="str">
        <f aca="false">IF($B1450="","",$N1450*IFERROR(INDEX(Drinks!$D$4:$D$53,MATCH($B1450,Drinks!$A$4:$A$53,0)),0))</f>
        <v/>
      </c>
      <c r="R1450" s="10" t="str">
        <f aca="false">IF($B1450="","",$P1450-$Q1450)</f>
        <v/>
      </c>
      <c r="S1450" s="23" t="str">
        <f aca="false">IF($B1450="","",IF(COUNTIFS($A$4:$A$2003,$A1450-1,$B$4:$B$2003,$B1450)=0,"first day",IF(SUMIFS($M$4:$M$2003,$A$4:$A$2003,$A1450-1,$B$4:$B$2003,$B1450)=$J1450,"OK","CHECK")))</f>
        <v/>
      </c>
      <c r="T1450" s="10" t="str">
        <f aca="false">IF($B1450="","",IFERROR(INDEX(Drinks!$D$4:$D$53,MATCH($B1450,Drinks!$A$4:$A$53,0)),0))</f>
        <v/>
      </c>
    </row>
    <row r="1451" customFormat="false" ht="15" hidden="false" customHeight="false" outlineLevel="0" collapsed="false">
      <c r="A1451" s="22"/>
      <c r="B1451" s="9"/>
      <c r="C1451" s="9"/>
      <c r="D1451" s="9"/>
      <c r="E1451" s="9"/>
      <c r="F1451" s="10" t="str">
        <f aca="false">IF($B1451="","",$C1451+$D1451-$E1451)</f>
        <v/>
      </c>
      <c r="G1451" s="10" t="str">
        <f aca="false">IF($B1451="","",IFERROR(INDEX(Drinks!$C$4:$C$53,MATCH($B1451,Drinks!$A$4:$A$53,0)),0))</f>
        <v/>
      </c>
      <c r="H1451" s="10" t="str">
        <f aca="false">IF($B1451="","",$D1451*$G1451)</f>
        <v/>
      </c>
      <c r="I1451" s="10" t="str">
        <f aca="false">IF($B1451="","",$F1451*$G1451)</f>
        <v/>
      </c>
      <c r="J1451" s="9"/>
      <c r="K1451" s="10" t="str">
        <f aca="false">IF($B1451="","",$E1451*IFERROR(INDEX(Drinks!$B$4:$B$53,MATCH($B1451,Drinks!$A$4:$A$53,0)),0))</f>
        <v/>
      </c>
      <c r="L1451" s="10" t="str">
        <f aca="false">IF($B1451="","",$J1451+$K1451)</f>
        <v/>
      </c>
      <c r="M1451" s="9"/>
      <c r="N1451" s="10" t="str">
        <f aca="false">IF($B1451="","",$L1451-$M1451)</f>
        <v/>
      </c>
      <c r="O1451" s="10" t="str">
        <f aca="false">IF($B1451="","",IFERROR(INDEX(Drinks!$E$4:$E$53,MATCH($B1451,Drinks!$A$4:$A$53,0)),0))</f>
        <v/>
      </c>
      <c r="P1451" s="10" t="str">
        <f aca="false">IF($B1451="","",$N1451*$O1451)</f>
        <v/>
      </c>
      <c r="Q1451" s="10" t="str">
        <f aca="false">IF($B1451="","",$N1451*IFERROR(INDEX(Drinks!$D$4:$D$53,MATCH($B1451,Drinks!$A$4:$A$53,0)),0))</f>
        <v/>
      </c>
      <c r="R1451" s="10" t="str">
        <f aca="false">IF($B1451="","",$P1451-$Q1451)</f>
        <v/>
      </c>
      <c r="S1451" s="23" t="str">
        <f aca="false">IF($B1451="","",IF(COUNTIFS($A$4:$A$2003,$A1451-1,$B$4:$B$2003,$B1451)=0,"first day",IF(SUMIFS($M$4:$M$2003,$A$4:$A$2003,$A1451-1,$B$4:$B$2003,$B1451)=$J1451,"OK","CHECK")))</f>
        <v/>
      </c>
      <c r="T1451" s="10" t="str">
        <f aca="false">IF($B1451="","",IFERROR(INDEX(Drinks!$D$4:$D$53,MATCH($B1451,Drinks!$A$4:$A$53,0)),0))</f>
        <v/>
      </c>
    </row>
    <row r="1452" customFormat="false" ht="15" hidden="false" customHeight="false" outlineLevel="0" collapsed="false">
      <c r="A1452" s="22"/>
      <c r="B1452" s="9"/>
      <c r="C1452" s="9"/>
      <c r="D1452" s="9"/>
      <c r="E1452" s="9"/>
      <c r="F1452" s="10" t="str">
        <f aca="false">IF($B1452="","",$C1452+$D1452-$E1452)</f>
        <v/>
      </c>
      <c r="G1452" s="10" t="str">
        <f aca="false">IF($B1452="","",IFERROR(INDEX(Drinks!$C$4:$C$53,MATCH($B1452,Drinks!$A$4:$A$53,0)),0))</f>
        <v/>
      </c>
      <c r="H1452" s="10" t="str">
        <f aca="false">IF($B1452="","",$D1452*$G1452)</f>
        <v/>
      </c>
      <c r="I1452" s="10" t="str">
        <f aca="false">IF($B1452="","",$F1452*$G1452)</f>
        <v/>
      </c>
      <c r="J1452" s="9"/>
      <c r="K1452" s="10" t="str">
        <f aca="false">IF($B1452="","",$E1452*IFERROR(INDEX(Drinks!$B$4:$B$53,MATCH($B1452,Drinks!$A$4:$A$53,0)),0))</f>
        <v/>
      </c>
      <c r="L1452" s="10" t="str">
        <f aca="false">IF($B1452="","",$J1452+$K1452)</f>
        <v/>
      </c>
      <c r="M1452" s="9"/>
      <c r="N1452" s="10" t="str">
        <f aca="false">IF($B1452="","",$L1452-$M1452)</f>
        <v/>
      </c>
      <c r="O1452" s="10" t="str">
        <f aca="false">IF($B1452="","",IFERROR(INDEX(Drinks!$E$4:$E$53,MATCH($B1452,Drinks!$A$4:$A$53,0)),0))</f>
        <v/>
      </c>
      <c r="P1452" s="10" t="str">
        <f aca="false">IF($B1452="","",$N1452*$O1452)</f>
        <v/>
      </c>
      <c r="Q1452" s="10" t="str">
        <f aca="false">IF($B1452="","",$N1452*IFERROR(INDEX(Drinks!$D$4:$D$53,MATCH($B1452,Drinks!$A$4:$A$53,0)),0))</f>
        <v/>
      </c>
      <c r="R1452" s="10" t="str">
        <f aca="false">IF($B1452="","",$P1452-$Q1452)</f>
        <v/>
      </c>
      <c r="S1452" s="23" t="str">
        <f aca="false">IF($B1452="","",IF(COUNTIFS($A$4:$A$2003,$A1452-1,$B$4:$B$2003,$B1452)=0,"first day",IF(SUMIFS($M$4:$M$2003,$A$4:$A$2003,$A1452-1,$B$4:$B$2003,$B1452)=$J1452,"OK","CHECK")))</f>
        <v/>
      </c>
      <c r="T1452" s="10" t="str">
        <f aca="false">IF($B1452="","",IFERROR(INDEX(Drinks!$D$4:$D$53,MATCH($B1452,Drinks!$A$4:$A$53,0)),0))</f>
        <v/>
      </c>
    </row>
    <row r="1453" customFormat="false" ht="15" hidden="false" customHeight="false" outlineLevel="0" collapsed="false">
      <c r="A1453" s="22"/>
      <c r="B1453" s="9"/>
      <c r="C1453" s="9"/>
      <c r="D1453" s="9"/>
      <c r="E1453" s="9"/>
      <c r="F1453" s="10" t="str">
        <f aca="false">IF($B1453="","",$C1453+$D1453-$E1453)</f>
        <v/>
      </c>
      <c r="G1453" s="10" t="str">
        <f aca="false">IF($B1453="","",IFERROR(INDEX(Drinks!$C$4:$C$53,MATCH($B1453,Drinks!$A$4:$A$53,0)),0))</f>
        <v/>
      </c>
      <c r="H1453" s="10" t="str">
        <f aca="false">IF($B1453="","",$D1453*$G1453)</f>
        <v/>
      </c>
      <c r="I1453" s="10" t="str">
        <f aca="false">IF($B1453="","",$F1453*$G1453)</f>
        <v/>
      </c>
      <c r="J1453" s="9"/>
      <c r="K1453" s="10" t="str">
        <f aca="false">IF($B1453="","",$E1453*IFERROR(INDEX(Drinks!$B$4:$B$53,MATCH($B1453,Drinks!$A$4:$A$53,0)),0))</f>
        <v/>
      </c>
      <c r="L1453" s="10" t="str">
        <f aca="false">IF($B1453="","",$J1453+$K1453)</f>
        <v/>
      </c>
      <c r="M1453" s="9"/>
      <c r="N1453" s="10" t="str">
        <f aca="false">IF($B1453="","",$L1453-$M1453)</f>
        <v/>
      </c>
      <c r="O1453" s="10" t="str">
        <f aca="false">IF($B1453="","",IFERROR(INDEX(Drinks!$E$4:$E$53,MATCH($B1453,Drinks!$A$4:$A$53,0)),0))</f>
        <v/>
      </c>
      <c r="P1453" s="10" t="str">
        <f aca="false">IF($B1453="","",$N1453*$O1453)</f>
        <v/>
      </c>
      <c r="Q1453" s="10" t="str">
        <f aca="false">IF($B1453="","",$N1453*IFERROR(INDEX(Drinks!$D$4:$D$53,MATCH($B1453,Drinks!$A$4:$A$53,0)),0))</f>
        <v/>
      </c>
      <c r="R1453" s="10" t="str">
        <f aca="false">IF($B1453="","",$P1453-$Q1453)</f>
        <v/>
      </c>
      <c r="S1453" s="23" t="str">
        <f aca="false">IF($B1453="","",IF(COUNTIFS($A$4:$A$2003,$A1453-1,$B$4:$B$2003,$B1453)=0,"first day",IF(SUMIFS($M$4:$M$2003,$A$4:$A$2003,$A1453-1,$B$4:$B$2003,$B1453)=$J1453,"OK","CHECK")))</f>
        <v/>
      </c>
      <c r="T1453" s="10" t="str">
        <f aca="false">IF($B1453="","",IFERROR(INDEX(Drinks!$D$4:$D$53,MATCH($B1453,Drinks!$A$4:$A$53,0)),0))</f>
        <v/>
      </c>
    </row>
    <row r="1454" customFormat="false" ht="15" hidden="false" customHeight="false" outlineLevel="0" collapsed="false">
      <c r="A1454" s="22"/>
      <c r="B1454" s="9"/>
      <c r="C1454" s="9"/>
      <c r="D1454" s="9"/>
      <c r="E1454" s="9"/>
      <c r="F1454" s="10" t="str">
        <f aca="false">IF($B1454="","",$C1454+$D1454-$E1454)</f>
        <v/>
      </c>
      <c r="G1454" s="10" t="str">
        <f aca="false">IF($B1454="","",IFERROR(INDEX(Drinks!$C$4:$C$53,MATCH($B1454,Drinks!$A$4:$A$53,0)),0))</f>
        <v/>
      </c>
      <c r="H1454" s="10" t="str">
        <f aca="false">IF($B1454="","",$D1454*$G1454)</f>
        <v/>
      </c>
      <c r="I1454" s="10" t="str">
        <f aca="false">IF($B1454="","",$F1454*$G1454)</f>
        <v/>
      </c>
      <c r="J1454" s="9"/>
      <c r="K1454" s="10" t="str">
        <f aca="false">IF($B1454="","",$E1454*IFERROR(INDEX(Drinks!$B$4:$B$53,MATCH($B1454,Drinks!$A$4:$A$53,0)),0))</f>
        <v/>
      </c>
      <c r="L1454" s="10" t="str">
        <f aca="false">IF($B1454="","",$J1454+$K1454)</f>
        <v/>
      </c>
      <c r="M1454" s="9"/>
      <c r="N1454" s="10" t="str">
        <f aca="false">IF($B1454="","",$L1454-$M1454)</f>
        <v/>
      </c>
      <c r="O1454" s="10" t="str">
        <f aca="false">IF($B1454="","",IFERROR(INDEX(Drinks!$E$4:$E$53,MATCH($B1454,Drinks!$A$4:$A$53,0)),0))</f>
        <v/>
      </c>
      <c r="P1454" s="10" t="str">
        <f aca="false">IF($B1454="","",$N1454*$O1454)</f>
        <v/>
      </c>
      <c r="Q1454" s="10" t="str">
        <f aca="false">IF($B1454="","",$N1454*IFERROR(INDEX(Drinks!$D$4:$D$53,MATCH($B1454,Drinks!$A$4:$A$53,0)),0))</f>
        <v/>
      </c>
      <c r="R1454" s="10" t="str">
        <f aca="false">IF($B1454="","",$P1454-$Q1454)</f>
        <v/>
      </c>
      <c r="S1454" s="23" t="str">
        <f aca="false">IF($B1454="","",IF(COUNTIFS($A$4:$A$2003,$A1454-1,$B$4:$B$2003,$B1454)=0,"first day",IF(SUMIFS($M$4:$M$2003,$A$4:$A$2003,$A1454-1,$B$4:$B$2003,$B1454)=$J1454,"OK","CHECK")))</f>
        <v/>
      </c>
      <c r="T1454" s="10" t="str">
        <f aca="false">IF($B1454="","",IFERROR(INDEX(Drinks!$D$4:$D$53,MATCH($B1454,Drinks!$A$4:$A$53,0)),0))</f>
        <v/>
      </c>
    </row>
    <row r="1455" customFormat="false" ht="15" hidden="false" customHeight="false" outlineLevel="0" collapsed="false">
      <c r="A1455" s="22"/>
      <c r="B1455" s="9"/>
      <c r="C1455" s="9"/>
      <c r="D1455" s="9"/>
      <c r="E1455" s="9"/>
      <c r="F1455" s="10" t="str">
        <f aca="false">IF($B1455="","",$C1455+$D1455-$E1455)</f>
        <v/>
      </c>
      <c r="G1455" s="10" t="str">
        <f aca="false">IF($B1455="","",IFERROR(INDEX(Drinks!$C$4:$C$53,MATCH($B1455,Drinks!$A$4:$A$53,0)),0))</f>
        <v/>
      </c>
      <c r="H1455" s="10" t="str">
        <f aca="false">IF($B1455="","",$D1455*$G1455)</f>
        <v/>
      </c>
      <c r="I1455" s="10" t="str">
        <f aca="false">IF($B1455="","",$F1455*$G1455)</f>
        <v/>
      </c>
      <c r="J1455" s="9"/>
      <c r="K1455" s="10" t="str">
        <f aca="false">IF($B1455="","",$E1455*IFERROR(INDEX(Drinks!$B$4:$B$53,MATCH($B1455,Drinks!$A$4:$A$53,0)),0))</f>
        <v/>
      </c>
      <c r="L1455" s="10" t="str">
        <f aca="false">IF($B1455="","",$J1455+$K1455)</f>
        <v/>
      </c>
      <c r="M1455" s="9"/>
      <c r="N1455" s="10" t="str">
        <f aca="false">IF($B1455="","",$L1455-$M1455)</f>
        <v/>
      </c>
      <c r="O1455" s="10" t="str">
        <f aca="false">IF($B1455="","",IFERROR(INDEX(Drinks!$E$4:$E$53,MATCH($B1455,Drinks!$A$4:$A$53,0)),0))</f>
        <v/>
      </c>
      <c r="P1455" s="10" t="str">
        <f aca="false">IF($B1455="","",$N1455*$O1455)</f>
        <v/>
      </c>
      <c r="Q1455" s="10" t="str">
        <f aca="false">IF($B1455="","",$N1455*IFERROR(INDEX(Drinks!$D$4:$D$53,MATCH($B1455,Drinks!$A$4:$A$53,0)),0))</f>
        <v/>
      </c>
      <c r="R1455" s="10" t="str">
        <f aca="false">IF($B1455="","",$P1455-$Q1455)</f>
        <v/>
      </c>
      <c r="S1455" s="23" t="str">
        <f aca="false">IF($B1455="","",IF(COUNTIFS($A$4:$A$2003,$A1455-1,$B$4:$B$2003,$B1455)=0,"first day",IF(SUMIFS($M$4:$M$2003,$A$4:$A$2003,$A1455-1,$B$4:$B$2003,$B1455)=$J1455,"OK","CHECK")))</f>
        <v/>
      </c>
      <c r="T1455" s="10" t="str">
        <f aca="false">IF($B1455="","",IFERROR(INDEX(Drinks!$D$4:$D$53,MATCH($B1455,Drinks!$A$4:$A$53,0)),0))</f>
        <v/>
      </c>
    </row>
    <row r="1456" customFormat="false" ht="15" hidden="false" customHeight="false" outlineLevel="0" collapsed="false">
      <c r="A1456" s="22"/>
      <c r="B1456" s="9"/>
      <c r="C1456" s="9"/>
      <c r="D1456" s="9"/>
      <c r="E1456" s="9"/>
      <c r="F1456" s="10" t="str">
        <f aca="false">IF($B1456="","",$C1456+$D1456-$E1456)</f>
        <v/>
      </c>
      <c r="G1456" s="10" t="str">
        <f aca="false">IF($B1456="","",IFERROR(INDEX(Drinks!$C$4:$C$53,MATCH($B1456,Drinks!$A$4:$A$53,0)),0))</f>
        <v/>
      </c>
      <c r="H1456" s="10" t="str">
        <f aca="false">IF($B1456="","",$D1456*$G1456)</f>
        <v/>
      </c>
      <c r="I1456" s="10" t="str">
        <f aca="false">IF($B1456="","",$F1456*$G1456)</f>
        <v/>
      </c>
      <c r="J1456" s="9"/>
      <c r="K1456" s="10" t="str">
        <f aca="false">IF($B1456="","",$E1456*IFERROR(INDEX(Drinks!$B$4:$B$53,MATCH($B1456,Drinks!$A$4:$A$53,0)),0))</f>
        <v/>
      </c>
      <c r="L1456" s="10" t="str">
        <f aca="false">IF($B1456="","",$J1456+$K1456)</f>
        <v/>
      </c>
      <c r="M1456" s="9"/>
      <c r="N1456" s="10" t="str">
        <f aca="false">IF($B1456="","",$L1456-$M1456)</f>
        <v/>
      </c>
      <c r="O1456" s="10" t="str">
        <f aca="false">IF($B1456="","",IFERROR(INDEX(Drinks!$E$4:$E$53,MATCH($B1456,Drinks!$A$4:$A$53,0)),0))</f>
        <v/>
      </c>
      <c r="P1456" s="10" t="str">
        <f aca="false">IF($B1456="","",$N1456*$O1456)</f>
        <v/>
      </c>
      <c r="Q1456" s="10" t="str">
        <f aca="false">IF($B1456="","",$N1456*IFERROR(INDEX(Drinks!$D$4:$D$53,MATCH($B1456,Drinks!$A$4:$A$53,0)),0))</f>
        <v/>
      </c>
      <c r="R1456" s="10" t="str">
        <f aca="false">IF($B1456="","",$P1456-$Q1456)</f>
        <v/>
      </c>
      <c r="S1456" s="23" t="str">
        <f aca="false">IF($B1456="","",IF(COUNTIFS($A$4:$A$2003,$A1456-1,$B$4:$B$2003,$B1456)=0,"first day",IF(SUMIFS($M$4:$M$2003,$A$4:$A$2003,$A1456-1,$B$4:$B$2003,$B1456)=$J1456,"OK","CHECK")))</f>
        <v/>
      </c>
      <c r="T1456" s="10" t="str">
        <f aca="false">IF($B1456="","",IFERROR(INDEX(Drinks!$D$4:$D$53,MATCH($B1456,Drinks!$A$4:$A$53,0)),0))</f>
        <v/>
      </c>
    </row>
    <row r="1457" customFormat="false" ht="15" hidden="false" customHeight="false" outlineLevel="0" collapsed="false">
      <c r="A1457" s="22"/>
      <c r="B1457" s="9"/>
      <c r="C1457" s="9"/>
      <c r="D1457" s="9"/>
      <c r="E1457" s="9"/>
      <c r="F1457" s="10" t="str">
        <f aca="false">IF($B1457="","",$C1457+$D1457-$E1457)</f>
        <v/>
      </c>
      <c r="G1457" s="10" t="str">
        <f aca="false">IF($B1457="","",IFERROR(INDEX(Drinks!$C$4:$C$53,MATCH($B1457,Drinks!$A$4:$A$53,0)),0))</f>
        <v/>
      </c>
      <c r="H1457" s="10" t="str">
        <f aca="false">IF($B1457="","",$D1457*$G1457)</f>
        <v/>
      </c>
      <c r="I1457" s="10" t="str">
        <f aca="false">IF($B1457="","",$F1457*$G1457)</f>
        <v/>
      </c>
      <c r="J1457" s="9"/>
      <c r="K1457" s="10" t="str">
        <f aca="false">IF($B1457="","",$E1457*IFERROR(INDEX(Drinks!$B$4:$B$53,MATCH($B1457,Drinks!$A$4:$A$53,0)),0))</f>
        <v/>
      </c>
      <c r="L1457" s="10" t="str">
        <f aca="false">IF($B1457="","",$J1457+$K1457)</f>
        <v/>
      </c>
      <c r="M1457" s="9"/>
      <c r="N1457" s="10" t="str">
        <f aca="false">IF($B1457="","",$L1457-$M1457)</f>
        <v/>
      </c>
      <c r="O1457" s="10" t="str">
        <f aca="false">IF($B1457="","",IFERROR(INDEX(Drinks!$E$4:$E$53,MATCH($B1457,Drinks!$A$4:$A$53,0)),0))</f>
        <v/>
      </c>
      <c r="P1457" s="10" t="str">
        <f aca="false">IF($B1457="","",$N1457*$O1457)</f>
        <v/>
      </c>
      <c r="Q1457" s="10" t="str">
        <f aca="false">IF($B1457="","",$N1457*IFERROR(INDEX(Drinks!$D$4:$D$53,MATCH($B1457,Drinks!$A$4:$A$53,0)),0))</f>
        <v/>
      </c>
      <c r="R1457" s="10" t="str">
        <f aca="false">IF($B1457="","",$P1457-$Q1457)</f>
        <v/>
      </c>
      <c r="S1457" s="23" t="str">
        <f aca="false">IF($B1457="","",IF(COUNTIFS($A$4:$A$2003,$A1457-1,$B$4:$B$2003,$B1457)=0,"first day",IF(SUMIFS($M$4:$M$2003,$A$4:$A$2003,$A1457-1,$B$4:$B$2003,$B1457)=$J1457,"OK","CHECK")))</f>
        <v/>
      </c>
      <c r="T1457" s="10" t="str">
        <f aca="false">IF($B1457="","",IFERROR(INDEX(Drinks!$D$4:$D$53,MATCH($B1457,Drinks!$A$4:$A$53,0)),0))</f>
        <v/>
      </c>
    </row>
    <row r="1458" customFormat="false" ht="15" hidden="false" customHeight="false" outlineLevel="0" collapsed="false">
      <c r="A1458" s="22"/>
      <c r="B1458" s="9"/>
      <c r="C1458" s="9"/>
      <c r="D1458" s="9"/>
      <c r="E1458" s="9"/>
      <c r="F1458" s="10" t="str">
        <f aca="false">IF($B1458="","",$C1458+$D1458-$E1458)</f>
        <v/>
      </c>
      <c r="G1458" s="10" t="str">
        <f aca="false">IF($B1458="","",IFERROR(INDEX(Drinks!$C$4:$C$53,MATCH($B1458,Drinks!$A$4:$A$53,0)),0))</f>
        <v/>
      </c>
      <c r="H1458" s="10" t="str">
        <f aca="false">IF($B1458="","",$D1458*$G1458)</f>
        <v/>
      </c>
      <c r="I1458" s="10" t="str">
        <f aca="false">IF($B1458="","",$F1458*$G1458)</f>
        <v/>
      </c>
      <c r="J1458" s="9"/>
      <c r="K1458" s="10" t="str">
        <f aca="false">IF($B1458="","",$E1458*IFERROR(INDEX(Drinks!$B$4:$B$53,MATCH($B1458,Drinks!$A$4:$A$53,0)),0))</f>
        <v/>
      </c>
      <c r="L1458" s="10" t="str">
        <f aca="false">IF($B1458="","",$J1458+$K1458)</f>
        <v/>
      </c>
      <c r="M1458" s="9"/>
      <c r="N1458" s="10" t="str">
        <f aca="false">IF($B1458="","",$L1458-$M1458)</f>
        <v/>
      </c>
      <c r="O1458" s="10" t="str">
        <f aca="false">IF($B1458="","",IFERROR(INDEX(Drinks!$E$4:$E$53,MATCH($B1458,Drinks!$A$4:$A$53,0)),0))</f>
        <v/>
      </c>
      <c r="P1458" s="10" t="str">
        <f aca="false">IF($B1458="","",$N1458*$O1458)</f>
        <v/>
      </c>
      <c r="Q1458" s="10" t="str">
        <f aca="false">IF($B1458="","",$N1458*IFERROR(INDEX(Drinks!$D$4:$D$53,MATCH($B1458,Drinks!$A$4:$A$53,0)),0))</f>
        <v/>
      </c>
      <c r="R1458" s="10" t="str">
        <f aca="false">IF($B1458="","",$P1458-$Q1458)</f>
        <v/>
      </c>
      <c r="S1458" s="23" t="str">
        <f aca="false">IF($B1458="","",IF(COUNTIFS($A$4:$A$2003,$A1458-1,$B$4:$B$2003,$B1458)=0,"first day",IF(SUMIFS($M$4:$M$2003,$A$4:$A$2003,$A1458-1,$B$4:$B$2003,$B1458)=$J1458,"OK","CHECK")))</f>
        <v/>
      </c>
      <c r="T1458" s="10" t="str">
        <f aca="false">IF($B1458="","",IFERROR(INDEX(Drinks!$D$4:$D$53,MATCH($B1458,Drinks!$A$4:$A$53,0)),0))</f>
        <v/>
      </c>
    </row>
    <row r="1459" customFormat="false" ht="15" hidden="false" customHeight="false" outlineLevel="0" collapsed="false">
      <c r="A1459" s="22"/>
      <c r="B1459" s="9"/>
      <c r="C1459" s="9"/>
      <c r="D1459" s="9"/>
      <c r="E1459" s="9"/>
      <c r="F1459" s="10" t="str">
        <f aca="false">IF($B1459="","",$C1459+$D1459-$E1459)</f>
        <v/>
      </c>
      <c r="G1459" s="10" t="str">
        <f aca="false">IF($B1459="","",IFERROR(INDEX(Drinks!$C$4:$C$53,MATCH($B1459,Drinks!$A$4:$A$53,0)),0))</f>
        <v/>
      </c>
      <c r="H1459" s="10" t="str">
        <f aca="false">IF($B1459="","",$D1459*$G1459)</f>
        <v/>
      </c>
      <c r="I1459" s="10" t="str">
        <f aca="false">IF($B1459="","",$F1459*$G1459)</f>
        <v/>
      </c>
      <c r="J1459" s="9"/>
      <c r="K1459" s="10" t="str">
        <f aca="false">IF($B1459="","",$E1459*IFERROR(INDEX(Drinks!$B$4:$B$53,MATCH($B1459,Drinks!$A$4:$A$53,0)),0))</f>
        <v/>
      </c>
      <c r="L1459" s="10" t="str">
        <f aca="false">IF($B1459="","",$J1459+$K1459)</f>
        <v/>
      </c>
      <c r="M1459" s="9"/>
      <c r="N1459" s="10" t="str">
        <f aca="false">IF($B1459="","",$L1459-$M1459)</f>
        <v/>
      </c>
      <c r="O1459" s="10" t="str">
        <f aca="false">IF($B1459="","",IFERROR(INDEX(Drinks!$E$4:$E$53,MATCH($B1459,Drinks!$A$4:$A$53,0)),0))</f>
        <v/>
      </c>
      <c r="P1459" s="10" t="str">
        <f aca="false">IF($B1459="","",$N1459*$O1459)</f>
        <v/>
      </c>
      <c r="Q1459" s="10" t="str">
        <f aca="false">IF($B1459="","",$N1459*IFERROR(INDEX(Drinks!$D$4:$D$53,MATCH($B1459,Drinks!$A$4:$A$53,0)),0))</f>
        <v/>
      </c>
      <c r="R1459" s="10" t="str">
        <f aca="false">IF($B1459="","",$P1459-$Q1459)</f>
        <v/>
      </c>
      <c r="S1459" s="23" t="str">
        <f aca="false">IF($B1459="","",IF(COUNTIFS($A$4:$A$2003,$A1459-1,$B$4:$B$2003,$B1459)=0,"first day",IF(SUMIFS($M$4:$M$2003,$A$4:$A$2003,$A1459-1,$B$4:$B$2003,$B1459)=$J1459,"OK","CHECK")))</f>
        <v/>
      </c>
      <c r="T1459" s="10" t="str">
        <f aca="false">IF($B1459="","",IFERROR(INDEX(Drinks!$D$4:$D$53,MATCH($B1459,Drinks!$A$4:$A$53,0)),0))</f>
        <v/>
      </c>
    </row>
    <row r="1460" customFormat="false" ht="15" hidden="false" customHeight="false" outlineLevel="0" collapsed="false">
      <c r="A1460" s="22"/>
      <c r="B1460" s="9"/>
      <c r="C1460" s="9"/>
      <c r="D1460" s="9"/>
      <c r="E1460" s="9"/>
      <c r="F1460" s="10" t="str">
        <f aca="false">IF($B1460="","",$C1460+$D1460-$E1460)</f>
        <v/>
      </c>
      <c r="G1460" s="10" t="str">
        <f aca="false">IF($B1460="","",IFERROR(INDEX(Drinks!$C$4:$C$53,MATCH($B1460,Drinks!$A$4:$A$53,0)),0))</f>
        <v/>
      </c>
      <c r="H1460" s="10" t="str">
        <f aca="false">IF($B1460="","",$D1460*$G1460)</f>
        <v/>
      </c>
      <c r="I1460" s="10" t="str">
        <f aca="false">IF($B1460="","",$F1460*$G1460)</f>
        <v/>
      </c>
      <c r="J1460" s="9"/>
      <c r="K1460" s="10" t="str">
        <f aca="false">IF($B1460="","",$E1460*IFERROR(INDEX(Drinks!$B$4:$B$53,MATCH($B1460,Drinks!$A$4:$A$53,0)),0))</f>
        <v/>
      </c>
      <c r="L1460" s="10" t="str">
        <f aca="false">IF($B1460="","",$J1460+$K1460)</f>
        <v/>
      </c>
      <c r="M1460" s="9"/>
      <c r="N1460" s="10" t="str">
        <f aca="false">IF($B1460="","",$L1460-$M1460)</f>
        <v/>
      </c>
      <c r="O1460" s="10" t="str">
        <f aca="false">IF($B1460="","",IFERROR(INDEX(Drinks!$E$4:$E$53,MATCH($B1460,Drinks!$A$4:$A$53,0)),0))</f>
        <v/>
      </c>
      <c r="P1460" s="10" t="str">
        <f aca="false">IF($B1460="","",$N1460*$O1460)</f>
        <v/>
      </c>
      <c r="Q1460" s="10" t="str">
        <f aca="false">IF($B1460="","",$N1460*IFERROR(INDEX(Drinks!$D$4:$D$53,MATCH($B1460,Drinks!$A$4:$A$53,0)),0))</f>
        <v/>
      </c>
      <c r="R1460" s="10" t="str">
        <f aca="false">IF($B1460="","",$P1460-$Q1460)</f>
        <v/>
      </c>
      <c r="S1460" s="23" t="str">
        <f aca="false">IF($B1460="","",IF(COUNTIFS($A$4:$A$2003,$A1460-1,$B$4:$B$2003,$B1460)=0,"first day",IF(SUMIFS($M$4:$M$2003,$A$4:$A$2003,$A1460-1,$B$4:$B$2003,$B1460)=$J1460,"OK","CHECK")))</f>
        <v/>
      </c>
      <c r="T1460" s="10" t="str">
        <f aca="false">IF($B1460="","",IFERROR(INDEX(Drinks!$D$4:$D$53,MATCH($B1460,Drinks!$A$4:$A$53,0)),0))</f>
        <v/>
      </c>
    </row>
    <row r="1461" customFormat="false" ht="15" hidden="false" customHeight="false" outlineLevel="0" collapsed="false">
      <c r="A1461" s="22"/>
      <c r="B1461" s="9"/>
      <c r="C1461" s="9"/>
      <c r="D1461" s="9"/>
      <c r="E1461" s="9"/>
      <c r="F1461" s="10" t="str">
        <f aca="false">IF($B1461="","",$C1461+$D1461-$E1461)</f>
        <v/>
      </c>
      <c r="G1461" s="10" t="str">
        <f aca="false">IF($B1461="","",IFERROR(INDEX(Drinks!$C$4:$C$53,MATCH($B1461,Drinks!$A$4:$A$53,0)),0))</f>
        <v/>
      </c>
      <c r="H1461" s="10" t="str">
        <f aca="false">IF($B1461="","",$D1461*$G1461)</f>
        <v/>
      </c>
      <c r="I1461" s="10" t="str">
        <f aca="false">IF($B1461="","",$F1461*$G1461)</f>
        <v/>
      </c>
      <c r="J1461" s="9"/>
      <c r="K1461" s="10" t="str">
        <f aca="false">IF($B1461="","",$E1461*IFERROR(INDEX(Drinks!$B$4:$B$53,MATCH($B1461,Drinks!$A$4:$A$53,0)),0))</f>
        <v/>
      </c>
      <c r="L1461" s="10" t="str">
        <f aca="false">IF($B1461="","",$J1461+$K1461)</f>
        <v/>
      </c>
      <c r="M1461" s="9"/>
      <c r="N1461" s="10" t="str">
        <f aca="false">IF($B1461="","",$L1461-$M1461)</f>
        <v/>
      </c>
      <c r="O1461" s="10" t="str">
        <f aca="false">IF($B1461="","",IFERROR(INDEX(Drinks!$E$4:$E$53,MATCH($B1461,Drinks!$A$4:$A$53,0)),0))</f>
        <v/>
      </c>
      <c r="P1461" s="10" t="str">
        <f aca="false">IF($B1461="","",$N1461*$O1461)</f>
        <v/>
      </c>
      <c r="Q1461" s="10" t="str">
        <f aca="false">IF($B1461="","",$N1461*IFERROR(INDEX(Drinks!$D$4:$D$53,MATCH($B1461,Drinks!$A$4:$A$53,0)),0))</f>
        <v/>
      </c>
      <c r="R1461" s="10" t="str">
        <f aca="false">IF($B1461="","",$P1461-$Q1461)</f>
        <v/>
      </c>
      <c r="S1461" s="23" t="str">
        <f aca="false">IF($B1461="","",IF(COUNTIFS($A$4:$A$2003,$A1461-1,$B$4:$B$2003,$B1461)=0,"first day",IF(SUMIFS($M$4:$M$2003,$A$4:$A$2003,$A1461-1,$B$4:$B$2003,$B1461)=$J1461,"OK","CHECK")))</f>
        <v/>
      </c>
      <c r="T1461" s="10" t="str">
        <f aca="false">IF($B1461="","",IFERROR(INDEX(Drinks!$D$4:$D$53,MATCH($B1461,Drinks!$A$4:$A$53,0)),0))</f>
        <v/>
      </c>
    </row>
    <row r="1462" customFormat="false" ht="15" hidden="false" customHeight="false" outlineLevel="0" collapsed="false">
      <c r="A1462" s="22"/>
      <c r="B1462" s="9"/>
      <c r="C1462" s="9"/>
      <c r="D1462" s="9"/>
      <c r="E1462" s="9"/>
      <c r="F1462" s="10" t="str">
        <f aca="false">IF($B1462="","",$C1462+$D1462-$E1462)</f>
        <v/>
      </c>
      <c r="G1462" s="10" t="str">
        <f aca="false">IF($B1462="","",IFERROR(INDEX(Drinks!$C$4:$C$53,MATCH($B1462,Drinks!$A$4:$A$53,0)),0))</f>
        <v/>
      </c>
      <c r="H1462" s="10" t="str">
        <f aca="false">IF($B1462="","",$D1462*$G1462)</f>
        <v/>
      </c>
      <c r="I1462" s="10" t="str">
        <f aca="false">IF($B1462="","",$F1462*$G1462)</f>
        <v/>
      </c>
      <c r="J1462" s="9"/>
      <c r="K1462" s="10" t="str">
        <f aca="false">IF($B1462="","",$E1462*IFERROR(INDEX(Drinks!$B$4:$B$53,MATCH($B1462,Drinks!$A$4:$A$53,0)),0))</f>
        <v/>
      </c>
      <c r="L1462" s="10" t="str">
        <f aca="false">IF($B1462="","",$J1462+$K1462)</f>
        <v/>
      </c>
      <c r="M1462" s="9"/>
      <c r="N1462" s="10" t="str">
        <f aca="false">IF($B1462="","",$L1462-$M1462)</f>
        <v/>
      </c>
      <c r="O1462" s="10" t="str">
        <f aca="false">IF($B1462="","",IFERROR(INDEX(Drinks!$E$4:$E$53,MATCH($B1462,Drinks!$A$4:$A$53,0)),0))</f>
        <v/>
      </c>
      <c r="P1462" s="10" t="str">
        <f aca="false">IF($B1462="","",$N1462*$O1462)</f>
        <v/>
      </c>
      <c r="Q1462" s="10" t="str">
        <f aca="false">IF($B1462="","",$N1462*IFERROR(INDEX(Drinks!$D$4:$D$53,MATCH($B1462,Drinks!$A$4:$A$53,0)),0))</f>
        <v/>
      </c>
      <c r="R1462" s="10" t="str">
        <f aca="false">IF($B1462="","",$P1462-$Q1462)</f>
        <v/>
      </c>
      <c r="S1462" s="23" t="str">
        <f aca="false">IF($B1462="","",IF(COUNTIFS($A$4:$A$2003,$A1462-1,$B$4:$B$2003,$B1462)=0,"first day",IF(SUMIFS($M$4:$M$2003,$A$4:$A$2003,$A1462-1,$B$4:$B$2003,$B1462)=$J1462,"OK","CHECK")))</f>
        <v/>
      </c>
      <c r="T1462" s="10" t="str">
        <f aca="false">IF($B1462="","",IFERROR(INDEX(Drinks!$D$4:$D$53,MATCH($B1462,Drinks!$A$4:$A$53,0)),0))</f>
        <v/>
      </c>
    </row>
    <row r="1463" customFormat="false" ht="15" hidden="false" customHeight="false" outlineLevel="0" collapsed="false">
      <c r="A1463" s="22"/>
      <c r="B1463" s="9"/>
      <c r="C1463" s="9"/>
      <c r="D1463" s="9"/>
      <c r="E1463" s="9"/>
      <c r="F1463" s="10" t="str">
        <f aca="false">IF($B1463="","",$C1463+$D1463-$E1463)</f>
        <v/>
      </c>
      <c r="G1463" s="10" t="str">
        <f aca="false">IF($B1463="","",IFERROR(INDEX(Drinks!$C$4:$C$53,MATCH($B1463,Drinks!$A$4:$A$53,0)),0))</f>
        <v/>
      </c>
      <c r="H1463" s="10" t="str">
        <f aca="false">IF($B1463="","",$D1463*$G1463)</f>
        <v/>
      </c>
      <c r="I1463" s="10" t="str">
        <f aca="false">IF($B1463="","",$F1463*$G1463)</f>
        <v/>
      </c>
      <c r="J1463" s="9"/>
      <c r="K1463" s="10" t="str">
        <f aca="false">IF($B1463="","",$E1463*IFERROR(INDEX(Drinks!$B$4:$B$53,MATCH($B1463,Drinks!$A$4:$A$53,0)),0))</f>
        <v/>
      </c>
      <c r="L1463" s="10" t="str">
        <f aca="false">IF($B1463="","",$J1463+$K1463)</f>
        <v/>
      </c>
      <c r="M1463" s="9"/>
      <c r="N1463" s="10" t="str">
        <f aca="false">IF($B1463="","",$L1463-$M1463)</f>
        <v/>
      </c>
      <c r="O1463" s="10" t="str">
        <f aca="false">IF($B1463="","",IFERROR(INDEX(Drinks!$E$4:$E$53,MATCH($B1463,Drinks!$A$4:$A$53,0)),0))</f>
        <v/>
      </c>
      <c r="P1463" s="10" t="str">
        <f aca="false">IF($B1463="","",$N1463*$O1463)</f>
        <v/>
      </c>
      <c r="Q1463" s="10" t="str">
        <f aca="false">IF($B1463="","",$N1463*IFERROR(INDEX(Drinks!$D$4:$D$53,MATCH($B1463,Drinks!$A$4:$A$53,0)),0))</f>
        <v/>
      </c>
      <c r="R1463" s="10" t="str">
        <f aca="false">IF($B1463="","",$P1463-$Q1463)</f>
        <v/>
      </c>
      <c r="S1463" s="23" t="str">
        <f aca="false">IF($B1463="","",IF(COUNTIFS($A$4:$A$2003,$A1463-1,$B$4:$B$2003,$B1463)=0,"first day",IF(SUMIFS($M$4:$M$2003,$A$4:$A$2003,$A1463-1,$B$4:$B$2003,$B1463)=$J1463,"OK","CHECK")))</f>
        <v/>
      </c>
      <c r="T1463" s="10" t="str">
        <f aca="false">IF($B1463="","",IFERROR(INDEX(Drinks!$D$4:$D$53,MATCH($B1463,Drinks!$A$4:$A$53,0)),0))</f>
        <v/>
      </c>
    </row>
    <row r="1464" customFormat="false" ht="15" hidden="false" customHeight="false" outlineLevel="0" collapsed="false">
      <c r="A1464" s="22"/>
      <c r="B1464" s="9"/>
      <c r="C1464" s="9"/>
      <c r="D1464" s="9"/>
      <c r="E1464" s="9"/>
      <c r="F1464" s="10" t="str">
        <f aca="false">IF($B1464="","",$C1464+$D1464-$E1464)</f>
        <v/>
      </c>
      <c r="G1464" s="10" t="str">
        <f aca="false">IF($B1464="","",IFERROR(INDEX(Drinks!$C$4:$C$53,MATCH($B1464,Drinks!$A$4:$A$53,0)),0))</f>
        <v/>
      </c>
      <c r="H1464" s="10" t="str">
        <f aca="false">IF($B1464="","",$D1464*$G1464)</f>
        <v/>
      </c>
      <c r="I1464" s="10" t="str">
        <f aca="false">IF($B1464="","",$F1464*$G1464)</f>
        <v/>
      </c>
      <c r="J1464" s="9"/>
      <c r="K1464" s="10" t="str">
        <f aca="false">IF($B1464="","",$E1464*IFERROR(INDEX(Drinks!$B$4:$B$53,MATCH($B1464,Drinks!$A$4:$A$53,0)),0))</f>
        <v/>
      </c>
      <c r="L1464" s="10" t="str">
        <f aca="false">IF($B1464="","",$J1464+$K1464)</f>
        <v/>
      </c>
      <c r="M1464" s="9"/>
      <c r="N1464" s="10" t="str">
        <f aca="false">IF($B1464="","",$L1464-$M1464)</f>
        <v/>
      </c>
      <c r="O1464" s="10" t="str">
        <f aca="false">IF($B1464="","",IFERROR(INDEX(Drinks!$E$4:$E$53,MATCH($B1464,Drinks!$A$4:$A$53,0)),0))</f>
        <v/>
      </c>
      <c r="P1464" s="10" t="str">
        <f aca="false">IF($B1464="","",$N1464*$O1464)</f>
        <v/>
      </c>
      <c r="Q1464" s="10" t="str">
        <f aca="false">IF($B1464="","",$N1464*IFERROR(INDEX(Drinks!$D$4:$D$53,MATCH($B1464,Drinks!$A$4:$A$53,0)),0))</f>
        <v/>
      </c>
      <c r="R1464" s="10" t="str">
        <f aca="false">IF($B1464="","",$P1464-$Q1464)</f>
        <v/>
      </c>
      <c r="S1464" s="23" t="str">
        <f aca="false">IF($B1464="","",IF(COUNTIFS($A$4:$A$2003,$A1464-1,$B$4:$B$2003,$B1464)=0,"first day",IF(SUMIFS($M$4:$M$2003,$A$4:$A$2003,$A1464-1,$B$4:$B$2003,$B1464)=$J1464,"OK","CHECK")))</f>
        <v/>
      </c>
      <c r="T1464" s="10" t="str">
        <f aca="false">IF($B1464="","",IFERROR(INDEX(Drinks!$D$4:$D$53,MATCH($B1464,Drinks!$A$4:$A$53,0)),0))</f>
        <v/>
      </c>
    </row>
    <row r="1465" customFormat="false" ht="15" hidden="false" customHeight="false" outlineLevel="0" collapsed="false">
      <c r="A1465" s="22"/>
      <c r="B1465" s="9"/>
      <c r="C1465" s="9"/>
      <c r="D1465" s="9"/>
      <c r="E1465" s="9"/>
      <c r="F1465" s="10" t="str">
        <f aca="false">IF($B1465="","",$C1465+$D1465-$E1465)</f>
        <v/>
      </c>
      <c r="G1465" s="10" t="str">
        <f aca="false">IF($B1465="","",IFERROR(INDEX(Drinks!$C$4:$C$53,MATCH($B1465,Drinks!$A$4:$A$53,0)),0))</f>
        <v/>
      </c>
      <c r="H1465" s="10" t="str">
        <f aca="false">IF($B1465="","",$D1465*$G1465)</f>
        <v/>
      </c>
      <c r="I1465" s="10" t="str">
        <f aca="false">IF($B1465="","",$F1465*$G1465)</f>
        <v/>
      </c>
      <c r="J1465" s="9"/>
      <c r="K1465" s="10" t="str">
        <f aca="false">IF($B1465="","",$E1465*IFERROR(INDEX(Drinks!$B$4:$B$53,MATCH($B1465,Drinks!$A$4:$A$53,0)),0))</f>
        <v/>
      </c>
      <c r="L1465" s="10" t="str">
        <f aca="false">IF($B1465="","",$J1465+$K1465)</f>
        <v/>
      </c>
      <c r="M1465" s="9"/>
      <c r="N1465" s="10" t="str">
        <f aca="false">IF($B1465="","",$L1465-$M1465)</f>
        <v/>
      </c>
      <c r="O1465" s="10" t="str">
        <f aca="false">IF($B1465="","",IFERROR(INDEX(Drinks!$E$4:$E$53,MATCH($B1465,Drinks!$A$4:$A$53,0)),0))</f>
        <v/>
      </c>
      <c r="P1465" s="10" t="str">
        <f aca="false">IF($B1465="","",$N1465*$O1465)</f>
        <v/>
      </c>
      <c r="Q1465" s="10" t="str">
        <f aca="false">IF($B1465="","",$N1465*IFERROR(INDEX(Drinks!$D$4:$D$53,MATCH($B1465,Drinks!$A$4:$A$53,0)),0))</f>
        <v/>
      </c>
      <c r="R1465" s="10" t="str">
        <f aca="false">IF($B1465="","",$P1465-$Q1465)</f>
        <v/>
      </c>
      <c r="S1465" s="23" t="str">
        <f aca="false">IF($B1465="","",IF(COUNTIFS($A$4:$A$2003,$A1465-1,$B$4:$B$2003,$B1465)=0,"first day",IF(SUMIFS($M$4:$M$2003,$A$4:$A$2003,$A1465-1,$B$4:$B$2003,$B1465)=$J1465,"OK","CHECK")))</f>
        <v/>
      </c>
      <c r="T1465" s="10" t="str">
        <f aca="false">IF($B1465="","",IFERROR(INDEX(Drinks!$D$4:$D$53,MATCH($B1465,Drinks!$A$4:$A$53,0)),0))</f>
        <v/>
      </c>
    </row>
    <row r="1466" customFormat="false" ht="15" hidden="false" customHeight="false" outlineLevel="0" collapsed="false">
      <c r="A1466" s="22"/>
      <c r="B1466" s="9"/>
      <c r="C1466" s="9"/>
      <c r="D1466" s="9"/>
      <c r="E1466" s="9"/>
      <c r="F1466" s="10" t="str">
        <f aca="false">IF($B1466="","",$C1466+$D1466-$E1466)</f>
        <v/>
      </c>
      <c r="G1466" s="10" t="str">
        <f aca="false">IF($B1466="","",IFERROR(INDEX(Drinks!$C$4:$C$53,MATCH($B1466,Drinks!$A$4:$A$53,0)),0))</f>
        <v/>
      </c>
      <c r="H1466" s="10" t="str">
        <f aca="false">IF($B1466="","",$D1466*$G1466)</f>
        <v/>
      </c>
      <c r="I1466" s="10" t="str">
        <f aca="false">IF($B1466="","",$F1466*$G1466)</f>
        <v/>
      </c>
      <c r="J1466" s="9"/>
      <c r="K1466" s="10" t="str">
        <f aca="false">IF($B1466="","",$E1466*IFERROR(INDEX(Drinks!$B$4:$B$53,MATCH($B1466,Drinks!$A$4:$A$53,0)),0))</f>
        <v/>
      </c>
      <c r="L1466" s="10" t="str">
        <f aca="false">IF($B1466="","",$J1466+$K1466)</f>
        <v/>
      </c>
      <c r="M1466" s="9"/>
      <c r="N1466" s="10" t="str">
        <f aca="false">IF($B1466="","",$L1466-$M1466)</f>
        <v/>
      </c>
      <c r="O1466" s="10" t="str">
        <f aca="false">IF($B1466="","",IFERROR(INDEX(Drinks!$E$4:$E$53,MATCH($B1466,Drinks!$A$4:$A$53,0)),0))</f>
        <v/>
      </c>
      <c r="P1466" s="10" t="str">
        <f aca="false">IF($B1466="","",$N1466*$O1466)</f>
        <v/>
      </c>
      <c r="Q1466" s="10" t="str">
        <f aca="false">IF($B1466="","",$N1466*IFERROR(INDEX(Drinks!$D$4:$D$53,MATCH($B1466,Drinks!$A$4:$A$53,0)),0))</f>
        <v/>
      </c>
      <c r="R1466" s="10" t="str">
        <f aca="false">IF($B1466="","",$P1466-$Q1466)</f>
        <v/>
      </c>
      <c r="S1466" s="23" t="str">
        <f aca="false">IF($B1466="","",IF(COUNTIFS($A$4:$A$2003,$A1466-1,$B$4:$B$2003,$B1466)=0,"first day",IF(SUMIFS($M$4:$M$2003,$A$4:$A$2003,$A1466-1,$B$4:$B$2003,$B1466)=$J1466,"OK","CHECK")))</f>
        <v/>
      </c>
      <c r="T1466" s="10" t="str">
        <f aca="false">IF($B1466="","",IFERROR(INDEX(Drinks!$D$4:$D$53,MATCH($B1466,Drinks!$A$4:$A$53,0)),0))</f>
        <v/>
      </c>
    </row>
    <row r="1467" customFormat="false" ht="15" hidden="false" customHeight="false" outlineLevel="0" collapsed="false">
      <c r="A1467" s="22"/>
      <c r="B1467" s="9"/>
      <c r="C1467" s="9"/>
      <c r="D1467" s="9"/>
      <c r="E1467" s="9"/>
      <c r="F1467" s="10" t="str">
        <f aca="false">IF($B1467="","",$C1467+$D1467-$E1467)</f>
        <v/>
      </c>
      <c r="G1467" s="10" t="str">
        <f aca="false">IF($B1467="","",IFERROR(INDEX(Drinks!$C$4:$C$53,MATCH($B1467,Drinks!$A$4:$A$53,0)),0))</f>
        <v/>
      </c>
      <c r="H1467" s="10" t="str">
        <f aca="false">IF($B1467="","",$D1467*$G1467)</f>
        <v/>
      </c>
      <c r="I1467" s="10" t="str">
        <f aca="false">IF($B1467="","",$F1467*$G1467)</f>
        <v/>
      </c>
      <c r="J1467" s="9"/>
      <c r="K1467" s="10" t="str">
        <f aca="false">IF($B1467="","",$E1467*IFERROR(INDEX(Drinks!$B$4:$B$53,MATCH($B1467,Drinks!$A$4:$A$53,0)),0))</f>
        <v/>
      </c>
      <c r="L1467" s="10" t="str">
        <f aca="false">IF($B1467="","",$J1467+$K1467)</f>
        <v/>
      </c>
      <c r="M1467" s="9"/>
      <c r="N1467" s="10" t="str">
        <f aca="false">IF($B1467="","",$L1467-$M1467)</f>
        <v/>
      </c>
      <c r="O1467" s="10" t="str">
        <f aca="false">IF($B1467="","",IFERROR(INDEX(Drinks!$E$4:$E$53,MATCH($B1467,Drinks!$A$4:$A$53,0)),0))</f>
        <v/>
      </c>
      <c r="P1467" s="10" t="str">
        <f aca="false">IF($B1467="","",$N1467*$O1467)</f>
        <v/>
      </c>
      <c r="Q1467" s="10" t="str">
        <f aca="false">IF($B1467="","",$N1467*IFERROR(INDEX(Drinks!$D$4:$D$53,MATCH($B1467,Drinks!$A$4:$A$53,0)),0))</f>
        <v/>
      </c>
      <c r="R1467" s="10" t="str">
        <f aca="false">IF($B1467="","",$P1467-$Q1467)</f>
        <v/>
      </c>
      <c r="S1467" s="23" t="str">
        <f aca="false">IF($B1467="","",IF(COUNTIFS($A$4:$A$2003,$A1467-1,$B$4:$B$2003,$B1467)=0,"first day",IF(SUMIFS($M$4:$M$2003,$A$4:$A$2003,$A1467-1,$B$4:$B$2003,$B1467)=$J1467,"OK","CHECK")))</f>
        <v/>
      </c>
      <c r="T1467" s="10" t="str">
        <f aca="false">IF($B1467="","",IFERROR(INDEX(Drinks!$D$4:$D$53,MATCH($B1467,Drinks!$A$4:$A$53,0)),0))</f>
        <v/>
      </c>
    </row>
    <row r="1468" customFormat="false" ht="15" hidden="false" customHeight="false" outlineLevel="0" collapsed="false">
      <c r="A1468" s="22"/>
      <c r="B1468" s="9"/>
      <c r="C1468" s="9"/>
      <c r="D1468" s="9"/>
      <c r="E1468" s="9"/>
      <c r="F1468" s="10" t="str">
        <f aca="false">IF($B1468="","",$C1468+$D1468-$E1468)</f>
        <v/>
      </c>
      <c r="G1468" s="10" t="str">
        <f aca="false">IF($B1468="","",IFERROR(INDEX(Drinks!$C$4:$C$53,MATCH($B1468,Drinks!$A$4:$A$53,0)),0))</f>
        <v/>
      </c>
      <c r="H1468" s="10" t="str">
        <f aca="false">IF($B1468="","",$D1468*$G1468)</f>
        <v/>
      </c>
      <c r="I1468" s="10" t="str">
        <f aca="false">IF($B1468="","",$F1468*$G1468)</f>
        <v/>
      </c>
      <c r="J1468" s="9"/>
      <c r="K1468" s="10" t="str">
        <f aca="false">IF($B1468="","",$E1468*IFERROR(INDEX(Drinks!$B$4:$B$53,MATCH($B1468,Drinks!$A$4:$A$53,0)),0))</f>
        <v/>
      </c>
      <c r="L1468" s="10" t="str">
        <f aca="false">IF($B1468="","",$J1468+$K1468)</f>
        <v/>
      </c>
      <c r="M1468" s="9"/>
      <c r="N1468" s="10" t="str">
        <f aca="false">IF($B1468="","",$L1468-$M1468)</f>
        <v/>
      </c>
      <c r="O1468" s="10" t="str">
        <f aca="false">IF($B1468="","",IFERROR(INDEX(Drinks!$E$4:$E$53,MATCH($B1468,Drinks!$A$4:$A$53,0)),0))</f>
        <v/>
      </c>
      <c r="P1468" s="10" t="str">
        <f aca="false">IF($B1468="","",$N1468*$O1468)</f>
        <v/>
      </c>
      <c r="Q1468" s="10" t="str">
        <f aca="false">IF($B1468="","",$N1468*IFERROR(INDEX(Drinks!$D$4:$D$53,MATCH($B1468,Drinks!$A$4:$A$53,0)),0))</f>
        <v/>
      </c>
      <c r="R1468" s="10" t="str">
        <f aca="false">IF($B1468="","",$P1468-$Q1468)</f>
        <v/>
      </c>
      <c r="S1468" s="23" t="str">
        <f aca="false">IF($B1468="","",IF(COUNTIFS($A$4:$A$2003,$A1468-1,$B$4:$B$2003,$B1468)=0,"first day",IF(SUMIFS($M$4:$M$2003,$A$4:$A$2003,$A1468-1,$B$4:$B$2003,$B1468)=$J1468,"OK","CHECK")))</f>
        <v/>
      </c>
      <c r="T1468" s="10" t="str">
        <f aca="false">IF($B1468="","",IFERROR(INDEX(Drinks!$D$4:$D$53,MATCH($B1468,Drinks!$A$4:$A$53,0)),0))</f>
        <v/>
      </c>
    </row>
    <row r="1469" customFormat="false" ht="15" hidden="false" customHeight="false" outlineLevel="0" collapsed="false">
      <c r="A1469" s="22"/>
      <c r="B1469" s="9"/>
      <c r="C1469" s="9"/>
      <c r="D1469" s="9"/>
      <c r="E1469" s="9"/>
      <c r="F1469" s="10" t="str">
        <f aca="false">IF($B1469="","",$C1469+$D1469-$E1469)</f>
        <v/>
      </c>
      <c r="G1469" s="10" t="str">
        <f aca="false">IF($B1469="","",IFERROR(INDEX(Drinks!$C$4:$C$53,MATCH($B1469,Drinks!$A$4:$A$53,0)),0))</f>
        <v/>
      </c>
      <c r="H1469" s="10" t="str">
        <f aca="false">IF($B1469="","",$D1469*$G1469)</f>
        <v/>
      </c>
      <c r="I1469" s="10" t="str">
        <f aca="false">IF($B1469="","",$F1469*$G1469)</f>
        <v/>
      </c>
      <c r="J1469" s="9"/>
      <c r="K1469" s="10" t="str">
        <f aca="false">IF($B1469="","",$E1469*IFERROR(INDEX(Drinks!$B$4:$B$53,MATCH($B1469,Drinks!$A$4:$A$53,0)),0))</f>
        <v/>
      </c>
      <c r="L1469" s="10" t="str">
        <f aca="false">IF($B1469="","",$J1469+$K1469)</f>
        <v/>
      </c>
      <c r="M1469" s="9"/>
      <c r="N1469" s="10" t="str">
        <f aca="false">IF($B1469="","",$L1469-$M1469)</f>
        <v/>
      </c>
      <c r="O1469" s="10" t="str">
        <f aca="false">IF($B1469="","",IFERROR(INDEX(Drinks!$E$4:$E$53,MATCH($B1469,Drinks!$A$4:$A$53,0)),0))</f>
        <v/>
      </c>
      <c r="P1469" s="10" t="str">
        <f aca="false">IF($B1469="","",$N1469*$O1469)</f>
        <v/>
      </c>
      <c r="Q1469" s="10" t="str">
        <f aca="false">IF($B1469="","",$N1469*IFERROR(INDEX(Drinks!$D$4:$D$53,MATCH($B1469,Drinks!$A$4:$A$53,0)),0))</f>
        <v/>
      </c>
      <c r="R1469" s="10" t="str">
        <f aca="false">IF($B1469="","",$P1469-$Q1469)</f>
        <v/>
      </c>
      <c r="S1469" s="23" t="str">
        <f aca="false">IF($B1469="","",IF(COUNTIFS($A$4:$A$2003,$A1469-1,$B$4:$B$2003,$B1469)=0,"first day",IF(SUMIFS($M$4:$M$2003,$A$4:$A$2003,$A1469-1,$B$4:$B$2003,$B1469)=$J1469,"OK","CHECK")))</f>
        <v/>
      </c>
      <c r="T1469" s="10" t="str">
        <f aca="false">IF($B1469="","",IFERROR(INDEX(Drinks!$D$4:$D$53,MATCH($B1469,Drinks!$A$4:$A$53,0)),0))</f>
        <v/>
      </c>
    </row>
    <row r="1470" customFormat="false" ht="15" hidden="false" customHeight="false" outlineLevel="0" collapsed="false">
      <c r="A1470" s="22"/>
      <c r="B1470" s="9"/>
      <c r="C1470" s="9"/>
      <c r="D1470" s="9"/>
      <c r="E1470" s="9"/>
      <c r="F1470" s="10" t="str">
        <f aca="false">IF($B1470="","",$C1470+$D1470-$E1470)</f>
        <v/>
      </c>
      <c r="G1470" s="10" t="str">
        <f aca="false">IF($B1470="","",IFERROR(INDEX(Drinks!$C$4:$C$53,MATCH($B1470,Drinks!$A$4:$A$53,0)),0))</f>
        <v/>
      </c>
      <c r="H1470" s="10" t="str">
        <f aca="false">IF($B1470="","",$D1470*$G1470)</f>
        <v/>
      </c>
      <c r="I1470" s="10" t="str">
        <f aca="false">IF($B1470="","",$F1470*$G1470)</f>
        <v/>
      </c>
      <c r="J1470" s="9"/>
      <c r="K1470" s="10" t="str">
        <f aca="false">IF($B1470="","",$E1470*IFERROR(INDEX(Drinks!$B$4:$B$53,MATCH($B1470,Drinks!$A$4:$A$53,0)),0))</f>
        <v/>
      </c>
      <c r="L1470" s="10" t="str">
        <f aca="false">IF($B1470="","",$J1470+$K1470)</f>
        <v/>
      </c>
      <c r="M1470" s="9"/>
      <c r="N1470" s="10" t="str">
        <f aca="false">IF($B1470="","",$L1470-$M1470)</f>
        <v/>
      </c>
      <c r="O1470" s="10" t="str">
        <f aca="false">IF($B1470="","",IFERROR(INDEX(Drinks!$E$4:$E$53,MATCH($B1470,Drinks!$A$4:$A$53,0)),0))</f>
        <v/>
      </c>
      <c r="P1470" s="10" t="str">
        <f aca="false">IF($B1470="","",$N1470*$O1470)</f>
        <v/>
      </c>
      <c r="Q1470" s="10" t="str">
        <f aca="false">IF($B1470="","",$N1470*IFERROR(INDEX(Drinks!$D$4:$D$53,MATCH($B1470,Drinks!$A$4:$A$53,0)),0))</f>
        <v/>
      </c>
      <c r="R1470" s="10" t="str">
        <f aca="false">IF($B1470="","",$P1470-$Q1470)</f>
        <v/>
      </c>
      <c r="S1470" s="23" t="str">
        <f aca="false">IF($B1470="","",IF(COUNTIFS($A$4:$A$2003,$A1470-1,$B$4:$B$2003,$B1470)=0,"first day",IF(SUMIFS($M$4:$M$2003,$A$4:$A$2003,$A1470-1,$B$4:$B$2003,$B1470)=$J1470,"OK","CHECK")))</f>
        <v/>
      </c>
      <c r="T1470" s="10" t="str">
        <f aca="false">IF($B1470="","",IFERROR(INDEX(Drinks!$D$4:$D$53,MATCH($B1470,Drinks!$A$4:$A$53,0)),0))</f>
        <v/>
      </c>
    </row>
    <row r="1471" customFormat="false" ht="15" hidden="false" customHeight="false" outlineLevel="0" collapsed="false">
      <c r="A1471" s="22"/>
      <c r="B1471" s="9"/>
      <c r="C1471" s="9"/>
      <c r="D1471" s="9"/>
      <c r="E1471" s="9"/>
      <c r="F1471" s="10" t="str">
        <f aca="false">IF($B1471="","",$C1471+$D1471-$E1471)</f>
        <v/>
      </c>
      <c r="G1471" s="10" t="str">
        <f aca="false">IF($B1471="","",IFERROR(INDEX(Drinks!$C$4:$C$53,MATCH($B1471,Drinks!$A$4:$A$53,0)),0))</f>
        <v/>
      </c>
      <c r="H1471" s="10" t="str">
        <f aca="false">IF($B1471="","",$D1471*$G1471)</f>
        <v/>
      </c>
      <c r="I1471" s="10" t="str">
        <f aca="false">IF($B1471="","",$F1471*$G1471)</f>
        <v/>
      </c>
      <c r="J1471" s="9"/>
      <c r="K1471" s="10" t="str">
        <f aca="false">IF($B1471="","",$E1471*IFERROR(INDEX(Drinks!$B$4:$B$53,MATCH($B1471,Drinks!$A$4:$A$53,0)),0))</f>
        <v/>
      </c>
      <c r="L1471" s="10" t="str">
        <f aca="false">IF($B1471="","",$J1471+$K1471)</f>
        <v/>
      </c>
      <c r="M1471" s="9"/>
      <c r="N1471" s="10" t="str">
        <f aca="false">IF($B1471="","",$L1471-$M1471)</f>
        <v/>
      </c>
      <c r="O1471" s="10" t="str">
        <f aca="false">IF($B1471="","",IFERROR(INDEX(Drinks!$E$4:$E$53,MATCH($B1471,Drinks!$A$4:$A$53,0)),0))</f>
        <v/>
      </c>
      <c r="P1471" s="10" t="str">
        <f aca="false">IF($B1471="","",$N1471*$O1471)</f>
        <v/>
      </c>
      <c r="Q1471" s="10" t="str">
        <f aca="false">IF($B1471="","",$N1471*IFERROR(INDEX(Drinks!$D$4:$D$53,MATCH($B1471,Drinks!$A$4:$A$53,0)),0))</f>
        <v/>
      </c>
      <c r="R1471" s="10" t="str">
        <f aca="false">IF($B1471="","",$P1471-$Q1471)</f>
        <v/>
      </c>
      <c r="S1471" s="23" t="str">
        <f aca="false">IF($B1471="","",IF(COUNTIFS($A$4:$A$2003,$A1471-1,$B$4:$B$2003,$B1471)=0,"first day",IF(SUMIFS($M$4:$M$2003,$A$4:$A$2003,$A1471-1,$B$4:$B$2003,$B1471)=$J1471,"OK","CHECK")))</f>
        <v/>
      </c>
      <c r="T1471" s="10" t="str">
        <f aca="false">IF($B1471="","",IFERROR(INDEX(Drinks!$D$4:$D$53,MATCH($B1471,Drinks!$A$4:$A$53,0)),0))</f>
        <v/>
      </c>
    </row>
    <row r="1472" customFormat="false" ht="15" hidden="false" customHeight="false" outlineLevel="0" collapsed="false">
      <c r="A1472" s="22"/>
      <c r="B1472" s="9"/>
      <c r="C1472" s="9"/>
      <c r="D1472" s="9"/>
      <c r="E1472" s="9"/>
      <c r="F1472" s="10" t="str">
        <f aca="false">IF($B1472="","",$C1472+$D1472-$E1472)</f>
        <v/>
      </c>
      <c r="G1472" s="10" t="str">
        <f aca="false">IF($B1472="","",IFERROR(INDEX(Drinks!$C$4:$C$53,MATCH($B1472,Drinks!$A$4:$A$53,0)),0))</f>
        <v/>
      </c>
      <c r="H1472" s="10" t="str">
        <f aca="false">IF($B1472="","",$D1472*$G1472)</f>
        <v/>
      </c>
      <c r="I1472" s="10" t="str">
        <f aca="false">IF($B1472="","",$F1472*$G1472)</f>
        <v/>
      </c>
      <c r="J1472" s="9"/>
      <c r="K1472" s="10" t="str">
        <f aca="false">IF($B1472="","",$E1472*IFERROR(INDEX(Drinks!$B$4:$B$53,MATCH($B1472,Drinks!$A$4:$A$53,0)),0))</f>
        <v/>
      </c>
      <c r="L1472" s="10" t="str">
        <f aca="false">IF($B1472="","",$J1472+$K1472)</f>
        <v/>
      </c>
      <c r="M1472" s="9"/>
      <c r="N1472" s="10" t="str">
        <f aca="false">IF($B1472="","",$L1472-$M1472)</f>
        <v/>
      </c>
      <c r="O1472" s="10" t="str">
        <f aca="false">IF($B1472="","",IFERROR(INDEX(Drinks!$E$4:$E$53,MATCH($B1472,Drinks!$A$4:$A$53,0)),0))</f>
        <v/>
      </c>
      <c r="P1472" s="10" t="str">
        <f aca="false">IF($B1472="","",$N1472*$O1472)</f>
        <v/>
      </c>
      <c r="Q1472" s="10" t="str">
        <f aca="false">IF($B1472="","",$N1472*IFERROR(INDEX(Drinks!$D$4:$D$53,MATCH($B1472,Drinks!$A$4:$A$53,0)),0))</f>
        <v/>
      </c>
      <c r="R1472" s="10" t="str">
        <f aca="false">IF($B1472="","",$P1472-$Q1472)</f>
        <v/>
      </c>
      <c r="S1472" s="23" t="str">
        <f aca="false">IF($B1472="","",IF(COUNTIFS($A$4:$A$2003,$A1472-1,$B$4:$B$2003,$B1472)=0,"first day",IF(SUMIFS($M$4:$M$2003,$A$4:$A$2003,$A1472-1,$B$4:$B$2003,$B1472)=$J1472,"OK","CHECK")))</f>
        <v/>
      </c>
      <c r="T1472" s="10" t="str">
        <f aca="false">IF($B1472="","",IFERROR(INDEX(Drinks!$D$4:$D$53,MATCH($B1472,Drinks!$A$4:$A$53,0)),0))</f>
        <v/>
      </c>
    </row>
    <row r="1473" customFormat="false" ht="15" hidden="false" customHeight="false" outlineLevel="0" collapsed="false">
      <c r="A1473" s="22"/>
      <c r="B1473" s="9"/>
      <c r="C1473" s="9"/>
      <c r="D1473" s="9"/>
      <c r="E1473" s="9"/>
      <c r="F1473" s="10" t="str">
        <f aca="false">IF($B1473="","",$C1473+$D1473-$E1473)</f>
        <v/>
      </c>
      <c r="G1473" s="10" t="str">
        <f aca="false">IF($B1473="","",IFERROR(INDEX(Drinks!$C$4:$C$53,MATCH($B1473,Drinks!$A$4:$A$53,0)),0))</f>
        <v/>
      </c>
      <c r="H1473" s="10" t="str">
        <f aca="false">IF($B1473="","",$D1473*$G1473)</f>
        <v/>
      </c>
      <c r="I1473" s="10" t="str">
        <f aca="false">IF($B1473="","",$F1473*$G1473)</f>
        <v/>
      </c>
      <c r="J1473" s="9"/>
      <c r="K1473" s="10" t="str">
        <f aca="false">IF($B1473="","",$E1473*IFERROR(INDEX(Drinks!$B$4:$B$53,MATCH($B1473,Drinks!$A$4:$A$53,0)),0))</f>
        <v/>
      </c>
      <c r="L1473" s="10" t="str">
        <f aca="false">IF($B1473="","",$J1473+$K1473)</f>
        <v/>
      </c>
      <c r="M1473" s="9"/>
      <c r="N1473" s="10" t="str">
        <f aca="false">IF($B1473="","",$L1473-$M1473)</f>
        <v/>
      </c>
      <c r="O1473" s="10" t="str">
        <f aca="false">IF($B1473="","",IFERROR(INDEX(Drinks!$E$4:$E$53,MATCH($B1473,Drinks!$A$4:$A$53,0)),0))</f>
        <v/>
      </c>
      <c r="P1473" s="10" t="str">
        <f aca="false">IF($B1473="","",$N1473*$O1473)</f>
        <v/>
      </c>
      <c r="Q1473" s="10" t="str">
        <f aca="false">IF($B1473="","",$N1473*IFERROR(INDEX(Drinks!$D$4:$D$53,MATCH($B1473,Drinks!$A$4:$A$53,0)),0))</f>
        <v/>
      </c>
      <c r="R1473" s="10" t="str">
        <f aca="false">IF($B1473="","",$P1473-$Q1473)</f>
        <v/>
      </c>
      <c r="S1473" s="23" t="str">
        <f aca="false">IF($B1473="","",IF(COUNTIFS($A$4:$A$2003,$A1473-1,$B$4:$B$2003,$B1473)=0,"first day",IF(SUMIFS($M$4:$M$2003,$A$4:$A$2003,$A1473-1,$B$4:$B$2003,$B1473)=$J1473,"OK","CHECK")))</f>
        <v/>
      </c>
      <c r="T1473" s="10" t="str">
        <f aca="false">IF($B1473="","",IFERROR(INDEX(Drinks!$D$4:$D$53,MATCH($B1473,Drinks!$A$4:$A$53,0)),0))</f>
        <v/>
      </c>
    </row>
    <row r="1474" customFormat="false" ht="15" hidden="false" customHeight="false" outlineLevel="0" collapsed="false">
      <c r="A1474" s="22"/>
      <c r="B1474" s="9"/>
      <c r="C1474" s="9"/>
      <c r="D1474" s="9"/>
      <c r="E1474" s="9"/>
      <c r="F1474" s="10" t="str">
        <f aca="false">IF($B1474="","",$C1474+$D1474-$E1474)</f>
        <v/>
      </c>
      <c r="G1474" s="10" t="str">
        <f aca="false">IF($B1474="","",IFERROR(INDEX(Drinks!$C$4:$C$53,MATCH($B1474,Drinks!$A$4:$A$53,0)),0))</f>
        <v/>
      </c>
      <c r="H1474" s="10" t="str">
        <f aca="false">IF($B1474="","",$D1474*$G1474)</f>
        <v/>
      </c>
      <c r="I1474" s="10" t="str">
        <f aca="false">IF($B1474="","",$F1474*$G1474)</f>
        <v/>
      </c>
      <c r="J1474" s="9"/>
      <c r="K1474" s="10" t="str">
        <f aca="false">IF($B1474="","",$E1474*IFERROR(INDEX(Drinks!$B$4:$B$53,MATCH($B1474,Drinks!$A$4:$A$53,0)),0))</f>
        <v/>
      </c>
      <c r="L1474" s="10" t="str">
        <f aca="false">IF($B1474="","",$J1474+$K1474)</f>
        <v/>
      </c>
      <c r="M1474" s="9"/>
      <c r="N1474" s="10" t="str">
        <f aca="false">IF($B1474="","",$L1474-$M1474)</f>
        <v/>
      </c>
      <c r="O1474" s="10" t="str">
        <f aca="false">IF($B1474="","",IFERROR(INDEX(Drinks!$E$4:$E$53,MATCH($B1474,Drinks!$A$4:$A$53,0)),0))</f>
        <v/>
      </c>
      <c r="P1474" s="10" t="str">
        <f aca="false">IF($B1474="","",$N1474*$O1474)</f>
        <v/>
      </c>
      <c r="Q1474" s="10" t="str">
        <f aca="false">IF($B1474="","",$N1474*IFERROR(INDEX(Drinks!$D$4:$D$53,MATCH($B1474,Drinks!$A$4:$A$53,0)),0))</f>
        <v/>
      </c>
      <c r="R1474" s="10" t="str">
        <f aca="false">IF($B1474="","",$P1474-$Q1474)</f>
        <v/>
      </c>
      <c r="S1474" s="23" t="str">
        <f aca="false">IF($B1474="","",IF(COUNTIFS($A$4:$A$2003,$A1474-1,$B$4:$B$2003,$B1474)=0,"first day",IF(SUMIFS($M$4:$M$2003,$A$4:$A$2003,$A1474-1,$B$4:$B$2003,$B1474)=$J1474,"OK","CHECK")))</f>
        <v/>
      </c>
      <c r="T1474" s="10" t="str">
        <f aca="false">IF($B1474="","",IFERROR(INDEX(Drinks!$D$4:$D$53,MATCH($B1474,Drinks!$A$4:$A$53,0)),0))</f>
        <v/>
      </c>
    </row>
    <row r="1475" customFormat="false" ht="15" hidden="false" customHeight="false" outlineLevel="0" collapsed="false">
      <c r="A1475" s="22"/>
      <c r="B1475" s="9"/>
      <c r="C1475" s="9"/>
      <c r="D1475" s="9"/>
      <c r="E1475" s="9"/>
      <c r="F1475" s="10" t="str">
        <f aca="false">IF($B1475="","",$C1475+$D1475-$E1475)</f>
        <v/>
      </c>
      <c r="G1475" s="10" t="str">
        <f aca="false">IF($B1475="","",IFERROR(INDEX(Drinks!$C$4:$C$53,MATCH($B1475,Drinks!$A$4:$A$53,0)),0))</f>
        <v/>
      </c>
      <c r="H1475" s="10" t="str">
        <f aca="false">IF($B1475="","",$D1475*$G1475)</f>
        <v/>
      </c>
      <c r="I1475" s="10" t="str">
        <f aca="false">IF($B1475="","",$F1475*$G1475)</f>
        <v/>
      </c>
      <c r="J1475" s="9"/>
      <c r="K1475" s="10" t="str">
        <f aca="false">IF($B1475="","",$E1475*IFERROR(INDEX(Drinks!$B$4:$B$53,MATCH($B1475,Drinks!$A$4:$A$53,0)),0))</f>
        <v/>
      </c>
      <c r="L1475" s="10" t="str">
        <f aca="false">IF($B1475="","",$J1475+$K1475)</f>
        <v/>
      </c>
      <c r="M1475" s="9"/>
      <c r="N1475" s="10" t="str">
        <f aca="false">IF($B1475="","",$L1475-$M1475)</f>
        <v/>
      </c>
      <c r="O1475" s="10" t="str">
        <f aca="false">IF($B1475="","",IFERROR(INDEX(Drinks!$E$4:$E$53,MATCH($B1475,Drinks!$A$4:$A$53,0)),0))</f>
        <v/>
      </c>
      <c r="P1475" s="10" t="str">
        <f aca="false">IF($B1475="","",$N1475*$O1475)</f>
        <v/>
      </c>
      <c r="Q1475" s="10" t="str">
        <f aca="false">IF($B1475="","",$N1475*IFERROR(INDEX(Drinks!$D$4:$D$53,MATCH($B1475,Drinks!$A$4:$A$53,0)),0))</f>
        <v/>
      </c>
      <c r="R1475" s="10" t="str">
        <f aca="false">IF($B1475="","",$P1475-$Q1475)</f>
        <v/>
      </c>
      <c r="S1475" s="23" t="str">
        <f aca="false">IF($B1475="","",IF(COUNTIFS($A$4:$A$2003,$A1475-1,$B$4:$B$2003,$B1475)=0,"first day",IF(SUMIFS($M$4:$M$2003,$A$4:$A$2003,$A1475-1,$B$4:$B$2003,$B1475)=$J1475,"OK","CHECK")))</f>
        <v/>
      </c>
      <c r="T1475" s="10" t="str">
        <f aca="false">IF($B1475="","",IFERROR(INDEX(Drinks!$D$4:$D$53,MATCH($B1475,Drinks!$A$4:$A$53,0)),0))</f>
        <v/>
      </c>
    </row>
    <row r="1476" customFormat="false" ht="15" hidden="false" customHeight="false" outlineLevel="0" collapsed="false">
      <c r="A1476" s="22"/>
      <c r="B1476" s="9"/>
      <c r="C1476" s="9"/>
      <c r="D1476" s="9"/>
      <c r="E1476" s="9"/>
      <c r="F1476" s="10" t="str">
        <f aca="false">IF($B1476="","",$C1476+$D1476-$E1476)</f>
        <v/>
      </c>
      <c r="G1476" s="10" t="str">
        <f aca="false">IF($B1476="","",IFERROR(INDEX(Drinks!$C$4:$C$53,MATCH($B1476,Drinks!$A$4:$A$53,0)),0))</f>
        <v/>
      </c>
      <c r="H1476" s="10" t="str">
        <f aca="false">IF($B1476="","",$D1476*$G1476)</f>
        <v/>
      </c>
      <c r="I1476" s="10" t="str">
        <f aca="false">IF($B1476="","",$F1476*$G1476)</f>
        <v/>
      </c>
      <c r="J1476" s="9"/>
      <c r="K1476" s="10" t="str">
        <f aca="false">IF($B1476="","",$E1476*IFERROR(INDEX(Drinks!$B$4:$B$53,MATCH($B1476,Drinks!$A$4:$A$53,0)),0))</f>
        <v/>
      </c>
      <c r="L1476" s="10" t="str">
        <f aca="false">IF($B1476="","",$J1476+$K1476)</f>
        <v/>
      </c>
      <c r="M1476" s="9"/>
      <c r="N1476" s="10" t="str">
        <f aca="false">IF($B1476="","",$L1476-$M1476)</f>
        <v/>
      </c>
      <c r="O1476" s="10" t="str">
        <f aca="false">IF($B1476="","",IFERROR(INDEX(Drinks!$E$4:$E$53,MATCH($B1476,Drinks!$A$4:$A$53,0)),0))</f>
        <v/>
      </c>
      <c r="P1476" s="10" t="str">
        <f aca="false">IF($B1476="","",$N1476*$O1476)</f>
        <v/>
      </c>
      <c r="Q1476" s="10" t="str">
        <f aca="false">IF($B1476="","",$N1476*IFERROR(INDEX(Drinks!$D$4:$D$53,MATCH($B1476,Drinks!$A$4:$A$53,0)),0))</f>
        <v/>
      </c>
      <c r="R1476" s="10" t="str">
        <f aca="false">IF($B1476="","",$P1476-$Q1476)</f>
        <v/>
      </c>
      <c r="S1476" s="23" t="str">
        <f aca="false">IF($B1476="","",IF(COUNTIFS($A$4:$A$2003,$A1476-1,$B$4:$B$2003,$B1476)=0,"first day",IF(SUMIFS($M$4:$M$2003,$A$4:$A$2003,$A1476-1,$B$4:$B$2003,$B1476)=$J1476,"OK","CHECK")))</f>
        <v/>
      </c>
      <c r="T1476" s="10" t="str">
        <f aca="false">IF($B1476="","",IFERROR(INDEX(Drinks!$D$4:$D$53,MATCH($B1476,Drinks!$A$4:$A$53,0)),0))</f>
        <v/>
      </c>
    </row>
    <row r="1477" customFormat="false" ht="15" hidden="false" customHeight="false" outlineLevel="0" collapsed="false">
      <c r="A1477" s="22"/>
      <c r="B1477" s="9"/>
      <c r="C1477" s="9"/>
      <c r="D1477" s="9"/>
      <c r="E1477" s="9"/>
      <c r="F1477" s="10" t="str">
        <f aca="false">IF($B1477="","",$C1477+$D1477-$E1477)</f>
        <v/>
      </c>
      <c r="G1477" s="10" t="str">
        <f aca="false">IF($B1477="","",IFERROR(INDEX(Drinks!$C$4:$C$53,MATCH($B1477,Drinks!$A$4:$A$53,0)),0))</f>
        <v/>
      </c>
      <c r="H1477" s="10" t="str">
        <f aca="false">IF($B1477="","",$D1477*$G1477)</f>
        <v/>
      </c>
      <c r="I1477" s="10" t="str">
        <f aca="false">IF($B1477="","",$F1477*$G1477)</f>
        <v/>
      </c>
      <c r="J1477" s="9"/>
      <c r="K1477" s="10" t="str">
        <f aca="false">IF($B1477="","",$E1477*IFERROR(INDEX(Drinks!$B$4:$B$53,MATCH($B1477,Drinks!$A$4:$A$53,0)),0))</f>
        <v/>
      </c>
      <c r="L1477" s="10" t="str">
        <f aca="false">IF($B1477="","",$J1477+$K1477)</f>
        <v/>
      </c>
      <c r="M1477" s="9"/>
      <c r="N1477" s="10" t="str">
        <f aca="false">IF($B1477="","",$L1477-$M1477)</f>
        <v/>
      </c>
      <c r="O1477" s="10" t="str">
        <f aca="false">IF($B1477="","",IFERROR(INDEX(Drinks!$E$4:$E$53,MATCH($B1477,Drinks!$A$4:$A$53,0)),0))</f>
        <v/>
      </c>
      <c r="P1477" s="10" t="str">
        <f aca="false">IF($B1477="","",$N1477*$O1477)</f>
        <v/>
      </c>
      <c r="Q1477" s="10" t="str">
        <f aca="false">IF($B1477="","",$N1477*IFERROR(INDEX(Drinks!$D$4:$D$53,MATCH($B1477,Drinks!$A$4:$A$53,0)),0))</f>
        <v/>
      </c>
      <c r="R1477" s="10" t="str">
        <f aca="false">IF($B1477="","",$P1477-$Q1477)</f>
        <v/>
      </c>
      <c r="S1477" s="23" t="str">
        <f aca="false">IF($B1477="","",IF(COUNTIFS($A$4:$A$2003,$A1477-1,$B$4:$B$2003,$B1477)=0,"first day",IF(SUMIFS($M$4:$M$2003,$A$4:$A$2003,$A1477-1,$B$4:$B$2003,$B1477)=$J1477,"OK","CHECK")))</f>
        <v/>
      </c>
      <c r="T1477" s="10" t="str">
        <f aca="false">IF($B1477="","",IFERROR(INDEX(Drinks!$D$4:$D$53,MATCH($B1477,Drinks!$A$4:$A$53,0)),0))</f>
        <v/>
      </c>
    </row>
    <row r="1478" customFormat="false" ht="15" hidden="false" customHeight="false" outlineLevel="0" collapsed="false">
      <c r="A1478" s="22"/>
      <c r="B1478" s="9"/>
      <c r="C1478" s="9"/>
      <c r="D1478" s="9"/>
      <c r="E1478" s="9"/>
      <c r="F1478" s="10" t="str">
        <f aca="false">IF($B1478="","",$C1478+$D1478-$E1478)</f>
        <v/>
      </c>
      <c r="G1478" s="10" t="str">
        <f aca="false">IF($B1478="","",IFERROR(INDEX(Drinks!$C$4:$C$53,MATCH($B1478,Drinks!$A$4:$A$53,0)),0))</f>
        <v/>
      </c>
      <c r="H1478" s="10" t="str">
        <f aca="false">IF($B1478="","",$D1478*$G1478)</f>
        <v/>
      </c>
      <c r="I1478" s="10" t="str">
        <f aca="false">IF($B1478="","",$F1478*$G1478)</f>
        <v/>
      </c>
      <c r="J1478" s="9"/>
      <c r="K1478" s="10" t="str">
        <f aca="false">IF($B1478="","",$E1478*IFERROR(INDEX(Drinks!$B$4:$B$53,MATCH($B1478,Drinks!$A$4:$A$53,0)),0))</f>
        <v/>
      </c>
      <c r="L1478" s="10" t="str">
        <f aca="false">IF($B1478="","",$J1478+$K1478)</f>
        <v/>
      </c>
      <c r="M1478" s="9"/>
      <c r="N1478" s="10" t="str">
        <f aca="false">IF($B1478="","",$L1478-$M1478)</f>
        <v/>
      </c>
      <c r="O1478" s="10" t="str">
        <f aca="false">IF($B1478="","",IFERROR(INDEX(Drinks!$E$4:$E$53,MATCH($B1478,Drinks!$A$4:$A$53,0)),0))</f>
        <v/>
      </c>
      <c r="P1478" s="10" t="str">
        <f aca="false">IF($B1478="","",$N1478*$O1478)</f>
        <v/>
      </c>
      <c r="Q1478" s="10" t="str">
        <f aca="false">IF($B1478="","",$N1478*IFERROR(INDEX(Drinks!$D$4:$D$53,MATCH($B1478,Drinks!$A$4:$A$53,0)),0))</f>
        <v/>
      </c>
      <c r="R1478" s="10" t="str">
        <f aca="false">IF($B1478="","",$P1478-$Q1478)</f>
        <v/>
      </c>
      <c r="S1478" s="23" t="str">
        <f aca="false">IF($B1478="","",IF(COUNTIFS($A$4:$A$2003,$A1478-1,$B$4:$B$2003,$B1478)=0,"first day",IF(SUMIFS($M$4:$M$2003,$A$4:$A$2003,$A1478-1,$B$4:$B$2003,$B1478)=$J1478,"OK","CHECK")))</f>
        <v/>
      </c>
      <c r="T1478" s="10" t="str">
        <f aca="false">IF($B1478="","",IFERROR(INDEX(Drinks!$D$4:$D$53,MATCH($B1478,Drinks!$A$4:$A$53,0)),0))</f>
        <v/>
      </c>
    </row>
    <row r="1479" customFormat="false" ht="15" hidden="false" customHeight="false" outlineLevel="0" collapsed="false">
      <c r="A1479" s="22"/>
      <c r="B1479" s="9"/>
      <c r="C1479" s="9"/>
      <c r="D1479" s="9"/>
      <c r="E1479" s="9"/>
      <c r="F1479" s="10" t="str">
        <f aca="false">IF($B1479="","",$C1479+$D1479-$E1479)</f>
        <v/>
      </c>
      <c r="G1479" s="10" t="str">
        <f aca="false">IF($B1479="","",IFERROR(INDEX(Drinks!$C$4:$C$53,MATCH($B1479,Drinks!$A$4:$A$53,0)),0))</f>
        <v/>
      </c>
      <c r="H1479" s="10" t="str">
        <f aca="false">IF($B1479="","",$D1479*$G1479)</f>
        <v/>
      </c>
      <c r="I1479" s="10" t="str">
        <f aca="false">IF($B1479="","",$F1479*$G1479)</f>
        <v/>
      </c>
      <c r="J1479" s="9"/>
      <c r="K1479" s="10" t="str">
        <f aca="false">IF($B1479="","",$E1479*IFERROR(INDEX(Drinks!$B$4:$B$53,MATCH($B1479,Drinks!$A$4:$A$53,0)),0))</f>
        <v/>
      </c>
      <c r="L1479" s="10" t="str">
        <f aca="false">IF($B1479="","",$J1479+$K1479)</f>
        <v/>
      </c>
      <c r="M1479" s="9"/>
      <c r="N1479" s="10" t="str">
        <f aca="false">IF($B1479="","",$L1479-$M1479)</f>
        <v/>
      </c>
      <c r="O1479" s="10" t="str">
        <f aca="false">IF($B1479="","",IFERROR(INDEX(Drinks!$E$4:$E$53,MATCH($B1479,Drinks!$A$4:$A$53,0)),0))</f>
        <v/>
      </c>
      <c r="P1479" s="10" t="str">
        <f aca="false">IF($B1479="","",$N1479*$O1479)</f>
        <v/>
      </c>
      <c r="Q1479" s="10" t="str">
        <f aca="false">IF($B1479="","",$N1479*IFERROR(INDEX(Drinks!$D$4:$D$53,MATCH($B1479,Drinks!$A$4:$A$53,0)),0))</f>
        <v/>
      </c>
      <c r="R1479" s="10" t="str">
        <f aca="false">IF($B1479="","",$P1479-$Q1479)</f>
        <v/>
      </c>
      <c r="S1479" s="23" t="str">
        <f aca="false">IF($B1479="","",IF(COUNTIFS($A$4:$A$2003,$A1479-1,$B$4:$B$2003,$B1479)=0,"first day",IF(SUMIFS($M$4:$M$2003,$A$4:$A$2003,$A1479-1,$B$4:$B$2003,$B1479)=$J1479,"OK","CHECK")))</f>
        <v/>
      </c>
      <c r="T1479" s="10" t="str">
        <f aca="false">IF($B1479="","",IFERROR(INDEX(Drinks!$D$4:$D$53,MATCH($B1479,Drinks!$A$4:$A$53,0)),0))</f>
        <v/>
      </c>
    </row>
    <row r="1480" customFormat="false" ht="15" hidden="false" customHeight="false" outlineLevel="0" collapsed="false">
      <c r="A1480" s="22"/>
      <c r="B1480" s="9"/>
      <c r="C1480" s="9"/>
      <c r="D1480" s="9"/>
      <c r="E1480" s="9"/>
      <c r="F1480" s="10" t="str">
        <f aca="false">IF($B1480="","",$C1480+$D1480-$E1480)</f>
        <v/>
      </c>
      <c r="G1480" s="10" t="str">
        <f aca="false">IF($B1480="","",IFERROR(INDEX(Drinks!$C$4:$C$53,MATCH($B1480,Drinks!$A$4:$A$53,0)),0))</f>
        <v/>
      </c>
      <c r="H1480" s="10" t="str">
        <f aca="false">IF($B1480="","",$D1480*$G1480)</f>
        <v/>
      </c>
      <c r="I1480" s="10" t="str">
        <f aca="false">IF($B1480="","",$F1480*$G1480)</f>
        <v/>
      </c>
      <c r="J1480" s="9"/>
      <c r="K1480" s="10" t="str">
        <f aca="false">IF($B1480="","",$E1480*IFERROR(INDEX(Drinks!$B$4:$B$53,MATCH($B1480,Drinks!$A$4:$A$53,0)),0))</f>
        <v/>
      </c>
      <c r="L1480" s="10" t="str">
        <f aca="false">IF($B1480="","",$J1480+$K1480)</f>
        <v/>
      </c>
      <c r="M1480" s="9"/>
      <c r="N1480" s="10" t="str">
        <f aca="false">IF($B1480="","",$L1480-$M1480)</f>
        <v/>
      </c>
      <c r="O1480" s="10" t="str">
        <f aca="false">IF($B1480="","",IFERROR(INDEX(Drinks!$E$4:$E$53,MATCH($B1480,Drinks!$A$4:$A$53,0)),0))</f>
        <v/>
      </c>
      <c r="P1480" s="10" t="str">
        <f aca="false">IF($B1480="","",$N1480*$O1480)</f>
        <v/>
      </c>
      <c r="Q1480" s="10" t="str">
        <f aca="false">IF($B1480="","",$N1480*IFERROR(INDEX(Drinks!$D$4:$D$53,MATCH($B1480,Drinks!$A$4:$A$53,0)),0))</f>
        <v/>
      </c>
      <c r="R1480" s="10" t="str">
        <f aca="false">IF($B1480="","",$P1480-$Q1480)</f>
        <v/>
      </c>
      <c r="S1480" s="23" t="str">
        <f aca="false">IF($B1480="","",IF(COUNTIFS($A$4:$A$2003,$A1480-1,$B$4:$B$2003,$B1480)=0,"first day",IF(SUMIFS($M$4:$M$2003,$A$4:$A$2003,$A1480-1,$B$4:$B$2003,$B1480)=$J1480,"OK","CHECK")))</f>
        <v/>
      </c>
      <c r="T1480" s="10" t="str">
        <f aca="false">IF($B1480="","",IFERROR(INDEX(Drinks!$D$4:$D$53,MATCH($B1480,Drinks!$A$4:$A$53,0)),0))</f>
        <v/>
      </c>
    </row>
    <row r="1481" customFormat="false" ht="15" hidden="false" customHeight="false" outlineLevel="0" collapsed="false">
      <c r="A1481" s="22"/>
      <c r="B1481" s="9"/>
      <c r="C1481" s="9"/>
      <c r="D1481" s="9"/>
      <c r="E1481" s="9"/>
      <c r="F1481" s="10" t="str">
        <f aca="false">IF($B1481="","",$C1481+$D1481-$E1481)</f>
        <v/>
      </c>
      <c r="G1481" s="10" t="str">
        <f aca="false">IF($B1481="","",IFERROR(INDEX(Drinks!$C$4:$C$53,MATCH($B1481,Drinks!$A$4:$A$53,0)),0))</f>
        <v/>
      </c>
      <c r="H1481" s="10" t="str">
        <f aca="false">IF($B1481="","",$D1481*$G1481)</f>
        <v/>
      </c>
      <c r="I1481" s="10" t="str">
        <f aca="false">IF($B1481="","",$F1481*$G1481)</f>
        <v/>
      </c>
      <c r="J1481" s="9"/>
      <c r="K1481" s="10" t="str">
        <f aca="false">IF($B1481="","",$E1481*IFERROR(INDEX(Drinks!$B$4:$B$53,MATCH($B1481,Drinks!$A$4:$A$53,0)),0))</f>
        <v/>
      </c>
      <c r="L1481" s="10" t="str">
        <f aca="false">IF($B1481="","",$J1481+$K1481)</f>
        <v/>
      </c>
      <c r="M1481" s="9"/>
      <c r="N1481" s="10" t="str">
        <f aca="false">IF($B1481="","",$L1481-$M1481)</f>
        <v/>
      </c>
      <c r="O1481" s="10" t="str">
        <f aca="false">IF($B1481="","",IFERROR(INDEX(Drinks!$E$4:$E$53,MATCH($B1481,Drinks!$A$4:$A$53,0)),0))</f>
        <v/>
      </c>
      <c r="P1481" s="10" t="str">
        <f aca="false">IF($B1481="","",$N1481*$O1481)</f>
        <v/>
      </c>
      <c r="Q1481" s="10" t="str">
        <f aca="false">IF($B1481="","",$N1481*IFERROR(INDEX(Drinks!$D$4:$D$53,MATCH($B1481,Drinks!$A$4:$A$53,0)),0))</f>
        <v/>
      </c>
      <c r="R1481" s="10" t="str">
        <f aca="false">IF($B1481="","",$P1481-$Q1481)</f>
        <v/>
      </c>
      <c r="S1481" s="23" t="str">
        <f aca="false">IF($B1481="","",IF(COUNTIFS($A$4:$A$2003,$A1481-1,$B$4:$B$2003,$B1481)=0,"first day",IF(SUMIFS($M$4:$M$2003,$A$4:$A$2003,$A1481-1,$B$4:$B$2003,$B1481)=$J1481,"OK","CHECK")))</f>
        <v/>
      </c>
      <c r="T1481" s="10" t="str">
        <f aca="false">IF($B1481="","",IFERROR(INDEX(Drinks!$D$4:$D$53,MATCH($B1481,Drinks!$A$4:$A$53,0)),0))</f>
        <v/>
      </c>
    </row>
    <row r="1482" customFormat="false" ht="15" hidden="false" customHeight="false" outlineLevel="0" collapsed="false">
      <c r="A1482" s="22"/>
      <c r="B1482" s="9"/>
      <c r="C1482" s="9"/>
      <c r="D1482" s="9"/>
      <c r="E1482" s="9"/>
      <c r="F1482" s="10" t="str">
        <f aca="false">IF($B1482="","",$C1482+$D1482-$E1482)</f>
        <v/>
      </c>
      <c r="G1482" s="10" t="str">
        <f aca="false">IF($B1482="","",IFERROR(INDEX(Drinks!$C$4:$C$53,MATCH($B1482,Drinks!$A$4:$A$53,0)),0))</f>
        <v/>
      </c>
      <c r="H1482" s="10" t="str">
        <f aca="false">IF($B1482="","",$D1482*$G1482)</f>
        <v/>
      </c>
      <c r="I1482" s="10" t="str">
        <f aca="false">IF($B1482="","",$F1482*$G1482)</f>
        <v/>
      </c>
      <c r="J1482" s="9"/>
      <c r="K1482" s="10" t="str">
        <f aca="false">IF($B1482="","",$E1482*IFERROR(INDEX(Drinks!$B$4:$B$53,MATCH($B1482,Drinks!$A$4:$A$53,0)),0))</f>
        <v/>
      </c>
      <c r="L1482" s="10" t="str">
        <f aca="false">IF($B1482="","",$J1482+$K1482)</f>
        <v/>
      </c>
      <c r="M1482" s="9"/>
      <c r="N1482" s="10" t="str">
        <f aca="false">IF($B1482="","",$L1482-$M1482)</f>
        <v/>
      </c>
      <c r="O1482" s="10" t="str">
        <f aca="false">IF($B1482="","",IFERROR(INDEX(Drinks!$E$4:$E$53,MATCH($B1482,Drinks!$A$4:$A$53,0)),0))</f>
        <v/>
      </c>
      <c r="P1482" s="10" t="str">
        <f aca="false">IF($B1482="","",$N1482*$O1482)</f>
        <v/>
      </c>
      <c r="Q1482" s="10" t="str">
        <f aca="false">IF($B1482="","",$N1482*IFERROR(INDEX(Drinks!$D$4:$D$53,MATCH($B1482,Drinks!$A$4:$A$53,0)),0))</f>
        <v/>
      </c>
      <c r="R1482" s="10" t="str">
        <f aca="false">IF($B1482="","",$P1482-$Q1482)</f>
        <v/>
      </c>
      <c r="S1482" s="23" t="str">
        <f aca="false">IF($B1482="","",IF(COUNTIFS($A$4:$A$2003,$A1482-1,$B$4:$B$2003,$B1482)=0,"first day",IF(SUMIFS($M$4:$M$2003,$A$4:$A$2003,$A1482-1,$B$4:$B$2003,$B1482)=$J1482,"OK","CHECK")))</f>
        <v/>
      </c>
      <c r="T1482" s="10" t="str">
        <f aca="false">IF($B1482="","",IFERROR(INDEX(Drinks!$D$4:$D$53,MATCH($B1482,Drinks!$A$4:$A$53,0)),0))</f>
        <v/>
      </c>
    </row>
    <row r="1483" customFormat="false" ht="15" hidden="false" customHeight="false" outlineLevel="0" collapsed="false">
      <c r="A1483" s="22"/>
      <c r="B1483" s="9"/>
      <c r="C1483" s="9"/>
      <c r="D1483" s="9"/>
      <c r="E1483" s="9"/>
      <c r="F1483" s="10" t="str">
        <f aca="false">IF($B1483="","",$C1483+$D1483-$E1483)</f>
        <v/>
      </c>
      <c r="G1483" s="10" t="str">
        <f aca="false">IF($B1483="","",IFERROR(INDEX(Drinks!$C$4:$C$53,MATCH($B1483,Drinks!$A$4:$A$53,0)),0))</f>
        <v/>
      </c>
      <c r="H1483" s="10" t="str">
        <f aca="false">IF($B1483="","",$D1483*$G1483)</f>
        <v/>
      </c>
      <c r="I1483" s="10" t="str">
        <f aca="false">IF($B1483="","",$F1483*$G1483)</f>
        <v/>
      </c>
      <c r="J1483" s="9"/>
      <c r="K1483" s="10" t="str">
        <f aca="false">IF($B1483="","",$E1483*IFERROR(INDEX(Drinks!$B$4:$B$53,MATCH($B1483,Drinks!$A$4:$A$53,0)),0))</f>
        <v/>
      </c>
      <c r="L1483" s="10" t="str">
        <f aca="false">IF($B1483="","",$J1483+$K1483)</f>
        <v/>
      </c>
      <c r="M1483" s="9"/>
      <c r="N1483" s="10" t="str">
        <f aca="false">IF($B1483="","",$L1483-$M1483)</f>
        <v/>
      </c>
      <c r="O1483" s="10" t="str">
        <f aca="false">IF($B1483="","",IFERROR(INDEX(Drinks!$E$4:$E$53,MATCH($B1483,Drinks!$A$4:$A$53,0)),0))</f>
        <v/>
      </c>
      <c r="P1483" s="10" t="str">
        <f aca="false">IF($B1483="","",$N1483*$O1483)</f>
        <v/>
      </c>
      <c r="Q1483" s="10" t="str">
        <f aca="false">IF($B1483="","",$N1483*IFERROR(INDEX(Drinks!$D$4:$D$53,MATCH($B1483,Drinks!$A$4:$A$53,0)),0))</f>
        <v/>
      </c>
      <c r="R1483" s="10" t="str">
        <f aca="false">IF($B1483="","",$P1483-$Q1483)</f>
        <v/>
      </c>
      <c r="S1483" s="23" t="str">
        <f aca="false">IF($B1483="","",IF(COUNTIFS($A$4:$A$2003,$A1483-1,$B$4:$B$2003,$B1483)=0,"first day",IF(SUMIFS($M$4:$M$2003,$A$4:$A$2003,$A1483-1,$B$4:$B$2003,$B1483)=$J1483,"OK","CHECK")))</f>
        <v/>
      </c>
      <c r="T1483" s="10" t="str">
        <f aca="false">IF($B1483="","",IFERROR(INDEX(Drinks!$D$4:$D$53,MATCH($B1483,Drinks!$A$4:$A$53,0)),0))</f>
        <v/>
      </c>
    </row>
    <row r="1484" customFormat="false" ht="15" hidden="false" customHeight="false" outlineLevel="0" collapsed="false">
      <c r="A1484" s="22"/>
      <c r="B1484" s="9"/>
      <c r="C1484" s="9"/>
      <c r="D1484" s="9"/>
      <c r="E1484" s="9"/>
      <c r="F1484" s="10" t="str">
        <f aca="false">IF($B1484="","",$C1484+$D1484-$E1484)</f>
        <v/>
      </c>
      <c r="G1484" s="10" t="str">
        <f aca="false">IF($B1484="","",IFERROR(INDEX(Drinks!$C$4:$C$53,MATCH($B1484,Drinks!$A$4:$A$53,0)),0))</f>
        <v/>
      </c>
      <c r="H1484" s="10" t="str">
        <f aca="false">IF($B1484="","",$D1484*$G1484)</f>
        <v/>
      </c>
      <c r="I1484" s="10" t="str">
        <f aca="false">IF($B1484="","",$F1484*$G1484)</f>
        <v/>
      </c>
      <c r="J1484" s="9"/>
      <c r="K1484" s="10" t="str">
        <f aca="false">IF($B1484="","",$E1484*IFERROR(INDEX(Drinks!$B$4:$B$53,MATCH($B1484,Drinks!$A$4:$A$53,0)),0))</f>
        <v/>
      </c>
      <c r="L1484" s="10" t="str">
        <f aca="false">IF($B1484="","",$J1484+$K1484)</f>
        <v/>
      </c>
      <c r="M1484" s="9"/>
      <c r="N1484" s="10" t="str">
        <f aca="false">IF($B1484="","",$L1484-$M1484)</f>
        <v/>
      </c>
      <c r="O1484" s="10" t="str">
        <f aca="false">IF($B1484="","",IFERROR(INDEX(Drinks!$E$4:$E$53,MATCH($B1484,Drinks!$A$4:$A$53,0)),0))</f>
        <v/>
      </c>
      <c r="P1484" s="10" t="str">
        <f aca="false">IF($B1484="","",$N1484*$O1484)</f>
        <v/>
      </c>
      <c r="Q1484" s="10" t="str">
        <f aca="false">IF($B1484="","",$N1484*IFERROR(INDEX(Drinks!$D$4:$D$53,MATCH($B1484,Drinks!$A$4:$A$53,0)),0))</f>
        <v/>
      </c>
      <c r="R1484" s="10" t="str">
        <f aca="false">IF($B1484="","",$P1484-$Q1484)</f>
        <v/>
      </c>
      <c r="S1484" s="23" t="str">
        <f aca="false">IF($B1484="","",IF(COUNTIFS($A$4:$A$2003,$A1484-1,$B$4:$B$2003,$B1484)=0,"first day",IF(SUMIFS($M$4:$M$2003,$A$4:$A$2003,$A1484-1,$B$4:$B$2003,$B1484)=$J1484,"OK","CHECK")))</f>
        <v/>
      </c>
      <c r="T1484" s="10" t="str">
        <f aca="false">IF($B1484="","",IFERROR(INDEX(Drinks!$D$4:$D$53,MATCH($B1484,Drinks!$A$4:$A$53,0)),0))</f>
        <v/>
      </c>
    </row>
    <row r="1485" customFormat="false" ht="15" hidden="false" customHeight="false" outlineLevel="0" collapsed="false">
      <c r="A1485" s="22"/>
      <c r="B1485" s="9"/>
      <c r="C1485" s="9"/>
      <c r="D1485" s="9"/>
      <c r="E1485" s="9"/>
      <c r="F1485" s="10" t="str">
        <f aca="false">IF($B1485="","",$C1485+$D1485-$E1485)</f>
        <v/>
      </c>
      <c r="G1485" s="10" t="str">
        <f aca="false">IF($B1485="","",IFERROR(INDEX(Drinks!$C$4:$C$53,MATCH($B1485,Drinks!$A$4:$A$53,0)),0))</f>
        <v/>
      </c>
      <c r="H1485" s="10" t="str">
        <f aca="false">IF($B1485="","",$D1485*$G1485)</f>
        <v/>
      </c>
      <c r="I1485" s="10" t="str">
        <f aca="false">IF($B1485="","",$F1485*$G1485)</f>
        <v/>
      </c>
      <c r="J1485" s="9"/>
      <c r="K1485" s="10" t="str">
        <f aca="false">IF($B1485="","",$E1485*IFERROR(INDEX(Drinks!$B$4:$B$53,MATCH($B1485,Drinks!$A$4:$A$53,0)),0))</f>
        <v/>
      </c>
      <c r="L1485" s="10" t="str">
        <f aca="false">IF($B1485="","",$J1485+$K1485)</f>
        <v/>
      </c>
      <c r="M1485" s="9"/>
      <c r="N1485" s="10" t="str">
        <f aca="false">IF($B1485="","",$L1485-$M1485)</f>
        <v/>
      </c>
      <c r="O1485" s="10" t="str">
        <f aca="false">IF($B1485="","",IFERROR(INDEX(Drinks!$E$4:$E$53,MATCH($B1485,Drinks!$A$4:$A$53,0)),0))</f>
        <v/>
      </c>
      <c r="P1485" s="10" t="str">
        <f aca="false">IF($B1485="","",$N1485*$O1485)</f>
        <v/>
      </c>
      <c r="Q1485" s="10" t="str">
        <f aca="false">IF($B1485="","",$N1485*IFERROR(INDEX(Drinks!$D$4:$D$53,MATCH($B1485,Drinks!$A$4:$A$53,0)),0))</f>
        <v/>
      </c>
      <c r="R1485" s="10" t="str">
        <f aca="false">IF($B1485="","",$P1485-$Q1485)</f>
        <v/>
      </c>
      <c r="S1485" s="23" t="str">
        <f aca="false">IF($B1485="","",IF(COUNTIFS($A$4:$A$2003,$A1485-1,$B$4:$B$2003,$B1485)=0,"first day",IF(SUMIFS($M$4:$M$2003,$A$4:$A$2003,$A1485-1,$B$4:$B$2003,$B1485)=$J1485,"OK","CHECK")))</f>
        <v/>
      </c>
      <c r="T1485" s="10" t="str">
        <f aca="false">IF($B1485="","",IFERROR(INDEX(Drinks!$D$4:$D$53,MATCH($B1485,Drinks!$A$4:$A$53,0)),0))</f>
        <v/>
      </c>
    </row>
    <row r="1486" customFormat="false" ht="15" hidden="false" customHeight="false" outlineLevel="0" collapsed="false">
      <c r="A1486" s="22"/>
      <c r="B1486" s="9"/>
      <c r="C1486" s="9"/>
      <c r="D1486" s="9"/>
      <c r="E1486" s="9"/>
      <c r="F1486" s="10" t="str">
        <f aca="false">IF($B1486="","",$C1486+$D1486-$E1486)</f>
        <v/>
      </c>
      <c r="G1486" s="10" t="str">
        <f aca="false">IF($B1486="","",IFERROR(INDEX(Drinks!$C$4:$C$53,MATCH($B1486,Drinks!$A$4:$A$53,0)),0))</f>
        <v/>
      </c>
      <c r="H1486" s="10" t="str">
        <f aca="false">IF($B1486="","",$D1486*$G1486)</f>
        <v/>
      </c>
      <c r="I1486" s="10" t="str">
        <f aca="false">IF($B1486="","",$F1486*$G1486)</f>
        <v/>
      </c>
      <c r="J1486" s="9"/>
      <c r="K1486" s="10" t="str">
        <f aca="false">IF($B1486="","",$E1486*IFERROR(INDEX(Drinks!$B$4:$B$53,MATCH($B1486,Drinks!$A$4:$A$53,0)),0))</f>
        <v/>
      </c>
      <c r="L1486" s="10" t="str">
        <f aca="false">IF($B1486="","",$J1486+$K1486)</f>
        <v/>
      </c>
      <c r="M1486" s="9"/>
      <c r="N1486" s="10" t="str">
        <f aca="false">IF($B1486="","",$L1486-$M1486)</f>
        <v/>
      </c>
      <c r="O1486" s="10" t="str">
        <f aca="false">IF($B1486="","",IFERROR(INDEX(Drinks!$E$4:$E$53,MATCH($B1486,Drinks!$A$4:$A$53,0)),0))</f>
        <v/>
      </c>
      <c r="P1486" s="10" t="str">
        <f aca="false">IF($B1486="","",$N1486*$O1486)</f>
        <v/>
      </c>
      <c r="Q1486" s="10" t="str">
        <f aca="false">IF($B1486="","",$N1486*IFERROR(INDEX(Drinks!$D$4:$D$53,MATCH($B1486,Drinks!$A$4:$A$53,0)),0))</f>
        <v/>
      </c>
      <c r="R1486" s="10" t="str">
        <f aca="false">IF($B1486="","",$P1486-$Q1486)</f>
        <v/>
      </c>
      <c r="S1486" s="23" t="str">
        <f aca="false">IF($B1486="","",IF(COUNTIFS($A$4:$A$2003,$A1486-1,$B$4:$B$2003,$B1486)=0,"first day",IF(SUMIFS($M$4:$M$2003,$A$4:$A$2003,$A1486-1,$B$4:$B$2003,$B1486)=$J1486,"OK","CHECK")))</f>
        <v/>
      </c>
      <c r="T1486" s="10" t="str">
        <f aca="false">IF($B1486="","",IFERROR(INDEX(Drinks!$D$4:$D$53,MATCH($B1486,Drinks!$A$4:$A$53,0)),0))</f>
        <v/>
      </c>
    </row>
    <row r="1487" customFormat="false" ht="15" hidden="false" customHeight="false" outlineLevel="0" collapsed="false">
      <c r="A1487" s="22"/>
      <c r="B1487" s="9"/>
      <c r="C1487" s="9"/>
      <c r="D1487" s="9"/>
      <c r="E1487" s="9"/>
      <c r="F1487" s="10" t="str">
        <f aca="false">IF($B1487="","",$C1487+$D1487-$E1487)</f>
        <v/>
      </c>
      <c r="G1487" s="10" t="str">
        <f aca="false">IF($B1487="","",IFERROR(INDEX(Drinks!$C$4:$C$53,MATCH($B1487,Drinks!$A$4:$A$53,0)),0))</f>
        <v/>
      </c>
      <c r="H1487" s="10" t="str">
        <f aca="false">IF($B1487="","",$D1487*$G1487)</f>
        <v/>
      </c>
      <c r="I1487" s="10" t="str">
        <f aca="false">IF($B1487="","",$F1487*$G1487)</f>
        <v/>
      </c>
      <c r="J1487" s="9"/>
      <c r="K1487" s="10" t="str">
        <f aca="false">IF($B1487="","",$E1487*IFERROR(INDEX(Drinks!$B$4:$B$53,MATCH($B1487,Drinks!$A$4:$A$53,0)),0))</f>
        <v/>
      </c>
      <c r="L1487" s="10" t="str">
        <f aca="false">IF($B1487="","",$J1487+$K1487)</f>
        <v/>
      </c>
      <c r="M1487" s="9"/>
      <c r="N1487" s="10" t="str">
        <f aca="false">IF($B1487="","",$L1487-$M1487)</f>
        <v/>
      </c>
      <c r="O1487" s="10" t="str">
        <f aca="false">IF($B1487="","",IFERROR(INDEX(Drinks!$E$4:$E$53,MATCH($B1487,Drinks!$A$4:$A$53,0)),0))</f>
        <v/>
      </c>
      <c r="P1487" s="10" t="str">
        <f aca="false">IF($B1487="","",$N1487*$O1487)</f>
        <v/>
      </c>
      <c r="Q1487" s="10" t="str">
        <f aca="false">IF($B1487="","",$N1487*IFERROR(INDEX(Drinks!$D$4:$D$53,MATCH($B1487,Drinks!$A$4:$A$53,0)),0))</f>
        <v/>
      </c>
      <c r="R1487" s="10" t="str">
        <f aca="false">IF($B1487="","",$P1487-$Q1487)</f>
        <v/>
      </c>
      <c r="S1487" s="23" t="str">
        <f aca="false">IF($B1487="","",IF(COUNTIFS($A$4:$A$2003,$A1487-1,$B$4:$B$2003,$B1487)=0,"first day",IF(SUMIFS($M$4:$M$2003,$A$4:$A$2003,$A1487-1,$B$4:$B$2003,$B1487)=$J1487,"OK","CHECK")))</f>
        <v/>
      </c>
      <c r="T1487" s="10" t="str">
        <f aca="false">IF($B1487="","",IFERROR(INDEX(Drinks!$D$4:$D$53,MATCH($B1487,Drinks!$A$4:$A$53,0)),0))</f>
        <v/>
      </c>
    </row>
    <row r="1488" customFormat="false" ht="15" hidden="false" customHeight="false" outlineLevel="0" collapsed="false">
      <c r="A1488" s="22"/>
      <c r="B1488" s="9"/>
      <c r="C1488" s="9"/>
      <c r="D1488" s="9"/>
      <c r="E1488" s="9"/>
      <c r="F1488" s="10" t="str">
        <f aca="false">IF($B1488="","",$C1488+$D1488-$E1488)</f>
        <v/>
      </c>
      <c r="G1488" s="10" t="str">
        <f aca="false">IF($B1488="","",IFERROR(INDEX(Drinks!$C$4:$C$53,MATCH($B1488,Drinks!$A$4:$A$53,0)),0))</f>
        <v/>
      </c>
      <c r="H1488" s="10" t="str">
        <f aca="false">IF($B1488="","",$D1488*$G1488)</f>
        <v/>
      </c>
      <c r="I1488" s="10" t="str">
        <f aca="false">IF($B1488="","",$F1488*$G1488)</f>
        <v/>
      </c>
      <c r="J1488" s="9"/>
      <c r="K1488" s="10" t="str">
        <f aca="false">IF($B1488="","",$E1488*IFERROR(INDEX(Drinks!$B$4:$B$53,MATCH($B1488,Drinks!$A$4:$A$53,0)),0))</f>
        <v/>
      </c>
      <c r="L1488" s="10" t="str">
        <f aca="false">IF($B1488="","",$J1488+$K1488)</f>
        <v/>
      </c>
      <c r="M1488" s="9"/>
      <c r="N1488" s="10" t="str">
        <f aca="false">IF($B1488="","",$L1488-$M1488)</f>
        <v/>
      </c>
      <c r="O1488" s="10" t="str">
        <f aca="false">IF($B1488="","",IFERROR(INDEX(Drinks!$E$4:$E$53,MATCH($B1488,Drinks!$A$4:$A$53,0)),0))</f>
        <v/>
      </c>
      <c r="P1488" s="10" t="str">
        <f aca="false">IF($B1488="","",$N1488*$O1488)</f>
        <v/>
      </c>
      <c r="Q1488" s="10" t="str">
        <f aca="false">IF($B1488="","",$N1488*IFERROR(INDEX(Drinks!$D$4:$D$53,MATCH($B1488,Drinks!$A$4:$A$53,0)),0))</f>
        <v/>
      </c>
      <c r="R1488" s="10" t="str">
        <f aca="false">IF($B1488="","",$P1488-$Q1488)</f>
        <v/>
      </c>
      <c r="S1488" s="23" t="str">
        <f aca="false">IF($B1488="","",IF(COUNTIFS($A$4:$A$2003,$A1488-1,$B$4:$B$2003,$B1488)=0,"first day",IF(SUMIFS($M$4:$M$2003,$A$4:$A$2003,$A1488-1,$B$4:$B$2003,$B1488)=$J1488,"OK","CHECK")))</f>
        <v/>
      </c>
      <c r="T1488" s="10" t="str">
        <f aca="false">IF($B1488="","",IFERROR(INDEX(Drinks!$D$4:$D$53,MATCH($B1488,Drinks!$A$4:$A$53,0)),0))</f>
        <v/>
      </c>
    </row>
    <row r="1489" customFormat="false" ht="15" hidden="false" customHeight="false" outlineLevel="0" collapsed="false">
      <c r="A1489" s="22"/>
      <c r="B1489" s="9"/>
      <c r="C1489" s="9"/>
      <c r="D1489" s="9"/>
      <c r="E1489" s="9"/>
      <c r="F1489" s="10" t="str">
        <f aca="false">IF($B1489="","",$C1489+$D1489-$E1489)</f>
        <v/>
      </c>
      <c r="G1489" s="10" t="str">
        <f aca="false">IF($B1489="","",IFERROR(INDEX(Drinks!$C$4:$C$53,MATCH($B1489,Drinks!$A$4:$A$53,0)),0))</f>
        <v/>
      </c>
      <c r="H1489" s="10" t="str">
        <f aca="false">IF($B1489="","",$D1489*$G1489)</f>
        <v/>
      </c>
      <c r="I1489" s="10" t="str">
        <f aca="false">IF($B1489="","",$F1489*$G1489)</f>
        <v/>
      </c>
      <c r="J1489" s="9"/>
      <c r="K1489" s="10" t="str">
        <f aca="false">IF($B1489="","",$E1489*IFERROR(INDEX(Drinks!$B$4:$B$53,MATCH($B1489,Drinks!$A$4:$A$53,0)),0))</f>
        <v/>
      </c>
      <c r="L1489" s="10" t="str">
        <f aca="false">IF($B1489="","",$J1489+$K1489)</f>
        <v/>
      </c>
      <c r="M1489" s="9"/>
      <c r="N1489" s="10" t="str">
        <f aca="false">IF($B1489="","",$L1489-$M1489)</f>
        <v/>
      </c>
      <c r="O1489" s="10" t="str">
        <f aca="false">IF($B1489="","",IFERROR(INDEX(Drinks!$E$4:$E$53,MATCH($B1489,Drinks!$A$4:$A$53,0)),0))</f>
        <v/>
      </c>
      <c r="P1489" s="10" t="str">
        <f aca="false">IF($B1489="","",$N1489*$O1489)</f>
        <v/>
      </c>
      <c r="Q1489" s="10" t="str">
        <f aca="false">IF($B1489="","",$N1489*IFERROR(INDEX(Drinks!$D$4:$D$53,MATCH($B1489,Drinks!$A$4:$A$53,0)),0))</f>
        <v/>
      </c>
      <c r="R1489" s="10" t="str">
        <f aca="false">IF($B1489="","",$P1489-$Q1489)</f>
        <v/>
      </c>
      <c r="S1489" s="23" t="str">
        <f aca="false">IF($B1489="","",IF(COUNTIFS($A$4:$A$2003,$A1489-1,$B$4:$B$2003,$B1489)=0,"first day",IF(SUMIFS($M$4:$M$2003,$A$4:$A$2003,$A1489-1,$B$4:$B$2003,$B1489)=$J1489,"OK","CHECK")))</f>
        <v/>
      </c>
      <c r="T1489" s="10" t="str">
        <f aca="false">IF($B1489="","",IFERROR(INDEX(Drinks!$D$4:$D$53,MATCH($B1489,Drinks!$A$4:$A$53,0)),0))</f>
        <v/>
      </c>
    </row>
    <row r="1490" customFormat="false" ht="15" hidden="false" customHeight="false" outlineLevel="0" collapsed="false">
      <c r="A1490" s="22"/>
      <c r="B1490" s="9"/>
      <c r="C1490" s="9"/>
      <c r="D1490" s="9"/>
      <c r="E1490" s="9"/>
      <c r="F1490" s="10" t="str">
        <f aca="false">IF($B1490="","",$C1490+$D1490-$E1490)</f>
        <v/>
      </c>
      <c r="G1490" s="10" t="str">
        <f aca="false">IF($B1490="","",IFERROR(INDEX(Drinks!$C$4:$C$53,MATCH($B1490,Drinks!$A$4:$A$53,0)),0))</f>
        <v/>
      </c>
      <c r="H1490" s="10" t="str">
        <f aca="false">IF($B1490="","",$D1490*$G1490)</f>
        <v/>
      </c>
      <c r="I1490" s="10" t="str">
        <f aca="false">IF($B1490="","",$F1490*$G1490)</f>
        <v/>
      </c>
      <c r="J1490" s="9"/>
      <c r="K1490" s="10" t="str">
        <f aca="false">IF($B1490="","",$E1490*IFERROR(INDEX(Drinks!$B$4:$B$53,MATCH($B1490,Drinks!$A$4:$A$53,0)),0))</f>
        <v/>
      </c>
      <c r="L1490" s="10" t="str">
        <f aca="false">IF($B1490="","",$J1490+$K1490)</f>
        <v/>
      </c>
      <c r="M1490" s="9"/>
      <c r="N1490" s="10" t="str">
        <f aca="false">IF($B1490="","",$L1490-$M1490)</f>
        <v/>
      </c>
      <c r="O1490" s="10" t="str">
        <f aca="false">IF($B1490="","",IFERROR(INDEX(Drinks!$E$4:$E$53,MATCH($B1490,Drinks!$A$4:$A$53,0)),0))</f>
        <v/>
      </c>
      <c r="P1490" s="10" t="str">
        <f aca="false">IF($B1490="","",$N1490*$O1490)</f>
        <v/>
      </c>
      <c r="Q1490" s="10" t="str">
        <f aca="false">IF($B1490="","",$N1490*IFERROR(INDEX(Drinks!$D$4:$D$53,MATCH($B1490,Drinks!$A$4:$A$53,0)),0))</f>
        <v/>
      </c>
      <c r="R1490" s="10" t="str">
        <f aca="false">IF($B1490="","",$P1490-$Q1490)</f>
        <v/>
      </c>
      <c r="S1490" s="23" t="str">
        <f aca="false">IF($B1490="","",IF(COUNTIFS($A$4:$A$2003,$A1490-1,$B$4:$B$2003,$B1490)=0,"first day",IF(SUMIFS($M$4:$M$2003,$A$4:$A$2003,$A1490-1,$B$4:$B$2003,$B1490)=$J1490,"OK","CHECK")))</f>
        <v/>
      </c>
      <c r="T1490" s="10" t="str">
        <f aca="false">IF($B1490="","",IFERROR(INDEX(Drinks!$D$4:$D$53,MATCH($B1490,Drinks!$A$4:$A$53,0)),0))</f>
        <v/>
      </c>
    </row>
    <row r="1491" customFormat="false" ht="15" hidden="false" customHeight="false" outlineLevel="0" collapsed="false">
      <c r="A1491" s="22"/>
      <c r="B1491" s="9"/>
      <c r="C1491" s="9"/>
      <c r="D1491" s="9"/>
      <c r="E1491" s="9"/>
      <c r="F1491" s="10" t="str">
        <f aca="false">IF($B1491="","",$C1491+$D1491-$E1491)</f>
        <v/>
      </c>
      <c r="G1491" s="10" t="str">
        <f aca="false">IF($B1491="","",IFERROR(INDEX(Drinks!$C$4:$C$53,MATCH($B1491,Drinks!$A$4:$A$53,0)),0))</f>
        <v/>
      </c>
      <c r="H1491" s="10" t="str">
        <f aca="false">IF($B1491="","",$D1491*$G1491)</f>
        <v/>
      </c>
      <c r="I1491" s="10" t="str">
        <f aca="false">IF($B1491="","",$F1491*$G1491)</f>
        <v/>
      </c>
      <c r="J1491" s="9"/>
      <c r="K1491" s="10" t="str">
        <f aca="false">IF($B1491="","",$E1491*IFERROR(INDEX(Drinks!$B$4:$B$53,MATCH($B1491,Drinks!$A$4:$A$53,0)),0))</f>
        <v/>
      </c>
      <c r="L1491" s="10" t="str">
        <f aca="false">IF($B1491="","",$J1491+$K1491)</f>
        <v/>
      </c>
      <c r="M1491" s="9"/>
      <c r="N1491" s="10" t="str">
        <f aca="false">IF($B1491="","",$L1491-$M1491)</f>
        <v/>
      </c>
      <c r="O1491" s="10" t="str">
        <f aca="false">IF($B1491="","",IFERROR(INDEX(Drinks!$E$4:$E$53,MATCH($B1491,Drinks!$A$4:$A$53,0)),0))</f>
        <v/>
      </c>
      <c r="P1491" s="10" t="str">
        <f aca="false">IF($B1491="","",$N1491*$O1491)</f>
        <v/>
      </c>
      <c r="Q1491" s="10" t="str">
        <f aca="false">IF($B1491="","",$N1491*IFERROR(INDEX(Drinks!$D$4:$D$53,MATCH($B1491,Drinks!$A$4:$A$53,0)),0))</f>
        <v/>
      </c>
      <c r="R1491" s="10" t="str">
        <f aca="false">IF($B1491="","",$P1491-$Q1491)</f>
        <v/>
      </c>
      <c r="S1491" s="23" t="str">
        <f aca="false">IF($B1491="","",IF(COUNTIFS($A$4:$A$2003,$A1491-1,$B$4:$B$2003,$B1491)=0,"first day",IF(SUMIFS($M$4:$M$2003,$A$4:$A$2003,$A1491-1,$B$4:$B$2003,$B1491)=$J1491,"OK","CHECK")))</f>
        <v/>
      </c>
      <c r="T1491" s="10" t="str">
        <f aca="false">IF($B1491="","",IFERROR(INDEX(Drinks!$D$4:$D$53,MATCH($B1491,Drinks!$A$4:$A$53,0)),0))</f>
        <v/>
      </c>
    </row>
    <row r="1492" customFormat="false" ht="15" hidden="false" customHeight="false" outlineLevel="0" collapsed="false">
      <c r="A1492" s="22"/>
      <c r="B1492" s="9"/>
      <c r="C1492" s="9"/>
      <c r="D1492" s="9"/>
      <c r="E1492" s="9"/>
      <c r="F1492" s="10" t="str">
        <f aca="false">IF($B1492="","",$C1492+$D1492-$E1492)</f>
        <v/>
      </c>
      <c r="G1492" s="10" t="str">
        <f aca="false">IF($B1492="","",IFERROR(INDEX(Drinks!$C$4:$C$53,MATCH($B1492,Drinks!$A$4:$A$53,0)),0))</f>
        <v/>
      </c>
      <c r="H1492" s="10" t="str">
        <f aca="false">IF($B1492="","",$D1492*$G1492)</f>
        <v/>
      </c>
      <c r="I1492" s="10" t="str">
        <f aca="false">IF($B1492="","",$F1492*$G1492)</f>
        <v/>
      </c>
      <c r="J1492" s="9"/>
      <c r="K1492" s="10" t="str">
        <f aca="false">IF($B1492="","",$E1492*IFERROR(INDEX(Drinks!$B$4:$B$53,MATCH($B1492,Drinks!$A$4:$A$53,0)),0))</f>
        <v/>
      </c>
      <c r="L1492" s="10" t="str">
        <f aca="false">IF($B1492="","",$J1492+$K1492)</f>
        <v/>
      </c>
      <c r="M1492" s="9"/>
      <c r="N1492" s="10" t="str">
        <f aca="false">IF($B1492="","",$L1492-$M1492)</f>
        <v/>
      </c>
      <c r="O1492" s="10" t="str">
        <f aca="false">IF($B1492="","",IFERROR(INDEX(Drinks!$E$4:$E$53,MATCH($B1492,Drinks!$A$4:$A$53,0)),0))</f>
        <v/>
      </c>
      <c r="P1492" s="10" t="str">
        <f aca="false">IF($B1492="","",$N1492*$O1492)</f>
        <v/>
      </c>
      <c r="Q1492" s="10" t="str">
        <f aca="false">IF($B1492="","",$N1492*IFERROR(INDEX(Drinks!$D$4:$D$53,MATCH($B1492,Drinks!$A$4:$A$53,0)),0))</f>
        <v/>
      </c>
      <c r="R1492" s="10" t="str">
        <f aca="false">IF($B1492="","",$P1492-$Q1492)</f>
        <v/>
      </c>
      <c r="S1492" s="23" t="str">
        <f aca="false">IF($B1492="","",IF(COUNTIFS($A$4:$A$2003,$A1492-1,$B$4:$B$2003,$B1492)=0,"first day",IF(SUMIFS($M$4:$M$2003,$A$4:$A$2003,$A1492-1,$B$4:$B$2003,$B1492)=$J1492,"OK","CHECK")))</f>
        <v/>
      </c>
      <c r="T1492" s="10" t="str">
        <f aca="false">IF($B1492="","",IFERROR(INDEX(Drinks!$D$4:$D$53,MATCH($B1492,Drinks!$A$4:$A$53,0)),0))</f>
        <v/>
      </c>
    </row>
    <row r="1493" customFormat="false" ht="15" hidden="false" customHeight="false" outlineLevel="0" collapsed="false">
      <c r="A1493" s="22"/>
      <c r="B1493" s="9"/>
      <c r="C1493" s="9"/>
      <c r="D1493" s="9"/>
      <c r="E1493" s="9"/>
      <c r="F1493" s="10" t="str">
        <f aca="false">IF($B1493="","",$C1493+$D1493-$E1493)</f>
        <v/>
      </c>
      <c r="G1493" s="10" t="str">
        <f aca="false">IF($B1493="","",IFERROR(INDEX(Drinks!$C$4:$C$53,MATCH($B1493,Drinks!$A$4:$A$53,0)),0))</f>
        <v/>
      </c>
      <c r="H1493" s="10" t="str">
        <f aca="false">IF($B1493="","",$D1493*$G1493)</f>
        <v/>
      </c>
      <c r="I1493" s="10" t="str">
        <f aca="false">IF($B1493="","",$F1493*$G1493)</f>
        <v/>
      </c>
      <c r="J1493" s="9"/>
      <c r="K1493" s="10" t="str">
        <f aca="false">IF($B1493="","",$E1493*IFERROR(INDEX(Drinks!$B$4:$B$53,MATCH($B1493,Drinks!$A$4:$A$53,0)),0))</f>
        <v/>
      </c>
      <c r="L1493" s="10" t="str">
        <f aca="false">IF($B1493="","",$J1493+$K1493)</f>
        <v/>
      </c>
      <c r="M1493" s="9"/>
      <c r="N1493" s="10" t="str">
        <f aca="false">IF($B1493="","",$L1493-$M1493)</f>
        <v/>
      </c>
      <c r="O1493" s="10" t="str">
        <f aca="false">IF($B1493="","",IFERROR(INDEX(Drinks!$E$4:$E$53,MATCH($B1493,Drinks!$A$4:$A$53,0)),0))</f>
        <v/>
      </c>
      <c r="P1493" s="10" t="str">
        <f aca="false">IF($B1493="","",$N1493*$O1493)</f>
        <v/>
      </c>
      <c r="Q1493" s="10" t="str">
        <f aca="false">IF($B1493="","",$N1493*IFERROR(INDEX(Drinks!$D$4:$D$53,MATCH($B1493,Drinks!$A$4:$A$53,0)),0))</f>
        <v/>
      </c>
      <c r="R1493" s="10" t="str">
        <f aca="false">IF($B1493="","",$P1493-$Q1493)</f>
        <v/>
      </c>
      <c r="S1493" s="23" t="str">
        <f aca="false">IF($B1493="","",IF(COUNTIFS($A$4:$A$2003,$A1493-1,$B$4:$B$2003,$B1493)=0,"first day",IF(SUMIFS($M$4:$M$2003,$A$4:$A$2003,$A1493-1,$B$4:$B$2003,$B1493)=$J1493,"OK","CHECK")))</f>
        <v/>
      </c>
      <c r="T1493" s="10" t="str">
        <f aca="false">IF($B1493="","",IFERROR(INDEX(Drinks!$D$4:$D$53,MATCH($B1493,Drinks!$A$4:$A$53,0)),0))</f>
        <v/>
      </c>
    </row>
    <row r="1494" customFormat="false" ht="15" hidden="false" customHeight="false" outlineLevel="0" collapsed="false">
      <c r="A1494" s="22"/>
      <c r="B1494" s="9"/>
      <c r="C1494" s="9"/>
      <c r="D1494" s="9"/>
      <c r="E1494" s="9"/>
      <c r="F1494" s="10" t="str">
        <f aca="false">IF($B1494="","",$C1494+$D1494-$E1494)</f>
        <v/>
      </c>
      <c r="G1494" s="10" t="str">
        <f aca="false">IF($B1494="","",IFERROR(INDEX(Drinks!$C$4:$C$53,MATCH($B1494,Drinks!$A$4:$A$53,0)),0))</f>
        <v/>
      </c>
      <c r="H1494" s="10" t="str">
        <f aca="false">IF($B1494="","",$D1494*$G1494)</f>
        <v/>
      </c>
      <c r="I1494" s="10" t="str">
        <f aca="false">IF($B1494="","",$F1494*$G1494)</f>
        <v/>
      </c>
      <c r="J1494" s="9"/>
      <c r="K1494" s="10" t="str">
        <f aca="false">IF($B1494="","",$E1494*IFERROR(INDEX(Drinks!$B$4:$B$53,MATCH($B1494,Drinks!$A$4:$A$53,0)),0))</f>
        <v/>
      </c>
      <c r="L1494" s="10" t="str">
        <f aca="false">IF($B1494="","",$J1494+$K1494)</f>
        <v/>
      </c>
      <c r="M1494" s="9"/>
      <c r="N1494" s="10" t="str">
        <f aca="false">IF($B1494="","",$L1494-$M1494)</f>
        <v/>
      </c>
      <c r="O1494" s="10" t="str">
        <f aca="false">IF($B1494="","",IFERROR(INDEX(Drinks!$E$4:$E$53,MATCH($B1494,Drinks!$A$4:$A$53,0)),0))</f>
        <v/>
      </c>
      <c r="P1494" s="10" t="str">
        <f aca="false">IF($B1494="","",$N1494*$O1494)</f>
        <v/>
      </c>
      <c r="Q1494" s="10" t="str">
        <f aca="false">IF($B1494="","",$N1494*IFERROR(INDEX(Drinks!$D$4:$D$53,MATCH($B1494,Drinks!$A$4:$A$53,0)),0))</f>
        <v/>
      </c>
      <c r="R1494" s="10" t="str">
        <f aca="false">IF($B1494="","",$P1494-$Q1494)</f>
        <v/>
      </c>
      <c r="S1494" s="23" t="str">
        <f aca="false">IF($B1494="","",IF(COUNTIFS($A$4:$A$2003,$A1494-1,$B$4:$B$2003,$B1494)=0,"first day",IF(SUMIFS($M$4:$M$2003,$A$4:$A$2003,$A1494-1,$B$4:$B$2003,$B1494)=$J1494,"OK","CHECK")))</f>
        <v/>
      </c>
      <c r="T1494" s="10" t="str">
        <f aca="false">IF($B1494="","",IFERROR(INDEX(Drinks!$D$4:$D$53,MATCH($B1494,Drinks!$A$4:$A$53,0)),0))</f>
        <v/>
      </c>
    </row>
    <row r="1495" customFormat="false" ht="15" hidden="false" customHeight="false" outlineLevel="0" collapsed="false">
      <c r="A1495" s="22"/>
      <c r="B1495" s="9"/>
      <c r="C1495" s="9"/>
      <c r="D1495" s="9"/>
      <c r="E1495" s="9"/>
      <c r="F1495" s="10" t="str">
        <f aca="false">IF($B1495="","",$C1495+$D1495-$E1495)</f>
        <v/>
      </c>
      <c r="G1495" s="10" t="str">
        <f aca="false">IF($B1495="","",IFERROR(INDEX(Drinks!$C$4:$C$53,MATCH($B1495,Drinks!$A$4:$A$53,0)),0))</f>
        <v/>
      </c>
      <c r="H1495" s="10" t="str">
        <f aca="false">IF($B1495="","",$D1495*$G1495)</f>
        <v/>
      </c>
      <c r="I1495" s="10" t="str">
        <f aca="false">IF($B1495="","",$F1495*$G1495)</f>
        <v/>
      </c>
      <c r="J1495" s="9"/>
      <c r="K1495" s="10" t="str">
        <f aca="false">IF($B1495="","",$E1495*IFERROR(INDEX(Drinks!$B$4:$B$53,MATCH($B1495,Drinks!$A$4:$A$53,0)),0))</f>
        <v/>
      </c>
      <c r="L1495" s="10" t="str">
        <f aca="false">IF($B1495="","",$J1495+$K1495)</f>
        <v/>
      </c>
      <c r="M1495" s="9"/>
      <c r="N1495" s="10" t="str">
        <f aca="false">IF($B1495="","",$L1495-$M1495)</f>
        <v/>
      </c>
      <c r="O1495" s="10" t="str">
        <f aca="false">IF($B1495="","",IFERROR(INDEX(Drinks!$E$4:$E$53,MATCH($B1495,Drinks!$A$4:$A$53,0)),0))</f>
        <v/>
      </c>
      <c r="P1495" s="10" t="str">
        <f aca="false">IF($B1495="","",$N1495*$O1495)</f>
        <v/>
      </c>
      <c r="Q1495" s="10" t="str">
        <f aca="false">IF($B1495="","",$N1495*IFERROR(INDEX(Drinks!$D$4:$D$53,MATCH($B1495,Drinks!$A$4:$A$53,0)),0))</f>
        <v/>
      </c>
      <c r="R1495" s="10" t="str">
        <f aca="false">IF($B1495="","",$P1495-$Q1495)</f>
        <v/>
      </c>
      <c r="S1495" s="23" t="str">
        <f aca="false">IF($B1495="","",IF(COUNTIFS($A$4:$A$2003,$A1495-1,$B$4:$B$2003,$B1495)=0,"first day",IF(SUMIFS($M$4:$M$2003,$A$4:$A$2003,$A1495-1,$B$4:$B$2003,$B1495)=$J1495,"OK","CHECK")))</f>
        <v/>
      </c>
      <c r="T1495" s="10" t="str">
        <f aca="false">IF($B1495="","",IFERROR(INDEX(Drinks!$D$4:$D$53,MATCH($B1495,Drinks!$A$4:$A$53,0)),0))</f>
        <v/>
      </c>
    </row>
    <row r="1496" customFormat="false" ht="15" hidden="false" customHeight="false" outlineLevel="0" collapsed="false">
      <c r="A1496" s="22"/>
      <c r="B1496" s="9"/>
      <c r="C1496" s="9"/>
      <c r="D1496" s="9"/>
      <c r="E1496" s="9"/>
      <c r="F1496" s="10" t="str">
        <f aca="false">IF($B1496="","",$C1496+$D1496-$E1496)</f>
        <v/>
      </c>
      <c r="G1496" s="10" t="str">
        <f aca="false">IF($B1496="","",IFERROR(INDEX(Drinks!$C$4:$C$53,MATCH($B1496,Drinks!$A$4:$A$53,0)),0))</f>
        <v/>
      </c>
      <c r="H1496" s="10" t="str">
        <f aca="false">IF($B1496="","",$D1496*$G1496)</f>
        <v/>
      </c>
      <c r="I1496" s="10" t="str">
        <f aca="false">IF($B1496="","",$F1496*$G1496)</f>
        <v/>
      </c>
      <c r="J1496" s="9"/>
      <c r="K1496" s="10" t="str">
        <f aca="false">IF($B1496="","",$E1496*IFERROR(INDEX(Drinks!$B$4:$B$53,MATCH($B1496,Drinks!$A$4:$A$53,0)),0))</f>
        <v/>
      </c>
      <c r="L1496" s="10" t="str">
        <f aca="false">IF($B1496="","",$J1496+$K1496)</f>
        <v/>
      </c>
      <c r="M1496" s="9"/>
      <c r="N1496" s="10" t="str">
        <f aca="false">IF($B1496="","",$L1496-$M1496)</f>
        <v/>
      </c>
      <c r="O1496" s="10" t="str">
        <f aca="false">IF($B1496="","",IFERROR(INDEX(Drinks!$E$4:$E$53,MATCH($B1496,Drinks!$A$4:$A$53,0)),0))</f>
        <v/>
      </c>
      <c r="P1496" s="10" t="str">
        <f aca="false">IF($B1496="","",$N1496*$O1496)</f>
        <v/>
      </c>
      <c r="Q1496" s="10" t="str">
        <f aca="false">IF($B1496="","",$N1496*IFERROR(INDEX(Drinks!$D$4:$D$53,MATCH($B1496,Drinks!$A$4:$A$53,0)),0))</f>
        <v/>
      </c>
      <c r="R1496" s="10" t="str">
        <f aca="false">IF($B1496="","",$P1496-$Q1496)</f>
        <v/>
      </c>
      <c r="S1496" s="23" t="str">
        <f aca="false">IF($B1496="","",IF(COUNTIFS($A$4:$A$2003,$A1496-1,$B$4:$B$2003,$B1496)=0,"first day",IF(SUMIFS($M$4:$M$2003,$A$4:$A$2003,$A1496-1,$B$4:$B$2003,$B1496)=$J1496,"OK","CHECK")))</f>
        <v/>
      </c>
      <c r="T1496" s="10" t="str">
        <f aca="false">IF($B1496="","",IFERROR(INDEX(Drinks!$D$4:$D$53,MATCH($B1496,Drinks!$A$4:$A$53,0)),0))</f>
        <v/>
      </c>
    </row>
    <row r="1497" customFormat="false" ht="15" hidden="false" customHeight="false" outlineLevel="0" collapsed="false">
      <c r="A1497" s="22"/>
      <c r="B1497" s="9"/>
      <c r="C1497" s="9"/>
      <c r="D1497" s="9"/>
      <c r="E1497" s="9"/>
      <c r="F1497" s="10" t="str">
        <f aca="false">IF($B1497="","",$C1497+$D1497-$E1497)</f>
        <v/>
      </c>
      <c r="G1497" s="10" t="str">
        <f aca="false">IF($B1497="","",IFERROR(INDEX(Drinks!$C$4:$C$53,MATCH($B1497,Drinks!$A$4:$A$53,0)),0))</f>
        <v/>
      </c>
      <c r="H1497" s="10" t="str">
        <f aca="false">IF($B1497="","",$D1497*$G1497)</f>
        <v/>
      </c>
      <c r="I1497" s="10" t="str">
        <f aca="false">IF($B1497="","",$F1497*$G1497)</f>
        <v/>
      </c>
      <c r="J1497" s="9"/>
      <c r="K1497" s="10" t="str">
        <f aca="false">IF($B1497="","",$E1497*IFERROR(INDEX(Drinks!$B$4:$B$53,MATCH($B1497,Drinks!$A$4:$A$53,0)),0))</f>
        <v/>
      </c>
      <c r="L1497" s="10" t="str">
        <f aca="false">IF($B1497="","",$J1497+$K1497)</f>
        <v/>
      </c>
      <c r="M1497" s="9"/>
      <c r="N1497" s="10" t="str">
        <f aca="false">IF($B1497="","",$L1497-$M1497)</f>
        <v/>
      </c>
      <c r="O1497" s="10" t="str">
        <f aca="false">IF($B1497="","",IFERROR(INDEX(Drinks!$E$4:$E$53,MATCH($B1497,Drinks!$A$4:$A$53,0)),0))</f>
        <v/>
      </c>
      <c r="P1497" s="10" t="str">
        <f aca="false">IF($B1497="","",$N1497*$O1497)</f>
        <v/>
      </c>
      <c r="Q1497" s="10" t="str">
        <f aca="false">IF($B1497="","",$N1497*IFERROR(INDEX(Drinks!$D$4:$D$53,MATCH($B1497,Drinks!$A$4:$A$53,0)),0))</f>
        <v/>
      </c>
      <c r="R1497" s="10" t="str">
        <f aca="false">IF($B1497="","",$P1497-$Q1497)</f>
        <v/>
      </c>
      <c r="S1497" s="23" t="str">
        <f aca="false">IF($B1497="","",IF(COUNTIFS($A$4:$A$2003,$A1497-1,$B$4:$B$2003,$B1497)=0,"first day",IF(SUMIFS($M$4:$M$2003,$A$4:$A$2003,$A1497-1,$B$4:$B$2003,$B1497)=$J1497,"OK","CHECK")))</f>
        <v/>
      </c>
      <c r="T1497" s="10" t="str">
        <f aca="false">IF($B1497="","",IFERROR(INDEX(Drinks!$D$4:$D$53,MATCH($B1497,Drinks!$A$4:$A$53,0)),0))</f>
        <v/>
      </c>
    </row>
    <row r="1498" customFormat="false" ht="15" hidden="false" customHeight="false" outlineLevel="0" collapsed="false">
      <c r="A1498" s="22"/>
      <c r="B1498" s="9"/>
      <c r="C1498" s="9"/>
      <c r="D1498" s="9"/>
      <c r="E1498" s="9"/>
      <c r="F1498" s="10" t="str">
        <f aca="false">IF($B1498="","",$C1498+$D1498-$E1498)</f>
        <v/>
      </c>
      <c r="G1498" s="10" t="str">
        <f aca="false">IF($B1498="","",IFERROR(INDEX(Drinks!$C$4:$C$53,MATCH($B1498,Drinks!$A$4:$A$53,0)),0))</f>
        <v/>
      </c>
      <c r="H1498" s="10" t="str">
        <f aca="false">IF($B1498="","",$D1498*$G1498)</f>
        <v/>
      </c>
      <c r="I1498" s="10" t="str">
        <f aca="false">IF($B1498="","",$F1498*$G1498)</f>
        <v/>
      </c>
      <c r="J1498" s="9"/>
      <c r="K1498" s="10" t="str">
        <f aca="false">IF($B1498="","",$E1498*IFERROR(INDEX(Drinks!$B$4:$B$53,MATCH($B1498,Drinks!$A$4:$A$53,0)),0))</f>
        <v/>
      </c>
      <c r="L1498" s="10" t="str">
        <f aca="false">IF($B1498="","",$J1498+$K1498)</f>
        <v/>
      </c>
      <c r="M1498" s="9"/>
      <c r="N1498" s="10" t="str">
        <f aca="false">IF($B1498="","",$L1498-$M1498)</f>
        <v/>
      </c>
      <c r="O1498" s="10" t="str">
        <f aca="false">IF($B1498="","",IFERROR(INDEX(Drinks!$E$4:$E$53,MATCH($B1498,Drinks!$A$4:$A$53,0)),0))</f>
        <v/>
      </c>
      <c r="P1498" s="10" t="str">
        <f aca="false">IF($B1498="","",$N1498*$O1498)</f>
        <v/>
      </c>
      <c r="Q1498" s="10" t="str">
        <f aca="false">IF($B1498="","",$N1498*IFERROR(INDEX(Drinks!$D$4:$D$53,MATCH($B1498,Drinks!$A$4:$A$53,0)),0))</f>
        <v/>
      </c>
      <c r="R1498" s="10" t="str">
        <f aca="false">IF($B1498="","",$P1498-$Q1498)</f>
        <v/>
      </c>
      <c r="S1498" s="23" t="str">
        <f aca="false">IF($B1498="","",IF(COUNTIFS($A$4:$A$2003,$A1498-1,$B$4:$B$2003,$B1498)=0,"first day",IF(SUMIFS($M$4:$M$2003,$A$4:$A$2003,$A1498-1,$B$4:$B$2003,$B1498)=$J1498,"OK","CHECK")))</f>
        <v/>
      </c>
      <c r="T1498" s="10" t="str">
        <f aca="false">IF($B1498="","",IFERROR(INDEX(Drinks!$D$4:$D$53,MATCH($B1498,Drinks!$A$4:$A$53,0)),0))</f>
        <v/>
      </c>
    </row>
    <row r="1499" customFormat="false" ht="15" hidden="false" customHeight="false" outlineLevel="0" collapsed="false">
      <c r="A1499" s="22"/>
      <c r="B1499" s="9"/>
      <c r="C1499" s="9"/>
      <c r="D1499" s="9"/>
      <c r="E1499" s="9"/>
      <c r="F1499" s="10" t="str">
        <f aca="false">IF($B1499="","",$C1499+$D1499-$E1499)</f>
        <v/>
      </c>
      <c r="G1499" s="10" t="str">
        <f aca="false">IF($B1499="","",IFERROR(INDEX(Drinks!$C$4:$C$53,MATCH($B1499,Drinks!$A$4:$A$53,0)),0))</f>
        <v/>
      </c>
      <c r="H1499" s="10" t="str">
        <f aca="false">IF($B1499="","",$D1499*$G1499)</f>
        <v/>
      </c>
      <c r="I1499" s="10" t="str">
        <f aca="false">IF($B1499="","",$F1499*$G1499)</f>
        <v/>
      </c>
      <c r="J1499" s="9"/>
      <c r="K1499" s="10" t="str">
        <f aca="false">IF($B1499="","",$E1499*IFERROR(INDEX(Drinks!$B$4:$B$53,MATCH($B1499,Drinks!$A$4:$A$53,0)),0))</f>
        <v/>
      </c>
      <c r="L1499" s="10" t="str">
        <f aca="false">IF($B1499="","",$J1499+$K1499)</f>
        <v/>
      </c>
      <c r="M1499" s="9"/>
      <c r="N1499" s="10" t="str">
        <f aca="false">IF($B1499="","",$L1499-$M1499)</f>
        <v/>
      </c>
      <c r="O1499" s="10" t="str">
        <f aca="false">IF($B1499="","",IFERROR(INDEX(Drinks!$E$4:$E$53,MATCH($B1499,Drinks!$A$4:$A$53,0)),0))</f>
        <v/>
      </c>
      <c r="P1499" s="10" t="str">
        <f aca="false">IF($B1499="","",$N1499*$O1499)</f>
        <v/>
      </c>
      <c r="Q1499" s="10" t="str">
        <f aca="false">IF($B1499="","",$N1499*IFERROR(INDEX(Drinks!$D$4:$D$53,MATCH($B1499,Drinks!$A$4:$A$53,0)),0))</f>
        <v/>
      </c>
      <c r="R1499" s="10" t="str">
        <f aca="false">IF($B1499="","",$P1499-$Q1499)</f>
        <v/>
      </c>
      <c r="S1499" s="23" t="str">
        <f aca="false">IF($B1499="","",IF(COUNTIFS($A$4:$A$2003,$A1499-1,$B$4:$B$2003,$B1499)=0,"first day",IF(SUMIFS($M$4:$M$2003,$A$4:$A$2003,$A1499-1,$B$4:$B$2003,$B1499)=$J1499,"OK","CHECK")))</f>
        <v/>
      </c>
      <c r="T1499" s="10" t="str">
        <f aca="false">IF($B1499="","",IFERROR(INDEX(Drinks!$D$4:$D$53,MATCH($B1499,Drinks!$A$4:$A$53,0)),0))</f>
        <v/>
      </c>
    </row>
    <row r="1500" customFormat="false" ht="15" hidden="false" customHeight="false" outlineLevel="0" collapsed="false">
      <c r="A1500" s="22"/>
      <c r="B1500" s="9"/>
      <c r="C1500" s="9"/>
      <c r="D1500" s="9"/>
      <c r="E1500" s="9"/>
      <c r="F1500" s="10" t="str">
        <f aca="false">IF($B1500="","",$C1500+$D1500-$E1500)</f>
        <v/>
      </c>
      <c r="G1500" s="10" t="str">
        <f aca="false">IF($B1500="","",IFERROR(INDEX(Drinks!$C$4:$C$53,MATCH($B1500,Drinks!$A$4:$A$53,0)),0))</f>
        <v/>
      </c>
      <c r="H1500" s="10" t="str">
        <f aca="false">IF($B1500="","",$D1500*$G1500)</f>
        <v/>
      </c>
      <c r="I1500" s="10" t="str">
        <f aca="false">IF($B1500="","",$F1500*$G1500)</f>
        <v/>
      </c>
      <c r="J1500" s="9"/>
      <c r="K1500" s="10" t="str">
        <f aca="false">IF($B1500="","",$E1500*IFERROR(INDEX(Drinks!$B$4:$B$53,MATCH($B1500,Drinks!$A$4:$A$53,0)),0))</f>
        <v/>
      </c>
      <c r="L1500" s="10" t="str">
        <f aca="false">IF($B1500="","",$J1500+$K1500)</f>
        <v/>
      </c>
      <c r="M1500" s="9"/>
      <c r="N1500" s="10" t="str">
        <f aca="false">IF($B1500="","",$L1500-$M1500)</f>
        <v/>
      </c>
      <c r="O1500" s="10" t="str">
        <f aca="false">IF($B1500="","",IFERROR(INDEX(Drinks!$E$4:$E$53,MATCH($B1500,Drinks!$A$4:$A$53,0)),0))</f>
        <v/>
      </c>
      <c r="P1500" s="10" t="str">
        <f aca="false">IF($B1500="","",$N1500*$O1500)</f>
        <v/>
      </c>
      <c r="Q1500" s="10" t="str">
        <f aca="false">IF($B1500="","",$N1500*IFERROR(INDEX(Drinks!$D$4:$D$53,MATCH($B1500,Drinks!$A$4:$A$53,0)),0))</f>
        <v/>
      </c>
      <c r="R1500" s="10" t="str">
        <f aca="false">IF($B1500="","",$P1500-$Q1500)</f>
        <v/>
      </c>
      <c r="S1500" s="23" t="str">
        <f aca="false">IF($B1500="","",IF(COUNTIFS($A$4:$A$2003,$A1500-1,$B$4:$B$2003,$B1500)=0,"first day",IF(SUMIFS($M$4:$M$2003,$A$4:$A$2003,$A1500-1,$B$4:$B$2003,$B1500)=$J1500,"OK","CHECK")))</f>
        <v/>
      </c>
      <c r="T1500" s="10" t="str">
        <f aca="false">IF($B1500="","",IFERROR(INDEX(Drinks!$D$4:$D$53,MATCH($B1500,Drinks!$A$4:$A$53,0)),0))</f>
        <v/>
      </c>
    </row>
    <row r="1501" customFormat="false" ht="15" hidden="false" customHeight="false" outlineLevel="0" collapsed="false">
      <c r="A1501" s="22"/>
      <c r="B1501" s="9"/>
      <c r="C1501" s="9"/>
      <c r="D1501" s="9"/>
      <c r="E1501" s="9"/>
      <c r="F1501" s="10" t="str">
        <f aca="false">IF($B1501="","",$C1501+$D1501-$E1501)</f>
        <v/>
      </c>
      <c r="G1501" s="10" t="str">
        <f aca="false">IF($B1501="","",IFERROR(INDEX(Drinks!$C$4:$C$53,MATCH($B1501,Drinks!$A$4:$A$53,0)),0))</f>
        <v/>
      </c>
      <c r="H1501" s="10" t="str">
        <f aca="false">IF($B1501="","",$D1501*$G1501)</f>
        <v/>
      </c>
      <c r="I1501" s="10" t="str">
        <f aca="false">IF($B1501="","",$F1501*$G1501)</f>
        <v/>
      </c>
      <c r="J1501" s="9"/>
      <c r="K1501" s="10" t="str">
        <f aca="false">IF($B1501="","",$E1501*IFERROR(INDEX(Drinks!$B$4:$B$53,MATCH($B1501,Drinks!$A$4:$A$53,0)),0))</f>
        <v/>
      </c>
      <c r="L1501" s="10" t="str">
        <f aca="false">IF($B1501="","",$J1501+$K1501)</f>
        <v/>
      </c>
      <c r="M1501" s="9"/>
      <c r="N1501" s="10" t="str">
        <f aca="false">IF($B1501="","",$L1501-$M1501)</f>
        <v/>
      </c>
      <c r="O1501" s="10" t="str">
        <f aca="false">IF($B1501="","",IFERROR(INDEX(Drinks!$E$4:$E$53,MATCH($B1501,Drinks!$A$4:$A$53,0)),0))</f>
        <v/>
      </c>
      <c r="P1501" s="10" t="str">
        <f aca="false">IF($B1501="","",$N1501*$O1501)</f>
        <v/>
      </c>
      <c r="Q1501" s="10" t="str">
        <f aca="false">IF($B1501="","",$N1501*IFERROR(INDEX(Drinks!$D$4:$D$53,MATCH($B1501,Drinks!$A$4:$A$53,0)),0))</f>
        <v/>
      </c>
      <c r="R1501" s="10" t="str">
        <f aca="false">IF($B1501="","",$P1501-$Q1501)</f>
        <v/>
      </c>
      <c r="S1501" s="23" t="str">
        <f aca="false">IF($B1501="","",IF(COUNTIFS($A$4:$A$2003,$A1501-1,$B$4:$B$2003,$B1501)=0,"first day",IF(SUMIFS($M$4:$M$2003,$A$4:$A$2003,$A1501-1,$B$4:$B$2003,$B1501)=$J1501,"OK","CHECK")))</f>
        <v/>
      </c>
      <c r="T1501" s="10" t="str">
        <f aca="false">IF($B1501="","",IFERROR(INDEX(Drinks!$D$4:$D$53,MATCH($B1501,Drinks!$A$4:$A$53,0)),0))</f>
        <v/>
      </c>
    </row>
    <row r="1502" customFormat="false" ht="15" hidden="false" customHeight="false" outlineLevel="0" collapsed="false">
      <c r="A1502" s="22"/>
      <c r="B1502" s="9"/>
      <c r="C1502" s="9"/>
      <c r="D1502" s="9"/>
      <c r="E1502" s="9"/>
      <c r="F1502" s="10" t="str">
        <f aca="false">IF($B1502="","",$C1502+$D1502-$E1502)</f>
        <v/>
      </c>
      <c r="G1502" s="10" t="str">
        <f aca="false">IF($B1502="","",IFERROR(INDEX(Drinks!$C$4:$C$53,MATCH($B1502,Drinks!$A$4:$A$53,0)),0))</f>
        <v/>
      </c>
      <c r="H1502" s="10" t="str">
        <f aca="false">IF($B1502="","",$D1502*$G1502)</f>
        <v/>
      </c>
      <c r="I1502" s="10" t="str">
        <f aca="false">IF($B1502="","",$F1502*$G1502)</f>
        <v/>
      </c>
      <c r="J1502" s="9"/>
      <c r="K1502" s="10" t="str">
        <f aca="false">IF($B1502="","",$E1502*IFERROR(INDEX(Drinks!$B$4:$B$53,MATCH($B1502,Drinks!$A$4:$A$53,0)),0))</f>
        <v/>
      </c>
      <c r="L1502" s="10" t="str">
        <f aca="false">IF($B1502="","",$J1502+$K1502)</f>
        <v/>
      </c>
      <c r="M1502" s="9"/>
      <c r="N1502" s="10" t="str">
        <f aca="false">IF($B1502="","",$L1502-$M1502)</f>
        <v/>
      </c>
      <c r="O1502" s="10" t="str">
        <f aca="false">IF($B1502="","",IFERROR(INDEX(Drinks!$E$4:$E$53,MATCH($B1502,Drinks!$A$4:$A$53,0)),0))</f>
        <v/>
      </c>
      <c r="P1502" s="10" t="str">
        <f aca="false">IF($B1502="","",$N1502*$O1502)</f>
        <v/>
      </c>
      <c r="Q1502" s="10" t="str">
        <f aca="false">IF($B1502="","",$N1502*IFERROR(INDEX(Drinks!$D$4:$D$53,MATCH($B1502,Drinks!$A$4:$A$53,0)),0))</f>
        <v/>
      </c>
      <c r="R1502" s="10" t="str">
        <f aca="false">IF($B1502="","",$P1502-$Q1502)</f>
        <v/>
      </c>
      <c r="S1502" s="23" t="str">
        <f aca="false">IF($B1502="","",IF(COUNTIFS($A$4:$A$2003,$A1502-1,$B$4:$B$2003,$B1502)=0,"first day",IF(SUMIFS($M$4:$M$2003,$A$4:$A$2003,$A1502-1,$B$4:$B$2003,$B1502)=$J1502,"OK","CHECK")))</f>
        <v/>
      </c>
      <c r="T1502" s="10" t="str">
        <f aca="false">IF($B1502="","",IFERROR(INDEX(Drinks!$D$4:$D$53,MATCH($B1502,Drinks!$A$4:$A$53,0)),0))</f>
        <v/>
      </c>
    </row>
    <row r="1503" customFormat="false" ht="15" hidden="false" customHeight="false" outlineLevel="0" collapsed="false">
      <c r="A1503" s="22"/>
      <c r="B1503" s="9"/>
      <c r="C1503" s="9"/>
      <c r="D1503" s="9"/>
      <c r="E1503" s="9"/>
      <c r="F1503" s="10" t="str">
        <f aca="false">IF($B1503="","",$C1503+$D1503-$E1503)</f>
        <v/>
      </c>
      <c r="G1503" s="10" t="str">
        <f aca="false">IF($B1503="","",IFERROR(INDEX(Drinks!$C$4:$C$53,MATCH($B1503,Drinks!$A$4:$A$53,0)),0))</f>
        <v/>
      </c>
      <c r="H1503" s="10" t="str">
        <f aca="false">IF($B1503="","",$D1503*$G1503)</f>
        <v/>
      </c>
      <c r="I1503" s="10" t="str">
        <f aca="false">IF($B1503="","",$F1503*$G1503)</f>
        <v/>
      </c>
      <c r="J1503" s="9"/>
      <c r="K1503" s="10" t="str">
        <f aca="false">IF($B1503="","",$E1503*IFERROR(INDEX(Drinks!$B$4:$B$53,MATCH($B1503,Drinks!$A$4:$A$53,0)),0))</f>
        <v/>
      </c>
      <c r="L1503" s="10" t="str">
        <f aca="false">IF($B1503="","",$J1503+$K1503)</f>
        <v/>
      </c>
      <c r="M1503" s="9"/>
      <c r="N1503" s="10" t="str">
        <f aca="false">IF($B1503="","",$L1503-$M1503)</f>
        <v/>
      </c>
      <c r="O1503" s="10" t="str">
        <f aca="false">IF($B1503="","",IFERROR(INDEX(Drinks!$E$4:$E$53,MATCH($B1503,Drinks!$A$4:$A$53,0)),0))</f>
        <v/>
      </c>
      <c r="P1503" s="10" t="str">
        <f aca="false">IF($B1503="","",$N1503*$O1503)</f>
        <v/>
      </c>
      <c r="Q1503" s="10" t="str">
        <f aca="false">IF($B1503="","",$N1503*IFERROR(INDEX(Drinks!$D$4:$D$53,MATCH($B1503,Drinks!$A$4:$A$53,0)),0))</f>
        <v/>
      </c>
      <c r="R1503" s="10" t="str">
        <f aca="false">IF($B1503="","",$P1503-$Q1503)</f>
        <v/>
      </c>
      <c r="S1503" s="23" t="str">
        <f aca="false">IF($B1503="","",IF(COUNTIFS($A$4:$A$2003,$A1503-1,$B$4:$B$2003,$B1503)=0,"first day",IF(SUMIFS($M$4:$M$2003,$A$4:$A$2003,$A1503-1,$B$4:$B$2003,$B1503)=$J1503,"OK","CHECK")))</f>
        <v/>
      </c>
      <c r="T1503" s="10" t="str">
        <f aca="false">IF($B1503="","",IFERROR(INDEX(Drinks!$D$4:$D$53,MATCH($B1503,Drinks!$A$4:$A$53,0)),0))</f>
        <v/>
      </c>
    </row>
    <row r="1504" customFormat="false" ht="15" hidden="false" customHeight="false" outlineLevel="0" collapsed="false">
      <c r="A1504" s="22"/>
      <c r="B1504" s="9"/>
      <c r="C1504" s="9"/>
      <c r="D1504" s="9"/>
      <c r="E1504" s="9"/>
      <c r="F1504" s="10" t="str">
        <f aca="false">IF($B1504="","",$C1504+$D1504-$E1504)</f>
        <v/>
      </c>
      <c r="G1504" s="10" t="str">
        <f aca="false">IF($B1504="","",IFERROR(INDEX(Drinks!$C$4:$C$53,MATCH($B1504,Drinks!$A$4:$A$53,0)),0))</f>
        <v/>
      </c>
      <c r="H1504" s="10" t="str">
        <f aca="false">IF($B1504="","",$D1504*$G1504)</f>
        <v/>
      </c>
      <c r="I1504" s="10" t="str">
        <f aca="false">IF($B1504="","",$F1504*$G1504)</f>
        <v/>
      </c>
      <c r="J1504" s="9"/>
      <c r="K1504" s="10" t="str">
        <f aca="false">IF($B1504="","",$E1504*IFERROR(INDEX(Drinks!$B$4:$B$53,MATCH($B1504,Drinks!$A$4:$A$53,0)),0))</f>
        <v/>
      </c>
      <c r="L1504" s="10" t="str">
        <f aca="false">IF($B1504="","",$J1504+$K1504)</f>
        <v/>
      </c>
      <c r="M1504" s="9"/>
      <c r="N1504" s="10" t="str">
        <f aca="false">IF($B1504="","",$L1504-$M1504)</f>
        <v/>
      </c>
      <c r="O1504" s="10" t="str">
        <f aca="false">IF($B1504="","",IFERROR(INDEX(Drinks!$E$4:$E$53,MATCH($B1504,Drinks!$A$4:$A$53,0)),0))</f>
        <v/>
      </c>
      <c r="P1504" s="10" t="str">
        <f aca="false">IF($B1504="","",$N1504*$O1504)</f>
        <v/>
      </c>
      <c r="Q1504" s="10" t="str">
        <f aca="false">IF($B1504="","",$N1504*IFERROR(INDEX(Drinks!$D$4:$D$53,MATCH($B1504,Drinks!$A$4:$A$53,0)),0))</f>
        <v/>
      </c>
      <c r="R1504" s="10" t="str">
        <f aca="false">IF($B1504="","",$P1504-$Q1504)</f>
        <v/>
      </c>
      <c r="S1504" s="23" t="str">
        <f aca="false">IF($B1504="","",IF(COUNTIFS($A$4:$A$2003,$A1504-1,$B$4:$B$2003,$B1504)=0,"first day",IF(SUMIFS($M$4:$M$2003,$A$4:$A$2003,$A1504-1,$B$4:$B$2003,$B1504)=$J1504,"OK","CHECK")))</f>
        <v/>
      </c>
      <c r="T1504" s="10" t="str">
        <f aca="false">IF($B1504="","",IFERROR(INDEX(Drinks!$D$4:$D$53,MATCH($B1504,Drinks!$A$4:$A$53,0)),0))</f>
        <v/>
      </c>
    </row>
    <row r="1505" customFormat="false" ht="15" hidden="false" customHeight="false" outlineLevel="0" collapsed="false">
      <c r="A1505" s="22"/>
      <c r="B1505" s="9"/>
      <c r="C1505" s="9"/>
      <c r="D1505" s="9"/>
      <c r="E1505" s="9"/>
      <c r="F1505" s="10" t="str">
        <f aca="false">IF($B1505="","",$C1505+$D1505-$E1505)</f>
        <v/>
      </c>
      <c r="G1505" s="10" t="str">
        <f aca="false">IF($B1505="","",IFERROR(INDEX(Drinks!$C$4:$C$53,MATCH($B1505,Drinks!$A$4:$A$53,0)),0))</f>
        <v/>
      </c>
      <c r="H1505" s="10" t="str">
        <f aca="false">IF($B1505="","",$D1505*$G1505)</f>
        <v/>
      </c>
      <c r="I1505" s="10" t="str">
        <f aca="false">IF($B1505="","",$F1505*$G1505)</f>
        <v/>
      </c>
      <c r="J1505" s="9"/>
      <c r="K1505" s="10" t="str">
        <f aca="false">IF($B1505="","",$E1505*IFERROR(INDEX(Drinks!$B$4:$B$53,MATCH($B1505,Drinks!$A$4:$A$53,0)),0))</f>
        <v/>
      </c>
      <c r="L1505" s="10" t="str">
        <f aca="false">IF($B1505="","",$J1505+$K1505)</f>
        <v/>
      </c>
      <c r="M1505" s="9"/>
      <c r="N1505" s="10" t="str">
        <f aca="false">IF($B1505="","",$L1505-$M1505)</f>
        <v/>
      </c>
      <c r="O1505" s="10" t="str">
        <f aca="false">IF($B1505="","",IFERROR(INDEX(Drinks!$E$4:$E$53,MATCH($B1505,Drinks!$A$4:$A$53,0)),0))</f>
        <v/>
      </c>
      <c r="P1505" s="10" t="str">
        <f aca="false">IF($B1505="","",$N1505*$O1505)</f>
        <v/>
      </c>
      <c r="Q1505" s="10" t="str">
        <f aca="false">IF($B1505="","",$N1505*IFERROR(INDEX(Drinks!$D$4:$D$53,MATCH($B1505,Drinks!$A$4:$A$53,0)),0))</f>
        <v/>
      </c>
      <c r="R1505" s="10" t="str">
        <f aca="false">IF($B1505="","",$P1505-$Q1505)</f>
        <v/>
      </c>
      <c r="S1505" s="23" t="str">
        <f aca="false">IF($B1505="","",IF(COUNTIFS($A$4:$A$2003,$A1505-1,$B$4:$B$2003,$B1505)=0,"first day",IF(SUMIFS($M$4:$M$2003,$A$4:$A$2003,$A1505-1,$B$4:$B$2003,$B1505)=$J1505,"OK","CHECK")))</f>
        <v/>
      </c>
      <c r="T1505" s="10" t="str">
        <f aca="false">IF($B1505="","",IFERROR(INDEX(Drinks!$D$4:$D$53,MATCH($B1505,Drinks!$A$4:$A$53,0)),0))</f>
        <v/>
      </c>
    </row>
    <row r="1506" customFormat="false" ht="15" hidden="false" customHeight="false" outlineLevel="0" collapsed="false">
      <c r="A1506" s="22"/>
      <c r="B1506" s="9"/>
      <c r="C1506" s="9"/>
      <c r="D1506" s="9"/>
      <c r="E1506" s="9"/>
      <c r="F1506" s="10" t="str">
        <f aca="false">IF($B1506="","",$C1506+$D1506-$E1506)</f>
        <v/>
      </c>
      <c r="G1506" s="10" t="str">
        <f aca="false">IF($B1506="","",IFERROR(INDEX(Drinks!$C$4:$C$53,MATCH($B1506,Drinks!$A$4:$A$53,0)),0))</f>
        <v/>
      </c>
      <c r="H1506" s="10" t="str">
        <f aca="false">IF($B1506="","",$D1506*$G1506)</f>
        <v/>
      </c>
      <c r="I1506" s="10" t="str">
        <f aca="false">IF($B1506="","",$F1506*$G1506)</f>
        <v/>
      </c>
      <c r="J1506" s="9"/>
      <c r="K1506" s="10" t="str">
        <f aca="false">IF($B1506="","",$E1506*IFERROR(INDEX(Drinks!$B$4:$B$53,MATCH($B1506,Drinks!$A$4:$A$53,0)),0))</f>
        <v/>
      </c>
      <c r="L1506" s="10" t="str">
        <f aca="false">IF($B1506="","",$J1506+$K1506)</f>
        <v/>
      </c>
      <c r="M1506" s="9"/>
      <c r="N1506" s="10" t="str">
        <f aca="false">IF($B1506="","",$L1506-$M1506)</f>
        <v/>
      </c>
      <c r="O1506" s="10" t="str">
        <f aca="false">IF($B1506="","",IFERROR(INDEX(Drinks!$E$4:$E$53,MATCH($B1506,Drinks!$A$4:$A$53,0)),0))</f>
        <v/>
      </c>
      <c r="P1506" s="10" t="str">
        <f aca="false">IF($B1506="","",$N1506*$O1506)</f>
        <v/>
      </c>
      <c r="Q1506" s="10" t="str">
        <f aca="false">IF($B1506="","",$N1506*IFERROR(INDEX(Drinks!$D$4:$D$53,MATCH($B1506,Drinks!$A$4:$A$53,0)),0))</f>
        <v/>
      </c>
      <c r="R1506" s="10" t="str">
        <f aca="false">IF($B1506="","",$P1506-$Q1506)</f>
        <v/>
      </c>
      <c r="S1506" s="23" t="str">
        <f aca="false">IF($B1506="","",IF(COUNTIFS($A$4:$A$2003,$A1506-1,$B$4:$B$2003,$B1506)=0,"first day",IF(SUMIFS($M$4:$M$2003,$A$4:$A$2003,$A1506-1,$B$4:$B$2003,$B1506)=$J1506,"OK","CHECK")))</f>
        <v/>
      </c>
      <c r="T1506" s="10" t="str">
        <f aca="false">IF($B1506="","",IFERROR(INDEX(Drinks!$D$4:$D$53,MATCH($B1506,Drinks!$A$4:$A$53,0)),0))</f>
        <v/>
      </c>
    </row>
    <row r="1507" customFormat="false" ht="15" hidden="false" customHeight="false" outlineLevel="0" collapsed="false">
      <c r="A1507" s="22"/>
      <c r="B1507" s="9"/>
      <c r="C1507" s="9"/>
      <c r="D1507" s="9"/>
      <c r="E1507" s="9"/>
      <c r="F1507" s="10" t="str">
        <f aca="false">IF($B1507="","",$C1507+$D1507-$E1507)</f>
        <v/>
      </c>
      <c r="G1507" s="10" t="str">
        <f aca="false">IF($B1507="","",IFERROR(INDEX(Drinks!$C$4:$C$53,MATCH($B1507,Drinks!$A$4:$A$53,0)),0))</f>
        <v/>
      </c>
      <c r="H1507" s="10" t="str">
        <f aca="false">IF($B1507="","",$D1507*$G1507)</f>
        <v/>
      </c>
      <c r="I1507" s="10" t="str">
        <f aca="false">IF($B1507="","",$F1507*$G1507)</f>
        <v/>
      </c>
      <c r="J1507" s="9"/>
      <c r="K1507" s="10" t="str">
        <f aca="false">IF($B1507="","",$E1507*IFERROR(INDEX(Drinks!$B$4:$B$53,MATCH($B1507,Drinks!$A$4:$A$53,0)),0))</f>
        <v/>
      </c>
      <c r="L1507" s="10" t="str">
        <f aca="false">IF($B1507="","",$J1507+$K1507)</f>
        <v/>
      </c>
      <c r="M1507" s="9"/>
      <c r="N1507" s="10" t="str">
        <f aca="false">IF($B1507="","",$L1507-$M1507)</f>
        <v/>
      </c>
      <c r="O1507" s="10" t="str">
        <f aca="false">IF($B1507="","",IFERROR(INDEX(Drinks!$E$4:$E$53,MATCH($B1507,Drinks!$A$4:$A$53,0)),0))</f>
        <v/>
      </c>
      <c r="P1507" s="10" t="str">
        <f aca="false">IF($B1507="","",$N1507*$O1507)</f>
        <v/>
      </c>
      <c r="Q1507" s="10" t="str">
        <f aca="false">IF($B1507="","",$N1507*IFERROR(INDEX(Drinks!$D$4:$D$53,MATCH($B1507,Drinks!$A$4:$A$53,0)),0))</f>
        <v/>
      </c>
      <c r="R1507" s="10" t="str">
        <f aca="false">IF($B1507="","",$P1507-$Q1507)</f>
        <v/>
      </c>
      <c r="S1507" s="23" t="str">
        <f aca="false">IF($B1507="","",IF(COUNTIFS($A$4:$A$2003,$A1507-1,$B$4:$B$2003,$B1507)=0,"first day",IF(SUMIFS($M$4:$M$2003,$A$4:$A$2003,$A1507-1,$B$4:$B$2003,$B1507)=$J1507,"OK","CHECK")))</f>
        <v/>
      </c>
      <c r="T1507" s="10" t="str">
        <f aca="false">IF($B1507="","",IFERROR(INDEX(Drinks!$D$4:$D$53,MATCH($B1507,Drinks!$A$4:$A$53,0)),0))</f>
        <v/>
      </c>
    </row>
    <row r="1508" customFormat="false" ht="15" hidden="false" customHeight="false" outlineLevel="0" collapsed="false">
      <c r="A1508" s="22"/>
      <c r="B1508" s="9"/>
      <c r="C1508" s="9"/>
      <c r="D1508" s="9"/>
      <c r="E1508" s="9"/>
      <c r="F1508" s="10" t="str">
        <f aca="false">IF($B1508="","",$C1508+$D1508-$E1508)</f>
        <v/>
      </c>
      <c r="G1508" s="10" t="str">
        <f aca="false">IF($B1508="","",IFERROR(INDEX(Drinks!$C$4:$C$53,MATCH($B1508,Drinks!$A$4:$A$53,0)),0))</f>
        <v/>
      </c>
      <c r="H1508" s="10" t="str">
        <f aca="false">IF($B1508="","",$D1508*$G1508)</f>
        <v/>
      </c>
      <c r="I1508" s="10" t="str">
        <f aca="false">IF($B1508="","",$F1508*$G1508)</f>
        <v/>
      </c>
      <c r="J1508" s="9"/>
      <c r="K1508" s="10" t="str">
        <f aca="false">IF($B1508="","",$E1508*IFERROR(INDEX(Drinks!$B$4:$B$53,MATCH($B1508,Drinks!$A$4:$A$53,0)),0))</f>
        <v/>
      </c>
      <c r="L1508" s="10" t="str">
        <f aca="false">IF($B1508="","",$J1508+$K1508)</f>
        <v/>
      </c>
      <c r="M1508" s="9"/>
      <c r="N1508" s="10" t="str">
        <f aca="false">IF($B1508="","",$L1508-$M1508)</f>
        <v/>
      </c>
      <c r="O1508" s="10" t="str">
        <f aca="false">IF($B1508="","",IFERROR(INDEX(Drinks!$E$4:$E$53,MATCH($B1508,Drinks!$A$4:$A$53,0)),0))</f>
        <v/>
      </c>
      <c r="P1508" s="10" t="str">
        <f aca="false">IF($B1508="","",$N1508*$O1508)</f>
        <v/>
      </c>
      <c r="Q1508" s="10" t="str">
        <f aca="false">IF($B1508="","",$N1508*IFERROR(INDEX(Drinks!$D$4:$D$53,MATCH($B1508,Drinks!$A$4:$A$53,0)),0))</f>
        <v/>
      </c>
      <c r="R1508" s="10" t="str">
        <f aca="false">IF($B1508="","",$P1508-$Q1508)</f>
        <v/>
      </c>
      <c r="S1508" s="23" t="str">
        <f aca="false">IF($B1508="","",IF(COUNTIFS($A$4:$A$2003,$A1508-1,$B$4:$B$2003,$B1508)=0,"first day",IF(SUMIFS($M$4:$M$2003,$A$4:$A$2003,$A1508-1,$B$4:$B$2003,$B1508)=$J1508,"OK","CHECK")))</f>
        <v/>
      </c>
      <c r="T1508" s="10" t="str">
        <f aca="false">IF($B1508="","",IFERROR(INDEX(Drinks!$D$4:$D$53,MATCH($B1508,Drinks!$A$4:$A$53,0)),0))</f>
        <v/>
      </c>
    </row>
    <row r="1509" customFormat="false" ht="15" hidden="false" customHeight="false" outlineLevel="0" collapsed="false">
      <c r="A1509" s="22"/>
      <c r="B1509" s="9"/>
      <c r="C1509" s="9"/>
      <c r="D1509" s="9"/>
      <c r="E1509" s="9"/>
      <c r="F1509" s="10" t="str">
        <f aca="false">IF($B1509="","",$C1509+$D1509-$E1509)</f>
        <v/>
      </c>
      <c r="G1509" s="10" t="str">
        <f aca="false">IF($B1509="","",IFERROR(INDEX(Drinks!$C$4:$C$53,MATCH($B1509,Drinks!$A$4:$A$53,0)),0))</f>
        <v/>
      </c>
      <c r="H1509" s="10" t="str">
        <f aca="false">IF($B1509="","",$D1509*$G1509)</f>
        <v/>
      </c>
      <c r="I1509" s="10" t="str">
        <f aca="false">IF($B1509="","",$F1509*$G1509)</f>
        <v/>
      </c>
      <c r="J1509" s="9"/>
      <c r="K1509" s="10" t="str">
        <f aca="false">IF($B1509="","",$E1509*IFERROR(INDEX(Drinks!$B$4:$B$53,MATCH($B1509,Drinks!$A$4:$A$53,0)),0))</f>
        <v/>
      </c>
      <c r="L1509" s="10" t="str">
        <f aca="false">IF($B1509="","",$J1509+$K1509)</f>
        <v/>
      </c>
      <c r="M1509" s="9"/>
      <c r="N1509" s="10" t="str">
        <f aca="false">IF($B1509="","",$L1509-$M1509)</f>
        <v/>
      </c>
      <c r="O1509" s="10" t="str">
        <f aca="false">IF($B1509="","",IFERROR(INDEX(Drinks!$E$4:$E$53,MATCH($B1509,Drinks!$A$4:$A$53,0)),0))</f>
        <v/>
      </c>
      <c r="P1509" s="10" t="str">
        <f aca="false">IF($B1509="","",$N1509*$O1509)</f>
        <v/>
      </c>
      <c r="Q1509" s="10" t="str">
        <f aca="false">IF($B1509="","",$N1509*IFERROR(INDEX(Drinks!$D$4:$D$53,MATCH($B1509,Drinks!$A$4:$A$53,0)),0))</f>
        <v/>
      </c>
      <c r="R1509" s="10" t="str">
        <f aca="false">IF($B1509="","",$P1509-$Q1509)</f>
        <v/>
      </c>
      <c r="S1509" s="23" t="str">
        <f aca="false">IF($B1509="","",IF(COUNTIFS($A$4:$A$2003,$A1509-1,$B$4:$B$2003,$B1509)=0,"first day",IF(SUMIFS($M$4:$M$2003,$A$4:$A$2003,$A1509-1,$B$4:$B$2003,$B1509)=$J1509,"OK","CHECK")))</f>
        <v/>
      </c>
      <c r="T1509" s="10" t="str">
        <f aca="false">IF($B1509="","",IFERROR(INDEX(Drinks!$D$4:$D$53,MATCH($B1509,Drinks!$A$4:$A$53,0)),0))</f>
        <v/>
      </c>
    </row>
    <row r="1510" customFormat="false" ht="15" hidden="false" customHeight="false" outlineLevel="0" collapsed="false">
      <c r="A1510" s="22"/>
      <c r="B1510" s="9"/>
      <c r="C1510" s="9"/>
      <c r="D1510" s="9"/>
      <c r="E1510" s="9"/>
      <c r="F1510" s="10" t="str">
        <f aca="false">IF($B1510="","",$C1510+$D1510-$E1510)</f>
        <v/>
      </c>
      <c r="G1510" s="10" t="str">
        <f aca="false">IF($B1510="","",IFERROR(INDEX(Drinks!$C$4:$C$53,MATCH($B1510,Drinks!$A$4:$A$53,0)),0))</f>
        <v/>
      </c>
      <c r="H1510" s="10" t="str">
        <f aca="false">IF($B1510="","",$D1510*$G1510)</f>
        <v/>
      </c>
      <c r="I1510" s="10" t="str">
        <f aca="false">IF($B1510="","",$F1510*$G1510)</f>
        <v/>
      </c>
      <c r="J1510" s="9"/>
      <c r="K1510" s="10" t="str">
        <f aca="false">IF($B1510="","",$E1510*IFERROR(INDEX(Drinks!$B$4:$B$53,MATCH($B1510,Drinks!$A$4:$A$53,0)),0))</f>
        <v/>
      </c>
      <c r="L1510" s="10" t="str">
        <f aca="false">IF($B1510="","",$J1510+$K1510)</f>
        <v/>
      </c>
      <c r="M1510" s="9"/>
      <c r="N1510" s="10" t="str">
        <f aca="false">IF($B1510="","",$L1510-$M1510)</f>
        <v/>
      </c>
      <c r="O1510" s="10" t="str">
        <f aca="false">IF($B1510="","",IFERROR(INDEX(Drinks!$E$4:$E$53,MATCH($B1510,Drinks!$A$4:$A$53,0)),0))</f>
        <v/>
      </c>
      <c r="P1510" s="10" t="str">
        <f aca="false">IF($B1510="","",$N1510*$O1510)</f>
        <v/>
      </c>
      <c r="Q1510" s="10" t="str">
        <f aca="false">IF($B1510="","",$N1510*IFERROR(INDEX(Drinks!$D$4:$D$53,MATCH($B1510,Drinks!$A$4:$A$53,0)),0))</f>
        <v/>
      </c>
      <c r="R1510" s="10" t="str">
        <f aca="false">IF($B1510="","",$P1510-$Q1510)</f>
        <v/>
      </c>
      <c r="S1510" s="23" t="str">
        <f aca="false">IF($B1510="","",IF(COUNTIFS($A$4:$A$2003,$A1510-1,$B$4:$B$2003,$B1510)=0,"first day",IF(SUMIFS($M$4:$M$2003,$A$4:$A$2003,$A1510-1,$B$4:$B$2003,$B1510)=$J1510,"OK","CHECK")))</f>
        <v/>
      </c>
      <c r="T1510" s="10" t="str">
        <f aca="false">IF($B1510="","",IFERROR(INDEX(Drinks!$D$4:$D$53,MATCH($B1510,Drinks!$A$4:$A$53,0)),0))</f>
        <v/>
      </c>
    </row>
    <row r="1511" customFormat="false" ht="15" hidden="false" customHeight="false" outlineLevel="0" collapsed="false">
      <c r="A1511" s="22"/>
      <c r="B1511" s="9"/>
      <c r="C1511" s="9"/>
      <c r="D1511" s="9"/>
      <c r="E1511" s="9"/>
      <c r="F1511" s="10" t="str">
        <f aca="false">IF($B1511="","",$C1511+$D1511-$E1511)</f>
        <v/>
      </c>
      <c r="G1511" s="10" t="str">
        <f aca="false">IF($B1511="","",IFERROR(INDEX(Drinks!$C$4:$C$53,MATCH($B1511,Drinks!$A$4:$A$53,0)),0))</f>
        <v/>
      </c>
      <c r="H1511" s="10" t="str">
        <f aca="false">IF($B1511="","",$D1511*$G1511)</f>
        <v/>
      </c>
      <c r="I1511" s="10" t="str">
        <f aca="false">IF($B1511="","",$F1511*$G1511)</f>
        <v/>
      </c>
      <c r="J1511" s="9"/>
      <c r="K1511" s="10" t="str">
        <f aca="false">IF($B1511="","",$E1511*IFERROR(INDEX(Drinks!$B$4:$B$53,MATCH($B1511,Drinks!$A$4:$A$53,0)),0))</f>
        <v/>
      </c>
      <c r="L1511" s="10" t="str">
        <f aca="false">IF($B1511="","",$J1511+$K1511)</f>
        <v/>
      </c>
      <c r="M1511" s="9"/>
      <c r="N1511" s="10" t="str">
        <f aca="false">IF($B1511="","",$L1511-$M1511)</f>
        <v/>
      </c>
      <c r="O1511" s="10" t="str">
        <f aca="false">IF($B1511="","",IFERROR(INDEX(Drinks!$E$4:$E$53,MATCH($B1511,Drinks!$A$4:$A$53,0)),0))</f>
        <v/>
      </c>
      <c r="P1511" s="10" t="str">
        <f aca="false">IF($B1511="","",$N1511*$O1511)</f>
        <v/>
      </c>
      <c r="Q1511" s="10" t="str">
        <f aca="false">IF($B1511="","",$N1511*IFERROR(INDEX(Drinks!$D$4:$D$53,MATCH($B1511,Drinks!$A$4:$A$53,0)),0))</f>
        <v/>
      </c>
      <c r="R1511" s="10" t="str">
        <f aca="false">IF($B1511="","",$P1511-$Q1511)</f>
        <v/>
      </c>
      <c r="S1511" s="23" t="str">
        <f aca="false">IF($B1511="","",IF(COUNTIFS($A$4:$A$2003,$A1511-1,$B$4:$B$2003,$B1511)=0,"first day",IF(SUMIFS($M$4:$M$2003,$A$4:$A$2003,$A1511-1,$B$4:$B$2003,$B1511)=$J1511,"OK","CHECK")))</f>
        <v/>
      </c>
      <c r="T1511" s="10" t="str">
        <f aca="false">IF($B1511="","",IFERROR(INDEX(Drinks!$D$4:$D$53,MATCH($B1511,Drinks!$A$4:$A$53,0)),0))</f>
        <v/>
      </c>
    </row>
    <row r="1512" customFormat="false" ht="15" hidden="false" customHeight="false" outlineLevel="0" collapsed="false">
      <c r="A1512" s="22"/>
      <c r="B1512" s="9"/>
      <c r="C1512" s="9"/>
      <c r="D1512" s="9"/>
      <c r="E1512" s="9"/>
      <c r="F1512" s="10" t="str">
        <f aca="false">IF($B1512="","",$C1512+$D1512-$E1512)</f>
        <v/>
      </c>
      <c r="G1512" s="10" t="str">
        <f aca="false">IF($B1512="","",IFERROR(INDEX(Drinks!$C$4:$C$53,MATCH($B1512,Drinks!$A$4:$A$53,0)),0))</f>
        <v/>
      </c>
      <c r="H1512" s="10" t="str">
        <f aca="false">IF($B1512="","",$D1512*$G1512)</f>
        <v/>
      </c>
      <c r="I1512" s="10" t="str">
        <f aca="false">IF($B1512="","",$F1512*$G1512)</f>
        <v/>
      </c>
      <c r="J1512" s="9"/>
      <c r="K1512" s="10" t="str">
        <f aca="false">IF($B1512="","",$E1512*IFERROR(INDEX(Drinks!$B$4:$B$53,MATCH($B1512,Drinks!$A$4:$A$53,0)),0))</f>
        <v/>
      </c>
      <c r="L1512" s="10" t="str">
        <f aca="false">IF($B1512="","",$J1512+$K1512)</f>
        <v/>
      </c>
      <c r="M1512" s="9"/>
      <c r="N1512" s="10" t="str">
        <f aca="false">IF($B1512="","",$L1512-$M1512)</f>
        <v/>
      </c>
      <c r="O1512" s="10" t="str">
        <f aca="false">IF($B1512="","",IFERROR(INDEX(Drinks!$E$4:$E$53,MATCH($B1512,Drinks!$A$4:$A$53,0)),0))</f>
        <v/>
      </c>
      <c r="P1512" s="10" t="str">
        <f aca="false">IF($B1512="","",$N1512*$O1512)</f>
        <v/>
      </c>
      <c r="Q1512" s="10" t="str">
        <f aca="false">IF($B1512="","",$N1512*IFERROR(INDEX(Drinks!$D$4:$D$53,MATCH($B1512,Drinks!$A$4:$A$53,0)),0))</f>
        <v/>
      </c>
      <c r="R1512" s="10" t="str">
        <f aca="false">IF($B1512="","",$P1512-$Q1512)</f>
        <v/>
      </c>
      <c r="S1512" s="23" t="str">
        <f aca="false">IF($B1512="","",IF(COUNTIFS($A$4:$A$2003,$A1512-1,$B$4:$B$2003,$B1512)=0,"first day",IF(SUMIFS($M$4:$M$2003,$A$4:$A$2003,$A1512-1,$B$4:$B$2003,$B1512)=$J1512,"OK","CHECK")))</f>
        <v/>
      </c>
      <c r="T1512" s="10" t="str">
        <f aca="false">IF($B1512="","",IFERROR(INDEX(Drinks!$D$4:$D$53,MATCH($B1512,Drinks!$A$4:$A$53,0)),0))</f>
        <v/>
      </c>
    </row>
    <row r="1513" customFormat="false" ht="15" hidden="false" customHeight="false" outlineLevel="0" collapsed="false">
      <c r="A1513" s="22"/>
      <c r="B1513" s="9"/>
      <c r="C1513" s="9"/>
      <c r="D1513" s="9"/>
      <c r="E1513" s="9"/>
      <c r="F1513" s="10" t="str">
        <f aca="false">IF($B1513="","",$C1513+$D1513-$E1513)</f>
        <v/>
      </c>
      <c r="G1513" s="10" t="str">
        <f aca="false">IF($B1513="","",IFERROR(INDEX(Drinks!$C$4:$C$53,MATCH($B1513,Drinks!$A$4:$A$53,0)),0))</f>
        <v/>
      </c>
      <c r="H1513" s="10" t="str">
        <f aca="false">IF($B1513="","",$D1513*$G1513)</f>
        <v/>
      </c>
      <c r="I1513" s="10" t="str">
        <f aca="false">IF($B1513="","",$F1513*$G1513)</f>
        <v/>
      </c>
      <c r="J1513" s="9"/>
      <c r="K1513" s="10" t="str">
        <f aca="false">IF($B1513="","",$E1513*IFERROR(INDEX(Drinks!$B$4:$B$53,MATCH($B1513,Drinks!$A$4:$A$53,0)),0))</f>
        <v/>
      </c>
      <c r="L1513" s="10" t="str">
        <f aca="false">IF($B1513="","",$J1513+$K1513)</f>
        <v/>
      </c>
      <c r="M1513" s="9"/>
      <c r="N1513" s="10" t="str">
        <f aca="false">IF($B1513="","",$L1513-$M1513)</f>
        <v/>
      </c>
      <c r="O1513" s="10" t="str">
        <f aca="false">IF($B1513="","",IFERROR(INDEX(Drinks!$E$4:$E$53,MATCH($B1513,Drinks!$A$4:$A$53,0)),0))</f>
        <v/>
      </c>
      <c r="P1513" s="10" t="str">
        <f aca="false">IF($B1513="","",$N1513*$O1513)</f>
        <v/>
      </c>
      <c r="Q1513" s="10" t="str">
        <f aca="false">IF($B1513="","",$N1513*IFERROR(INDEX(Drinks!$D$4:$D$53,MATCH($B1513,Drinks!$A$4:$A$53,0)),0))</f>
        <v/>
      </c>
      <c r="R1513" s="10" t="str">
        <f aca="false">IF($B1513="","",$P1513-$Q1513)</f>
        <v/>
      </c>
      <c r="S1513" s="23" t="str">
        <f aca="false">IF($B1513="","",IF(COUNTIFS($A$4:$A$2003,$A1513-1,$B$4:$B$2003,$B1513)=0,"first day",IF(SUMIFS($M$4:$M$2003,$A$4:$A$2003,$A1513-1,$B$4:$B$2003,$B1513)=$J1513,"OK","CHECK")))</f>
        <v/>
      </c>
      <c r="T1513" s="10" t="str">
        <f aca="false">IF($B1513="","",IFERROR(INDEX(Drinks!$D$4:$D$53,MATCH($B1513,Drinks!$A$4:$A$53,0)),0))</f>
        <v/>
      </c>
    </row>
    <row r="1514" customFormat="false" ht="15" hidden="false" customHeight="false" outlineLevel="0" collapsed="false">
      <c r="A1514" s="22"/>
      <c r="B1514" s="9"/>
      <c r="C1514" s="9"/>
      <c r="D1514" s="9"/>
      <c r="E1514" s="9"/>
      <c r="F1514" s="10" t="str">
        <f aca="false">IF($B1514="","",$C1514+$D1514-$E1514)</f>
        <v/>
      </c>
      <c r="G1514" s="10" t="str">
        <f aca="false">IF($B1514="","",IFERROR(INDEX(Drinks!$C$4:$C$53,MATCH($B1514,Drinks!$A$4:$A$53,0)),0))</f>
        <v/>
      </c>
      <c r="H1514" s="10" t="str">
        <f aca="false">IF($B1514="","",$D1514*$G1514)</f>
        <v/>
      </c>
      <c r="I1514" s="10" t="str">
        <f aca="false">IF($B1514="","",$F1514*$G1514)</f>
        <v/>
      </c>
      <c r="J1514" s="9"/>
      <c r="K1514" s="10" t="str">
        <f aca="false">IF($B1514="","",$E1514*IFERROR(INDEX(Drinks!$B$4:$B$53,MATCH($B1514,Drinks!$A$4:$A$53,0)),0))</f>
        <v/>
      </c>
      <c r="L1514" s="10" t="str">
        <f aca="false">IF($B1514="","",$J1514+$K1514)</f>
        <v/>
      </c>
      <c r="M1514" s="9"/>
      <c r="N1514" s="10" t="str">
        <f aca="false">IF($B1514="","",$L1514-$M1514)</f>
        <v/>
      </c>
      <c r="O1514" s="10" t="str">
        <f aca="false">IF($B1514="","",IFERROR(INDEX(Drinks!$E$4:$E$53,MATCH($B1514,Drinks!$A$4:$A$53,0)),0))</f>
        <v/>
      </c>
      <c r="P1514" s="10" t="str">
        <f aca="false">IF($B1514="","",$N1514*$O1514)</f>
        <v/>
      </c>
      <c r="Q1514" s="10" t="str">
        <f aca="false">IF($B1514="","",$N1514*IFERROR(INDEX(Drinks!$D$4:$D$53,MATCH($B1514,Drinks!$A$4:$A$53,0)),0))</f>
        <v/>
      </c>
      <c r="R1514" s="10" t="str">
        <f aca="false">IF($B1514="","",$P1514-$Q1514)</f>
        <v/>
      </c>
      <c r="S1514" s="23" t="str">
        <f aca="false">IF($B1514="","",IF(COUNTIFS($A$4:$A$2003,$A1514-1,$B$4:$B$2003,$B1514)=0,"first day",IF(SUMIFS($M$4:$M$2003,$A$4:$A$2003,$A1514-1,$B$4:$B$2003,$B1514)=$J1514,"OK","CHECK")))</f>
        <v/>
      </c>
      <c r="T1514" s="10" t="str">
        <f aca="false">IF($B1514="","",IFERROR(INDEX(Drinks!$D$4:$D$53,MATCH($B1514,Drinks!$A$4:$A$53,0)),0))</f>
        <v/>
      </c>
    </row>
    <row r="1515" customFormat="false" ht="15" hidden="false" customHeight="false" outlineLevel="0" collapsed="false">
      <c r="A1515" s="22"/>
      <c r="B1515" s="9"/>
      <c r="C1515" s="9"/>
      <c r="D1515" s="9"/>
      <c r="E1515" s="9"/>
      <c r="F1515" s="10" t="str">
        <f aca="false">IF($B1515="","",$C1515+$D1515-$E1515)</f>
        <v/>
      </c>
      <c r="G1515" s="10" t="str">
        <f aca="false">IF($B1515="","",IFERROR(INDEX(Drinks!$C$4:$C$53,MATCH($B1515,Drinks!$A$4:$A$53,0)),0))</f>
        <v/>
      </c>
      <c r="H1515" s="10" t="str">
        <f aca="false">IF($B1515="","",$D1515*$G1515)</f>
        <v/>
      </c>
      <c r="I1515" s="10" t="str">
        <f aca="false">IF($B1515="","",$F1515*$G1515)</f>
        <v/>
      </c>
      <c r="J1515" s="9"/>
      <c r="K1515" s="10" t="str">
        <f aca="false">IF($B1515="","",$E1515*IFERROR(INDEX(Drinks!$B$4:$B$53,MATCH($B1515,Drinks!$A$4:$A$53,0)),0))</f>
        <v/>
      </c>
      <c r="L1515" s="10" t="str">
        <f aca="false">IF($B1515="","",$J1515+$K1515)</f>
        <v/>
      </c>
      <c r="M1515" s="9"/>
      <c r="N1515" s="10" t="str">
        <f aca="false">IF($B1515="","",$L1515-$M1515)</f>
        <v/>
      </c>
      <c r="O1515" s="10" t="str">
        <f aca="false">IF($B1515="","",IFERROR(INDEX(Drinks!$E$4:$E$53,MATCH($B1515,Drinks!$A$4:$A$53,0)),0))</f>
        <v/>
      </c>
      <c r="P1515" s="10" t="str">
        <f aca="false">IF($B1515="","",$N1515*$O1515)</f>
        <v/>
      </c>
      <c r="Q1515" s="10" t="str">
        <f aca="false">IF($B1515="","",$N1515*IFERROR(INDEX(Drinks!$D$4:$D$53,MATCH($B1515,Drinks!$A$4:$A$53,0)),0))</f>
        <v/>
      </c>
      <c r="R1515" s="10" t="str">
        <f aca="false">IF($B1515="","",$P1515-$Q1515)</f>
        <v/>
      </c>
      <c r="S1515" s="23" t="str">
        <f aca="false">IF($B1515="","",IF(COUNTIFS($A$4:$A$2003,$A1515-1,$B$4:$B$2003,$B1515)=0,"first day",IF(SUMIFS($M$4:$M$2003,$A$4:$A$2003,$A1515-1,$B$4:$B$2003,$B1515)=$J1515,"OK","CHECK")))</f>
        <v/>
      </c>
      <c r="T1515" s="10" t="str">
        <f aca="false">IF($B1515="","",IFERROR(INDEX(Drinks!$D$4:$D$53,MATCH($B1515,Drinks!$A$4:$A$53,0)),0))</f>
        <v/>
      </c>
    </row>
    <row r="1516" customFormat="false" ht="15" hidden="false" customHeight="false" outlineLevel="0" collapsed="false">
      <c r="A1516" s="22"/>
      <c r="B1516" s="9"/>
      <c r="C1516" s="9"/>
      <c r="D1516" s="9"/>
      <c r="E1516" s="9"/>
      <c r="F1516" s="10" t="str">
        <f aca="false">IF($B1516="","",$C1516+$D1516-$E1516)</f>
        <v/>
      </c>
      <c r="G1516" s="10" t="str">
        <f aca="false">IF($B1516="","",IFERROR(INDEX(Drinks!$C$4:$C$53,MATCH($B1516,Drinks!$A$4:$A$53,0)),0))</f>
        <v/>
      </c>
      <c r="H1516" s="10" t="str">
        <f aca="false">IF($B1516="","",$D1516*$G1516)</f>
        <v/>
      </c>
      <c r="I1516" s="10" t="str">
        <f aca="false">IF($B1516="","",$F1516*$G1516)</f>
        <v/>
      </c>
      <c r="J1516" s="9"/>
      <c r="K1516" s="10" t="str">
        <f aca="false">IF($B1516="","",$E1516*IFERROR(INDEX(Drinks!$B$4:$B$53,MATCH($B1516,Drinks!$A$4:$A$53,0)),0))</f>
        <v/>
      </c>
      <c r="L1516" s="10" t="str">
        <f aca="false">IF($B1516="","",$J1516+$K1516)</f>
        <v/>
      </c>
      <c r="M1516" s="9"/>
      <c r="N1516" s="10" t="str">
        <f aca="false">IF($B1516="","",$L1516-$M1516)</f>
        <v/>
      </c>
      <c r="O1516" s="10" t="str">
        <f aca="false">IF($B1516="","",IFERROR(INDEX(Drinks!$E$4:$E$53,MATCH($B1516,Drinks!$A$4:$A$53,0)),0))</f>
        <v/>
      </c>
      <c r="P1516" s="10" t="str">
        <f aca="false">IF($B1516="","",$N1516*$O1516)</f>
        <v/>
      </c>
      <c r="Q1516" s="10" t="str">
        <f aca="false">IF($B1516="","",$N1516*IFERROR(INDEX(Drinks!$D$4:$D$53,MATCH($B1516,Drinks!$A$4:$A$53,0)),0))</f>
        <v/>
      </c>
      <c r="R1516" s="10" t="str">
        <f aca="false">IF($B1516="","",$P1516-$Q1516)</f>
        <v/>
      </c>
      <c r="S1516" s="23" t="str">
        <f aca="false">IF($B1516="","",IF(COUNTIFS($A$4:$A$2003,$A1516-1,$B$4:$B$2003,$B1516)=0,"first day",IF(SUMIFS($M$4:$M$2003,$A$4:$A$2003,$A1516-1,$B$4:$B$2003,$B1516)=$J1516,"OK","CHECK")))</f>
        <v/>
      </c>
      <c r="T1516" s="10" t="str">
        <f aca="false">IF($B1516="","",IFERROR(INDEX(Drinks!$D$4:$D$53,MATCH($B1516,Drinks!$A$4:$A$53,0)),0))</f>
        <v/>
      </c>
    </row>
    <row r="1517" customFormat="false" ht="15" hidden="false" customHeight="false" outlineLevel="0" collapsed="false">
      <c r="A1517" s="22"/>
      <c r="B1517" s="9"/>
      <c r="C1517" s="9"/>
      <c r="D1517" s="9"/>
      <c r="E1517" s="9"/>
      <c r="F1517" s="10" t="str">
        <f aca="false">IF($B1517="","",$C1517+$D1517-$E1517)</f>
        <v/>
      </c>
      <c r="G1517" s="10" t="str">
        <f aca="false">IF($B1517="","",IFERROR(INDEX(Drinks!$C$4:$C$53,MATCH($B1517,Drinks!$A$4:$A$53,0)),0))</f>
        <v/>
      </c>
      <c r="H1517" s="10" t="str">
        <f aca="false">IF($B1517="","",$D1517*$G1517)</f>
        <v/>
      </c>
      <c r="I1517" s="10" t="str">
        <f aca="false">IF($B1517="","",$F1517*$G1517)</f>
        <v/>
      </c>
      <c r="J1517" s="9"/>
      <c r="K1517" s="10" t="str">
        <f aca="false">IF($B1517="","",$E1517*IFERROR(INDEX(Drinks!$B$4:$B$53,MATCH($B1517,Drinks!$A$4:$A$53,0)),0))</f>
        <v/>
      </c>
      <c r="L1517" s="10" t="str">
        <f aca="false">IF($B1517="","",$J1517+$K1517)</f>
        <v/>
      </c>
      <c r="M1517" s="9"/>
      <c r="N1517" s="10" t="str">
        <f aca="false">IF($B1517="","",$L1517-$M1517)</f>
        <v/>
      </c>
      <c r="O1517" s="10" t="str">
        <f aca="false">IF($B1517="","",IFERROR(INDEX(Drinks!$E$4:$E$53,MATCH($B1517,Drinks!$A$4:$A$53,0)),0))</f>
        <v/>
      </c>
      <c r="P1517" s="10" t="str">
        <f aca="false">IF($B1517="","",$N1517*$O1517)</f>
        <v/>
      </c>
      <c r="Q1517" s="10" t="str">
        <f aca="false">IF($B1517="","",$N1517*IFERROR(INDEX(Drinks!$D$4:$D$53,MATCH($B1517,Drinks!$A$4:$A$53,0)),0))</f>
        <v/>
      </c>
      <c r="R1517" s="10" t="str">
        <f aca="false">IF($B1517="","",$P1517-$Q1517)</f>
        <v/>
      </c>
      <c r="S1517" s="23" t="str">
        <f aca="false">IF($B1517="","",IF(COUNTIFS($A$4:$A$2003,$A1517-1,$B$4:$B$2003,$B1517)=0,"first day",IF(SUMIFS($M$4:$M$2003,$A$4:$A$2003,$A1517-1,$B$4:$B$2003,$B1517)=$J1517,"OK","CHECK")))</f>
        <v/>
      </c>
      <c r="T1517" s="10" t="str">
        <f aca="false">IF($B1517="","",IFERROR(INDEX(Drinks!$D$4:$D$53,MATCH($B1517,Drinks!$A$4:$A$53,0)),0))</f>
        <v/>
      </c>
    </row>
    <row r="1518" customFormat="false" ht="15" hidden="false" customHeight="false" outlineLevel="0" collapsed="false">
      <c r="A1518" s="22"/>
      <c r="B1518" s="9"/>
      <c r="C1518" s="9"/>
      <c r="D1518" s="9"/>
      <c r="E1518" s="9"/>
      <c r="F1518" s="10" t="str">
        <f aca="false">IF($B1518="","",$C1518+$D1518-$E1518)</f>
        <v/>
      </c>
      <c r="G1518" s="10" t="str">
        <f aca="false">IF($B1518="","",IFERROR(INDEX(Drinks!$C$4:$C$53,MATCH($B1518,Drinks!$A$4:$A$53,0)),0))</f>
        <v/>
      </c>
      <c r="H1518" s="10" t="str">
        <f aca="false">IF($B1518="","",$D1518*$G1518)</f>
        <v/>
      </c>
      <c r="I1518" s="10" t="str">
        <f aca="false">IF($B1518="","",$F1518*$G1518)</f>
        <v/>
      </c>
      <c r="J1518" s="9"/>
      <c r="K1518" s="10" t="str">
        <f aca="false">IF($B1518="","",$E1518*IFERROR(INDEX(Drinks!$B$4:$B$53,MATCH($B1518,Drinks!$A$4:$A$53,0)),0))</f>
        <v/>
      </c>
      <c r="L1518" s="10" t="str">
        <f aca="false">IF($B1518="","",$J1518+$K1518)</f>
        <v/>
      </c>
      <c r="M1518" s="9"/>
      <c r="N1518" s="10" t="str">
        <f aca="false">IF($B1518="","",$L1518-$M1518)</f>
        <v/>
      </c>
      <c r="O1518" s="10" t="str">
        <f aca="false">IF($B1518="","",IFERROR(INDEX(Drinks!$E$4:$E$53,MATCH($B1518,Drinks!$A$4:$A$53,0)),0))</f>
        <v/>
      </c>
      <c r="P1518" s="10" t="str">
        <f aca="false">IF($B1518="","",$N1518*$O1518)</f>
        <v/>
      </c>
      <c r="Q1518" s="10" t="str">
        <f aca="false">IF($B1518="","",$N1518*IFERROR(INDEX(Drinks!$D$4:$D$53,MATCH($B1518,Drinks!$A$4:$A$53,0)),0))</f>
        <v/>
      </c>
      <c r="R1518" s="10" t="str">
        <f aca="false">IF($B1518="","",$P1518-$Q1518)</f>
        <v/>
      </c>
      <c r="S1518" s="23" t="str">
        <f aca="false">IF($B1518="","",IF(COUNTIFS($A$4:$A$2003,$A1518-1,$B$4:$B$2003,$B1518)=0,"first day",IF(SUMIFS($M$4:$M$2003,$A$4:$A$2003,$A1518-1,$B$4:$B$2003,$B1518)=$J1518,"OK","CHECK")))</f>
        <v/>
      </c>
      <c r="T1518" s="10" t="str">
        <f aca="false">IF($B1518="","",IFERROR(INDEX(Drinks!$D$4:$D$53,MATCH($B1518,Drinks!$A$4:$A$53,0)),0))</f>
        <v/>
      </c>
    </row>
    <row r="1519" customFormat="false" ht="15" hidden="false" customHeight="false" outlineLevel="0" collapsed="false">
      <c r="A1519" s="22"/>
      <c r="B1519" s="9"/>
      <c r="C1519" s="9"/>
      <c r="D1519" s="9"/>
      <c r="E1519" s="9"/>
      <c r="F1519" s="10" t="str">
        <f aca="false">IF($B1519="","",$C1519+$D1519-$E1519)</f>
        <v/>
      </c>
      <c r="G1519" s="10" t="str">
        <f aca="false">IF($B1519="","",IFERROR(INDEX(Drinks!$C$4:$C$53,MATCH($B1519,Drinks!$A$4:$A$53,0)),0))</f>
        <v/>
      </c>
      <c r="H1519" s="10" t="str">
        <f aca="false">IF($B1519="","",$D1519*$G1519)</f>
        <v/>
      </c>
      <c r="I1519" s="10" t="str">
        <f aca="false">IF($B1519="","",$F1519*$G1519)</f>
        <v/>
      </c>
      <c r="J1519" s="9"/>
      <c r="K1519" s="10" t="str">
        <f aca="false">IF($B1519="","",$E1519*IFERROR(INDEX(Drinks!$B$4:$B$53,MATCH($B1519,Drinks!$A$4:$A$53,0)),0))</f>
        <v/>
      </c>
      <c r="L1519" s="10" t="str">
        <f aca="false">IF($B1519="","",$J1519+$K1519)</f>
        <v/>
      </c>
      <c r="M1519" s="9"/>
      <c r="N1519" s="10" t="str">
        <f aca="false">IF($B1519="","",$L1519-$M1519)</f>
        <v/>
      </c>
      <c r="O1519" s="10" t="str">
        <f aca="false">IF($B1519="","",IFERROR(INDEX(Drinks!$E$4:$E$53,MATCH($B1519,Drinks!$A$4:$A$53,0)),0))</f>
        <v/>
      </c>
      <c r="P1519" s="10" t="str">
        <f aca="false">IF($B1519="","",$N1519*$O1519)</f>
        <v/>
      </c>
      <c r="Q1519" s="10" t="str">
        <f aca="false">IF($B1519="","",$N1519*IFERROR(INDEX(Drinks!$D$4:$D$53,MATCH($B1519,Drinks!$A$4:$A$53,0)),0))</f>
        <v/>
      </c>
      <c r="R1519" s="10" t="str">
        <f aca="false">IF($B1519="","",$P1519-$Q1519)</f>
        <v/>
      </c>
      <c r="S1519" s="23" t="str">
        <f aca="false">IF($B1519="","",IF(COUNTIFS($A$4:$A$2003,$A1519-1,$B$4:$B$2003,$B1519)=0,"first day",IF(SUMIFS($M$4:$M$2003,$A$4:$A$2003,$A1519-1,$B$4:$B$2003,$B1519)=$J1519,"OK","CHECK")))</f>
        <v/>
      </c>
      <c r="T1519" s="10" t="str">
        <f aca="false">IF($B1519="","",IFERROR(INDEX(Drinks!$D$4:$D$53,MATCH($B1519,Drinks!$A$4:$A$53,0)),0))</f>
        <v/>
      </c>
    </row>
    <row r="1520" customFormat="false" ht="15" hidden="false" customHeight="false" outlineLevel="0" collapsed="false">
      <c r="A1520" s="22"/>
      <c r="B1520" s="9"/>
      <c r="C1520" s="9"/>
      <c r="D1520" s="9"/>
      <c r="E1520" s="9"/>
      <c r="F1520" s="10" t="str">
        <f aca="false">IF($B1520="","",$C1520+$D1520-$E1520)</f>
        <v/>
      </c>
      <c r="G1520" s="10" t="str">
        <f aca="false">IF($B1520="","",IFERROR(INDEX(Drinks!$C$4:$C$53,MATCH($B1520,Drinks!$A$4:$A$53,0)),0))</f>
        <v/>
      </c>
      <c r="H1520" s="10" t="str">
        <f aca="false">IF($B1520="","",$D1520*$G1520)</f>
        <v/>
      </c>
      <c r="I1520" s="10" t="str">
        <f aca="false">IF($B1520="","",$F1520*$G1520)</f>
        <v/>
      </c>
      <c r="J1520" s="9"/>
      <c r="K1520" s="10" t="str">
        <f aca="false">IF($B1520="","",$E1520*IFERROR(INDEX(Drinks!$B$4:$B$53,MATCH($B1520,Drinks!$A$4:$A$53,0)),0))</f>
        <v/>
      </c>
      <c r="L1520" s="10" t="str">
        <f aca="false">IF($B1520="","",$J1520+$K1520)</f>
        <v/>
      </c>
      <c r="M1520" s="9"/>
      <c r="N1520" s="10" t="str">
        <f aca="false">IF($B1520="","",$L1520-$M1520)</f>
        <v/>
      </c>
      <c r="O1520" s="10" t="str">
        <f aca="false">IF($B1520="","",IFERROR(INDEX(Drinks!$E$4:$E$53,MATCH($B1520,Drinks!$A$4:$A$53,0)),0))</f>
        <v/>
      </c>
      <c r="P1520" s="10" t="str">
        <f aca="false">IF($B1520="","",$N1520*$O1520)</f>
        <v/>
      </c>
      <c r="Q1520" s="10" t="str">
        <f aca="false">IF($B1520="","",$N1520*IFERROR(INDEX(Drinks!$D$4:$D$53,MATCH($B1520,Drinks!$A$4:$A$53,0)),0))</f>
        <v/>
      </c>
      <c r="R1520" s="10" t="str">
        <f aca="false">IF($B1520="","",$P1520-$Q1520)</f>
        <v/>
      </c>
      <c r="S1520" s="23" t="str">
        <f aca="false">IF($B1520="","",IF(COUNTIFS($A$4:$A$2003,$A1520-1,$B$4:$B$2003,$B1520)=0,"first day",IF(SUMIFS($M$4:$M$2003,$A$4:$A$2003,$A1520-1,$B$4:$B$2003,$B1520)=$J1520,"OK","CHECK")))</f>
        <v/>
      </c>
      <c r="T1520" s="10" t="str">
        <f aca="false">IF($B1520="","",IFERROR(INDEX(Drinks!$D$4:$D$53,MATCH($B1520,Drinks!$A$4:$A$53,0)),0))</f>
        <v/>
      </c>
    </row>
    <row r="1521" customFormat="false" ht="15" hidden="false" customHeight="false" outlineLevel="0" collapsed="false">
      <c r="A1521" s="22"/>
      <c r="B1521" s="9"/>
      <c r="C1521" s="9"/>
      <c r="D1521" s="9"/>
      <c r="E1521" s="9"/>
      <c r="F1521" s="10" t="str">
        <f aca="false">IF($B1521="","",$C1521+$D1521-$E1521)</f>
        <v/>
      </c>
      <c r="G1521" s="10" t="str">
        <f aca="false">IF($B1521="","",IFERROR(INDEX(Drinks!$C$4:$C$53,MATCH($B1521,Drinks!$A$4:$A$53,0)),0))</f>
        <v/>
      </c>
      <c r="H1521" s="10" t="str">
        <f aca="false">IF($B1521="","",$D1521*$G1521)</f>
        <v/>
      </c>
      <c r="I1521" s="10" t="str">
        <f aca="false">IF($B1521="","",$F1521*$G1521)</f>
        <v/>
      </c>
      <c r="J1521" s="9"/>
      <c r="K1521" s="10" t="str">
        <f aca="false">IF($B1521="","",$E1521*IFERROR(INDEX(Drinks!$B$4:$B$53,MATCH($B1521,Drinks!$A$4:$A$53,0)),0))</f>
        <v/>
      </c>
      <c r="L1521" s="10" t="str">
        <f aca="false">IF($B1521="","",$J1521+$K1521)</f>
        <v/>
      </c>
      <c r="M1521" s="9"/>
      <c r="N1521" s="10" t="str">
        <f aca="false">IF($B1521="","",$L1521-$M1521)</f>
        <v/>
      </c>
      <c r="O1521" s="10" t="str">
        <f aca="false">IF($B1521="","",IFERROR(INDEX(Drinks!$E$4:$E$53,MATCH($B1521,Drinks!$A$4:$A$53,0)),0))</f>
        <v/>
      </c>
      <c r="P1521" s="10" t="str">
        <f aca="false">IF($B1521="","",$N1521*$O1521)</f>
        <v/>
      </c>
      <c r="Q1521" s="10" t="str">
        <f aca="false">IF($B1521="","",$N1521*IFERROR(INDEX(Drinks!$D$4:$D$53,MATCH($B1521,Drinks!$A$4:$A$53,0)),0))</f>
        <v/>
      </c>
      <c r="R1521" s="10" t="str">
        <f aca="false">IF($B1521="","",$P1521-$Q1521)</f>
        <v/>
      </c>
      <c r="S1521" s="23" t="str">
        <f aca="false">IF($B1521="","",IF(COUNTIFS($A$4:$A$2003,$A1521-1,$B$4:$B$2003,$B1521)=0,"first day",IF(SUMIFS($M$4:$M$2003,$A$4:$A$2003,$A1521-1,$B$4:$B$2003,$B1521)=$J1521,"OK","CHECK")))</f>
        <v/>
      </c>
      <c r="T1521" s="10" t="str">
        <f aca="false">IF($B1521="","",IFERROR(INDEX(Drinks!$D$4:$D$53,MATCH($B1521,Drinks!$A$4:$A$53,0)),0))</f>
        <v/>
      </c>
    </row>
    <row r="1522" customFormat="false" ht="15" hidden="false" customHeight="false" outlineLevel="0" collapsed="false">
      <c r="A1522" s="22"/>
      <c r="B1522" s="9"/>
      <c r="C1522" s="9"/>
      <c r="D1522" s="9"/>
      <c r="E1522" s="9"/>
      <c r="F1522" s="10" t="str">
        <f aca="false">IF($B1522="","",$C1522+$D1522-$E1522)</f>
        <v/>
      </c>
      <c r="G1522" s="10" t="str">
        <f aca="false">IF($B1522="","",IFERROR(INDEX(Drinks!$C$4:$C$53,MATCH($B1522,Drinks!$A$4:$A$53,0)),0))</f>
        <v/>
      </c>
      <c r="H1522" s="10" t="str">
        <f aca="false">IF($B1522="","",$D1522*$G1522)</f>
        <v/>
      </c>
      <c r="I1522" s="10" t="str">
        <f aca="false">IF($B1522="","",$F1522*$G1522)</f>
        <v/>
      </c>
      <c r="J1522" s="9"/>
      <c r="K1522" s="10" t="str">
        <f aca="false">IF($B1522="","",$E1522*IFERROR(INDEX(Drinks!$B$4:$B$53,MATCH($B1522,Drinks!$A$4:$A$53,0)),0))</f>
        <v/>
      </c>
      <c r="L1522" s="10" t="str">
        <f aca="false">IF($B1522="","",$J1522+$K1522)</f>
        <v/>
      </c>
      <c r="M1522" s="9"/>
      <c r="N1522" s="10" t="str">
        <f aca="false">IF($B1522="","",$L1522-$M1522)</f>
        <v/>
      </c>
      <c r="O1522" s="10" t="str">
        <f aca="false">IF($B1522="","",IFERROR(INDEX(Drinks!$E$4:$E$53,MATCH($B1522,Drinks!$A$4:$A$53,0)),0))</f>
        <v/>
      </c>
      <c r="P1522" s="10" t="str">
        <f aca="false">IF($B1522="","",$N1522*$O1522)</f>
        <v/>
      </c>
      <c r="Q1522" s="10" t="str">
        <f aca="false">IF($B1522="","",$N1522*IFERROR(INDEX(Drinks!$D$4:$D$53,MATCH($B1522,Drinks!$A$4:$A$53,0)),0))</f>
        <v/>
      </c>
      <c r="R1522" s="10" t="str">
        <f aca="false">IF($B1522="","",$P1522-$Q1522)</f>
        <v/>
      </c>
      <c r="S1522" s="23" t="str">
        <f aca="false">IF($B1522="","",IF(COUNTIFS($A$4:$A$2003,$A1522-1,$B$4:$B$2003,$B1522)=0,"first day",IF(SUMIFS($M$4:$M$2003,$A$4:$A$2003,$A1522-1,$B$4:$B$2003,$B1522)=$J1522,"OK","CHECK")))</f>
        <v/>
      </c>
      <c r="T1522" s="10" t="str">
        <f aca="false">IF($B1522="","",IFERROR(INDEX(Drinks!$D$4:$D$53,MATCH($B1522,Drinks!$A$4:$A$53,0)),0))</f>
        <v/>
      </c>
    </row>
    <row r="1523" customFormat="false" ht="15" hidden="false" customHeight="false" outlineLevel="0" collapsed="false">
      <c r="A1523" s="22"/>
      <c r="B1523" s="9"/>
      <c r="C1523" s="9"/>
      <c r="D1523" s="9"/>
      <c r="E1523" s="9"/>
      <c r="F1523" s="10" t="str">
        <f aca="false">IF($B1523="","",$C1523+$D1523-$E1523)</f>
        <v/>
      </c>
      <c r="G1523" s="10" t="str">
        <f aca="false">IF($B1523="","",IFERROR(INDEX(Drinks!$C$4:$C$53,MATCH($B1523,Drinks!$A$4:$A$53,0)),0))</f>
        <v/>
      </c>
      <c r="H1523" s="10" t="str">
        <f aca="false">IF($B1523="","",$D1523*$G1523)</f>
        <v/>
      </c>
      <c r="I1523" s="10" t="str">
        <f aca="false">IF($B1523="","",$F1523*$G1523)</f>
        <v/>
      </c>
      <c r="J1523" s="9"/>
      <c r="K1523" s="10" t="str">
        <f aca="false">IF($B1523="","",$E1523*IFERROR(INDEX(Drinks!$B$4:$B$53,MATCH($B1523,Drinks!$A$4:$A$53,0)),0))</f>
        <v/>
      </c>
      <c r="L1523" s="10" t="str">
        <f aca="false">IF($B1523="","",$J1523+$K1523)</f>
        <v/>
      </c>
      <c r="M1523" s="9"/>
      <c r="N1523" s="10" t="str">
        <f aca="false">IF($B1523="","",$L1523-$M1523)</f>
        <v/>
      </c>
      <c r="O1523" s="10" t="str">
        <f aca="false">IF($B1523="","",IFERROR(INDEX(Drinks!$E$4:$E$53,MATCH($B1523,Drinks!$A$4:$A$53,0)),0))</f>
        <v/>
      </c>
      <c r="P1523" s="10" t="str">
        <f aca="false">IF($B1523="","",$N1523*$O1523)</f>
        <v/>
      </c>
      <c r="Q1523" s="10" t="str">
        <f aca="false">IF($B1523="","",$N1523*IFERROR(INDEX(Drinks!$D$4:$D$53,MATCH($B1523,Drinks!$A$4:$A$53,0)),0))</f>
        <v/>
      </c>
      <c r="R1523" s="10" t="str">
        <f aca="false">IF($B1523="","",$P1523-$Q1523)</f>
        <v/>
      </c>
      <c r="S1523" s="23" t="str">
        <f aca="false">IF($B1523="","",IF(COUNTIFS($A$4:$A$2003,$A1523-1,$B$4:$B$2003,$B1523)=0,"first day",IF(SUMIFS($M$4:$M$2003,$A$4:$A$2003,$A1523-1,$B$4:$B$2003,$B1523)=$J1523,"OK","CHECK")))</f>
        <v/>
      </c>
      <c r="T1523" s="10" t="str">
        <f aca="false">IF($B1523="","",IFERROR(INDEX(Drinks!$D$4:$D$53,MATCH($B1523,Drinks!$A$4:$A$53,0)),0))</f>
        <v/>
      </c>
    </row>
    <row r="1524" customFormat="false" ht="15" hidden="false" customHeight="false" outlineLevel="0" collapsed="false">
      <c r="A1524" s="22"/>
      <c r="B1524" s="9"/>
      <c r="C1524" s="9"/>
      <c r="D1524" s="9"/>
      <c r="E1524" s="9"/>
      <c r="F1524" s="10" t="str">
        <f aca="false">IF($B1524="","",$C1524+$D1524-$E1524)</f>
        <v/>
      </c>
      <c r="G1524" s="10" t="str">
        <f aca="false">IF($B1524="","",IFERROR(INDEX(Drinks!$C$4:$C$53,MATCH($B1524,Drinks!$A$4:$A$53,0)),0))</f>
        <v/>
      </c>
      <c r="H1524" s="10" t="str">
        <f aca="false">IF($B1524="","",$D1524*$G1524)</f>
        <v/>
      </c>
      <c r="I1524" s="10" t="str">
        <f aca="false">IF($B1524="","",$F1524*$G1524)</f>
        <v/>
      </c>
      <c r="J1524" s="9"/>
      <c r="K1524" s="10" t="str">
        <f aca="false">IF($B1524="","",$E1524*IFERROR(INDEX(Drinks!$B$4:$B$53,MATCH($B1524,Drinks!$A$4:$A$53,0)),0))</f>
        <v/>
      </c>
      <c r="L1524" s="10" t="str">
        <f aca="false">IF($B1524="","",$J1524+$K1524)</f>
        <v/>
      </c>
      <c r="M1524" s="9"/>
      <c r="N1524" s="10" t="str">
        <f aca="false">IF($B1524="","",$L1524-$M1524)</f>
        <v/>
      </c>
      <c r="O1524" s="10" t="str">
        <f aca="false">IF($B1524="","",IFERROR(INDEX(Drinks!$E$4:$E$53,MATCH($B1524,Drinks!$A$4:$A$53,0)),0))</f>
        <v/>
      </c>
      <c r="P1524" s="10" t="str">
        <f aca="false">IF($B1524="","",$N1524*$O1524)</f>
        <v/>
      </c>
      <c r="Q1524" s="10" t="str">
        <f aca="false">IF($B1524="","",$N1524*IFERROR(INDEX(Drinks!$D$4:$D$53,MATCH($B1524,Drinks!$A$4:$A$53,0)),0))</f>
        <v/>
      </c>
      <c r="R1524" s="10" t="str">
        <f aca="false">IF($B1524="","",$P1524-$Q1524)</f>
        <v/>
      </c>
      <c r="S1524" s="23" t="str">
        <f aca="false">IF($B1524="","",IF(COUNTIFS($A$4:$A$2003,$A1524-1,$B$4:$B$2003,$B1524)=0,"first day",IF(SUMIFS($M$4:$M$2003,$A$4:$A$2003,$A1524-1,$B$4:$B$2003,$B1524)=$J1524,"OK","CHECK")))</f>
        <v/>
      </c>
      <c r="T1524" s="10" t="str">
        <f aca="false">IF($B1524="","",IFERROR(INDEX(Drinks!$D$4:$D$53,MATCH($B1524,Drinks!$A$4:$A$53,0)),0))</f>
        <v/>
      </c>
    </row>
    <row r="1525" customFormat="false" ht="15" hidden="false" customHeight="false" outlineLevel="0" collapsed="false">
      <c r="A1525" s="22"/>
      <c r="B1525" s="9"/>
      <c r="C1525" s="9"/>
      <c r="D1525" s="9"/>
      <c r="E1525" s="9"/>
      <c r="F1525" s="10" t="str">
        <f aca="false">IF($B1525="","",$C1525+$D1525-$E1525)</f>
        <v/>
      </c>
      <c r="G1525" s="10" t="str">
        <f aca="false">IF($B1525="","",IFERROR(INDEX(Drinks!$C$4:$C$53,MATCH($B1525,Drinks!$A$4:$A$53,0)),0))</f>
        <v/>
      </c>
      <c r="H1525" s="10" t="str">
        <f aca="false">IF($B1525="","",$D1525*$G1525)</f>
        <v/>
      </c>
      <c r="I1525" s="10" t="str">
        <f aca="false">IF($B1525="","",$F1525*$G1525)</f>
        <v/>
      </c>
      <c r="J1525" s="9"/>
      <c r="K1525" s="10" t="str">
        <f aca="false">IF($B1525="","",$E1525*IFERROR(INDEX(Drinks!$B$4:$B$53,MATCH($B1525,Drinks!$A$4:$A$53,0)),0))</f>
        <v/>
      </c>
      <c r="L1525" s="10" t="str">
        <f aca="false">IF($B1525="","",$J1525+$K1525)</f>
        <v/>
      </c>
      <c r="M1525" s="9"/>
      <c r="N1525" s="10" t="str">
        <f aca="false">IF($B1525="","",$L1525-$M1525)</f>
        <v/>
      </c>
      <c r="O1525" s="10" t="str">
        <f aca="false">IF($B1525="","",IFERROR(INDEX(Drinks!$E$4:$E$53,MATCH($B1525,Drinks!$A$4:$A$53,0)),0))</f>
        <v/>
      </c>
      <c r="P1525" s="10" t="str">
        <f aca="false">IF($B1525="","",$N1525*$O1525)</f>
        <v/>
      </c>
      <c r="Q1525" s="10" t="str">
        <f aca="false">IF($B1525="","",$N1525*IFERROR(INDEX(Drinks!$D$4:$D$53,MATCH($B1525,Drinks!$A$4:$A$53,0)),0))</f>
        <v/>
      </c>
      <c r="R1525" s="10" t="str">
        <f aca="false">IF($B1525="","",$P1525-$Q1525)</f>
        <v/>
      </c>
      <c r="S1525" s="23" t="str">
        <f aca="false">IF($B1525="","",IF(COUNTIFS($A$4:$A$2003,$A1525-1,$B$4:$B$2003,$B1525)=0,"first day",IF(SUMIFS($M$4:$M$2003,$A$4:$A$2003,$A1525-1,$B$4:$B$2003,$B1525)=$J1525,"OK","CHECK")))</f>
        <v/>
      </c>
      <c r="T1525" s="10" t="str">
        <f aca="false">IF($B1525="","",IFERROR(INDEX(Drinks!$D$4:$D$53,MATCH($B1525,Drinks!$A$4:$A$53,0)),0))</f>
        <v/>
      </c>
    </row>
    <row r="1526" customFormat="false" ht="15" hidden="false" customHeight="false" outlineLevel="0" collapsed="false">
      <c r="A1526" s="22"/>
      <c r="B1526" s="9"/>
      <c r="C1526" s="9"/>
      <c r="D1526" s="9"/>
      <c r="E1526" s="9"/>
      <c r="F1526" s="10" t="str">
        <f aca="false">IF($B1526="","",$C1526+$D1526-$E1526)</f>
        <v/>
      </c>
      <c r="G1526" s="10" t="str">
        <f aca="false">IF($B1526="","",IFERROR(INDEX(Drinks!$C$4:$C$53,MATCH($B1526,Drinks!$A$4:$A$53,0)),0))</f>
        <v/>
      </c>
      <c r="H1526" s="10" t="str">
        <f aca="false">IF($B1526="","",$D1526*$G1526)</f>
        <v/>
      </c>
      <c r="I1526" s="10" t="str">
        <f aca="false">IF($B1526="","",$F1526*$G1526)</f>
        <v/>
      </c>
      <c r="J1526" s="9"/>
      <c r="K1526" s="10" t="str">
        <f aca="false">IF($B1526="","",$E1526*IFERROR(INDEX(Drinks!$B$4:$B$53,MATCH($B1526,Drinks!$A$4:$A$53,0)),0))</f>
        <v/>
      </c>
      <c r="L1526" s="10" t="str">
        <f aca="false">IF($B1526="","",$J1526+$K1526)</f>
        <v/>
      </c>
      <c r="M1526" s="9"/>
      <c r="N1526" s="10" t="str">
        <f aca="false">IF($B1526="","",$L1526-$M1526)</f>
        <v/>
      </c>
      <c r="O1526" s="10" t="str">
        <f aca="false">IF($B1526="","",IFERROR(INDEX(Drinks!$E$4:$E$53,MATCH($B1526,Drinks!$A$4:$A$53,0)),0))</f>
        <v/>
      </c>
      <c r="P1526" s="10" t="str">
        <f aca="false">IF($B1526="","",$N1526*$O1526)</f>
        <v/>
      </c>
      <c r="Q1526" s="10" t="str">
        <f aca="false">IF($B1526="","",$N1526*IFERROR(INDEX(Drinks!$D$4:$D$53,MATCH($B1526,Drinks!$A$4:$A$53,0)),0))</f>
        <v/>
      </c>
      <c r="R1526" s="10" t="str">
        <f aca="false">IF($B1526="","",$P1526-$Q1526)</f>
        <v/>
      </c>
      <c r="S1526" s="23" t="str">
        <f aca="false">IF($B1526="","",IF(COUNTIFS($A$4:$A$2003,$A1526-1,$B$4:$B$2003,$B1526)=0,"first day",IF(SUMIFS($M$4:$M$2003,$A$4:$A$2003,$A1526-1,$B$4:$B$2003,$B1526)=$J1526,"OK","CHECK")))</f>
        <v/>
      </c>
      <c r="T1526" s="10" t="str">
        <f aca="false">IF($B1526="","",IFERROR(INDEX(Drinks!$D$4:$D$53,MATCH($B1526,Drinks!$A$4:$A$53,0)),0))</f>
        <v/>
      </c>
    </row>
    <row r="1527" customFormat="false" ht="15" hidden="false" customHeight="false" outlineLevel="0" collapsed="false">
      <c r="A1527" s="22"/>
      <c r="B1527" s="9"/>
      <c r="C1527" s="9"/>
      <c r="D1527" s="9"/>
      <c r="E1527" s="9"/>
      <c r="F1527" s="10" t="str">
        <f aca="false">IF($B1527="","",$C1527+$D1527-$E1527)</f>
        <v/>
      </c>
      <c r="G1527" s="10" t="str">
        <f aca="false">IF($B1527="","",IFERROR(INDEX(Drinks!$C$4:$C$53,MATCH($B1527,Drinks!$A$4:$A$53,0)),0))</f>
        <v/>
      </c>
      <c r="H1527" s="10" t="str">
        <f aca="false">IF($B1527="","",$D1527*$G1527)</f>
        <v/>
      </c>
      <c r="I1527" s="10" t="str">
        <f aca="false">IF($B1527="","",$F1527*$G1527)</f>
        <v/>
      </c>
      <c r="J1527" s="9"/>
      <c r="K1527" s="10" t="str">
        <f aca="false">IF($B1527="","",$E1527*IFERROR(INDEX(Drinks!$B$4:$B$53,MATCH($B1527,Drinks!$A$4:$A$53,0)),0))</f>
        <v/>
      </c>
      <c r="L1527" s="10" t="str">
        <f aca="false">IF($B1527="","",$J1527+$K1527)</f>
        <v/>
      </c>
      <c r="M1527" s="9"/>
      <c r="N1527" s="10" t="str">
        <f aca="false">IF($B1527="","",$L1527-$M1527)</f>
        <v/>
      </c>
      <c r="O1527" s="10" t="str">
        <f aca="false">IF($B1527="","",IFERROR(INDEX(Drinks!$E$4:$E$53,MATCH($B1527,Drinks!$A$4:$A$53,0)),0))</f>
        <v/>
      </c>
      <c r="P1527" s="10" t="str">
        <f aca="false">IF($B1527="","",$N1527*$O1527)</f>
        <v/>
      </c>
      <c r="Q1527" s="10" t="str">
        <f aca="false">IF($B1527="","",$N1527*IFERROR(INDEX(Drinks!$D$4:$D$53,MATCH($B1527,Drinks!$A$4:$A$53,0)),0))</f>
        <v/>
      </c>
      <c r="R1527" s="10" t="str">
        <f aca="false">IF($B1527="","",$P1527-$Q1527)</f>
        <v/>
      </c>
      <c r="S1527" s="23" t="str">
        <f aca="false">IF($B1527="","",IF(COUNTIFS($A$4:$A$2003,$A1527-1,$B$4:$B$2003,$B1527)=0,"first day",IF(SUMIFS($M$4:$M$2003,$A$4:$A$2003,$A1527-1,$B$4:$B$2003,$B1527)=$J1527,"OK","CHECK")))</f>
        <v/>
      </c>
      <c r="T1527" s="10" t="str">
        <f aca="false">IF($B1527="","",IFERROR(INDEX(Drinks!$D$4:$D$53,MATCH($B1527,Drinks!$A$4:$A$53,0)),0))</f>
        <v/>
      </c>
    </row>
    <row r="1528" customFormat="false" ht="15" hidden="false" customHeight="false" outlineLevel="0" collapsed="false">
      <c r="A1528" s="22"/>
      <c r="B1528" s="9"/>
      <c r="C1528" s="9"/>
      <c r="D1528" s="9"/>
      <c r="E1528" s="9"/>
      <c r="F1528" s="10" t="str">
        <f aca="false">IF($B1528="","",$C1528+$D1528-$E1528)</f>
        <v/>
      </c>
      <c r="G1528" s="10" t="str">
        <f aca="false">IF($B1528="","",IFERROR(INDEX(Drinks!$C$4:$C$53,MATCH($B1528,Drinks!$A$4:$A$53,0)),0))</f>
        <v/>
      </c>
      <c r="H1528" s="10" t="str">
        <f aca="false">IF($B1528="","",$D1528*$G1528)</f>
        <v/>
      </c>
      <c r="I1528" s="10" t="str">
        <f aca="false">IF($B1528="","",$F1528*$G1528)</f>
        <v/>
      </c>
      <c r="J1528" s="9"/>
      <c r="K1528" s="10" t="str">
        <f aca="false">IF($B1528="","",$E1528*IFERROR(INDEX(Drinks!$B$4:$B$53,MATCH($B1528,Drinks!$A$4:$A$53,0)),0))</f>
        <v/>
      </c>
      <c r="L1528" s="10" t="str">
        <f aca="false">IF($B1528="","",$J1528+$K1528)</f>
        <v/>
      </c>
      <c r="M1528" s="9"/>
      <c r="N1528" s="10" t="str">
        <f aca="false">IF($B1528="","",$L1528-$M1528)</f>
        <v/>
      </c>
      <c r="O1528" s="10" t="str">
        <f aca="false">IF($B1528="","",IFERROR(INDEX(Drinks!$E$4:$E$53,MATCH($B1528,Drinks!$A$4:$A$53,0)),0))</f>
        <v/>
      </c>
      <c r="P1528" s="10" t="str">
        <f aca="false">IF($B1528="","",$N1528*$O1528)</f>
        <v/>
      </c>
      <c r="Q1528" s="10" t="str">
        <f aca="false">IF($B1528="","",$N1528*IFERROR(INDEX(Drinks!$D$4:$D$53,MATCH($B1528,Drinks!$A$4:$A$53,0)),0))</f>
        <v/>
      </c>
      <c r="R1528" s="10" t="str">
        <f aca="false">IF($B1528="","",$P1528-$Q1528)</f>
        <v/>
      </c>
      <c r="S1528" s="23" t="str">
        <f aca="false">IF($B1528="","",IF(COUNTIFS($A$4:$A$2003,$A1528-1,$B$4:$B$2003,$B1528)=0,"first day",IF(SUMIFS($M$4:$M$2003,$A$4:$A$2003,$A1528-1,$B$4:$B$2003,$B1528)=$J1528,"OK","CHECK")))</f>
        <v/>
      </c>
      <c r="T1528" s="10" t="str">
        <f aca="false">IF($B1528="","",IFERROR(INDEX(Drinks!$D$4:$D$53,MATCH($B1528,Drinks!$A$4:$A$53,0)),0))</f>
        <v/>
      </c>
    </row>
    <row r="1529" customFormat="false" ht="15" hidden="false" customHeight="false" outlineLevel="0" collapsed="false">
      <c r="A1529" s="22"/>
      <c r="B1529" s="9"/>
      <c r="C1529" s="9"/>
      <c r="D1529" s="9"/>
      <c r="E1529" s="9"/>
      <c r="F1529" s="10" t="str">
        <f aca="false">IF($B1529="","",$C1529+$D1529-$E1529)</f>
        <v/>
      </c>
      <c r="G1529" s="10" t="str">
        <f aca="false">IF($B1529="","",IFERROR(INDEX(Drinks!$C$4:$C$53,MATCH($B1529,Drinks!$A$4:$A$53,0)),0))</f>
        <v/>
      </c>
      <c r="H1529" s="10" t="str">
        <f aca="false">IF($B1529="","",$D1529*$G1529)</f>
        <v/>
      </c>
      <c r="I1529" s="10" t="str">
        <f aca="false">IF($B1529="","",$F1529*$G1529)</f>
        <v/>
      </c>
      <c r="J1529" s="9"/>
      <c r="K1529" s="10" t="str">
        <f aca="false">IF($B1529="","",$E1529*IFERROR(INDEX(Drinks!$B$4:$B$53,MATCH($B1529,Drinks!$A$4:$A$53,0)),0))</f>
        <v/>
      </c>
      <c r="L1529" s="10" t="str">
        <f aca="false">IF($B1529="","",$J1529+$K1529)</f>
        <v/>
      </c>
      <c r="M1529" s="9"/>
      <c r="N1529" s="10" t="str">
        <f aca="false">IF($B1529="","",$L1529-$M1529)</f>
        <v/>
      </c>
      <c r="O1529" s="10" t="str">
        <f aca="false">IF($B1529="","",IFERROR(INDEX(Drinks!$E$4:$E$53,MATCH($B1529,Drinks!$A$4:$A$53,0)),0))</f>
        <v/>
      </c>
      <c r="P1529" s="10" t="str">
        <f aca="false">IF($B1529="","",$N1529*$O1529)</f>
        <v/>
      </c>
      <c r="Q1529" s="10" t="str">
        <f aca="false">IF($B1529="","",$N1529*IFERROR(INDEX(Drinks!$D$4:$D$53,MATCH($B1529,Drinks!$A$4:$A$53,0)),0))</f>
        <v/>
      </c>
      <c r="R1529" s="10" t="str">
        <f aca="false">IF($B1529="","",$P1529-$Q1529)</f>
        <v/>
      </c>
      <c r="S1529" s="23" t="str">
        <f aca="false">IF($B1529="","",IF(COUNTIFS($A$4:$A$2003,$A1529-1,$B$4:$B$2003,$B1529)=0,"first day",IF(SUMIFS($M$4:$M$2003,$A$4:$A$2003,$A1529-1,$B$4:$B$2003,$B1529)=$J1529,"OK","CHECK")))</f>
        <v/>
      </c>
      <c r="T1529" s="10" t="str">
        <f aca="false">IF($B1529="","",IFERROR(INDEX(Drinks!$D$4:$D$53,MATCH($B1529,Drinks!$A$4:$A$53,0)),0))</f>
        <v/>
      </c>
    </row>
    <row r="1530" customFormat="false" ht="15" hidden="false" customHeight="false" outlineLevel="0" collapsed="false">
      <c r="A1530" s="22"/>
      <c r="B1530" s="9"/>
      <c r="C1530" s="9"/>
      <c r="D1530" s="9"/>
      <c r="E1530" s="9"/>
      <c r="F1530" s="10" t="str">
        <f aca="false">IF($B1530="","",$C1530+$D1530-$E1530)</f>
        <v/>
      </c>
      <c r="G1530" s="10" t="str">
        <f aca="false">IF($B1530="","",IFERROR(INDEX(Drinks!$C$4:$C$53,MATCH($B1530,Drinks!$A$4:$A$53,0)),0))</f>
        <v/>
      </c>
      <c r="H1530" s="10" t="str">
        <f aca="false">IF($B1530="","",$D1530*$G1530)</f>
        <v/>
      </c>
      <c r="I1530" s="10" t="str">
        <f aca="false">IF($B1530="","",$F1530*$G1530)</f>
        <v/>
      </c>
      <c r="J1530" s="9"/>
      <c r="K1530" s="10" t="str">
        <f aca="false">IF($B1530="","",$E1530*IFERROR(INDEX(Drinks!$B$4:$B$53,MATCH($B1530,Drinks!$A$4:$A$53,0)),0))</f>
        <v/>
      </c>
      <c r="L1530" s="10" t="str">
        <f aca="false">IF($B1530="","",$J1530+$K1530)</f>
        <v/>
      </c>
      <c r="M1530" s="9"/>
      <c r="N1530" s="10" t="str">
        <f aca="false">IF($B1530="","",$L1530-$M1530)</f>
        <v/>
      </c>
      <c r="O1530" s="10" t="str">
        <f aca="false">IF($B1530="","",IFERROR(INDEX(Drinks!$E$4:$E$53,MATCH($B1530,Drinks!$A$4:$A$53,0)),0))</f>
        <v/>
      </c>
      <c r="P1530" s="10" t="str">
        <f aca="false">IF($B1530="","",$N1530*$O1530)</f>
        <v/>
      </c>
      <c r="Q1530" s="10" t="str">
        <f aca="false">IF($B1530="","",$N1530*IFERROR(INDEX(Drinks!$D$4:$D$53,MATCH($B1530,Drinks!$A$4:$A$53,0)),0))</f>
        <v/>
      </c>
      <c r="R1530" s="10" t="str">
        <f aca="false">IF($B1530="","",$P1530-$Q1530)</f>
        <v/>
      </c>
      <c r="S1530" s="23" t="str">
        <f aca="false">IF($B1530="","",IF(COUNTIFS($A$4:$A$2003,$A1530-1,$B$4:$B$2003,$B1530)=0,"first day",IF(SUMIFS($M$4:$M$2003,$A$4:$A$2003,$A1530-1,$B$4:$B$2003,$B1530)=$J1530,"OK","CHECK")))</f>
        <v/>
      </c>
      <c r="T1530" s="10" t="str">
        <f aca="false">IF($B1530="","",IFERROR(INDEX(Drinks!$D$4:$D$53,MATCH($B1530,Drinks!$A$4:$A$53,0)),0))</f>
        <v/>
      </c>
    </row>
    <row r="1531" customFormat="false" ht="15" hidden="false" customHeight="false" outlineLevel="0" collapsed="false">
      <c r="A1531" s="22"/>
      <c r="B1531" s="9"/>
      <c r="C1531" s="9"/>
      <c r="D1531" s="9"/>
      <c r="E1531" s="9"/>
      <c r="F1531" s="10" t="str">
        <f aca="false">IF($B1531="","",$C1531+$D1531-$E1531)</f>
        <v/>
      </c>
      <c r="G1531" s="10" t="str">
        <f aca="false">IF($B1531="","",IFERROR(INDEX(Drinks!$C$4:$C$53,MATCH($B1531,Drinks!$A$4:$A$53,0)),0))</f>
        <v/>
      </c>
      <c r="H1531" s="10" t="str">
        <f aca="false">IF($B1531="","",$D1531*$G1531)</f>
        <v/>
      </c>
      <c r="I1531" s="10" t="str">
        <f aca="false">IF($B1531="","",$F1531*$G1531)</f>
        <v/>
      </c>
      <c r="J1531" s="9"/>
      <c r="K1531" s="10" t="str">
        <f aca="false">IF($B1531="","",$E1531*IFERROR(INDEX(Drinks!$B$4:$B$53,MATCH($B1531,Drinks!$A$4:$A$53,0)),0))</f>
        <v/>
      </c>
      <c r="L1531" s="10" t="str">
        <f aca="false">IF($B1531="","",$J1531+$K1531)</f>
        <v/>
      </c>
      <c r="M1531" s="9"/>
      <c r="N1531" s="10" t="str">
        <f aca="false">IF($B1531="","",$L1531-$M1531)</f>
        <v/>
      </c>
      <c r="O1531" s="10" t="str">
        <f aca="false">IF($B1531="","",IFERROR(INDEX(Drinks!$E$4:$E$53,MATCH($B1531,Drinks!$A$4:$A$53,0)),0))</f>
        <v/>
      </c>
      <c r="P1531" s="10" t="str">
        <f aca="false">IF($B1531="","",$N1531*$O1531)</f>
        <v/>
      </c>
      <c r="Q1531" s="10" t="str">
        <f aca="false">IF($B1531="","",$N1531*IFERROR(INDEX(Drinks!$D$4:$D$53,MATCH($B1531,Drinks!$A$4:$A$53,0)),0))</f>
        <v/>
      </c>
      <c r="R1531" s="10" t="str">
        <f aca="false">IF($B1531="","",$P1531-$Q1531)</f>
        <v/>
      </c>
      <c r="S1531" s="23" t="str">
        <f aca="false">IF($B1531="","",IF(COUNTIFS($A$4:$A$2003,$A1531-1,$B$4:$B$2003,$B1531)=0,"first day",IF(SUMIFS($M$4:$M$2003,$A$4:$A$2003,$A1531-1,$B$4:$B$2003,$B1531)=$J1531,"OK","CHECK")))</f>
        <v/>
      </c>
      <c r="T1531" s="10" t="str">
        <f aca="false">IF($B1531="","",IFERROR(INDEX(Drinks!$D$4:$D$53,MATCH($B1531,Drinks!$A$4:$A$53,0)),0))</f>
        <v/>
      </c>
    </row>
    <row r="1532" customFormat="false" ht="15" hidden="false" customHeight="false" outlineLevel="0" collapsed="false">
      <c r="A1532" s="22"/>
      <c r="B1532" s="9"/>
      <c r="C1532" s="9"/>
      <c r="D1532" s="9"/>
      <c r="E1532" s="9"/>
      <c r="F1532" s="10" t="str">
        <f aca="false">IF($B1532="","",$C1532+$D1532-$E1532)</f>
        <v/>
      </c>
      <c r="G1532" s="10" t="str">
        <f aca="false">IF($B1532="","",IFERROR(INDEX(Drinks!$C$4:$C$53,MATCH($B1532,Drinks!$A$4:$A$53,0)),0))</f>
        <v/>
      </c>
      <c r="H1532" s="10" t="str">
        <f aca="false">IF($B1532="","",$D1532*$G1532)</f>
        <v/>
      </c>
      <c r="I1532" s="10" t="str">
        <f aca="false">IF($B1532="","",$F1532*$G1532)</f>
        <v/>
      </c>
      <c r="J1532" s="9"/>
      <c r="K1532" s="10" t="str">
        <f aca="false">IF($B1532="","",$E1532*IFERROR(INDEX(Drinks!$B$4:$B$53,MATCH($B1532,Drinks!$A$4:$A$53,0)),0))</f>
        <v/>
      </c>
      <c r="L1532" s="10" t="str">
        <f aca="false">IF($B1532="","",$J1532+$K1532)</f>
        <v/>
      </c>
      <c r="M1532" s="9"/>
      <c r="N1532" s="10" t="str">
        <f aca="false">IF($B1532="","",$L1532-$M1532)</f>
        <v/>
      </c>
      <c r="O1532" s="10" t="str">
        <f aca="false">IF($B1532="","",IFERROR(INDEX(Drinks!$E$4:$E$53,MATCH($B1532,Drinks!$A$4:$A$53,0)),0))</f>
        <v/>
      </c>
      <c r="P1532" s="10" t="str">
        <f aca="false">IF($B1532="","",$N1532*$O1532)</f>
        <v/>
      </c>
      <c r="Q1532" s="10" t="str">
        <f aca="false">IF($B1532="","",$N1532*IFERROR(INDEX(Drinks!$D$4:$D$53,MATCH($B1532,Drinks!$A$4:$A$53,0)),0))</f>
        <v/>
      </c>
      <c r="R1532" s="10" t="str">
        <f aca="false">IF($B1532="","",$P1532-$Q1532)</f>
        <v/>
      </c>
      <c r="S1532" s="23" t="str">
        <f aca="false">IF($B1532="","",IF(COUNTIFS($A$4:$A$2003,$A1532-1,$B$4:$B$2003,$B1532)=0,"first day",IF(SUMIFS($M$4:$M$2003,$A$4:$A$2003,$A1532-1,$B$4:$B$2003,$B1532)=$J1532,"OK","CHECK")))</f>
        <v/>
      </c>
      <c r="T1532" s="10" t="str">
        <f aca="false">IF($B1532="","",IFERROR(INDEX(Drinks!$D$4:$D$53,MATCH($B1532,Drinks!$A$4:$A$53,0)),0))</f>
        <v/>
      </c>
    </row>
    <row r="1533" customFormat="false" ht="15" hidden="false" customHeight="false" outlineLevel="0" collapsed="false">
      <c r="A1533" s="22"/>
      <c r="B1533" s="9"/>
      <c r="C1533" s="9"/>
      <c r="D1533" s="9"/>
      <c r="E1533" s="9"/>
      <c r="F1533" s="10" t="str">
        <f aca="false">IF($B1533="","",$C1533+$D1533-$E1533)</f>
        <v/>
      </c>
      <c r="G1533" s="10" t="str">
        <f aca="false">IF($B1533="","",IFERROR(INDEX(Drinks!$C$4:$C$53,MATCH($B1533,Drinks!$A$4:$A$53,0)),0))</f>
        <v/>
      </c>
      <c r="H1533" s="10" t="str">
        <f aca="false">IF($B1533="","",$D1533*$G1533)</f>
        <v/>
      </c>
      <c r="I1533" s="10" t="str">
        <f aca="false">IF($B1533="","",$F1533*$G1533)</f>
        <v/>
      </c>
      <c r="J1533" s="9"/>
      <c r="K1533" s="10" t="str">
        <f aca="false">IF($B1533="","",$E1533*IFERROR(INDEX(Drinks!$B$4:$B$53,MATCH($B1533,Drinks!$A$4:$A$53,0)),0))</f>
        <v/>
      </c>
      <c r="L1533" s="10" t="str">
        <f aca="false">IF($B1533="","",$J1533+$K1533)</f>
        <v/>
      </c>
      <c r="M1533" s="9"/>
      <c r="N1533" s="10" t="str">
        <f aca="false">IF($B1533="","",$L1533-$M1533)</f>
        <v/>
      </c>
      <c r="O1533" s="10" t="str">
        <f aca="false">IF($B1533="","",IFERROR(INDEX(Drinks!$E$4:$E$53,MATCH($B1533,Drinks!$A$4:$A$53,0)),0))</f>
        <v/>
      </c>
      <c r="P1533" s="10" t="str">
        <f aca="false">IF($B1533="","",$N1533*$O1533)</f>
        <v/>
      </c>
      <c r="Q1533" s="10" t="str">
        <f aca="false">IF($B1533="","",$N1533*IFERROR(INDEX(Drinks!$D$4:$D$53,MATCH($B1533,Drinks!$A$4:$A$53,0)),0))</f>
        <v/>
      </c>
      <c r="R1533" s="10" t="str">
        <f aca="false">IF($B1533="","",$P1533-$Q1533)</f>
        <v/>
      </c>
      <c r="S1533" s="23" t="str">
        <f aca="false">IF($B1533="","",IF(COUNTIFS($A$4:$A$2003,$A1533-1,$B$4:$B$2003,$B1533)=0,"first day",IF(SUMIFS($M$4:$M$2003,$A$4:$A$2003,$A1533-1,$B$4:$B$2003,$B1533)=$J1533,"OK","CHECK")))</f>
        <v/>
      </c>
      <c r="T1533" s="10" t="str">
        <f aca="false">IF($B1533="","",IFERROR(INDEX(Drinks!$D$4:$D$53,MATCH($B1533,Drinks!$A$4:$A$53,0)),0))</f>
        <v/>
      </c>
    </row>
    <row r="1534" customFormat="false" ht="15" hidden="false" customHeight="false" outlineLevel="0" collapsed="false">
      <c r="A1534" s="22"/>
      <c r="B1534" s="9"/>
      <c r="C1534" s="9"/>
      <c r="D1534" s="9"/>
      <c r="E1534" s="9"/>
      <c r="F1534" s="10" t="str">
        <f aca="false">IF($B1534="","",$C1534+$D1534-$E1534)</f>
        <v/>
      </c>
      <c r="G1534" s="10" t="str">
        <f aca="false">IF($B1534="","",IFERROR(INDEX(Drinks!$C$4:$C$53,MATCH($B1534,Drinks!$A$4:$A$53,0)),0))</f>
        <v/>
      </c>
      <c r="H1534" s="10" t="str">
        <f aca="false">IF($B1534="","",$D1534*$G1534)</f>
        <v/>
      </c>
      <c r="I1534" s="10" t="str">
        <f aca="false">IF($B1534="","",$F1534*$G1534)</f>
        <v/>
      </c>
      <c r="J1534" s="9"/>
      <c r="K1534" s="10" t="str">
        <f aca="false">IF($B1534="","",$E1534*IFERROR(INDEX(Drinks!$B$4:$B$53,MATCH($B1534,Drinks!$A$4:$A$53,0)),0))</f>
        <v/>
      </c>
      <c r="L1534" s="10" t="str">
        <f aca="false">IF($B1534="","",$J1534+$K1534)</f>
        <v/>
      </c>
      <c r="M1534" s="9"/>
      <c r="N1534" s="10" t="str">
        <f aca="false">IF($B1534="","",$L1534-$M1534)</f>
        <v/>
      </c>
      <c r="O1534" s="10" t="str">
        <f aca="false">IF($B1534="","",IFERROR(INDEX(Drinks!$E$4:$E$53,MATCH($B1534,Drinks!$A$4:$A$53,0)),0))</f>
        <v/>
      </c>
      <c r="P1534" s="10" t="str">
        <f aca="false">IF($B1534="","",$N1534*$O1534)</f>
        <v/>
      </c>
      <c r="Q1534" s="10" t="str">
        <f aca="false">IF($B1534="","",$N1534*IFERROR(INDEX(Drinks!$D$4:$D$53,MATCH($B1534,Drinks!$A$4:$A$53,0)),0))</f>
        <v/>
      </c>
      <c r="R1534" s="10" t="str">
        <f aca="false">IF($B1534="","",$P1534-$Q1534)</f>
        <v/>
      </c>
      <c r="S1534" s="23" t="str">
        <f aca="false">IF($B1534="","",IF(COUNTIFS($A$4:$A$2003,$A1534-1,$B$4:$B$2003,$B1534)=0,"first day",IF(SUMIFS($M$4:$M$2003,$A$4:$A$2003,$A1534-1,$B$4:$B$2003,$B1534)=$J1534,"OK","CHECK")))</f>
        <v/>
      </c>
      <c r="T1534" s="10" t="str">
        <f aca="false">IF($B1534="","",IFERROR(INDEX(Drinks!$D$4:$D$53,MATCH($B1534,Drinks!$A$4:$A$53,0)),0))</f>
        <v/>
      </c>
    </row>
    <row r="1535" customFormat="false" ht="15" hidden="false" customHeight="false" outlineLevel="0" collapsed="false">
      <c r="A1535" s="22"/>
      <c r="B1535" s="9"/>
      <c r="C1535" s="9"/>
      <c r="D1535" s="9"/>
      <c r="E1535" s="9"/>
      <c r="F1535" s="10" t="str">
        <f aca="false">IF($B1535="","",$C1535+$D1535-$E1535)</f>
        <v/>
      </c>
      <c r="G1535" s="10" t="str">
        <f aca="false">IF($B1535="","",IFERROR(INDEX(Drinks!$C$4:$C$53,MATCH($B1535,Drinks!$A$4:$A$53,0)),0))</f>
        <v/>
      </c>
      <c r="H1535" s="10" t="str">
        <f aca="false">IF($B1535="","",$D1535*$G1535)</f>
        <v/>
      </c>
      <c r="I1535" s="10" t="str">
        <f aca="false">IF($B1535="","",$F1535*$G1535)</f>
        <v/>
      </c>
      <c r="J1535" s="9"/>
      <c r="K1535" s="10" t="str">
        <f aca="false">IF($B1535="","",$E1535*IFERROR(INDEX(Drinks!$B$4:$B$53,MATCH($B1535,Drinks!$A$4:$A$53,0)),0))</f>
        <v/>
      </c>
      <c r="L1535" s="10" t="str">
        <f aca="false">IF($B1535="","",$J1535+$K1535)</f>
        <v/>
      </c>
      <c r="M1535" s="9"/>
      <c r="N1535" s="10" t="str">
        <f aca="false">IF($B1535="","",$L1535-$M1535)</f>
        <v/>
      </c>
      <c r="O1535" s="10" t="str">
        <f aca="false">IF($B1535="","",IFERROR(INDEX(Drinks!$E$4:$E$53,MATCH($B1535,Drinks!$A$4:$A$53,0)),0))</f>
        <v/>
      </c>
      <c r="P1535" s="10" t="str">
        <f aca="false">IF($B1535="","",$N1535*$O1535)</f>
        <v/>
      </c>
      <c r="Q1535" s="10" t="str">
        <f aca="false">IF($B1535="","",$N1535*IFERROR(INDEX(Drinks!$D$4:$D$53,MATCH($B1535,Drinks!$A$4:$A$53,0)),0))</f>
        <v/>
      </c>
      <c r="R1535" s="10" t="str">
        <f aca="false">IF($B1535="","",$P1535-$Q1535)</f>
        <v/>
      </c>
      <c r="S1535" s="23" t="str">
        <f aca="false">IF($B1535="","",IF(COUNTIFS($A$4:$A$2003,$A1535-1,$B$4:$B$2003,$B1535)=0,"first day",IF(SUMIFS($M$4:$M$2003,$A$4:$A$2003,$A1535-1,$B$4:$B$2003,$B1535)=$J1535,"OK","CHECK")))</f>
        <v/>
      </c>
      <c r="T1535" s="10" t="str">
        <f aca="false">IF($B1535="","",IFERROR(INDEX(Drinks!$D$4:$D$53,MATCH($B1535,Drinks!$A$4:$A$53,0)),0))</f>
        <v/>
      </c>
    </row>
    <row r="1536" customFormat="false" ht="15" hidden="false" customHeight="false" outlineLevel="0" collapsed="false">
      <c r="A1536" s="22"/>
      <c r="B1536" s="9"/>
      <c r="C1536" s="9"/>
      <c r="D1536" s="9"/>
      <c r="E1536" s="9"/>
      <c r="F1536" s="10" t="str">
        <f aca="false">IF($B1536="","",$C1536+$D1536-$E1536)</f>
        <v/>
      </c>
      <c r="G1536" s="10" t="str">
        <f aca="false">IF($B1536="","",IFERROR(INDEX(Drinks!$C$4:$C$53,MATCH($B1536,Drinks!$A$4:$A$53,0)),0))</f>
        <v/>
      </c>
      <c r="H1536" s="10" t="str">
        <f aca="false">IF($B1536="","",$D1536*$G1536)</f>
        <v/>
      </c>
      <c r="I1536" s="10" t="str">
        <f aca="false">IF($B1536="","",$F1536*$G1536)</f>
        <v/>
      </c>
      <c r="J1536" s="9"/>
      <c r="K1536" s="10" t="str">
        <f aca="false">IF($B1536="","",$E1536*IFERROR(INDEX(Drinks!$B$4:$B$53,MATCH($B1536,Drinks!$A$4:$A$53,0)),0))</f>
        <v/>
      </c>
      <c r="L1536" s="10" t="str">
        <f aca="false">IF($B1536="","",$J1536+$K1536)</f>
        <v/>
      </c>
      <c r="M1536" s="9"/>
      <c r="N1536" s="10" t="str">
        <f aca="false">IF($B1536="","",$L1536-$M1536)</f>
        <v/>
      </c>
      <c r="O1536" s="10" t="str">
        <f aca="false">IF($B1536="","",IFERROR(INDEX(Drinks!$E$4:$E$53,MATCH($B1536,Drinks!$A$4:$A$53,0)),0))</f>
        <v/>
      </c>
      <c r="P1536" s="10" t="str">
        <f aca="false">IF($B1536="","",$N1536*$O1536)</f>
        <v/>
      </c>
      <c r="Q1536" s="10" t="str">
        <f aca="false">IF($B1536="","",$N1536*IFERROR(INDEX(Drinks!$D$4:$D$53,MATCH($B1536,Drinks!$A$4:$A$53,0)),0))</f>
        <v/>
      </c>
      <c r="R1536" s="10" t="str">
        <f aca="false">IF($B1536="","",$P1536-$Q1536)</f>
        <v/>
      </c>
      <c r="S1536" s="23" t="str">
        <f aca="false">IF($B1536="","",IF(COUNTIFS($A$4:$A$2003,$A1536-1,$B$4:$B$2003,$B1536)=0,"first day",IF(SUMIFS($M$4:$M$2003,$A$4:$A$2003,$A1536-1,$B$4:$B$2003,$B1536)=$J1536,"OK","CHECK")))</f>
        <v/>
      </c>
      <c r="T1536" s="10" t="str">
        <f aca="false">IF($B1536="","",IFERROR(INDEX(Drinks!$D$4:$D$53,MATCH($B1536,Drinks!$A$4:$A$53,0)),0))</f>
        <v/>
      </c>
    </row>
    <row r="1537" customFormat="false" ht="15" hidden="false" customHeight="false" outlineLevel="0" collapsed="false">
      <c r="A1537" s="22"/>
      <c r="B1537" s="9"/>
      <c r="C1537" s="9"/>
      <c r="D1537" s="9"/>
      <c r="E1537" s="9"/>
      <c r="F1537" s="10" t="str">
        <f aca="false">IF($B1537="","",$C1537+$D1537-$E1537)</f>
        <v/>
      </c>
      <c r="G1537" s="10" t="str">
        <f aca="false">IF($B1537="","",IFERROR(INDEX(Drinks!$C$4:$C$53,MATCH($B1537,Drinks!$A$4:$A$53,0)),0))</f>
        <v/>
      </c>
      <c r="H1537" s="10" t="str">
        <f aca="false">IF($B1537="","",$D1537*$G1537)</f>
        <v/>
      </c>
      <c r="I1537" s="10" t="str">
        <f aca="false">IF($B1537="","",$F1537*$G1537)</f>
        <v/>
      </c>
      <c r="J1537" s="9"/>
      <c r="K1537" s="10" t="str">
        <f aca="false">IF($B1537="","",$E1537*IFERROR(INDEX(Drinks!$B$4:$B$53,MATCH($B1537,Drinks!$A$4:$A$53,0)),0))</f>
        <v/>
      </c>
      <c r="L1537" s="10" t="str">
        <f aca="false">IF($B1537="","",$J1537+$K1537)</f>
        <v/>
      </c>
      <c r="M1537" s="9"/>
      <c r="N1537" s="10" t="str">
        <f aca="false">IF($B1537="","",$L1537-$M1537)</f>
        <v/>
      </c>
      <c r="O1537" s="10" t="str">
        <f aca="false">IF($B1537="","",IFERROR(INDEX(Drinks!$E$4:$E$53,MATCH($B1537,Drinks!$A$4:$A$53,0)),0))</f>
        <v/>
      </c>
      <c r="P1537" s="10" t="str">
        <f aca="false">IF($B1537="","",$N1537*$O1537)</f>
        <v/>
      </c>
      <c r="Q1537" s="10" t="str">
        <f aca="false">IF($B1537="","",$N1537*IFERROR(INDEX(Drinks!$D$4:$D$53,MATCH($B1537,Drinks!$A$4:$A$53,0)),0))</f>
        <v/>
      </c>
      <c r="R1537" s="10" t="str">
        <f aca="false">IF($B1537="","",$P1537-$Q1537)</f>
        <v/>
      </c>
      <c r="S1537" s="23" t="str">
        <f aca="false">IF($B1537="","",IF(COUNTIFS($A$4:$A$2003,$A1537-1,$B$4:$B$2003,$B1537)=0,"first day",IF(SUMIFS($M$4:$M$2003,$A$4:$A$2003,$A1537-1,$B$4:$B$2003,$B1537)=$J1537,"OK","CHECK")))</f>
        <v/>
      </c>
      <c r="T1537" s="10" t="str">
        <f aca="false">IF($B1537="","",IFERROR(INDEX(Drinks!$D$4:$D$53,MATCH($B1537,Drinks!$A$4:$A$53,0)),0))</f>
        <v/>
      </c>
    </row>
    <row r="1538" customFormat="false" ht="15" hidden="false" customHeight="false" outlineLevel="0" collapsed="false">
      <c r="A1538" s="22"/>
      <c r="B1538" s="9"/>
      <c r="C1538" s="9"/>
      <c r="D1538" s="9"/>
      <c r="E1538" s="9"/>
      <c r="F1538" s="10" t="str">
        <f aca="false">IF($B1538="","",$C1538+$D1538-$E1538)</f>
        <v/>
      </c>
      <c r="G1538" s="10" t="str">
        <f aca="false">IF($B1538="","",IFERROR(INDEX(Drinks!$C$4:$C$53,MATCH($B1538,Drinks!$A$4:$A$53,0)),0))</f>
        <v/>
      </c>
      <c r="H1538" s="10" t="str">
        <f aca="false">IF($B1538="","",$D1538*$G1538)</f>
        <v/>
      </c>
      <c r="I1538" s="10" t="str">
        <f aca="false">IF($B1538="","",$F1538*$G1538)</f>
        <v/>
      </c>
      <c r="J1538" s="9"/>
      <c r="K1538" s="10" t="str">
        <f aca="false">IF($B1538="","",$E1538*IFERROR(INDEX(Drinks!$B$4:$B$53,MATCH($B1538,Drinks!$A$4:$A$53,0)),0))</f>
        <v/>
      </c>
      <c r="L1538" s="10" t="str">
        <f aca="false">IF($B1538="","",$J1538+$K1538)</f>
        <v/>
      </c>
      <c r="M1538" s="9"/>
      <c r="N1538" s="10" t="str">
        <f aca="false">IF($B1538="","",$L1538-$M1538)</f>
        <v/>
      </c>
      <c r="O1538" s="10" t="str">
        <f aca="false">IF($B1538="","",IFERROR(INDEX(Drinks!$E$4:$E$53,MATCH($B1538,Drinks!$A$4:$A$53,0)),0))</f>
        <v/>
      </c>
      <c r="P1538" s="10" t="str">
        <f aca="false">IF($B1538="","",$N1538*$O1538)</f>
        <v/>
      </c>
      <c r="Q1538" s="10" t="str">
        <f aca="false">IF($B1538="","",$N1538*IFERROR(INDEX(Drinks!$D$4:$D$53,MATCH($B1538,Drinks!$A$4:$A$53,0)),0))</f>
        <v/>
      </c>
      <c r="R1538" s="10" t="str">
        <f aca="false">IF($B1538="","",$P1538-$Q1538)</f>
        <v/>
      </c>
      <c r="S1538" s="23" t="str">
        <f aca="false">IF($B1538="","",IF(COUNTIFS($A$4:$A$2003,$A1538-1,$B$4:$B$2003,$B1538)=0,"first day",IF(SUMIFS($M$4:$M$2003,$A$4:$A$2003,$A1538-1,$B$4:$B$2003,$B1538)=$J1538,"OK","CHECK")))</f>
        <v/>
      </c>
      <c r="T1538" s="10" t="str">
        <f aca="false">IF($B1538="","",IFERROR(INDEX(Drinks!$D$4:$D$53,MATCH($B1538,Drinks!$A$4:$A$53,0)),0))</f>
        <v/>
      </c>
    </row>
    <row r="1539" customFormat="false" ht="15" hidden="false" customHeight="false" outlineLevel="0" collapsed="false">
      <c r="A1539" s="22"/>
      <c r="B1539" s="9"/>
      <c r="C1539" s="9"/>
      <c r="D1539" s="9"/>
      <c r="E1539" s="9"/>
      <c r="F1539" s="10" t="str">
        <f aca="false">IF($B1539="","",$C1539+$D1539-$E1539)</f>
        <v/>
      </c>
      <c r="G1539" s="10" t="str">
        <f aca="false">IF($B1539="","",IFERROR(INDEX(Drinks!$C$4:$C$53,MATCH($B1539,Drinks!$A$4:$A$53,0)),0))</f>
        <v/>
      </c>
      <c r="H1539" s="10" t="str">
        <f aca="false">IF($B1539="","",$D1539*$G1539)</f>
        <v/>
      </c>
      <c r="I1539" s="10" t="str">
        <f aca="false">IF($B1539="","",$F1539*$G1539)</f>
        <v/>
      </c>
      <c r="J1539" s="9"/>
      <c r="K1539" s="10" t="str">
        <f aca="false">IF($B1539="","",$E1539*IFERROR(INDEX(Drinks!$B$4:$B$53,MATCH($B1539,Drinks!$A$4:$A$53,0)),0))</f>
        <v/>
      </c>
      <c r="L1539" s="10" t="str">
        <f aca="false">IF($B1539="","",$J1539+$K1539)</f>
        <v/>
      </c>
      <c r="M1539" s="9"/>
      <c r="N1539" s="10" t="str">
        <f aca="false">IF($B1539="","",$L1539-$M1539)</f>
        <v/>
      </c>
      <c r="O1539" s="10" t="str">
        <f aca="false">IF($B1539="","",IFERROR(INDEX(Drinks!$E$4:$E$53,MATCH($B1539,Drinks!$A$4:$A$53,0)),0))</f>
        <v/>
      </c>
      <c r="P1539" s="10" t="str">
        <f aca="false">IF($B1539="","",$N1539*$O1539)</f>
        <v/>
      </c>
      <c r="Q1539" s="10" t="str">
        <f aca="false">IF($B1539="","",$N1539*IFERROR(INDEX(Drinks!$D$4:$D$53,MATCH($B1539,Drinks!$A$4:$A$53,0)),0))</f>
        <v/>
      </c>
      <c r="R1539" s="10" t="str">
        <f aca="false">IF($B1539="","",$P1539-$Q1539)</f>
        <v/>
      </c>
      <c r="S1539" s="23" t="str">
        <f aca="false">IF($B1539="","",IF(COUNTIFS($A$4:$A$2003,$A1539-1,$B$4:$B$2003,$B1539)=0,"first day",IF(SUMIFS($M$4:$M$2003,$A$4:$A$2003,$A1539-1,$B$4:$B$2003,$B1539)=$J1539,"OK","CHECK")))</f>
        <v/>
      </c>
      <c r="T1539" s="10" t="str">
        <f aca="false">IF($B1539="","",IFERROR(INDEX(Drinks!$D$4:$D$53,MATCH($B1539,Drinks!$A$4:$A$53,0)),0))</f>
        <v/>
      </c>
    </row>
    <row r="1540" customFormat="false" ht="15" hidden="false" customHeight="false" outlineLevel="0" collapsed="false">
      <c r="A1540" s="22"/>
      <c r="B1540" s="9"/>
      <c r="C1540" s="9"/>
      <c r="D1540" s="9"/>
      <c r="E1540" s="9"/>
      <c r="F1540" s="10" t="str">
        <f aca="false">IF($B1540="","",$C1540+$D1540-$E1540)</f>
        <v/>
      </c>
      <c r="G1540" s="10" t="str">
        <f aca="false">IF($B1540="","",IFERROR(INDEX(Drinks!$C$4:$C$53,MATCH($B1540,Drinks!$A$4:$A$53,0)),0))</f>
        <v/>
      </c>
      <c r="H1540" s="10" t="str">
        <f aca="false">IF($B1540="","",$D1540*$G1540)</f>
        <v/>
      </c>
      <c r="I1540" s="10" t="str">
        <f aca="false">IF($B1540="","",$F1540*$G1540)</f>
        <v/>
      </c>
      <c r="J1540" s="9"/>
      <c r="K1540" s="10" t="str">
        <f aca="false">IF($B1540="","",$E1540*IFERROR(INDEX(Drinks!$B$4:$B$53,MATCH($B1540,Drinks!$A$4:$A$53,0)),0))</f>
        <v/>
      </c>
      <c r="L1540" s="10" t="str">
        <f aca="false">IF($B1540="","",$J1540+$K1540)</f>
        <v/>
      </c>
      <c r="M1540" s="9"/>
      <c r="N1540" s="10" t="str">
        <f aca="false">IF($B1540="","",$L1540-$M1540)</f>
        <v/>
      </c>
      <c r="O1540" s="10" t="str">
        <f aca="false">IF($B1540="","",IFERROR(INDEX(Drinks!$E$4:$E$53,MATCH($B1540,Drinks!$A$4:$A$53,0)),0))</f>
        <v/>
      </c>
      <c r="P1540" s="10" t="str">
        <f aca="false">IF($B1540="","",$N1540*$O1540)</f>
        <v/>
      </c>
      <c r="Q1540" s="10" t="str">
        <f aca="false">IF($B1540="","",$N1540*IFERROR(INDEX(Drinks!$D$4:$D$53,MATCH($B1540,Drinks!$A$4:$A$53,0)),0))</f>
        <v/>
      </c>
      <c r="R1540" s="10" t="str">
        <f aca="false">IF($B1540="","",$P1540-$Q1540)</f>
        <v/>
      </c>
      <c r="S1540" s="23" t="str">
        <f aca="false">IF($B1540="","",IF(COUNTIFS($A$4:$A$2003,$A1540-1,$B$4:$B$2003,$B1540)=0,"first day",IF(SUMIFS($M$4:$M$2003,$A$4:$A$2003,$A1540-1,$B$4:$B$2003,$B1540)=$J1540,"OK","CHECK")))</f>
        <v/>
      </c>
      <c r="T1540" s="10" t="str">
        <f aca="false">IF($B1540="","",IFERROR(INDEX(Drinks!$D$4:$D$53,MATCH($B1540,Drinks!$A$4:$A$53,0)),0))</f>
        <v/>
      </c>
    </row>
    <row r="1541" customFormat="false" ht="15" hidden="false" customHeight="false" outlineLevel="0" collapsed="false">
      <c r="A1541" s="22"/>
      <c r="B1541" s="9"/>
      <c r="C1541" s="9"/>
      <c r="D1541" s="9"/>
      <c r="E1541" s="9"/>
      <c r="F1541" s="10" t="str">
        <f aca="false">IF($B1541="","",$C1541+$D1541-$E1541)</f>
        <v/>
      </c>
      <c r="G1541" s="10" t="str">
        <f aca="false">IF($B1541="","",IFERROR(INDEX(Drinks!$C$4:$C$53,MATCH($B1541,Drinks!$A$4:$A$53,0)),0))</f>
        <v/>
      </c>
      <c r="H1541" s="10" t="str">
        <f aca="false">IF($B1541="","",$D1541*$G1541)</f>
        <v/>
      </c>
      <c r="I1541" s="10" t="str">
        <f aca="false">IF($B1541="","",$F1541*$G1541)</f>
        <v/>
      </c>
      <c r="J1541" s="9"/>
      <c r="K1541" s="10" t="str">
        <f aca="false">IF($B1541="","",$E1541*IFERROR(INDEX(Drinks!$B$4:$B$53,MATCH($B1541,Drinks!$A$4:$A$53,0)),0))</f>
        <v/>
      </c>
      <c r="L1541" s="10" t="str">
        <f aca="false">IF($B1541="","",$J1541+$K1541)</f>
        <v/>
      </c>
      <c r="M1541" s="9"/>
      <c r="N1541" s="10" t="str">
        <f aca="false">IF($B1541="","",$L1541-$M1541)</f>
        <v/>
      </c>
      <c r="O1541" s="10" t="str">
        <f aca="false">IF($B1541="","",IFERROR(INDEX(Drinks!$E$4:$E$53,MATCH($B1541,Drinks!$A$4:$A$53,0)),0))</f>
        <v/>
      </c>
      <c r="P1541" s="10" t="str">
        <f aca="false">IF($B1541="","",$N1541*$O1541)</f>
        <v/>
      </c>
      <c r="Q1541" s="10" t="str">
        <f aca="false">IF($B1541="","",$N1541*IFERROR(INDEX(Drinks!$D$4:$D$53,MATCH($B1541,Drinks!$A$4:$A$53,0)),0))</f>
        <v/>
      </c>
      <c r="R1541" s="10" t="str">
        <f aca="false">IF($B1541="","",$P1541-$Q1541)</f>
        <v/>
      </c>
      <c r="S1541" s="23" t="str">
        <f aca="false">IF($B1541="","",IF(COUNTIFS($A$4:$A$2003,$A1541-1,$B$4:$B$2003,$B1541)=0,"first day",IF(SUMIFS($M$4:$M$2003,$A$4:$A$2003,$A1541-1,$B$4:$B$2003,$B1541)=$J1541,"OK","CHECK")))</f>
        <v/>
      </c>
      <c r="T1541" s="10" t="str">
        <f aca="false">IF($B1541="","",IFERROR(INDEX(Drinks!$D$4:$D$53,MATCH($B1541,Drinks!$A$4:$A$53,0)),0))</f>
        <v/>
      </c>
    </row>
    <row r="1542" customFormat="false" ht="15" hidden="false" customHeight="false" outlineLevel="0" collapsed="false">
      <c r="A1542" s="22"/>
      <c r="B1542" s="9"/>
      <c r="C1542" s="9"/>
      <c r="D1542" s="9"/>
      <c r="E1542" s="9"/>
      <c r="F1542" s="10" t="str">
        <f aca="false">IF($B1542="","",$C1542+$D1542-$E1542)</f>
        <v/>
      </c>
      <c r="G1542" s="10" t="str">
        <f aca="false">IF($B1542="","",IFERROR(INDEX(Drinks!$C$4:$C$53,MATCH($B1542,Drinks!$A$4:$A$53,0)),0))</f>
        <v/>
      </c>
      <c r="H1542" s="10" t="str">
        <f aca="false">IF($B1542="","",$D1542*$G1542)</f>
        <v/>
      </c>
      <c r="I1542" s="10" t="str">
        <f aca="false">IF($B1542="","",$F1542*$G1542)</f>
        <v/>
      </c>
      <c r="J1542" s="9"/>
      <c r="K1542" s="10" t="str">
        <f aca="false">IF($B1542="","",$E1542*IFERROR(INDEX(Drinks!$B$4:$B$53,MATCH($B1542,Drinks!$A$4:$A$53,0)),0))</f>
        <v/>
      </c>
      <c r="L1542" s="10" t="str">
        <f aca="false">IF($B1542="","",$J1542+$K1542)</f>
        <v/>
      </c>
      <c r="M1542" s="9"/>
      <c r="N1542" s="10" t="str">
        <f aca="false">IF($B1542="","",$L1542-$M1542)</f>
        <v/>
      </c>
      <c r="O1542" s="10" t="str">
        <f aca="false">IF($B1542="","",IFERROR(INDEX(Drinks!$E$4:$E$53,MATCH($B1542,Drinks!$A$4:$A$53,0)),0))</f>
        <v/>
      </c>
      <c r="P1542" s="10" t="str">
        <f aca="false">IF($B1542="","",$N1542*$O1542)</f>
        <v/>
      </c>
      <c r="Q1542" s="10" t="str">
        <f aca="false">IF($B1542="","",$N1542*IFERROR(INDEX(Drinks!$D$4:$D$53,MATCH($B1542,Drinks!$A$4:$A$53,0)),0))</f>
        <v/>
      </c>
      <c r="R1542" s="10" t="str">
        <f aca="false">IF($B1542="","",$P1542-$Q1542)</f>
        <v/>
      </c>
      <c r="S1542" s="23" t="str">
        <f aca="false">IF($B1542="","",IF(COUNTIFS($A$4:$A$2003,$A1542-1,$B$4:$B$2003,$B1542)=0,"first day",IF(SUMIFS($M$4:$M$2003,$A$4:$A$2003,$A1542-1,$B$4:$B$2003,$B1542)=$J1542,"OK","CHECK")))</f>
        <v/>
      </c>
      <c r="T1542" s="10" t="str">
        <f aca="false">IF($B1542="","",IFERROR(INDEX(Drinks!$D$4:$D$53,MATCH($B1542,Drinks!$A$4:$A$53,0)),0))</f>
        <v/>
      </c>
    </row>
    <row r="1543" customFormat="false" ht="15" hidden="false" customHeight="false" outlineLevel="0" collapsed="false">
      <c r="A1543" s="22"/>
      <c r="B1543" s="9"/>
      <c r="C1543" s="9"/>
      <c r="D1543" s="9"/>
      <c r="E1543" s="9"/>
      <c r="F1543" s="10" t="str">
        <f aca="false">IF($B1543="","",$C1543+$D1543-$E1543)</f>
        <v/>
      </c>
      <c r="G1543" s="10" t="str">
        <f aca="false">IF($B1543="","",IFERROR(INDEX(Drinks!$C$4:$C$53,MATCH($B1543,Drinks!$A$4:$A$53,0)),0))</f>
        <v/>
      </c>
      <c r="H1543" s="10" t="str">
        <f aca="false">IF($B1543="","",$D1543*$G1543)</f>
        <v/>
      </c>
      <c r="I1543" s="10" t="str">
        <f aca="false">IF($B1543="","",$F1543*$G1543)</f>
        <v/>
      </c>
      <c r="J1543" s="9"/>
      <c r="K1543" s="10" t="str">
        <f aca="false">IF($B1543="","",$E1543*IFERROR(INDEX(Drinks!$B$4:$B$53,MATCH($B1543,Drinks!$A$4:$A$53,0)),0))</f>
        <v/>
      </c>
      <c r="L1543" s="10" t="str">
        <f aca="false">IF($B1543="","",$J1543+$K1543)</f>
        <v/>
      </c>
      <c r="M1543" s="9"/>
      <c r="N1543" s="10" t="str">
        <f aca="false">IF($B1543="","",$L1543-$M1543)</f>
        <v/>
      </c>
      <c r="O1543" s="10" t="str">
        <f aca="false">IF($B1543="","",IFERROR(INDEX(Drinks!$E$4:$E$53,MATCH($B1543,Drinks!$A$4:$A$53,0)),0))</f>
        <v/>
      </c>
      <c r="P1543" s="10" t="str">
        <f aca="false">IF($B1543="","",$N1543*$O1543)</f>
        <v/>
      </c>
      <c r="Q1543" s="10" t="str">
        <f aca="false">IF($B1543="","",$N1543*IFERROR(INDEX(Drinks!$D$4:$D$53,MATCH($B1543,Drinks!$A$4:$A$53,0)),0))</f>
        <v/>
      </c>
      <c r="R1543" s="10" t="str">
        <f aca="false">IF($B1543="","",$P1543-$Q1543)</f>
        <v/>
      </c>
      <c r="S1543" s="23" t="str">
        <f aca="false">IF($B1543="","",IF(COUNTIFS($A$4:$A$2003,$A1543-1,$B$4:$B$2003,$B1543)=0,"first day",IF(SUMIFS($M$4:$M$2003,$A$4:$A$2003,$A1543-1,$B$4:$B$2003,$B1543)=$J1543,"OK","CHECK")))</f>
        <v/>
      </c>
      <c r="T1543" s="10" t="str">
        <f aca="false">IF($B1543="","",IFERROR(INDEX(Drinks!$D$4:$D$53,MATCH($B1543,Drinks!$A$4:$A$53,0)),0))</f>
        <v/>
      </c>
    </row>
    <row r="1544" customFormat="false" ht="15" hidden="false" customHeight="false" outlineLevel="0" collapsed="false">
      <c r="A1544" s="22"/>
      <c r="B1544" s="9"/>
      <c r="C1544" s="9"/>
      <c r="D1544" s="9"/>
      <c r="E1544" s="9"/>
      <c r="F1544" s="10" t="str">
        <f aca="false">IF($B1544="","",$C1544+$D1544-$E1544)</f>
        <v/>
      </c>
      <c r="G1544" s="10" t="str">
        <f aca="false">IF($B1544="","",IFERROR(INDEX(Drinks!$C$4:$C$53,MATCH($B1544,Drinks!$A$4:$A$53,0)),0))</f>
        <v/>
      </c>
      <c r="H1544" s="10" t="str">
        <f aca="false">IF($B1544="","",$D1544*$G1544)</f>
        <v/>
      </c>
      <c r="I1544" s="10" t="str">
        <f aca="false">IF($B1544="","",$F1544*$G1544)</f>
        <v/>
      </c>
      <c r="J1544" s="9"/>
      <c r="K1544" s="10" t="str">
        <f aca="false">IF($B1544="","",$E1544*IFERROR(INDEX(Drinks!$B$4:$B$53,MATCH($B1544,Drinks!$A$4:$A$53,0)),0))</f>
        <v/>
      </c>
      <c r="L1544" s="10" t="str">
        <f aca="false">IF($B1544="","",$J1544+$K1544)</f>
        <v/>
      </c>
      <c r="M1544" s="9"/>
      <c r="N1544" s="10" t="str">
        <f aca="false">IF($B1544="","",$L1544-$M1544)</f>
        <v/>
      </c>
      <c r="O1544" s="10" t="str">
        <f aca="false">IF($B1544="","",IFERROR(INDEX(Drinks!$E$4:$E$53,MATCH($B1544,Drinks!$A$4:$A$53,0)),0))</f>
        <v/>
      </c>
      <c r="P1544" s="10" t="str">
        <f aca="false">IF($B1544="","",$N1544*$O1544)</f>
        <v/>
      </c>
      <c r="Q1544" s="10" t="str">
        <f aca="false">IF($B1544="","",$N1544*IFERROR(INDEX(Drinks!$D$4:$D$53,MATCH($B1544,Drinks!$A$4:$A$53,0)),0))</f>
        <v/>
      </c>
      <c r="R1544" s="10" t="str">
        <f aca="false">IF($B1544="","",$P1544-$Q1544)</f>
        <v/>
      </c>
      <c r="S1544" s="23" t="str">
        <f aca="false">IF($B1544="","",IF(COUNTIFS($A$4:$A$2003,$A1544-1,$B$4:$B$2003,$B1544)=0,"first day",IF(SUMIFS($M$4:$M$2003,$A$4:$A$2003,$A1544-1,$B$4:$B$2003,$B1544)=$J1544,"OK","CHECK")))</f>
        <v/>
      </c>
      <c r="T1544" s="10" t="str">
        <f aca="false">IF($B1544="","",IFERROR(INDEX(Drinks!$D$4:$D$53,MATCH($B1544,Drinks!$A$4:$A$53,0)),0))</f>
        <v/>
      </c>
    </row>
    <row r="1545" customFormat="false" ht="15" hidden="false" customHeight="false" outlineLevel="0" collapsed="false">
      <c r="A1545" s="22"/>
      <c r="B1545" s="9"/>
      <c r="C1545" s="9"/>
      <c r="D1545" s="9"/>
      <c r="E1545" s="9"/>
      <c r="F1545" s="10" t="str">
        <f aca="false">IF($B1545="","",$C1545+$D1545-$E1545)</f>
        <v/>
      </c>
      <c r="G1545" s="10" t="str">
        <f aca="false">IF($B1545="","",IFERROR(INDEX(Drinks!$C$4:$C$53,MATCH($B1545,Drinks!$A$4:$A$53,0)),0))</f>
        <v/>
      </c>
      <c r="H1545" s="10" t="str">
        <f aca="false">IF($B1545="","",$D1545*$G1545)</f>
        <v/>
      </c>
      <c r="I1545" s="10" t="str">
        <f aca="false">IF($B1545="","",$F1545*$G1545)</f>
        <v/>
      </c>
      <c r="J1545" s="9"/>
      <c r="K1545" s="10" t="str">
        <f aca="false">IF($B1545="","",$E1545*IFERROR(INDEX(Drinks!$B$4:$B$53,MATCH($B1545,Drinks!$A$4:$A$53,0)),0))</f>
        <v/>
      </c>
      <c r="L1545" s="10" t="str">
        <f aca="false">IF($B1545="","",$J1545+$K1545)</f>
        <v/>
      </c>
      <c r="M1545" s="9"/>
      <c r="N1545" s="10" t="str">
        <f aca="false">IF($B1545="","",$L1545-$M1545)</f>
        <v/>
      </c>
      <c r="O1545" s="10" t="str">
        <f aca="false">IF($B1545="","",IFERROR(INDEX(Drinks!$E$4:$E$53,MATCH($B1545,Drinks!$A$4:$A$53,0)),0))</f>
        <v/>
      </c>
      <c r="P1545" s="10" t="str">
        <f aca="false">IF($B1545="","",$N1545*$O1545)</f>
        <v/>
      </c>
      <c r="Q1545" s="10" t="str">
        <f aca="false">IF($B1545="","",$N1545*IFERROR(INDEX(Drinks!$D$4:$D$53,MATCH($B1545,Drinks!$A$4:$A$53,0)),0))</f>
        <v/>
      </c>
      <c r="R1545" s="10" t="str">
        <f aca="false">IF($B1545="","",$P1545-$Q1545)</f>
        <v/>
      </c>
      <c r="S1545" s="23" t="str">
        <f aca="false">IF($B1545="","",IF(COUNTIFS($A$4:$A$2003,$A1545-1,$B$4:$B$2003,$B1545)=0,"first day",IF(SUMIFS($M$4:$M$2003,$A$4:$A$2003,$A1545-1,$B$4:$B$2003,$B1545)=$J1545,"OK","CHECK")))</f>
        <v/>
      </c>
      <c r="T1545" s="10" t="str">
        <f aca="false">IF($B1545="","",IFERROR(INDEX(Drinks!$D$4:$D$53,MATCH($B1545,Drinks!$A$4:$A$53,0)),0))</f>
        <v/>
      </c>
    </row>
    <row r="1546" customFormat="false" ht="15" hidden="false" customHeight="false" outlineLevel="0" collapsed="false">
      <c r="A1546" s="22"/>
      <c r="B1546" s="9"/>
      <c r="C1546" s="9"/>
      <c r="D1546" s="9"/>
      <c r="E1546" s="9"/>
      <c r="F1546" s="10" t="str">
        <f aca="false">IF($B1546="","",$C1546+$D1546-$E1546)</f>
        <v/>
      </c>
      <c r="G1546" s="10" t="str">
        <f aca="false">IF($B1546="","",IFERROR(INDEX(Drinks!$C$4:$C$53,MATCH($B1546,Drinks!$A$4:$A$53,0)),0))</f>
        <v/>
      </c>
      <c r="H1546" s="10" t="str">
        <f aca="false">IF($B1546="","",$D1546*$G1546)</f>
        <v/>
      </c>
      <c r="I1546" s="10" t="str">
        <f aca="false">IF($B1546="","",$F1546*$G1546)</f>
        <v/>
      </c>
      <c r="J1546" s="9"/>
      <c r="K1546" s="10" t="str">
        <f aca="false">IF($B1546="","",$E1546*IFERROR(INDEX(Drinks!$B$4:$B$53,MATCH($B1546,Drinks!$A$4:$A$53,0)),0))</f>
        <v/>
      </c>
      <c r="L1546" s="10" t="str">
        <f aca="false">IF($B1546="","",$J1546+$K1546)</f>
        <v/>
      </c>
      <c r="M1546" s="9"/>
      <c r="N1546" s="10" t="str">
        <f aca="false">IF($B1546="","",$L1546-$M1546)</f>
        <v/>
      </c>
      <c r="O1546" s="10" t="str">
        <f aca="false">IF($B1546="","",IFERROR(INDEX(Drinks!$E$4:$E$53,MATCH($B1546,Drinks!$A$4:$A$53,0)),0))</f>
        <v/>
      </c>
      <c r="P1546" s="10" t="str">
        <f aca="false">IF($B1546="","",$N1546*$O1546)</f>
        <v/>
      </c>
      <c r="Q1546" s="10" t="str">
        <f aca="false">IF($B1546="","",$N1546*IFERROR(INDEX(Drinks!$D$4:$D$53,MATCH($B1546,Drinks!$A$4:$A$53,0)),0))</f>
        <v/>
      </c>
      <c r="R1546" s="10" t="str">
        <f aca="false">IF($B1546="","",$P1546-$Q1546)</f>
        <v/>
      </c>
      <c r="S1546" s="23" t="str">
        <f aca="false">IF($B1546="","",IF(COUNTIFS($A$4:$A$2003,$A1546-1,$B$4:$B$2003,$B1546)=0,"first day",IF(SUMIFS($M$4:$M$2003,$A$4:$A$2003,$A1546-1,$B$4:$B$2003,$B1546)=$J1546,"OK","CHECK")))</f>
        <v/>
      </c>
      <c r="T1546" s="10" t="str">
        <f aca="false">IF($B1546="","",IFERROR(INDEX(Drinks!$D$4:$D$53,MATCH($B1546,Drinks!$A$4:$A$53,0)),0))</f>
        <v/>
      </c>
    </row>
    <row r="1547" customFormat="false" ht="15" hidden="false" customHeight="false" outlineLevel="0" collapsed="false">
      <c r="A1547" s="22"/>
      <c r="B1547" s="9"/>
      <c r="C1547" s="9"/>
      <c r="D1547" s="9"/>
      <c r="E1547" s="9"/>
      <c r="F1547" s="10" t="str">
        <f aca="false">IF($B1547="","",$C1547+$D1547-$E1547)</f>
        <v/>
      </c>
      <c r="G1547" s="10" t="str">
        <f aca="false">IF($B1547="","",IFERROR(INDEX(Drinks!$C$4:$C$53,MATCH($B1547,Drinks!$A$4:$A$53,0)),0))</f>
        <v/>
      </c>
      <c r="H1547" s="10" t="str">
        <f aca="false">IF($B1547="","",$D1547*$G1547)</f>
        <v/>
      </c>
      <c r="I1547" s="10" t="str">
        <f aca="false">IF($B1547="","",$F1547*$G1547)</f>
        <v/>
      </c>
      <c r="J1547" s="9"/>
      <c r="K1547" s="10" t="str">
        <f aca="false">IF($B1547="","",$E1547*IFERROR(INDEX(Drinks!$B$4:$B$53,MATCH($B1547,Drinks!$A$4:$A$53,0)),0))</f>
        <v/>
      </c>
      <c r="L1547" s="10" t="str">
        <f aca="false">IF($B1547="","",$J1547+$K1547)</f>
        <v/>
      </c>
      <c r="M1547" s="9"/>
      <c r="N1547" s="10" t="str">
        <f aca="false">IF($B1547="","",$L1547-$M1547)</f>
        <v/>
      </c>
      <c r="O1547" s="10" t="str">
        <f aca="false">IF($B1547="","",IFERROR(INDEX(Drinks!$E$4:$E$53,MATCH($B1547,Drinks!$A$4:$A$53,0)),0))</f>
        <v/>
      </c>
      <c r="P1547" s="10" t="str">
        <f aca="false">IF($B1547="","",$N1547*$O1547)</f>
        <v/>
      </c>
      <c r="Q1547" s="10" t="str">
        <f aca="false">IF($B1547="","",$N1547*IFERROR(INDEX(Drinks!$D$4:$D$53,MATCH($B1547,Drinks!$A$4:$A$53,0)),0))</f>
        <v/>
      </c>
      <c r="R1547" s="10" t="str">
        <f aca="false">IF($B1547="","",$P1547-$Q1547)</f>
        <v/>
      </c>
      <c r="S1547" s="23" t="str">
        <f aca="false">IF($B1547="","",IF(COUNTIFS($A$4:$A$2003,$A1547-1,$B$4:$B$2003,$B1547)=0,"first day",IF(SUMIFS($M$4:$M$2003,$A$4:$A$2003,$A1547-1,$B$4:$B$2003,$B1547)=$J1547,"OK","CHECK")))</f>
        <v/>
      </c>
      <c r="T1547" s="10" t="str">
        <f aca="false">IF($B1547="","",IFERROR(INDEX(Drinks!$D$4:$D$53,MATCH($B1547,Drinks!$A$4:$A$53,0)),0))</f>
        <v/>
      </c>
    </row>
    <row r="1548" customFormat="false" ht="15" hidden="false" customHeight="false" outlineLevel="0" collapsed="false">
      <c r="A1548" s="22"/>
      <c r="B1548" s="9"/>
      <c r="C1548" s="9"/>
      <c r="D1548" s="9"/>
      <c r="E1548" s="9"/>
      <c r="F1548" s="10" t="str">
        <f aca="false">IF($B1548="","",$C1548+$D1548-$E1548)</f>
        <v/>
      </c>
      <c r="G1548" s="10" t="str">
        <f aca="false">IF($B1548="","",IFERROR(INDEX(Drinks!$C$4:$C$53,MATCH($B1548,Drinks!$A$4:$A$53,0)),0))</f>
        <v/>
      </c>
      <c r="H1548" s="10" t="str">
        <f aca="false">IF($B1548="","",$D1548*$G1548)</f>
        <v/>
      </c>
      <c r="I1548" s="10" t="str">
        <f aca="false">IF($B1548="","",$F1548*$G1548)</f>
        <v/>
      </c>
      <c r="J1548" s="9"/>
      <c r="K1548" s="10" t="str">
        <f aca="false">IF($B1548="","",$E1548*IFERROR(INDEX(Drinks!$B$4:$B$53,MATCH($B1548,Drinks!$A$4:$A$53,0)),0))</f>
        <v/>
      </c>
      <c r="L1548" s="10" t="str">
        <f aca="false">IF($B1548="","",$J1548+$K1548)</f>
        <v/>
      </c>
      <c r="M1548" s="9"/>
      <c r="N1548" s="10" t="str">
        <f aca="false">IF($B1548="","",$L1548-$M1548)</f>
        <v/>
      </c>
      <c r="O1548" s="10" t="str">
        <f aca="false">IF($B1548="","",IFERROR(INDEX(Drinks!$E$4:$E$53,MATCH($B1548,Drinks!$A$4:$A$53,0)),0))</f>
        <v/>
      </c>
      <c r="P1548" s="10" t="str">
        <f aca="false">IF($B1548="","",$N1548*$O1548)</f>
        <v/>
      </c>
      <c r="Q1548" s="10" t="str">
        <f aca="false">IF($B1548="","",$N1548*IFERROR(INDEX(Drinks!$D$4:$D$53,MATCH($B1548,Drinks!$A$4:$A$53,0)),0))</f>
        <v/>
      </c>
      <c r="R1548" s="10" t="str">
        <f aca="false">IF($B1548="","",$P1548-$Q1548)</f>
        <v/>
      </c>
      <c r="S1548" s="23" t="str">
        <f aca="false">IF($B1548="","",IF(COUNTIFS($A$4:$A$2003,$A1548-1,$B$4:$B$2003,$B1548)=0,"first day",IF(SUMIFS($M$4:$M$2003,$A$4:$A$2003,$A1548-1,$B$4:$B$2003,$B1548)=$J1548,"OK","CHECK")))</f>
        <v/>
      </c>
      <c r="T1548" s="10" t="str">
        <f aca="false">IF($B1548="","",IFERROR(INDEX(Drinks!$D$4:$D$53,MATCH($B1548,Drinks!$A$4:$A$53,0)),0))</f>
        <v/>
      </c>
    </row>
    <row r="1549" customFormat="false" ht="15" hidden="false" customHeight="false" outlineLevel="0" collapsed="false">
      <c r="A1549" s="22"/>
      <c r="B1549" s="9"/>
      <c r="C1549" s="9"/>
      <c r="D1549" s="9"/>
      <c r="E1549" s="9"/>
      <c r="F1549" s="10" t="str">
        <f aca="false">IF($B1549="","",$C1549+$D1549-$E1549)</f>
        <v/>
      </c>
      <c r="G1549" s="10" t="str">
        <f aca="false">IF($B1549="","",IFERROR(INDEX(Drinks!$C$4:$C$53,MATCH($B1549,Drinks!$A$4:$A$53,0)),0))</f>
        <v/>
      </c>
      <c r="H1549" s="10" t="str">
        <f aca="false">IF($B1549="","",$D1549*$G1549)</f>
        <v/>
      </c>
      <c r="I1549" s="10" t="str">
        <f aca="false">IF($B1549="","",$F1549*$G1549)</f>
        <v/>
      </c>
      <c r="J1549" s="9"/>
      <c r="K1549" s="10" t="str">
        <f aca="false">IF($B1549="","",$E1549*IFERROR(INDEX(Drinks!$B$4:$B$53,MATCH($B1549,Drinks!$A$4:$A$53,0)),0))</f>
        <v/>
      </c>
      <c r="L1549" s="10" t="str">
        <f aca="false">IF($B1549="","",$J1549+$K1549)</f>
        <v/>
      </c>
      <c r="M1549" s="9"/>
      <c r="N1549" s="10" t="str">
        <f aca="false">IF($B1549="","",$L1549-$M1549)</f>
        <v/>
      </c>
      <c r="O1549" s="10" t="str">
        <f aca="false">IF($B1549="","",IFERROR(INDEX(Drinks!$E$4:$E$53,MATCH($B1549,Drinks!$A$4:$A$53,0)),0))</f>
        <v/>
      </c>
      <c r="P1549" s="10" t="str">
        <f aca="false">IF($B1549="","",$N1549*$O1549)</f>
        <v/>
      </c>
      <c r="Q1549" s="10" t="str">
        <f aca="false">IF($B1549="","",$N1549*IFERROR(INDEX(Drinks!$D$4:$D$53,MATCH($B1549,Drinks!$A$4:$A$53,0)),0))</f>
        <v/>
      </c>
      <c r="R1549" s="10" t="str">
        <f aca="false">IF($B1549="","",$P1549-$Q1549)</f>
        <v/>
      </c>
      <c r="S1549" s="23" t="str">
        <f aca="false">IF($B1549="","",IF(COUNTIFS($A$4:$A$2003,$A1549-1,$B$4:$B$2003,$B1549)=0,"first day",IF(SUMIFS($M$4:$M$2003,$A$4:$A$2003,$A1549-1,$B$4:$B$2003,$B1549)=$J1549,"OK","CHECK")))</f>
        <v/>
      </c>
      <c r="T1549" s="10" t="str">
        <f aca="false">IF($B1549="","",IFERROR(INDEX(Drinks!$D$4:$D$53,MATCH($B1549,Drinks!$A$4:$A$53,0)),0))</f>
        <v/>
      </c>
    </row>
    <row r="1550" customFormat="false" ht="15" hidden="false" customHeight="false" outlineLevel="0" collapsed="false">
      <c r="A1550" s="22"/>
      <c r="B1550" s="9"/>
      <c r="C1550" s="9"/>
      <c r="D1550" s="9"/>
      <c r="E1550" s="9"/>
      <c r="F1550" s="10" t="str">
        <f aca="false">IF($B1550="","",$C1550+$D1550-$E1550)</f>
        <v/>
      </c>
      <c r="G1550" s="10" t="str">
        <f aca="false">IF($B1550="","",IFERROR(INDEX(Drinks!$C$4:$C$53,MATCH($B1550,Drinks!$A$4:$A$53,0)),0))</f>
        <v/>
      </c>
      <c r="H1550" s="10" t="str">
        <f aca="false">IF($B1550="","",$D1550*$G1550)</f>
        <v/>
      </c>
      <c r="I1550" s="10" t="str">
        <f aca="false">IF($B1550="","",$F1550*$G1550)</f>
        <v/>
      </c>
      <c r="J1550" s="9"/>
      <c r="K1550" s="10" t="str">
        <f aca="false">IF($B1550="","",$E1550*IFERROR(INDEX(Drinks!$B$4:$B$53,MATCH($B1550,Drinks!$A$4:$A$53,0)),0))</f>
        <v/>
      </c>
      <c r="L1550" s="10" t="str">
        <f aca="false">IF($B1550="","",$J1550+$K1550)</f>
        <v/>
      </c>
      <c r="M1550" s="9"/>
      <c r="N1550" s="10" t="str">
        <f aca="false">IF($B1550="","",$L1550-$M1550)</f>
        <v/>
      </c>
      <c r="O1550" s="10" t="str">
        <f aca="false">IF($B1550="","",IFERROR(INDEX(Drinks!$E$4:$E$53,MATCH($B1550,Drinks!$A$4:$A$53,0)),0))</f>
        <v/>
      </c>
      <c r="P1550" s="10" t="str">
        <f aca="false">IF($B1550="","",$N1550*$O1550)</f>
        <v/>
      </c>
      <c r="Q1550" s="10" t="str">
        <f aca="false">IF($B1550="","",$N1550*IFERROR(INDEX(Drinks!$D$4:$D$53,MATCH($B1550,Drinks!$A$4:$A$53,0)),0))</f>
        <v/>
      </c>
      <c r="R1550" s="10" t="str">
        <f aca="false">IF($B1550="","",$P1550-$Q1550)</f>
        <v/>
      </c>
      <c r="S1550" s="23" t="str">
        <f aca="false">IF($B1550="","",IF(COUNTIFS($A$4:$A$2003,$A1550-1,$B$4:$B$2003,$B1550)=0,"first day",IF(SUMIFS($M$4:$M$2003,$A$4:$A$2003,$A1550-1,$B$4:$B$2003,$B1550)=$J1550,"OK","CHECK")))</f>
        <v/>
      </c>
      <c r="T1550" s="10" t="str">
        <f aca="false">IF($B1550="","",IFERROR(INDEX(Drinks!$D$4:$D$53,MATCH($B1550,Drinks!$A$4:$A$53,0)),0))</f>
        <v/>
      </c>
    </row>
    <row r="1551" customFormat="false" ht="15" hidden="false" customHeight="false" outlineLevel="0" collapsed="false">
      <c r="A1551" s="22"/>
      <c r="B1551" s="9"/>
      <c r="C1551" s="9"/>
      <c r="D1551" s="9"/>
      <c r="E1551" s="9"/>
      <c r="F1551" s="10" t="str">
        <f aca="false">IF($B1551="","",$C1551+$D1551-$E1551)</f>
        <v/>
      </c>
      <c r="G1551" s="10" t="str">
        <f aca="false">IF($B1551="","",IFERROR(INDEX(Drinks!$C$4:$C$53,MATCH($B1551,Drinks!$A$4:$A$53,0)),0))</f>
        <v/>
      </c>
      <c r="H1551" s="10" t="str">
        <f aca="false">IF($B1551="","",$D1551*$G1551)</f>
        <v/>
      </c>
      <c r="I1551" s="10" t="str">
        <f aca="false">IF($B1551="","",$F1551*$G1551)</f>
        <v/>
      </c>
      <c r="J1551" s="9"/>
      <c r="K1551" s="10" t="str">
        <f aca="false">IF($B1551="","",$E1551*IFERROR(INDEX(Drinks!$B$4:$B$53,MATCH($B1551,Drinks!$A$4:$A$53,0)),0))</f>
        <v/>
      </c>
      <c r="L1551" s="10" t="str">
        <f aca="false">IF($B1551="","",$J1551+$K1551)</f>
        <v/>
      </c>
      <c r="M1551" s="9"/>
      <c r="N1551" s="10" t="str">
        <f aca="false">IF($B1551="","",$L1551-$M1551)</f>
        <v/>
      </c>
      <c r="O1551" s="10" t="str">
        <f aca="false">IF($B1551="","",IFERROR(INDEX(Drinks!$E$4:$E$53,MATCH($B1551,Drinks!$A$4:$A$53,0)),0))</f>
        <v/>
      </c>
      <c r="P1551" s="10" t="str">
        <f aca="false">IF($B1551="","",$N1551*$O1551)</f>
        <v/>
      </c>
      <c r="Q1551" s="10" t="str">
        <f aca="false">IF($B1551="","",$N1551*IFERROR(INDEX(Drinks!$D$4:$D$53,MATCH($B1551,Drinks!$A$4:$A$53,0)),0))</f>
        <v/>
      </c>
      <c r="R1551" s="10" t="str">
        <f aca="false">IF($B1551="","",$P1551-$Q1551)</f>
        <v/>
      </c>
      <c r="S1551" s="23" t="str">
        <f aca="false">IF($B1551="","",IF(COUNTIFS($A$4:$A$2003,$A1551-1,$B$4:$B$2003,$B1551)=0,"first day",IF(SUMIFS($M$4:$M$2003,$A$4:$A$2003,$A1551-1,$B$4:$B$2003,$B1551)=$J1551,"OK","CHECK")))</f>
        <v/>
      </c>
      <c r="T1551" s="10" t="str">
        <f aca="false">IF($B1551="","",IFERROR(INDEX(Drinks!$D$4:$D$53,MATCH($B1551,Drinks!$A$4:$A$53,0)),0))</f>
        <v/>
      </c>
    </row>
    <row r="1552" customFormat="false" ht="15" hidden="false" customHeight="false" outlineLevel="0" collapsed="false">
      <c r="A1552" s="22"/>
      <c r="B1552" s="9"/>
      <c r="C1552" s="9"/>
      <c r="D1552" s="9"/>
      <c r="E1552" s="9"/>
      <c r="F1552" s="10" t="str">
        <f aca="false">IF($B1552="","",$C1552+$D1552-$E1552)</f>
        <v/>
      </c>
      <c r="G1552" s="10" t="str">
        <f aca="false">IF($B1552="","",IFERROR(INDEX(Drinks!$C$4:$C$53,MATCH($B1552,Drinks!$A$4:$A$53,0)),0))</f>
        <v/>
      </c>
      <c r="H1552" s="10" t="str">
        <f aca="false">IF($B1552="","",$D1552*$G1552)</f>
        <v/>
      </c>
      <c r="I1552" s="10" t="str">
        <f aca="false">IF($B1552="","",$F1552*$G1552)</f>
        <v/>
      </c>
      <c r="J1552" s="9"/>
      <c r="K1552" s="10" t="str">
        <f aca="false">IF($B1552="","",$E1552*IFERROR(INDEX(Drinks!$B$4:$B$53,MATCH($B1552,Drinks!$A$4:$A$53,0)),0))</f>
        <v/>
      </c>
      <c r="L1552" s="10" t="str">
        <f aca="false">IF($B1552="","",$J1552+$K1552)</f>
        <v/>
      </c>
      <c r="M1552" s="9"/>
      <c r="N1552" s="10" t="str">
        <f aca="false">IF($B1552="","",$L1552-$M1552)</f>
        <v/>
      </c>
      <c r="O1552" s="10" t="str">
        <f aca="false">IF($B1552="","",IFERROR(INDEX(Drinks!$E$4:$E$53,MATCH($B1552,Drinks!$A$4:$A$53,0)),0))</f>
        <v/>
      </c>
      <c r="P1552" s="10" t="str">
        <f aca="false">IF($B1552="","",$N1552*$O1552)</f>
        <v/>
      </c>
      <c r="Q1552" s="10" t="str">
        <f aca="false">IF($B1552="","",$N1552*IFERROR(INDEX(Drinks!$D$4:$D$53,MATCH($B1552,Drinks!$A$4:$A$53,0)),0))</f>
        <v/>
      </c>
      <c r="R1552" s="10" t="str">
        <f aca="false">IF($B1552="","",$P1552-$Q1552)</f>
        <v/>
      </c>
      <c r="S1552" s="23" t="str">
        <f aca="false">IF($B1552="","",IF(COUNTIFS($A$4:$A$2003,$A1552-1,$B$4:$B$2003,$B1552)=0,"first day",IF(SUMIFS($M$4:$M$2003,$A$4:$A$2003,$A1552-1,$B$4:$B$2003,$B1552)=$J1552,"OK","CHECK")))</f>
        <v/>
      </c>
      <c r="T1552" s="10" t="str">
        <f aca="false">IF($B1552="","",IFERROR(INDEX(Drinks!$D$4:$D$53,MATCH($B1552,Drinks!$A$4:$A$53,0)),0))</f>
        <v/>
      </c>
    </row>
    <row r="1553" customFormat="false" ht="15" hidden="false" customHeight="false" outlineLevel="0" collapsed="false">
      <c r="A1553" s="22"/>
      <c r="B1553" s="9"/>
      <c r="C1553" s="9"/>
      <c r="D1553" s="9"/>
      <c r="E1553" s="9"/>
      <c r="F1553" s="10" t="str">
        <f aca="false">IF($B1553="","",$C1553+$D1553-$E1553)</f>
        <v/>
      </c>
      <c r="G1553" s="10" t="str">
        <f aca="false">IF($B1553="","",IFERROR(INDEX(Drinks!$C$4:$C$53,MATCH($B1553,Drinks!$A$4:$A$53,0)),0))</f>
        <v/>
      </c>
      <c r="H1553" s="10" t="str">
        <f aca="false">IF($B1553="","",$D1553*$G1553)</f>
        <v/>
      </c>
      <c r="I1553" s="10" t="str">
        <f aca="false">IF($B1553="","",$F1553*$G1553)</f>
        <v/>
      </c>
      <c r="J1553" s="9"/>
      <c r="K1553" s="10" t="str">
        <f aca="false">IF($B1553="","",$E1553*IFERROR(INDEX(Drinks!$B$4:$B$53,MATCH($B1553,Drinks!$A$4:$A$53,0)),0))</f>
        <v/>
      </c>
      <c r="L1553" s="10" t="str">
        <f aca="false">IF($B1553="","",$J1553+$K1553)</f>
        <v/>
      </c>
      <c r="M1553" s="9"/>
      <c r="N1553" s="10" t="str">
        <f aca="false">IF($B1553="","",$L1553-$M1553)</f>
        <v/>
      </c>
      <c r="O1553" s="10" t="str">
        <f aca="false">IF($B1553="","",IFERROR(INDEX(Drinks!$E$4:$E$53,MATCH($B1553,Drinks!$A$4:$A$53,0)),0))</f>
        <v/>
      </c>
      <c r="P1553" s="10" t="str">
        <f aca="false">IF($B1553="","",$N1553*$O1553)</f>
        <v/>
      </c>
      <c r="Q1553" s="10" t="str">
        <f aca="false">IF($B1553="","",$N1553*IFERROR(INDEX(Drinks!$D$4:$D$53,MATCH($B1553,Drinks!$A$4:$A$53,0)),0))</f>
        <v/>
      </c>
      <c r="R1553" s="10" t="str">
        <f aca="false">IF($B1553="","",$P1553-$Q1553)</f>
        <v/>
      </c>
      <c r="S1553" s="23" t="str">
        <f aca="false">IF($B1553="","",IF(COUNTIFS($A$4:$A$2003,$A1553-1,$B$4:$B$2003,$B1553)=0,"first day",IF(SUMIFS($M$4:$M$2003,$A$4:$A$2003,$A1553-1,$B$4:$B$2003,$B1553)=$J1553,"OK","CHECK")))</f>
        <v/>
      </c>
      <c r="T1553" s="10" t="str">
        <f aca="false">IF($B1553="","",IFERROR(INDEX(Drinks!$D$4:$D$53,MATCH($B1553,Drinks!$A$4:$A$53,0)),0))</f>
        <v/>
      </c>
    </row>
    <row r="1554" customFormat="false" ht="15" hidden="false" customHeight="false" outlineLevel="0" collapsed="false">
      <c r="A1554" s="22"/>
      <c r="B1554" s="9"/>
      <c r="C1554" s="9"/>
      <c r="D1554" s="9"/>
      <c r="E1554" s="9"/>
      <c r="F1554" s="10" t="str">
        <f aca="false">IF($B1554="","",$C1554+$D1554-$E1554)</f>
        <v/>
      </c>
      <c r="G1554" s="10" t="str">
        <f aca="false">IF($B1554="","",IFERROR(INDEX(Drinks!$C$4:$C$53,MATCH($B1554,Drinks!$A$4:$A$53,0)),0))</f>
        <v/>
      </c>
      <c r="H1554" s="10" t="str">
        <f aca="false">IF($B1554="","",$D1554*$G1554)</f>
        <v/>
      </c>
      <c r="I1554" s="10" t="str">
        <f aca="false">IF($B1554="","",$F1554*$G1554)</f>
        <v/>
      </c>
      <c r="J1554" s="9"/>
      <c r="K1554" s="10" t="str">
        <f aca="false">IF($B1554="","",$E1554*IFERROR(INDEX(Drinks!$B$4:$B$53,MATCH($B1554,Drinks!$A$4:$A$53,0)),0))</f>
        <v/>
      </c>
      <c r="L1554" s="10" t="str">
        <f aca="false">IF($B1554="","",$J1554+$K1554)</f>
        <v/>
      </c>
      <c r="M1554" s="9"/>
      <c r="N1554" s="10" t="str">
        <f aca="false">IF($B1554="","",$L1554-$M1554)</f>
        <v/>
      </c>
      <c r="O1554" s="10" t="str">
        <f aca="false">IF($B1554="","",IFERROR(INDEX(Drinks!$E$4:$E$53,MATCH($B1554,Drinks!$A$4:$A$53,0)),0))</f>
        <v/>
      </c>
      <c r="P1554" s="10" t="str">
        <f aca="false">IF($B1554="","",$N1554*$O1554)</f>
        <v/>
      </c>
      <c r="Q1554" s="10" t="str">
        <f aca="false">IF($B1554="","",$N1554*IFERROR(INDEX(Drinks!$D$4:$D$53,MATCH($B1554,Drinks!$A$4:$A$53,0)),0))</f>
        <v/>
      </c>
      <c r="R1554" s="10" t="str">
        <f aca="false">IF($B1554="","",$P1554-$Q1554)</f>
        <v/>
      </c>
      <c r="S1554" s="23" t="str">
        <f aca="false">IF($B1554="","",IF(COUNTIFS($A$4:$A$2003,$A1554-1,$B$4:$B$2003,$B1554)=0,"first day",IF(SUMIFS($M$4:$M$2003,$A$4:$A$2003,$A1554-1,$B$4:$B$2003,$B1554)=$J1554,"OK","CHECK")))</f>
        <v/>
      </c>
      <c r="T1554" s="10" t="str">
        <f aca="false">IF($B1554="","",IFERROR(INDEX(Drinks!$D$4:$D$53,MATCH($B1554,Drinks!$A$4:$A$53,0)),0))</f>
        <v/>
      </c>
    </row>
    <row r="1555" customFormat="false" ht="15" hidden="false" customHeight="false" outlineLevel="0" collapsed="false">
      <c r="A1555" s="22"/>
      <c r="B1555" s="9"/>
      <c r="C1555" s="9"/>
      <c r="D1555" s="9"/>
      <c r="E1555" s="9"/>
      <c r="F1555" s="10" t="str">
        <f aca="false">IF($B1555="","",$C1555+$D1555-$E1555)</f>
        <v/>
      </c>
      <c r="G1555" s="10" t="str">
        <f aca="false">IF($B1555="","",IFERROR(INDEX(Drinks!$C$4:$C$53,MATCH($B1555,Drinks!$A$4:$A$53,0)),0))</f>
        <v/>
      </c>
      <c r="H1555" s="10" t="str">
        <f aca="false">IF($B1555="","",$D1555*$G1555)</f>
        <v/>
      </c>
      <c r="I1555" s="10" t="str">
        <f aca="false">IF($B1555="","",$F1555*$G1555)</f>
        <v/>
      </c>
      <c r="J1555" s="9"/>
      <c r="K1555" s="10" t="str">
        <f aca="false">IF($B1555="","",$E1555*IFERROR(INDEX(Drinks!$B$4:$B$53,MATCH($B1555,Drinks!$A$4:$A$53,0)),0))</f>
        <v/>
      </c>
      <c r="L1555" s="10" t="str">
        <f aca="false">IF($B1555="","",$J1555+$K1555)</f>
        <v/>
      </c>
      <c r="M1555" s="9"/>
      <c r="N1555" s="10" t="str">
        <f aca="false">IF($B1555="","",$L1555-$M1555)</f>
        <v/>
      </c>
      <c r="O1555" s="10" t="str">
        <f aca="false">IF($B1555="","",IFERROR(INDEX(Drinks!$E$4:$E$53,MATCH($B1555,Drinks!$A$4:$A$53,0)),0))</f>
        <v/>
      </c>
      <c r="P1555" s="10" t="str">
        <f aca="false">IF($B1555="","",$N1555*$O1555)</f>
        <v/>
      </c>
      <c r="Q1555" s="10" t="str">
        <f aca="false">IF($B1555="","",$N1555*IFERROR(INDEX(Drinks!$D$4:$D$53,MATCH($B1555,Drinks!$A$4:$A$53,0)),0))</f>
        <v/>
      </c>
      <c r="R1555" s="10" t="str">
        <f aca="false">IF($B1555="","",$P1555-$Q1555)</f>
        <v/>
      </c>
      <c r="S1555" s="23" t="str">
        <f aca="false">IF($B1555="","",IF(COUNTIFS($A$4:$A$2003,$A1555-1,$B$4:$B$2003,$B1555)=0,"first day",IF(SUMIFS($M$4:$M$2003,$A$4:$A$2003,$A1555-1,$B$4:$B$2003,$B1555)=$J1555,"OK","CHECK")))</f>
        <v/>
      </c>
      <c r="T1555" s="10" t="str">
        <f aca="false">IF($B1555="","",IFERROR(INDEX(Drinks!$D$4:$D$53,MATCH($B1555,Drinks!$A$4:$A$53,0)),0))</f>
        <v/>
      </c>
    </row>
    <row r="1556" customFormat="false" ht="15" hidden="false" customHeight="false" outlineLevel="0" collapsed="false">
      <c r="A1556" s="22"/>
      <c r="B1556" s="9"/>
      <c r="C1556" s="9"/>
      <c r="D1556" s="9"/>
      <c r="E1556" s="9"/>
      <c r="F1556" s="10" t="str">
        <f aca="false">IF($B1556="","",$C1556+$D1556-$E1556)</f>
        <v/>
      </c>
      <c r="G1556" s="10" t="str">
        <f aca="false">IF($B1556="","",IFERROR(INDEX(Drinks!$C$4:$C$53,MATCH($B1556,Drinks!$A$4:$A$53,0)),0))</f>
        <v/>
      </c>
      <c r="H1556" s="10" t="str">
        <f aca="false">IF($B1556="","",$D1556*$G1556)</f>
        <v/>
      </c>
      <c r="I1556" s="10" t="str">
        <f aca="false">IF($B1556="","",$F1556*$G1556)</f>
        <v/>
      </c>
      <c r="J1556" s="9"/>
      <c r="K1556" s="10" t="str">
        <f aca="false">IF($B1556="","",$E1556*IFERROR(INDEX(Drinks!$B$4:$B$53,MATCH($B1556,Drinks!$A$4:$A$53,0)),0))</f>
        <v/>
      </c>
      <c r="L1556" s="10" t="str">
        <f aca="false">IF($B1556="","",$J1556+$K1556)</f>
        <v/>
      </c>
      <c r="M1556" s="9"/>
      <c r="N1556" s="10" t="str">
        <f aca="false">IF($B1556="","",$L1556-$M1556)</f>
        <v/>
      </c>
      <c r="O1556" s="10" t="str">
        <f aca="false">IF($B1556="","",IFERROR(INDEX(Drinks!$E$4:$E$53,MATCH($B1556,Drinks!$A$4:$A$53,0)),0))</f>
        <v/>
      </c>
      <c r="P1556" s="10" t="str">
        <f aca="false">IF($B1556="","",$N1556*$O1556)</f>
        <v/>
      </c>
      <c r="Q1556" s="10" t="str">
        <f aca="false">IF($B1556="","",$N1556*IFERROR(INDEX(Drinks!$D$4:$D$53,MATCH($B1556,Drinks!$A$4:$A$53,0)),0))</f>
        <v/>
      </c>
      <c r="R1556" s="10" t="str">
        <f aca="false">IF($B1556="","",$P1556-$Q1556)</f>
        <v/>
      </c>
      <c r="S1556" s="23" t="str">
        <f aca="false">IF($B1556="","",IF(COUNTIFS($A$4:$A$2003,$A1556-1,$B$4:$B$2003,$B1556)=0,"first day",IF(SUMIFS($M$4:$M$2003,$A$4:$A$2003,$A1556-1,$B$4:$B$2003,$B1556)=$J1556,"OK","CHECK")))</f>
        <v/>
      </c>
      <c r="T1556" s="10" t="str">
        <f aca="false">IF($B1556="","",IFERROR(INDEX(Drinks!$D$4:$D$53,MATCH($B1556,Drinks!$A$4:$A$53,0)),0))</f>
        <v/>
      </c>
    </row>
    <row r="1557" customFormat="false" ht="15" hidden="false" customHeight="false" outlineLevel="0" collapsed="false">
      <c r="A1557" s="22"/>
      <c r="B1557" s="9"/>
      <c r="C1557" s="9"/>
      <c r="D1557" s="9"/>
      <c r="E1557" s="9"/>
      <c r="F1557" s="10" t="str">
        <f aca="false">IF($B1557="","",$C1557+$D1557-$E1557)</f>
        <v/>
      </c>
      <c r="G1557" s="10" t="str">
        <f aca="false">IF($B1557="","",IFERROR(INDEX(Drinks!$C$4:$C$53,MATCH($B1557,Drinks!$A$4:$A$53,0)),0))</f>
        <v/>
      </c>
      <c r="H1557" s="10" t="str">
        <f aca="false">IF($B1557="","",$D1557*$G1557)</f>
        <v/>
      </c>
      <c r="I1557" s="10" t="str">
        <f aca="false">IF($B1557="","",$F1557*$G1557)</f>
        <v/>
      </c>
      <c r="J1557" s="9"/>
      <c r="K1557" s="10" t="str">
        <f aca="false">IF($B1557="","",$E1557*IFERROR(INDEX(Drinks!$B$4:$B$53,MATCH($B1557,Drinks!$A$4:$A$53,0)),0))</f>
        <v/>
      </c>
      <c r="L1557" s="10" t="str">
        <f aca="false">IF($B1557="","",$J1557+$K1557)</f>
        <v/>
      </c>
      <c r="M1557" s="9"/>
      <c r="N1557" s="10" t="str">
        <f aca="false">IF($B1557="","",$L1557-$M1557)</f>
        <v/>
      </c>
      <c r="O1557" s="10" t="str">
        <f aca="false">IF($B1557="","",IFERROR(INDEX(Drinks!$E$4:$E$53,MATCH($B1557,Drinks!$A$4:$A$53,0)),0))</f>
        <v/>
      </c>
      <c r="P1557" s="10" t="str">
        <f aca="false">IF($B1557="","",$N1557*$O1557)</f>
        <v/>
      </c>
      <c r="Q1557" s="10" t="str">
        <f aca="false">IF($B1557="","",$N1557*IFERROR(INDEX(Drinks!$D$4:$D$53,MATCH($B1557,Drinks!$A$4:$A$53,0)),0))</f>
        <v/>
      </c>
      <c r="R1557" s="10" t="str">
        <f aca="false">IF($B1557="","",$P1557-$Q1557)</f>
        <v/>
      </c>
      <c r="S1557" s="23" t="str">
        <f aca="false">IF($B1557="","",IF(COUNTIFS($A$4:$A$2003,$A1557-1,$B$4:$B$2003,$B1557)=0,"first day",IF(SUMIFS($M$4:$M$2003,$A$4:$A$2003,$A1557-1,$B$4:$B$2003,$B1557)=$J1557,"OK","CHECK")))</f>
        <v/>
      </c>
      <c r="T1557" s="10" t="str">
        <f aca="false">IF($B1557="","",IFERROR(INDEX(Drinks!$D$4:$D$53,MATCH($B1557,Drinks!$A$4:$A$53,0)),0))</f>
        <v/>
      </c>
    </row>
    <row r="1558" customFormat="false" ht="15" hidden="false" customHeight="false" outlineLevel="0" collapsed="false">
      <c r="A1558" s="22"/>
      <c r="B1558" s="9"/>
      <c r="C1558" s="9"/>
      <c r="D1558" s="9"/>
      <c r="E1558" s="9"/>
      <c r="F1558" s="10" t="str">
        <f aca="false">IF($B1558="","",$C1558+$D1558-$E1558)</f>
        <v/>
      </c>
      <c r="G1558" s="10" t="str">
        <f aca="false">IF($B1558="","",IFERROR(INDEX(Drinks!$C$4:$C$53,MATCH($B1558,Drinks!$A$4:$A$53,0)),0))</f>
        <v/>
      </c>
      <c r="H1558" s="10" t="str">
        <f aca="false">IF($B1558="","",$D1558*$G1558)</f>
        <v/>
      </c>
      <c r="I1558" s="10" t="str">
        <f aca="false">IF($B1558="","",$F1558*$G1558)</f>
        <v/>
      </c>
      <c r="J1558" s="9"/>
      <c r="K1558" s="10" t="str">
        <f aca="false">IF($B1558="","",$E1558*IFERROR(INDEX(Drinks!$B$4:$B$53,MATCH($B1558,Drinks!$A$4:$A$53,0)),0))</f>
        <v/>
      </c>
      <c r="L1558" s="10" t="str">
        <f aca="false">IF($B1558="","",$J1558+$K1558)</f>
        <v/>
      </c>
      <c r="M1558" s="9"/>
      <c r="N1558" s="10" t="str">
        <f aca="false">IF($B1558="","",$L1558-$M1558)</f>
        <v/>
      </c>
      <c r="O1558" s="10" t="str">
        <f aca="false">IF($B1558="","",IFERROR(INDEX(Drinks!$E$4:$E$53,MATCH($B1558,Drinks!$A$4:$A$53,0)),0))</f>
        <v/>
      </c>
      <c r="P1558" s="10" t="str">
        <f aca="false">IF($B1558="","",$N1558*$O1558)</f>
        <v/>
      </c>
      <c r="Q1558" s="10" t="str">
        <f aca="false">IF($B1558="","",$N1558*IFERROR(INDEX(Drinks!$D$4:$D$53,MATCH($B1558,Drinks!$A$4:$A$53,0)),0))</f>
        <v/>
      </c>
      <c r="R1558" s="10" t="str">
        <f aca="false">IF($B1558="","",$P1558-$Q1558)</f>
        <v/>
      </c>
      <c r="S1558" s="23" t="str">
        <f aca="false">IF($B1558="","",IF(COUNTIFS($A$4:$A$2003,$A1558-1,$B$4:$B$2003,$B1558)=0,"first day",IF(SUMIFS($M$4:$M$2003,$A$4:$A$2003,$A1558-1,$B$4:$B$2003,$B1558)=$J1558,"OK","CHECK")))</f>
        <v/>
      </c>
      <c r="T1558" s="10" t="str">
        <f aca="false">IF($B1558="","",IFERROR(INDEX(Drinks!$D$4:$D$53,MATCH($B1558,Drinks!$A$4:$A$53,0)),0))</f>
        <v/>
      </c>
    </row>
    <row r="1559" customFormat="false" ht="15" hidden="false" customHeight="false" outlineLevel="0" collapsed="false">
      <c r="A1559" s="22"/>
      <c r="B1559" s="9"/>
      <c r="C1559" s="9"/>
      <c r="D1559" s="9"/>
      <c r="E1559" s="9"/>
      <c r="F1559" s="10" t="str">
        <f aca="false">IF($B1559="","",$C1559+$D1559-$E1559)</f>
        <v/>
      </c>
      <c r="G1559" s="10" t="str">
        <f aca="false">IF($B1559="","",IFERROR(INDEX(Drinks!$C$4:$C$53,MATCH($B1559,Drinks!$A$4:$A$53,0)),0))</f>
        <v/>
      </c>
      <c r="H1559" s="10" t="str">
        <f aca="false">IF($B1559="","",$D1559*$G1559)</f>
        <v/>
      </c>
      <c r="I1559" s="10" t="str">
        <f aca="false">IF($B1559="","",$F1559*$G1559)</f>
        <v/>
      </c>
      <c r="J1559" s="9"/>
      <c r="K1559" s="10" t="str">
        <f aca="false">IF($B1559="","",$E1559*IFERROR(INDEX(Drinks!$B$4:$B$53,MATCH($B1559,Drinks!$A$4:$A$53,0)),0))</f>
        <v/>
      </c>
      <c r="L1559" s="10" t="str">
        <f aca="false">IF($B1559="","",$J1559+$K1559)</f>
        <v/>
      </c>
      <c r="M1559" s="9"/>
      <c r="N1559" s="10" t="str">
        <f aca="false">IF($B1559="","",$L1559-$M1559)</f>
        <v/>
      </c>
      <c r="O1559" s="10" t="str">
        <f aca="false">IF($B1559="","",IFERROR(INDEX(Drinks!$E$4:$E$53,MATCH($B1559,Drinks!$A$4:$A$53,0)),0))</f>
        <v/>
      </c>
      <c r="P1559" s="10" t="str">
        <f aca="false">IF($B1559="","",$N1559*$O1559)</f>
        <v/>
      </c>
      <c r="Q1559" s="10" t="str">
        <f aca="false">IF($B1559="","",$N1559*IFERROR(INDEX(Drinks!$D$4:$D$53,MATCH($B1559,Drinks!$A$4:$A$53,0)),0))</f>
        <v/>
      </c>
      <c r="R1559" s="10" t="str">
        <f aca="false">IF($B1559="","",$P1559-$Q1559)</f>
        <v/>
      </c>
      <c r="S1559" s="23" t="str">
        <f aca="false">IF($B1559="","",IF(COUNTIFS($A$4:$A$2003,$A1559-1,$B$4:$B$2003,$B1559)=0,"first day",IF(SUMIFS($M$4:$M$2003,$A$4:$A$2003,$A1559-1,$B$4:$B$2003,$B1559)=$J1559,"OK","CHECK")))</f>
        <v/>
      </c>
      <c r="T1559" s="10" t="str">
        <f aca="false">IF($B1559="","",IFERROR(INDEX(Drinks!$D$4:$D$53,MATCH($B1559,Drinks!$A$4:$A$53,0)),0))</f>
        <v/>
      </c>
    </row>
    <row r="1560" customFormat="false" ht="15" hidden="false" customHeight="false" outlineLevel="0" collapsed="false">
      <c r="A1560" s="22"/>
      <c r="B1560" s="9"/>
      <c r="C1560" s="9"/>
      <c r="D1560" s="9"/>
      <c r="E1560" s="9"/>
      <c r="F1560" s="10" t="str">
        <f aca="false">IF($B1560="","",$C1560+$D1560-$E1560)</f>
        <v/>
      </c>
      <c r="G1560" s="10" t="str">
        <f aca="false">IF($B1560="","",IFERROR(INDEX(Drinks!$C$4:$C$53,MATCH($B1560,Drinks!$A$4:$A$53,0)),0))</f>
        <v/>
      </c>
      <c r="H1560" s="10" t="str">
        <f aca="false">IF($B1560="","",$D1560*$G1560)</f>
        <v/>
      </c>
      <c r="I1560" s="10" t="str">
        <f aca="false">IF($B1560="","",$F1560*$G1560)</f>
        <v/>
      </c>
      <c r="J1560" s="9"/>
      <c r="K1560" s="10" t="str">
        <f aca="false">IF($B1560="","",$E1560*IFERROR(INDEX(Drinks!$B$4:$B$53,MATCH($B1560,Drinks!$A$4:$A$53,0)),0))</f>
        <v/>
      </c>
      <c r="L1560" s="10" t="str">
        <f aca="false">IF($B1560="","",$J1560+$K1560)</f>
        <v/>
      </c>
      <c r="M1560" s="9"/>
      <c r="N1560" s="10" t="str">
        <f aca="false">IF($B1560="","",$L1560-$M1560)</f>
        <v/>
      </c>
      <c r="O1560" s="10" t="str">
        <f aca="false">IF($B1560="","",IFERROR(INDEX(Drinks!$E$4:$E$53,MATCH($B1560,Drinks!$A$4:$A$53,0)),0))</f>
        <v/>
      </c>
      <c r="P1560" s="10" t="str">
        <f aca="false">IF($B1560="","",$N1560*$O1560)</f>
        <v/>
      </c>
      <c r="Q1560" s="10" t="str">
        <f aca="false">IF($B1560="","",$N1560*IFERROR(INDEX(Drinks!$D$4:$D$53,MATCH($B1560,Drinks!$A$4:$A$53,0)),0))</f>
        <v/>
      </c>
      <c r="R1560" s="10" t="str">
        <f aca="false">IF($B1560="","",$P1560-$Q1560)</f>
        <v/>
      </c>
      <c r="S1560" s="23" t="str">
        <f aca="false">IF($B1560="","",IF(COUNTIFS($A$4:$A$2003,$A1560-1,$B$4:$B$2003,$B1560)=0,"first day",IF(SUMIFS($M$4:$M$2003,$A$4:$A$2003,$A1560-1,$B$4:$B$2003,$B1560)=$J1560,"OK","CHECK")))</f>
        <v/>
      </c>
      <c r="T1560" s="10" t="str">
        <f aca="false">IF($B1560="","",IFERROR(INDEX(Drinks!$D$4:$D$53,MATCH($B1560,Drinks!$A$4:$A$53,0)),0))</f>
        <v/>
      </c>
    </row>
    <row r="1561" customFormat="false" ht="15" hidden="false" customHeight="false" outlineLevel="0" collapsed="false">
      <c r="A1561" s="22"/>
      <c r="B1561" s="9"/>
      <c r="C1561" s="9"/>
      <c r="D1561" s="9"/>
      <c r="E1561" s="9"/>
      <c r="F1561" s="10" t="str">
        <f aca="false">IF($B1561="","",$C1561+$D1561-$E1561)</f>
        <v/>
      </c>
      <c r="G1561" s="10" t="str">
        <f aca="false">IF($B1561="","",IFERROR(INDEX(Drinks!$C$4:$C$53,MATCH($B1561,Drinks!$A$4:$A$53,0)),0))</f>
        <v/>
      </c>
      <c r="H1561" s="10" t="str">
        <f aca="false">IF($B1561="","",$D1561*$G1561)</f>
        <v/>
      </c>
      <c r="I1561" s="10" t="str">
        <f aca="false">IF($B1561="","",$F1561*$G1561)</f>
        <v/>
      </c>
      <c r="J1561" s="9"/>
      <c r="K1561" s="10" t="str">
        <f aca="false">IF($B1561="","",$E1561*IFERROR(INDEX(Drinks!$B$4:$B$53,MATCH($B1561,Drinks!$A$4:$A$53,0)),0))</f>
        <v/>
      </c>
      <c r="L1561" s="10" t="str">
        <f aca="false">IF($B1561="","",$J1561+$K1561)</f>
        <v/>
      </c>
      <c r="M1561" s="9"/>
      <c r="N1561" s="10" t="str">
        <f aca="false">IF($B1561="","",$L1561-$M1561)</f>
        <v/>
      </c>
      <c r="O1561" s="10" t="str">
        <f aca="false">IF($B1561="","",IFERROR(INDEX(Drinks!$E$4:$E$53,MATCH($B1561,Drinks!$A$4:$A$53,0)),0))</f>
        <v/>
      </c>
      <c r="P1561" s="10" t="str">
        <f aca="false">IF($B1561="","",$N1561*$O1561)</f>
        <v/>
      </c>
      <c r="Q1561" s="10" t="str">
        <f aca="false">IF($B1561="","",$N1561*IFERROR(INDEX(Drinks!$D$4:$D$53,MATCH($B1561,Drinks!$A$4:$A$53,0)),0))</f>
        <v/>
      </c>
      <c r="R1561" s="10" t="str">
        <f aca="false">IF($B1561="","",$P1561-$Q1561)</f>
        <v/>
      </c>
      <c r="S1561" s="23" t="str">
        <f aca="false">IF($B1561="","",IF(COUNTIFS($A$4:$A$2003,$A1561-1,$B$4:$B$2003,$B1561)=0,"first day",IF(SUMIFS($M$4:$M$2003,$A$4:$A$2003,$A1561-1,$B$4:$B$2003,$B1561)=$J1561,"OK","CHECK")))</f>
        <v/>
      </c>
      <c r="T1561" s="10" t="str">
        <f aca="false">IF($B1561="","",IFERROR(INDEX(Drinks!$D$4:$D$53,MATCH($B1561,Drinks!$A$4:$A$53,0)),0))</f>
        <v/>
      </c>
    </row>
    <row r="1562" customFormat="false" ht="15" hidden="false" customHeight="false" outlineLevel="0" collapsed="false">
      <c r="A1562" s="22"/>
      <c r="B1562" s="9"/>
      <c r="C1562" s="9"/>
      <c r="D1562" s="9"/>
      <c r="E1562" s="9"/>
      <c r="F1562" s="10" t="str">
        <f aca="false">IF($B1562="","",$C1562+$D1562-$E1562)</f>
        <v/>
      </c>
      <c r="G1562" s="10" t="str">
        <f aca="false">IF($B1562="","",IFERROR(INDEX(Drinks!$C$4:$C$53,MATCH($B1562,Drinks!$A$4:$A$53,0)),0))</f>
        <v/>
      </c>
      <c r="H1562" s="10" t="str">
        <f aca="false">IF($B1562="","",$D1562*$G1562)</f>
        <v/>
      </c>
      <c r="I1562" s="10" t="str">
        <f aca="false">IF($B1562="","",$F1562*$G1562)</f>
        <v/>
      </c>
      <c r="J1562" s="9"/>
      <c r="K1562" s="10" t="str">
        <f aca="false">IF($B1562="","",$E1562*IFERROR(INDEX(Drinks!$B$4:$B$53,MATCH($B1562,Drinks!$A$4:$A$53,0)),0))</f>
        <v/>
      </c>
      <c r="L1562" s="10" t="str">
        <f aca="false">IF($B1562="","",$J1562+$K1562)</f>
        <v/>
      </c>
      <c r="M1562" s="9"/>
      <c r="N1562" s="10" t="str">
        <f aca="false">IF($B1562="","",$L1562-$M1562)</f>
        <v/>
      </c>
      <c r="O1562" s="10" t="str">
        <f aca="false">IF($B1562="","",IFERROR(INDEX(Drinks!$E$4:$E$53,MATCH($B1562,Drinks!$A$4:$A$53,0)),0))</f>
        <v/>
      </c>
      <c r="P1562" s="10" t="str">
        <f aca="false">IF($B1562="","",$N1562*$O1562)</f>
        <v/>
      </c>
      <c r="Q1562" s="10" t="str">
        <f aca="false">IF($B1562="","",$N1562*IFERROR(INDEX(Drinks!$D$4:$D$53,MATCH($B1562,Drinks!$A$4:$A$53,0)),0))</f>
        <v/>
      </c>
      <c r="R1562" s="10" t="str">
        <f aca="false">IF($B1562="","",$P1562-$Q1562)</f>
        <v/>
      </c>
      <c r="S1562" s="23" t="str">
        <f aca="false">IF($B1562="","",IF(COUNTIFS($A$4:$A$2003,$A1562-1,$B$4:$B$2003,$B1562)=0,"first day",IF(SUMIFS($M$4:$M$2003,$A$4:$A$2003,$A1562-1,$B$4:$B$2003,$B1562)=$J1562,"OK","CHECK")))</f>
        <v/>
      </c>
      <c r="T1562" s="10" t="str">
        <f aca="false">IF($B1562="","",IFERROR(INDEX(Drinks!$D$4:$D$53,MATCH($B1562,Drinks!$A$4:$A$53,0)),0))</f>
        <v/>
      </c>
    </row>
    <row r="1563" customFormat="false" ht="15" hidden="false" customHeight="false" outlineLevel="0" collapsed="false">
      <c r="A1563" s="22"/>
      <c r="B1563" s="9"/>
      <c r="C1563" s="9"/>
      <c r="D1563" s="9"/>
      <c r="E1563" s="9"/>
      <c r="F1563" s="10" t="str">
        <f aca="false">IF($B1563="","",$C1563+$D1563-$E1563)</f>
        <v/>
      </c>
      <c r="G1563" s="10" t="str">
        <f aca="false">IF($B1563="","",IFERROR(INDEX(Drinks!$C$4:$C$53,MATCH($B1563,Drinks!$A$4:$A$53,0)),0))</f>
        <v/>
      </c>
      <c r="H1563" s="10" t="str">
        <f aca="false">IF($B1563="","",$D1563*$G1563)</f>
        <v/>
      </c>
      <c r="I1563" s="10" t="str">
        <f aca="false">IF($B1563="","",$F1563*$G1563)</f>
        <v/>
      </c>
      <c r="J1563" s="9"/>
      <c r="K1563" s="10" t="str">
        <f aca="false">IF($B1563="","",$E1563*IFERROR(INDEX(Drinks!$B$4:$B$53,MATCH($B1563,Drinks!$A$4:$A$53,0)),0))</f>
        <v/>
      </c>
      <c r="L1563" s="10" t="str">
        <f aca="false">IF($B1563="","",$J1563+$K1563)</f>
        <v/>
      </c>
      <c r="M1563" s="9"/>
      <c r="N1563" s="10" t="str">
        <f aca="false">IF($B1563="","",$L1563-$M1563)</f>
        <v/>
      </c>
      <c r="O1563" s="10" t="str">
        <f aca="false">IF($B1563="","",IFERROR(INDEX(Drinks!$E$4:$E$53,MATCH($B1563,Drinks!$A$4:$A$53,0)),0))</f>
        <v/>
      </c>
      <c r="P1563" s="10" t="str">
        <f aca="false">IF($B1563="","",$N1563*$O1563)</f>
        <v/>
      </c>
      <c r="Q1563" s="10" t="str">
        <f aca="false">IF($B1563="","",$N1563*IFERROR(INDEX(Drinks!$D$4:$D$53,MATCH($B1563,Drinks!$A$4:$A$53,0)),0))</f>
        <v/>
      </c>
      <c r="R1563" s="10" t="str">
        <f aca="false">IF($B1563="","",$P1563-$Q1563)</f>
        <v/>
      </c>
      <c r="S1563" s="23" t="str">
        <f aca="false">IF($B1563="","",IF(COUNTIFS($A$4:$A$2003,$A1563-1,$B$4:$B$2003,$B1563)=0,"first day",IF(SUMIFS($M$4:$M$2003,$A$4:$A$2003,$A1563-1,$B$4:$B$2003,$B1563)=$J1563,"OK","CHECK")))</f>
        <v/>
      </c>
      <c r="T1563" s="10" t="str">
        <f aca="false">IF($B1563="","",IFERROR(INDEX(Drinks!$D$4:$D$53,MATCH($B1563,Drinks!$A$4:$A$53,0)),0))</f>
        <v/>
      </c>
    </row>
    <row r="1564" customFormat="false" ht="15" hidden="false" customHeight="false" outlineLevel="0" collapsed="false">
      <c r="A1564" s="22"/>
      <c r="B1564" s="9"/>
      <c r="C1564" s="9"/>
      <c r="D1564" s="9"/>
      <c r="E1564" s="9"/>
      <c r="F1564" s="10" t="str">
        <f aca="false">IF($B1564="","",$C1564+$D1564-$E1564)</f>
        <v/>
      </c>
      <c r="G1564" s="10" t="str">
        <f aca="false">IF($B1564="","",IFERROR(INDEX(Drinks!$C$4:$C$53,MATCH($B1564,Drinks!$A$4:$A$53,0)),0))</f>
        <v/>
      </c>
      <c r="H1564" s="10" t="str">
        <f aca="false">IF($B1564="","",$D1564*$G1564)</f>
        <v/>
      </c>
      <c r="I1564" s="10" t="str">
        <f aca="false">IF($B1564="","",$F1564*$G1564)</f>
        <v/>
      </c>
      <c r="J1564" s="9"/>
      <c r="K1564" s="10" t="str">
        <f aca="false">IF($B1564="","",$E1564*IFERROR(INDEX(Drinks!$B$4:$B$53,MATCH($B1564,Drinks!$A$4:$A$53,0)),0))</f>
        <v/>
      </c>
      <c r="L1564" s="10" t="str">
        <f aca="false">IF($B1564="","",$J1564+$K1564)</f>
        <v/>
      </c>
      <c r="M1564" s="9"/>
      <c r="N1564" s="10" t="str">
        <f aca="false">IF($B1564="","",$L1564-$M1564)</f>
        <v/>
      </c>
      <c r="O1564" s="10" t="str">
        <f aca="false">IF($B1564="","",IFERROR(INDEX(Drinks!$E$4:$E$53,MATCH($B1564,Drinks!$A$4:$A$53,0)),0))</f>
        <v/>
      </c>
      <c r="P1564" s="10" t="str">
        <f aca="false">IF($B1564="","",$N1564*$O1564)</f>
        <v/>
      </c>
      <c r="Q1564" s="10" t="str">
        <f aca="false">IF($B1564="","",$N1564*IFERROR(INDEX(Drinks!$D$4:$D$53,MATCH($B1564,Drinks!$A$4:$A$53,0)),0))</f>
        <v/>
      </c>
      <c r="R1564" s="10" t="str">
        <f aca="false">IF($B1564="","",$P1564-$Q1564)</f>
        <v/>
      </c>
      <c r="S1564" s="23" t="str">
        <f aca="false">IF($B1564="","",IF(COUNTIFS($A$4:$A$2003,$A1564-1,$B$4:$B$2003,$B1564)=0,"first day",IF(SUMIFS($M$4:$M$2003,$A$4:$A$2003,$A1564-1,$B$4:$B$2003,$B1564)=$J1564,"OK","CHECK")))</f>
        <v/>
      </c>
      <c r="T1564" s="10" t="str">
        <f aca="false">IF($B1564="","",IFERROR(INDEX(Drinks!$D$4:$D$53,MATCH($B1564,Drinks!$A$4:$A$53,0)),0))</f>
        <v/>
      </c>
    </row>
    <row r="1565" customFormat="false" ht="15" hidden="false" customHeight="false" outlineLevel="0" collapsed="false">
      <c r="A1565" s="22"/>
      <c r="B1565" s="9"/>
      <c r="C1565" s="9"/>
      <c r="D1565" s="9"/>
      <c r="E1565" s="9"/>
      <c r="F1565" s="10" t="str">
        <f aca="false">IF($B1565="","",$C1565+$D1565-$E1565)</f>
        <v/>
      </c>
      <c r="G1565" s="10" t="str">
        <f aca="false">IF($B1565="","",IFERROR(INDEX(Drinks!$C$4:$C$53,MATCH($B1565,Drinks!$A$4:$A$53,0)),0))</f>
        <v/>
      </c>
      <c r="H1565" s="10" t="str">
        <f aca="false">IF($B1565="","",$D1565*$G1565)</f>
        <v/>
      </c>
      <c r="I1565" s="10" t="str">
        <f aca="false">IF($B1565="","",$F1565*$G1565)</f>
        <v/>
      </c>
      <c r="J1565" s="9"/>
      <c r="K1565" s="10" t="str">
        <f aca="false">IF($B1565="","",$E1565*IFERROR(INDEX(Drinks!$B$4:$B$53,MATCH($B1565,Drinks!$A$4:$A$53,0)),0))</f>
        <v/>
      </c>
      <c r="L1565" s="10" t="str">
        <f aca="false">IF($B1565="","",$J1565+$K1565)</f>
        <v/>
      </c>
      <c r="M1565" s="9"/>
      <c r="N1565" s="10" t="str">
        <f aca="false">IF($B1565="","",$L1565-$M1565)</f>
        <v/>
      </c>
      <c r="O1565" s="10" t="str">
        <f aca="false">IF($B1565="","",IFERROR(INDEX(Drinks!$E$4:$E$53,MATCH($B1565,Drinks!$A$4:$A$53,0)),0))</f>
        <v/>
      </c>
      <c r="P1565" s="10" t="str">
        <f aca="false">IF($B1565="","",$N1565*$O1565)</f>
        <v/>
      </c>
      <c r="Q1565" s="10" t="str">
        <f aca="false">IF($B1565="","",$N1565*IFERROR(INDEX(Drinks!$D$4:$D$53,MATCH($B1565,Drinks!$A$4:$A$53,0)),0))</f>
        <v/>
      </c>
      <c r="R1565" s="10" t="str">
        <f aca="false">IF($B1565="","",$P1565-$Q1565)</f>
        <v/>
      </c>
      <c r="S1565" s="23" t="str">
        <f aca="false">IF($B1565="","",IF(COUNTIFS($A$4:$A$2003,$A1565-1,$B$4:$B$2003,$B1565)=0,"first day",IF(SUMIFS($M$4:$M$2003,$A$4:$A$2003,$A1565-1,$B$4:$B$2003,$B1565)=$J1565,"OK","CHECK")))</f>
        <v/>
      </c>
      <c r="T1565" s="10" t="str">
        <f aca="false">IF($B1565="","",IFERROR(INDEX(Drinks!$D$4:$D$53,MATCH($B1565,Drinks!$A$4:$A$53,0)),0))</f>
        <v/>
      </c>
    </row>
    <row r="1566" customFormat="false" ht="15" hidden="false" customHeight="false" outlineLevel="0" collapsed="false">
      <c r="A1566" s="22"/>
      <c r="B1566" s="9"/>
      <c r="C1566" s="9"/>
      <c r="D1566" s="9"/>
      <c r="E1566" s="9"/>
      <c r="F1566" s="10" t="str">
        <f aca="false">IF($B1566="","",$C1566+$D1566-$E1566)</f>
        <v/>
      </c>
      <c r="G1566" s="10" t="str">
        <f aca="false">IF($B1566="","",IFERROR(INDEX(Drinks!$C$4:$C$53,MATCH($B1566,Drinks!$A$4:$A$53,0)),0))</f>
        <v/>
      </c>
      <c r="H1566" s="10" t="str">
        <f aca="false">IF($B1566="","",$D1566*$G1566)</f>
        <v/>
      </c>
      <c r="I1566" s="10" t="str">
        <f aca="false">IF($B1566="","",$F1566*$G1566)</f>
        <v/>
      </c>
      <c r="J1566" s="9"/>
      <c r="K1566" s="10" t="str">
        <f aca="false">IF($B1566="","",$E1566*IFERROR(INDEX(Drinks!$B$4:$B$53,MATCH($B1566,Drinks!$A$4:$A$53,0)),0))</f>
        <v/>
      </c>
      <c r="L1566" s="10" t="str">
        <f aca="false">IF($B1566="","",$J1566+$K1566)</f>
        <v/>
      </c>
      <c r="M1566" s="9"/>
      <c r="N1566" s="10" t="str">
        <f aca="false">IF($B1566="","",$L1566-$M1566)</f>
        <v/>
      </c>
      <c r="O1566" s="10" t="str">
        <f aca="false">IF($B1566="","",IFERROR(INDEX(Drinks!$E$4:$E$53,MATCH($B1566,Drinks!$A$4:$A$53,0)),0))</f>
        <v/>
      </c>
      <c r="P1566" s="10" t="str">
        <f aca="false">IF($B1566="","",$N1566*$O1566)</f>
        <v/>
      </c>
      <c r="Q1566" s="10" t="str">
        <f aca="false">IF($B1566="","",$N1566*IFERROR(INDEX(Drinks!$D$4:$D$53,MATCH($B1566,Drinks!$A$4:$A$53,0)),0))</f>
        <v/>
      </c>
      <c r="R1566" s="10" t="str">
        <f aca="false">IF($B1566="","",$P1566-$Q1566)</f>
        <v/>
      </c>
      <c r="S1566" s="23" t="str">
        <f aca="false">IF($B1566="","",IF(COUNTIFS($A$4:$A$2003,$A1566-1,$B$4:$B$2003,$B1566)=0,"first day",IF(SUMIFS($M$4:$M$2003,$A$4:$A$2003,$A1566-1,$B$4:$B$2003,$B1566)=$J1566,"OK","CHECK")))</f>
        <v/>
      </c>
      <c r="T1566" s="10" t="str">
        <f aca="false">IF($B1566="","",IFERROR(INDEX(Drinks!$D$4:$D$53,MATCH($B1566,Drinks!$A$4:$A$53,0)),0))</f>
        <v/>
      </c>
    </row>
    <row r="1567" customFormat="false" ht="15" hidden="false" customHeight="false" outlineLevel="0" collapsed="false">
      <c r="A1567" s="22"/>
      <c r="B1567" s="9"/>
      <c r="C1567" s="9"/>
      <c r="D1567" s="9"/>
      <c r="E1567" s="9"/>
      <c r="F1567" s="10" t="str">
        <f aca="false">IF($B1567="","",$C1567+$D1567-$E1567)</f>
        <v/>
      </c>
      <c r="G1567" s="10" t="str">
        <f aca="false">IF($B1567="","",IFERROR(INDEX(Drinks!$C$4:$C$53,MATCH($B1567,Drinks!$A$4:$A$53,0)),0))</f>
        <v/>
      </c>
      <c r="H1567" s="10" t="str">
        <f aca="false">IF($B1567="","",$D1567*$G1567)</f>
        <v/>
      </c>
      <c r="I1567" s="10" t="str">
        <f aca="false">IF($B1567="","",$F1567*$G1567)</f>
        <v/>
      </c>
      <c r="J1567" s="9"/>
      <c r="K1567" s="10" t="str">
        <f aca="false">IF($B1567="","",$E1567*IFERROR(INDEX(Drinks!$B$4:$B$53,MATCH($B1567,Drinks!$A$4:$A$53,0)),0))</f>
        <v/>
      </c>
      <c r="L1567" s="10" t="str">
        <f aca="false">IF($B1567="","",$J1567+$K1567)</f>
        <v/>
      </c>
      <c r="M1567" s="9"/>
      <c r="N1567" s="10" t="str">
        <f aca="false">IF($B1567="","",$L1567-$M1567)</f>
        <v/>
      </c>
      <c r="O1567" s="10" t="str">
        <f aca="false">IF($B1567="","",IFERROR(INDEX(Drinks!$E$4:$E$53,MATCH($B1567,Drinks!$A$4:$A$53,0)),0))</f>
        <v/>
      </c>
      <c r="P1567" s="10" t="str">
        <f aca="false">IF($B1567="","",$N1567*$O1567)</f>
        <v/>
      </c>
      <c r="Q1567" s="10" t="str">
        <f aca="false">IF($B1567="","",$N1567*IFERROR(INDEX(Drinks!$D$4:$D$53,MATCH($B1567,Drinks!$A$4:$A$53,0)),0))</f>
        <v/>
      </c>
      <c r="R1567" s="10" t="str">
        <f aca="false">IF($B1567="","",$P1567-$Q1567)</f>
        <v/>
      </c>
      <c r="S1567" s="23" t="str">
        <f aca="false">IF($B1567="","",IF(COUNTIFS($A$4:$A$2003,$A1567-1,$B$4:$B$2003,$B1567)=0,"first day",IF(SUMIFS($M$4:$M$2003,$A$4:$A$2003,$A1567-1,$B$4:$B$2003,$B1567)=$J1567,"OK","CHECK")))</f>
        <v/>
      </c>
      <c r="T1567" s="10" t="str">
        <f aca="false">IF($B1567="","",IFERROR(INDEX(Drinks!$D$4:$D$53,MATCH($B1567,Drinks!$A$4:$A$53,0)),0))</f>
        <v/>
      </c>
    </row>
    <row r="1568" customFormat="false" ht="15" hidden="false" customHeight="false" outlineLevel="0" collapsed="false">
      <c r="A1568" s="22"/>
      <c r="B1568" s="9"/>
      <c r="C1568" s="9"/>
      <c r="D1568" s="9"/>
      <c r="E1568" s="9"/>
      <c r="F1568" s="10" t="str">
        <f aca="false">IF($B1568="","",$C1568+$D1568-$E1568)</f>
        <v/>
      </c>
      <c r="G1568" s="10" t="str">
        <f aca="false">IF($B1568="","",IFERROR(INDEX(Drinks!$C$4:$C$53,MATCH($B1568,Drinks!$A$4:$A$53,0)),0))</f>
        <v/>
      </c>
      <c r="H1568" s="10" t="str">
        <f aca="false">IF($B1568="","",$D1568*$G1568)</f>
        <v/>
      </c>
      <c r="I1568" s="10" t="str">
        <f aca="false">IF($B1568="","",$F1568*$G1568)</f>
        <v/>
      </c>
      <c r="J1568" s="9"/>
      <c r="K1568" s="10" t="str">
        <f aca="false">IF($B1568="","",$E1568*IFERROR(INDEX(Drinks!$B$4:$B$53,MATCH($B1568,Drinks!$A$4:$A$53,0)),0))</f>
        <v/>
      </c>
      <c r="L1568" s="10" t="str">
        <f aca="false">IF($B1568="","",$J1568+$K1568)</f>
        <v/>
      </c>
      <c r="M1568" s="9"/>
      <c r="N1568" s="10" t="str">
        <f aca="false">IF($B1568="","",$L1568-$M1568)</f>
        <v/>
      </c>
      <c r="O1568" s="10" t="str">
        <f aca="false">IF($B1568="","",IFERROR(INDEX(Drinks!$E$4:$E$53,MATCH($B1568,Drinks!$A$4:$A$53,0)),0))</f>
        <v/>
      </c>
      <c r="P1568" s="10" t="str">
        <f aca="false">IF($B1568="","",$N1568*$O1568)</f>
        <v/>
      </c>
      <c r="Q1568" s="10" t="str">
        <f aca="false">IF($B1568="","",$N1568*IFERROR(INDEX(Drinks!$D$4:$D$53,MATCH($B1568,Drinks!$A$4:$A$53,0)),0))</f>
        <v/>
      </c>
      <c r="R1568" s="10" t="str">
        <f aca="false">IF($B1568="","",$P1568-$Q1568)</f>
        <v/>
      </c>
      <c r="S1568" s="23" t="str">
        <f aca="false">IF($B1568="","",IF(COUNTIFS($A$4:$A$2003,$A1568-1,$B$4:$B$2003,$B1568)=0,"first day",IF(SUMIFS($M$4:$M$2003,$A$4:$A$2003,$A1568-1,$B$4:$B$2003,$B1568)=$J1568,"OK","CHECK")))</f>
        <v/>
      </c>
      <c r="T1568" s="10" t="str">
        <f aca="false">IF($B1568="","",IFERROR(INDEX(Drinks!$D$4:$D$53,MATCH($B1568,Drinks!$A$4:$A$53,0)),0))</f>
        <v/>
      </c>
    </row>
    <row r="1569" customFormat="false" ht="15" hidden="false" customHeight="false" outlineLevel="0" collapsed="false">
      <c r="A1569" s="22"/>
      <c r="B1569" s="9"/>
      <c r="C1569" s="9"/>
      <c r="D1569" s="9"/>
      <c r="E1569" s="9"/>
      <c r="F1569" s="10" t="str">
        <f aca="false">IF($B1569="","",$C1569+$D1569-$E1569)</f>
        <v/>
      </c>
      <c r="G1569" s="10" t="str">
        <f aca="false">IF($B1569="","",IFERROR(INDEX(Drinks!$C$4:$C$53,MATCH($B1569,Drinks!$A$4:$A$53,0)),0))</f>
        <v/>
      </c>
      <c r="H1569" s="10" t="str">
        <f aca="false">IF($B1569="","",$D1569*$G1569)</f>
        <v/>
      </c>
      <c r="I1569" s="10" t="str">
        <f aca="false">IF($B1569="","",$F1569*$G1569)</f>
        <v/>
      </c>
      <c r="J1569" s="9"/>
      <c r="K1569" s="10" t="str">
        <f aca="false">IF($B1569="","",$E1569*IFERROR(INDEX(Drinks!$B$4:$B$53,MATCH($B1569,Drinks!$A$4:$A$53,0)),0))</f>
        <v/>
      </c>
      <c r="L1569" s="10" t="str">
        <f aca="false">IF($B1569="","",$J1569+$K1569)</f>
        <v/>
      </c>
      <c r="M1569" s="9"/>
      <c r="N1569" s="10" t="str">
        <f aca="false">IF($B1569="","",$L1569-$M1569)</f>
        <v/>
      </c>
      <c r="O1569" s="10" t="str">
        <f aca="false">IF($B1569="","",IFERROR(INDEX(Drinks!$E$4:$E$53,MATCH($B1569,Drinks!$A$4:$A$53,0)),0))</f>
        <v/>
      </c>
      <c r="P1569" s="10" t="str">
        <f aca="false">IF($B1569="","",$N1569*$O1569)</f>
        <v/>
      </c>
      <c r="Q1569" s="10" t="str">
        <f aca="false">IF($B1569="","",$N1569*IFERROR(INDEX(Drinks!$D$4:$D$53,MATCH($B1569,Drinks!$A$4:$A$53,0)),0))</f>
        <v/>
      </c>
      <c r="R1569" s="10" t="str">
        <f aca="false">IF($B1569="","",$P1569-$Q1569)</f>
        <v/>
      </c>
      <c r="S1569" s="23" t="str">
        <f aca="false">IF($B1569="","",IF(COUNTIFS($A$4:$A$2003,$A1569-1,$B$4:$B$2003,$B1569)=0,"first day",IF(SUMIFS($M$4:$M$2003,$A$4:$A$2003,$A1569-1,$B$4:$B$2003,$B1569)=$J1569,"OK","CHECK")))</f>
        <v/>
      </c>
      <c r="T1569" s="10" t="str">
        <f aca="false">IF($B1569="","",IFERROR(INDEX(Drinks!$D$4:$D$53,MATCH($B1569,Drinks!$A$4:$A$53,0)),0))</f>
        <v/>
      </c>
    </row>
    <row r="1570" customFormat="false" ht="15" hidden="false" customHeight="false" outlineLevel="0" collapsed="false">
      <c r="A1570" s="22"/>
      <c r="B1570" s="9"/>
      <c r="C1570" s="9"/>
      <c r="D1570" s="9"/>
      <c r="E1570" s="9"/>
      <c r="F1570" s="10" t="str">
        <f aca="false">IF($B1570="","",$C1570+$D1570-$E1570)</f>
        <v/>
      </c>
      <c r="G1570" s="10" t="str">
        <f aca="false">IF($B1570="","",IFERROR(INDEX(Drinks!$C$4:$C$53,MATCH($B1570,Drinks!$A$4:$A$53,0)),0))</f>
        <v/>
      </c>
      <c r="H1570" s="10" t="str">
        <f aca="false">IF($B1570="","",$D1570*$G1570)</f>
        <v/>
      </c>
      <c r="I1570" s="10" t="str">
        <f aca="false">IF($B1570="","",$F1570*$G1570)</f>
        <v/>
      </c>
      <c r="J1570" s="9"/>
      <c r="K1570" s="10" t="str">
        <f aca="false">IF($B1570="","",$E1570*IFERROR(INDEX(Drinks!$B$4:$B$53,MATCH($B1570,Drinks!$A$4:$A$53,0)),0))</f>
        <v/>
      </c>
      <c r="L1570" s="10" t="str">
        <f aca="false">IF($B1570="","",$J1570+$K1570)</f>
        <v/>
      </c>
      <c r="M1570" s="9"/>
      <c r="N1570" s="10" t="str">
        <f aca="false">IF($B1570="","",$L1570-$M1570)</f>
        <v/>
      </c>
      <c r="O1570" s="10" t="str">
        <f aca="false">IF($B1570="","",IFERROR(INDEX(Drinks!$E$4:$E$53,MATCH($B1570,Drinks!$A$4:$A$53,0)),0))</f>
        <v/>
      </c>
      <c r="P1570" s="10" t="str">
        <f aca="false">IF($B1570="","",$N1570*$O1570)</f>
        <v/>
      </c>
      <c r="Q1570" s="10" t="str">
        <f aca="false">IF($B1570="","",$N1570*IFERROR(INDEX(Drinks!$D$4:$D$53,MATCH($B1570,Drinks!$A$4:$A$53,0)),0))</f>
        <v/>
      </c>
      <c r="R1570" s="10" t="str">
        <f aca="false">IF($B1570="","",$P1570-$Q1570)</f>
        <v/>
      </c>
      <c r="S1570" s="23" t="str">
        <f aca="false">IF($B1570="","",IF(COUNTIFS($A$4:$A$2003,$A1570-1,$B$4:$B$2003,$B1570)=0,"first day",IF(SUMIFS($M$4:$M$2003,$A$4:$A$2003,$A1570-1,$B$4:$B$2003,$B1570)=$J1570,"OK","CHECK")))</f>
        <v/>
      </c>
      <c r="T1570" s="10" t="str">
        <f aca="false">IF($B1570="","",IFERROR(INDEX(Drinks!$D$4:$D$53,MATCH($B1570,Drinks!$A$4:$A$53,0)),0))</f>
        <v/>
      </c>
    </row>
    <row r="1571" customFormat="false" ht="15" hidden="false" customHeight="false" outlineLevel="0" collapsed="false">
      <c r="A1571" s="22"/>
      <c r="B1571" s="9"/>
      <c r="C1571" s="9"/>
      <c r="D1571" s="9"/>
      <c r="E1571" s="9"/>
      <c r="F1571" s="10" t="str">
        <f aca="false">IF($B1571="","",$C1571+$D1571-$E1571)</f>
        <v/>
      </c>
      <c r="G1571" s="10" t="str">
        <f aca="false">IF($B1571="","",IFERROR(INDEX(Drinks!$C$4:$C$53,MATCH($B1571,Drinks!$A$4:$A$53,0)),0))</f>
        <v/>
      </c>
      <c r="H1571" s="10" t="str">
        <f aca="false">IF($B1571="","",$D1571*$G1571)</f>
        <v/>
      </c>
      <c r="I1571" s="10" t="str">
        <f aca="false">IF($B1571="","",$F1571*$G1571)</f>
        <v/>
      </c>
      <c r="J1571" s="9"/>
      <c r="K1571" s="10" t="str">
        <f aca="false">IF($B1571="","",$E1571*IFERROR(INDEX(Drinks!$B$4:$B$53,MATCH($B1571,Drinks!$A$4:$A$53,0)),0))</f>
        <v/>
      </c>
      <c r="L1571" s="10" t="str">
        <f aca="false">IF($B1571="","",$J1571+$K1571)</f>
        <v/>
      </c>
      <c r="M1571" s="9"/>
      <c r="N1571" s="10" t="str">
        <f aca="false">IF($B1571="","",$L1571-$M1571)</f>
        <v/>
      </c>
      <c r="O1571" s="10" t="str">
        <f aca="false">IF($B1571="","",IFERROR(INDEX(Drinks!$E$4:$E$53,MATCH($B1571,Drinks!$A$4:$A$53,0)),0))</f>
        <v/>
      </c>
      <c r="P1571" s="10" t="str">
        <f aca="false">IF($B1571="","",$N1571*$O1571)</f>
        <v/>
      </c>
      <c r="Q1571" s="10" t="str">
        <f aca="false">IF($B1571="","",$N1571*IFERROR(INDEX(Drinks!$D$4:$D$53,MATCH($B1571,Drinks!$A$4:$A$53,0)),0))</f>
        <v/>
      </c>
      <c r="R1571" s="10" t="str">
        <f aca="false">IF($B1571="","",$P1571-$Q1571)</f>
        <v/>
      </c>
      <c r="S1571" s="23" t="str">
        <f aca="false">IF($B1571="","",IF(COUNTIFS($A$4:$A$2003,$A1571-1,$B$4:$B$2003,$B1571)=0,"first day",IF(SUMIFS($M$4:$M$2003,$A$4:$A$2003,$A1571-1,$B$4:$B$2003,$B1571)=$J1571,"OK","CHECK")))</f>
        <v/>
      </c>
      <c r="T1571" s="10" t="str">
        <f aca="false">IF($B1571="","",IFERROR(INDEX(Drinks!$D$4:$D$53,MATCH($B1571,Drinks!$A$4:$A$53,0)),0))</f>
        <v/>
      </c>
    </row>
    <row r="1572" customFormat="false" ht="15" hidden="false" customHeight="false" outlineLevel="0" collapsed="false">
      <c r="A1572" s="22"/>
      <c r="B1572" s="9"/>
      <c r="C1572" s="9"/>
      <c r="D1572" s="9"/>
      <c r="E1572" s="9"/>
      <c r="F1572" s="10" t="str">
        <f aca="false">IF($B1572="","",$C1572+$D1572-$E1572)</f>
        <v/>
      </c>
      <c r="G1572" s="10" t="str">
        <f aca="false">IF($B1572="","",IFERROR(INDEX(Drinks!$C$4:$C$53,MATCH($B1572,Drinks!$A$4:$A$53,0)),0))</f>
        <v/>
      </c>
      <c r="H1572" s="10" t="str">
        <f aca="false">IF($B1572="","",$D1572*$G1572)</f>
        <v/>
      </c>
      <c r="I1572" s="10" t="str">
        <f aca="false">IF($B1572="","",$F1572*$G1572)</f>
        <v/>
      </c>
      <c r="J1572" s="9"/>
      <c r="K1572" s="10" t="str">
        <f aca="false">IF($B1572="","",$E1572*IFERROR(INDEX(Drinks!$B$4:$B$53,MATCH($B1572,Drinks!$A$4:$A$53,0)),0))</f>
        <v/>
      </c>
      <c r="L1572" s="10" t="str">
        <f aca="false">IF($B1572="","",$J1572+$K1572)</f>
        <v/>
      </c>
      <c r="M1572" s="9"/>
      <c r="N1572" s="10" t="str">
        <f aca="false">IF($B1572="","",$L1572-$M1572)</f>
        <v/>
      </c>
      <c r="O1572" s="10" t="str">
        <f aca="false">IF($B1572="","",IFERROR(INDEX(Drinks!$E$4:$E$53,MATCH($B1572,Drinks!$A$4:$A$53,0)),0))</f>
        <v/>
      </c>
      <c r="P1572" s="10" t="str">
        <f aca="false">IF($B1572="","",$N1572*$O1572)</f>
        <v/>
      </c>
      <c r="Q1572" s="10" t="str">
        <f aca="false">IF($B1572="","",$N1572*IFERROR(INDEX(Drinks!$D$4:$D$53,MATCH($B1572,Drinks!$A$4:$A$53,0)),0))</f>
        <v/>
      </c>
      <c r="R1572" s="10" t="str">
        <f aca="false">IF($B1572="","",$P1572-$Q1572)</f>
        <v/>
      </c>
      <c r="S1572" s="23" t="str">
        <f aca="false">IF($B1572="","",IF(COUNTIFS($A$4:$A$2003,$A1572-1,$B$4:$B$2003,$B1572)=0,"first day",IF(SUMIFS($M$4:$M$2003,$A$4:$A$2003,$A1572-1,$B$4:$B$2003,$B1572)=$J1572,"OK","CHECK")))</f>
        <v/>
      </c>
      <c r="T1572" s="10" t="str">
        <f aca="false">IF($B1572="","",IFERROR(INDEX(Drinks!$D$4:$D$53,MATCH($B1572,Drinks!$A$4:$A$53,0)),0))</f>
        <v/>
      </c>
    </row>
    <row r="1573" customFormat="false" ht="15" hidden="false" customHeight="false" outlineLevel="0" collapsed="false">
      <c r="A1573" s="22"/>
      <c r="B1573" s="9"/>
      <c r="C1573" s="9"/>
      <c r="D1573" s="9"/>
      <c r="E1573" s="9"/>
      <c r="F1573" s="10" t="str">
        <f aca="false">IF($B1573="","",$C1573+$D1573-$E1573)</f>
        <v/>
      </c>
      <c r="G1573" s="10" t="str">
        <f aca="false">IF($B1573="","",IFERROR(INDEX(Drinks!$C$4:$C$53,MATCH($B1573,Drinks!$A$4:$A$53,0)),0))</f>
        <v/>
      </c>
      <c r="H1573" s="10" t="str">
        <f aca="false">IF($B1573="","",$D1573*$G1573)</f>
        <v/>
      </c>
      <c r="I1573" s="10" t="str">
        <f aca="false">IF($B1573="","",$F1573*$G1573)</f>
        <v/>
      </c>
      <c r="J1573" s="9"/>
      <c r="K1573" s="10" t="str">
        <f aca="false">IF($B1573="","",$E1573*IFERROR(INDEX(Drinks!$B$4:$B$53,MATCH($B1573,Drinks!$A$4:$A$53,0)),0))</f>
        <v/>
      </c>
      <c r="L1573" s="10" t="str">
        <f aca="false">IF($B1573="","",$J1573+$K1573)</f>
        <v/>
      </c>
      <c r="M1573" s="9"/>
      <c r="N1573" s="10" t="str">
        <f aca="false">IF($B1573="","",$L1573-$M1573)</f>
        <v/>
      </c>
      <c r="O1573" s="10" t="str">
        <f aca="false">IF($B1573="","",IFERROR(INDEX(Drinks!$E$4:$E$53,MATCH($B1573,Drinks!$A$4:$A$53,0)),0))</f>
        <v/>
      </c>
      <c r="P1573" s="10" t="str">
        <f aca="false">IF($B1573="","",$N1573*$O1573)</f>
        <v/>
      </c>
      <c r="Q1573" s="10" t="str">
        <f aca="false">IF($B1573="","",$N1573*IFERROR(INDEX(Drinks!$D$4:$D$53,MATCH($B1573,Drinks!$A$4:$A$53,0)),0))</f>
        <v/>
      </c>
      <c r="R1573" s="10" t="str">
        <f aca="false">IF($B1573="","",$P1573-$Q1573)</f>
        <v/>
      </c>
      <c r="S1573" s="23" t="str">
        <f aca="false">IF($B1573="","",IF(COUNTIFS($A$4:$A$2003,$A1573-1,$B$4:$B$2003,$B1573)=0,"first day",IF(SUMIFS($M$4:$M$2003,$A$4:$A$2003,$A1573-1,$B$4:$B$2003,$B1573)=$J1573,"OK","CHECK")))</f>
        <v/>
      </c>
      <c r="T1573" s="10" t="str">
        <f aca="false">IF($B1573="","",IFERROR(INDEX(Drinks!$D$4:$D$53,MATCH($B1573,Drinks!$A$4:$A$53,0)),0))</f>
        <v/>
      </c>
    </row>
    <row r="1574" customFormat="false" ht="15" hidden="false" customHeight="false" outlineLevel="0" collapsed="false">
      <c r="A1574" s="22"/>
      <c r="B1574" s="9"/>
      <c r="C1574" s="9"/>
      <c r="D1574" s="9"/>
      <c r="E1574" s="9"/>
      <c r="F1574" s="10" t="str">
        <f aca="false">IF($B1574="","",$C1574+$D1574-$E1574)</f>
        <v/>
      </c>
      <c r="G1574" s="10" t="str">
        <f aca="false">IF($B1574="","",IFERROR(INDEX(Drinks!$C$4:$C$53,MATCH($B1574,Drinks!$A$4:$A$53,0)),0))</f>
        <v/>
      </c>
      <c r="H1574" s="10" t="str">
        <f aca="false">IF($B1574="","",$D1574*$G1574)</f>
        <v/>
      </c>
      <c r="I1574" s="10" t="str">
        <f aca="false">IF($B1574="","",$F1574*$G1574)</f>
        <v/>
      </c>
      <c r="J1574" s="9"/>
      <c r="K1574" s="10" t="str">
        <f aca="false">IF($B1574="","",$E1574*IFERROR(INDEX(Drinks!$B$4:$B$53,MATCH($B1574,Drinks!$A$4:$A$53,0)),0))</f>
        <v/>
      </c>
      <c r="L1574" s="10" t="str">
        <f aca="false">IF($B1574="","",$J1574+$K1574)</f>
        <v/>
      </c>
      <c r="M1574" s="9"/>
      <c r="N1574" s="10" t="str">
        <f aca="false">IF($B1574="","",$L1574-$M1574)</f>
        <v/>
      </c>
      <c r="O1574" s="10" t="str">
        <f aca="false">IF($B1574="","",IFERROR(INDEX(Drinks!$E$4:$E$53,MATCH($B1574,Drinks!$A$4:$A$53,0)),0))</f>
        <v/>
      </c>
      <c r="P1574" s="10" t="str">
        <f aca="false">IF($B1574="","",$N1574*$O1574)</f>
        <v/>
      </c>
      <c r="Q1574" s="10" t="str">
        <f aca="false">IF($B1574="","",$N1574*IFERROR(INDEX(Drinks!$D$4:$D$53,MATCH($B1574,Drinks!$A$4:$A$53,0)),0))</f>
        <v/>
      </c>
      <c r="R1574" s="10" t="str">
        <f aca="false">IF($B1574="","",$P1574-$Q1574)</f>
        <v/>
      </c>
      <c r="S1574" s="23" t="str">
        <f aca="false">IF($B1574="","",IF(COUNTIFS($A$4:$A$2003,$A1574-1,$B$4:$B$2003,$B1574)=0,"first day",IF(SUMIFS($M$4:$M$2003,$A$4:$A$2003,$A1574-1,$B$4:$B$2003,$B1574)=$J1574,"OK","CHECK")))</f>
        <v/>
      </c>
      <c r="T1574" s="10" t="str">
        <f aca="false">IF($B1574="","",IFERROR(INDEX(Drinks!$D$4:$D$53,MATCH($B1574,Drinks!$A$4:$A$53,0)),0))</f>
        <v/>
      </c>
    </row>
    <row r="1575" customFormat="false" ht="15" hidden="false" customHeight="false" outlineLevel="0" collapsed="false">
      <c r="A1575" s="22"/>
      <c r="B1575" s="9"/>
      <c r="C1575" s="9"/>
      <c r="D1575" s="9"/>
      <c r="E1575" s="9"/>
      <c r="F1575" s="10" t="str">
        <f aca="false">IF($B1575="","",$C1575+$D1575-$E1575)</f>
        <v/>
      </c>
      <c r="G1575" s="10" t="str">
        <f aca="false">IF($B1575="","",IFERROR(INDEX(Drinks!$C$4:$C$53,MATCH($B1575,Drinks!$A$4:$A$53,0)),0))</f>
        <v/>
      </c>
      <c r="H1575" s="10" t="str">
        <f aca="false">IF($B1575="","",$D1575*$G1575)</f>
        <v/>
      </c>
      <c r="I1575" s="10" t="str">
        <f aca="false">IF($B1575="","",$F1575*$G1575)</f>
        <v/>
      </c>
      <c r="J1575" s="9"/>
      <c r="K1575" s="10" t="str">
        <f aca="false">IF($B1575="","",$E1575*IFERROR(INDEX(Drinks!$B$4:$B$53,MATCH($B1575,Drinks!$A$4:$A$53,0)),0))</f>
        <v/>
      </c>
      <c r="L1575" s="10" t="str">
        <f aca="false">IF($B1575="","",$J1575+$K1575)</f>
        <v/>
      </c>
      <c r="M1575" s="9"/>
      <c r="N1575" s="10" t="str">
        <f aca="false">IF($B1575="","",$L1575-$M1575)</f>
        <v/>
      </c>
      <c r="O1575" s="10" t="str">
        <f aca="false">IF($B1575="","",IFERROR(INDEX(Drinks!$E$4:$E$53,MATCH($B1575,Drinks!$A$4:$A$53,0)),0))</f>
        <v/>
      </c>
      <c r="P1575" s="10" t="str">
        <f aca="false">IF($B1575="","",$N1575*$O1575)</f>
        <v/>
      </c>
      <c r="Q1575" s="10" t="str">
        <f aca="false">IF($B1575="","",$N1575*IFERROR(INDEX(Drinks!$D$4:$D$53,MATCH($B1575,Drinks!$A$4:$A$53,0)),0))</f>
        <v/>
      </c>
      <c r="R1575" s="10" t="str">
        <f aca="false">IF($B1575="","",$P1575-$Q1575)</f>
        <v/>
      </c>
      <c r="S1575" s="23" t="str">
        <f aca="false">IF($B1575="","",IF(COUNTIFS($A$4:$A$2003,$A1575-1,$B$4:$B$2003,$B1575)=0,"first day",IF(SUMIFS($M$4:$M$2003,$A$4:$A$2003,$A1575-1,$B$4:$B$2003,$B1575)=$J1575,"OK","CHECK")))</f>
        <v/>
      </c>
      <c r="T1575" s="10" t="str">
        <f aca="false">IF($B1575="","",IFERROR(INDEX(Drinks!$D$4:$D$53,MATCH($B1575,Drinks!$A$4:$A$53,0)),0))</f>
        <v/>
      </c>
    </row>
    <row r="1576" customFormat="false" ht="15" hidden="false" customHeight="false" outlineLevel="0" collapsed="false">
      <c r="A1576" s="22"/>
      <c r="B1576" s="9"/>
      <c r="C1576" s="9"/>
      <c r="D1576" s="9"/>
      <c r="E1576" s="9"/>
      <c r="F1576" s="10" t="str">
        <f aca="false">IF($B1576="","",$C1576+$D1576-$E1576)</f>
        <v/>
      </c>
      <c r="G1576" s="10" t="str">
        <f aca="false">IF($B1576="","",IFERROR(INDEX(Drinks!$C$4:$C$53,MATCH($B1576,Drinks!$A$4:$A$53,0)),0))</f>
        <v/>
      </c>
      <c r="H1576" s="10" t="str">
        <f aca="false">IF($B1576="","",$D1576*$G1576)</f>
        <v/>
      </c>
      <c r="I1576" s="10" t="str">
        <f aca="false">IF($B1576="","",$F1576*$G1576)</f>
        <v/>
      </c>
      <c r="J1576" s="9"/>
      <c r="K1576" s="10" t="str">
        <f aca="false">IF($B1576="","",$E1576*IFERROR(INDEX(Drinks!$B$4:$B$53,MATCH($B1576,Drinks!$A$4:$A$53,0)),0))</f>
        <v/>
      </c>
      <c r="L1576" s="10" t="str">
        <f aca="false">IF($B1576="","",$J1576+$K1576)</f>
        <v/>
      </c>
      <c r="M1576" s="9"/>
      <c r="N1576" s="10" t="str">
        <f aca="false">IF($B1576="","",$L1576-$M1576)</f>
        <v/>
      </c>
      <c r="O1576" s="10" t="str">
        <f aca="false">IF($B1576="","",IFERROR(INDEX(Drinks!$E$4:$E$53,MATCH($B1576,Drinks!$A$4:$A$53,0)),0))</f>
        <v/>
      </c>
      <c r="P1576" s="10" t="str">
        <f aca="false">IF($B1576="","",$N1576*$O1576)</f>
        <v/>
      </c>
      <c r="Q1576" s="10" t="str">
        <f aca="false">IF($B1576="","",$N1576*IFERROR(INDEX(Drinks!$D$4:$D$53,MATCH($B1576,Drinks!$A$4:$A$53,0)),0))</f>
        <v/>
      </c>
      <c r="R1576" s="10" t="str">
        <f aca="false">IF($B1576="","",$P1576-$Q1576)</f>
        <v/>
      </c>
      <c r="S1576" s="23" t="str">
        <f aca="false">IF($B1576="","",IF(COUNTIFS($A$4:$A$2003,$A1576-1,$B$4:$B$2003,$B1576)=0,"first day",IF(SUMIFS($M$4:$M$2003,$A$4:$A$2003,$A1576-1,$B$4:$B$2003,$B1576)=$J1576,"OK","CHECK")))</f>
        <v/>
      </c>
      <c r="T1576" s="10" t="str">
        <f aca="false">IF($B1576="","",IFERROR(INDEX(Drinks!$D$4:$D$53,MATCH($B1576,Drinks!$A$4:$A$53,0)),0))</f>
        <v/>
      </c>
    </row>
    <row r="1577" customFormat="false" ht="15" hidden="false" customHeight="false" outlineLevel="0" collapsed="false">
      <c r="A1577" s="22"/>
      <c r="B1577" s="9"/>
      <c r="C1577" s="9"/>
      <c r="D1577" s="9"/>
      <c r="E1577" s="9"/>
      <c r="F1577" s="10" t="str">
        <f aca="false">IF($B1577="","",$C1577+$D1577-$E1577)</f>
        <v/>
      </c>
      <c r="G1577" s="10" t="str">
        <f aca="false">IF($B1577="","",IFERROR(INDEX(Drinks!$C$4:$C$53,MATCH($B1577,Drinks!$A$4:$A$53,0)),0))</f>
        <v/>
      </c>
      <c r="H1577" s="10" t="str">
        <f aca="false">IF($B1577="","",$D1577*$G1577)</f>
        <v/>
      </c>
      <c r="I1577" s="10" t="str">
        <f aca="false">IF($B1577="","",$F1577*$G1577)</f>
        <v/>
      </c>
      <c r="J1577" s="9"/>
      <c r="K1577" s="10" t="str">
        <f aca="false">IF($B1577="","",$E1577*IFERROR(INDEX(Drinks!$B$4:$B$53,MATCH($B1577,Drinks!$A$4:$A$53,0)),0))</f>
        <v/>
      </c>
      <c r="L1577" s="10" t="str">
        <f aca="false">IF($B1577="","",$J1577+$K1577)</f>
        <v/>
      </c>
      <c r="M1577" s="9"/>
      <c r="N1577" s="10" t="str">
        <f aca="false">IF($B1577="","",$L1577-$M1577)</f>
        <v/>
      </c>
      <c r="O1577" s="10" t="str">
        <f aca="false">IF($B1577="","",IFERROR(INDEX(Drinks!$E$4:$E$53,MATCH($B1577,Drinks!$A$4:$A$53,0)),0))</f>
        <v/>
      </c>
      <c r="P1577" s="10" t="str">
        <f aca="false">IF($B1577="","",$N1577*$O1577)</f>
        <v/>
      </c>
      <c r="Q1577" s="10" t="str">
        <f aca="false">IF($B1577="","",$N1577*IFERROR(INDEX(Drinks!$D$4:$D$53,MATCH($B1577,Drinks!$A$4:$A$53,0)),0))</f>
        <v/>
      </c>
      <c r="R1577" s="10" t="str">
        <f aca="false">IF($B1577="","",$P1577-$Q1577)</f>
        <v/>
      </c>
      <c r="S1577" s="23" t="str">
        <f aca="false">IF($B1577="","",IF(COUNTIFS($A$4:$A$2003,$A1577-1,$B$4:$B$2003,$B1577)=0,"first day",IF(SUMIFS($M$4:$M$2003,$A$4:$A$2003,$A1577-1,$B$4:$B$2003,$B1577)=$J1577,"OK","CHECK")))</f>
        <v/>
      </c>
      <c r="T1577" s="10" t="str">
        <f aca="false">IF($B1577="","",IFERROR(INDEX(Drinks!$D$4:$D$53,MATCH($B1577,Drinks!$A$4:$A$53,0)),0))</f>
        <v/>
      </c>
    </row>
    <row r="1578" customFormat="false" ht="15" hidden="false" customHeight="false" outlineLevel="0" collapsed="false">
      <c r="A1578" s="22"/>
      <c r="B1578" s="9"/>
      <c r="C1578" s="9"/>
      <c r="D1578" s="9"/>
      <c r="E1578" s="9"/>
      <c r="F1578" s="10" t="str">
        <f aca="false">IF($B1578="","",$C1578+$D1578-$E1578)</f>
        <v/>
      </c>
      <c r="G1578" s="10" t="str">
        <f aca="false">IF($B1578="","",IFERROR(INDEX(Drinks!$C$4:$C$53,MATCH($B1578,Drinks!$A$4:$A$53,0)),0))</f>
        <v/>
      </c>
      <c r="H1578" s="10" t="str">
        <f aca="false">IF($B1578="","",$D1578*$G1578)</f>
        <v/>
      </c>
      <c r="I1578" s="10" t="str">
        <f aca="false">IF($B1578="","",$F1578*$G1578)</f>
        <v/>
      </c>
      <c r="J1578" s="9"/>
      <c r="K1578" s="10" t="str">
        <f aca="false">IF($B1578="","",$E1578*IFERROR(INDEX(Drinks!$B$4:$B$53,MATCH($B1578,Drinks!$A$4:$A$53,0)),0))</f>
        <v/>
      </c>
      <c r="L1578" s="10" t="str">
        <f aca="false">IF($B1578="","",$J1578+$K1578)</f>
        <v/>
      </c>
      <c r="M1578" s="9"/>
      <c r="N1578" s="10" t="str">
        <f aca="false">IF($B1578="","",$L1578-$M1578)</f>
        <v/>
      </c>
      <c r="O1578" s="10" t="str">
        <f aca="false">IF($B1578="","",IFERROR(INDEX(Drinks!$E$4:$E$53,MATCH($B1578,Drinks!$A$4:$A$53,0)),0))</f>
        <v/>
      </c>
      <c r="P1578" s="10" t="str">
        <f aca="false">IF($B1578="","",$N1578*$O1578)</f>
        <v/>
      </c>
      <c r="Q1578" s="10" t="str">
        <f aca="false">IF($B1578="","",$N1578*IFERROR(INDEX(Drinks!$D$4:$D$53,MATCH($B1578,Drinks!$A$4:$A$53,0)),0))</f>
        <v/>
      </c>
      <c r="R1578" s="10" t="str">
        <f aca="false">IF($B1578="","",$P1578-$Q1578)</f>
        <v/>
      </c>
      <c r="S1578" s="23" t="str">
        <f aca="false">IF($B1578="","",IF(COUNTIFS($A$4:$A$2003,$A1578-1,$B$4:$B$2003,$B1578)=0,"first day",IF(SUMIFS($M$4:$M$2003,$A$4:$A$2003,$A1578-1,$B$4:$B$2003,$B1578)=$J1578,"OK","CHECK")))</f>
        <v/>
      </c>
      <c r="T1578" s="10" t="str">
        <f aca="false">IF($B1578="","",IFERROR(INDEX(Drinks!$D$4:$D$53,MATCH($B1578,Drinks!$A$4:$A$53,0)),0))</f>
        <v/>
      </c>
    </row>
    <row r="1579" customFormat="false" ht="15" hidden="false" customHeight="false" outlineLevel="0" collapsed="false">
      <c r="A1579" s="22"/>
      <c r="B1579" s="9"/>
      <c r="C1579" s="9"/>
      <c r="D1579" s="9"/>
      <c r="E1579" s="9"/>
      <c r="F1579" s="10" t="str">
        <f aca="false">IF($B1579="","",$C1579+$D1579-$E1579)</f>
        <v/>
      </c>
      <c r="G1579" s="10" t="str">
        <f aca="false">IF($B1579="","",IFERROR(INDEX(Drinks!$C$4:$C$53,MATCH($B1579,Drinks!$A$4:$A$53,0)),0))</f>
        <v/>
      </c>
      <c r="H1579" s="10" t="str">
        <f aca="false">IF($B1579="","",$D1579*$G1579)</f>
        <v/>
      </c>
      <c r="I1579" s="10" t="str">
        <f aca="false">IF($B1579="","",$F1579*$G1579)</f>
        <v/>
      </c>
      <c r="J1579" s="9"/>
      <c r="K1579" s="10" t="str">
        <f aca="false">IF($B1579="","",$E1579*IFERROR(INDEX(Drinks!$B$4:$B$53,MATCH($B1579,Drinks!$A$4:$A$53,0)),0))</f>
        <v/>
      </c>
      <c r="L1579" s="10" t="str">
        <f aca="false">IF($B1579="","",$J1579+$K1579)</f>
        <v/>
      </c>
      <c r="M1579" s="9"/>
      <c r="N1579" s="10" t="str">
        <f aca="false">IF($B1579="","",$L1579-$M1579)</f>
        <v/>
      </c>
      <c r="O1579" s="10" t="str">
        <f aca="false">IF($B1579="","",IFERROR(INDEX(Drinks!$E$4:$E$53,MATCH($B1579,Drinks!$A$4:$A$53,0)),0))</f>
        <v/>
      </c>
      <c r="P1579" s="10" t="str">
        <f aca="false">IF($B1579="","",$N1579*$O1579)</f>
        <v/>
      </c>
      <c r="Q1579" s="10" t="str">
        <f aca="false">IF($B1579="","",$N1579*IFERROR(INDEX(Drinks!$D$4:$D$53,MATCH($B1579,Drinks!$A$4:$A$53,0)),0))</f>
        <v/>
      </c>
      <c r="R1579" s="10" t="str">
        <f aca="false">IF($B1579="","",$P1579-$Q1579)</f>
        <v/>
      </c>
      <c r="S1579" s="23" t="str">
        <f aca="false">IF($B1579="","",IF(COUNTIFS($A$4:$A$2003,$A1579-1,$B$4:$B$2003,$B1579)=0,"first day",IF(SUMIFS($M$4:$M$2003,$A$4:$A$2003,$A1579-1,$B$4:$B$2003,$B1579)=$J1579,"OK","CHECK")))</f>
        <v/>
      </c>
      <c r="T1579" s="10" t="str">
        <f aca="false">IF($B1579="","",IFERROR(INDEX(Drinks!$D$4:$D$53,MATCH($B1579,Drinks!$A$4:$A$53,0)),0))</f>
        <v/>
      </c>
    </row>
    <row r="1580" customFormat="false" ht="15" hidden="false" customHeight="false" outlineLevel="0" collapsed="false">
      <c r="A1580" s="22"/>
      <c r="B1580" s="9"/>
      <c r="C1580" s="9"/>
      <c r="D1580" s="9"/>
      <c r="E1580" s="9"/>
      <c r="F1580" s="10" t="str">
        <f aca="false">IF($B1580="","",$C1580+$D1580-$E1580)</f>
        <v/>
      </c>
      <c r="G1580" s="10" t="str">
        <f aca="false">IF($B1580="","",IFERROR(INDEX(Drinks!$C$4:$C$53,MATCH($B1580,Drinks!$A$4:$A$53,0)),0))</f>
        <v/>
      </c>
      <c r="H1580" s="10" t="str">
        <f aca="false">IF($B1580="","",$D1580*$G1580)</f>
        <v/>
      </c>
      <c r="I1580" s="10" t="str">
        <f aca="false">IF($B1580="","",$F1580*$G1580)</f>
        <v/>
      </c>
      <c r="J1580" s="9"/>
      <c r="K1580" s="10" t="str">
        <f aca="false">IF($B1580="","",$E1580*IFERROR(INDEX(Drinks!$B$4:$B$53,MATCH($B1580,Drinks!$A$4:$A$53,0)),0))</f>
        <v/>
      </c>
      <c r="L1580" s="10" t="str">
        <f aca="false">IF($B1580="","",$J1580+$K1580)</f>
        <v/>
      </c>
      <c r="M1580" s="9"/>
      <c r="N1580" s="10" t="str">
        <f aca="false">IF($B1580="","",$L1580-$M1580)</f>
        <v/>
      </c>
      <c r="O1580" s="10" t="str">
        <f aca="false">IF($B1580="","",IFERROR(INDEX(Drinks!$E$4:$E$53,MATCH($B1580,Drinks!$A$4:$A$53,0)),0))</f>
        <v/>
      </c>
      <c r="P1580" s="10" t="str">
        <f aca="false">IF($B1580="","",$N1580*$O1580)</f>
        <v/>
      </c>
      <c r="Q1580" s="10" t="str">
        <f aca="false">IF($B1580="","",$N1580*IFERROR(INDEX(Drinks!$D$4:$D$53,MATCH($B1580,Drinks!$A$4:$A$53,0)),0))</f>
        <v/>
      </c>
      <c r="R1580" s="10" t="str">
        <f aca="false">IF($B1580="","",$P1580-$Q1580)</f>
        <v/>
      </c>
      <c r="S1580" s="23" t="str">
        <f aca="false">IF($B1580="","",IF(COUNTIFS($A$4:$A$2003,$A1580-1,$B$4:$B$2003,$B1580)=0,"first day",IF(SUMIFS($M$4:$M$2003,$A$4:$A$2003,$A1580-1,$B$4:$B$2003,$B1580)=$J1580,"OK","CHECK")))</f>
        <v/>
      </c>
      <c r="T1580" s="10" t="str">
        <f aca="false">IF($B1580="","",IFERROR(INDEX(Drinks!$D$4:$D$53,MATCH($B1580,Drinks!$A$4:$A$53,0)),0))</f>
        <v/>
      </c>
    </row>
    <row r="1581" customFormat="false" ht="15" hidden="false" customHeight="false" outlineLevel="0" collapsed="false">
      <c r="A1581" s="22"/>
      <c r="B1581" s="9"/>
      <c r="C1581" s="9"/>
      <c r="D1581" s="9"/>
      <c r="E1581" s="9"/>
      <c r="F1581" s="10" t="str">
        <f aca="false">IF($B1581="","",$C1581+$D1581-$E1581)</f>
        <v/>
      </c>
      <c r="G1581" s="10" t="str">
        <f aca="false">IF($B1581="","",IFERROR(INDEX(Drinks!$C$4:$C$53,MATCH($B1581,Drinks!$A$4:$A$53,0)),0))</f>
        <v/>
      </c>
      <c r="H1581" s="10" t="str">
        <f aca="false">IF($B1581="","",$D1581*$G1581)</f>
        <v/>
      </c>
      <c r="I1581" s="10" t="str">
        <f aca="false">IF($B1581="","",$F1581*$G1581)</f>
        <v/>
      </c>
      <c r="J1581" s="9"/>
      <c r="K1581" s="10" t="str">
        <f aca="false">IF($B1581="","",$E1581*IFERROR(INDEX(Drinks!$B$4:$B$53,MATCH($B1581,Drinks!$A$4:$A$53,0)),0))</f>
        <v/>
      </c>
      <c r="L1581" s="10" t="str">
        <f aca="false">IF($B1581="","",$J1581+$K1581)</f>
        <v/>
      </c>
      <c r="M1581" s="9"/>
      <c r="N1581" s="10" t="str">
        <f aca="false">IF($B1581="","",$L1581-$M1581)</f>
        <v/>
      </c>
      <c r="O1581" s="10" t="str">
        <f aca="false">IF($B1581="","",IFERROR(INDEX(Drinks!$E$4:$E$53,MATCH($B1581,Drinks!$A$4:$A$53,0)),0))</f>
        <v/>
      </c>
      <c r="P1581" s="10" t="str">
        <f aca="false">IF($B1581="","",$N1581*$O1581)</f>
        <v/>
      </c>
      <c r="Q1581" s="10" t="str">
        <f aca="false">IF($B1581="","",$N1581*IFERROR(INDEX(Drinks!$D$4:$D$53,MATCH($B1581,Drinks!$A$4:$A$53,0)),0))</f>
        <v/>
      </c>
      <c r="R1581" s="10" t="str">
        <f aca="false">IF($B1581="","",$P1581-$Q1581)</f>
        <v/>
      </c>
      <c r="S1581" s="23" t="str">
        <f aca="false">IF($B1581="","",IF(COUNTIFS($A$4:$A$2003,$A1581-1,$B$4:$B$2003,$B1581)=0,"first day",IF(SUMIFS($M$4:$M$2003,$A$4:$A$2003,$A1581-1,$B$4:$B$2003,$B1581)=$J1581,"OK","CHECK")))</f>
        <v/>
      </c>
      <c r="T1581" s="10" t="str">
        <f aca="false">IF($B1581="","",IFERROR(INDEX(Drinks!$D$4:$D$53,MATCH($B1581,Drinks!$A$4:$A$53,0)),0))</f>
        <v/>
      </c>
    </row>
    <row r="1582" customFormat="false" ht="15" hidden="false" customHeight="false" outlineLevel="0" collapsed="false">
      <c r="A1582" s="22"/>
      <c r="B1582" s="9"/>
      <c r="C1582" s="9"/>
      <c r="D1582" s="9"/>
      <c r="E1582" s="9"/>
      <c r="F1582" s="10" t="str">
        <f aca="false">IF($B1582="","",$C1582+$D1582-$E1582)</f>
        <v/>
      </c>
      <c r="G1582" s="10" t="str">
        <f aca="false">IF($B1582="","",IFERROR(INDEX(Drinks!$C$4:$C$53,MATCH($B1582,Drinks!$A$4:$A$53,0)),0))</f>
        <v/>
      </c>
      <c r="H1582" s="10" t="str">
        <f aca="false">IF($B1582="","",$D1582*$G1582)</f>
        <v/>
      </c>
      <c r="I1582" s="10" t="str">
        <f aca="false">IF($B1582="","",$F1582*$G1582)</f>
        <v/>
      </c>
      <c r="J1582" s="9"/>
      <c r="K1582" s="10" t="str">
        <f aca="false">IF($B1582="","",$E1582*IFERROR(INDEX(Drinks!$B$4:$B$53,MATCH($B1582,Drinks!$A$4:$A$53,0)),0))</f>
        <v/>
      </c>
      <c r="L1582" s="10" t="str">
        <f aca="false">IF($B1582="","",$J1582+$K1582)</f>
        <v/>
      </c>
      <c r="M1582" s="9"/>
      <c r="N1582" s="10" t="str">
        <f aca="false">IF($B1582="","",$L1582-$M1582)</f>
        <v/>
      </c>
      <c r="O1582" s="10" t="str">
        <f aca="false">IF($B1582="","",IFERROR(INDEX(Drinks!$E$4:$E$53,MATCH($B1582,Drinks!$A$4:$A$53,0)),0))</f>
        <v/>
      </c>
      <c r="P1582" s="10" t="str">
        <f aca="false">IF($B1582="","",$N1582*$O1582)</f>
        <v/>
      </c>
      <c r="Q1582" s="10" t="str">
        <f aca="false">IF($B1582="","",$N1582*IFERROR(INDEX(Drinks!$D$4:$D$53,MATCH($B1582,Drinks!$A$4:$A$53,0)),0))</f>
        <v/>
      </c>
      <c r="R1582" s="10" t="str">
        <f aca="false">IF($B1582="","",$P1582-$Q1582)</f>
        <v/>
      </c>
      <c r="S1582" s="23" t="str">
        <f aca="false">IF($B1582="","",IF(COUNTIFS($A$4:$A$2003,$A1582-1,$B$4:$B$2003,$B1582)=0,"first day",IF(SUMIFS($M$4:$M$2003,$A$4:$A$2003,$A1582-1,$B$4:$B$2003,$B1582)=$J1582,"OK","CHECK")))</f>
        <v/>
      </c>
      <c r="T1582" s="10" t="str">
        <f aca="false">IF($B1582="","",IFERROR(INDEX(Drinks!$D$4:$D$53,MATCH($B1582,Drinks!$A$4:$A$53,0)),0))</f>
        <v/>
      </c>
    </row>
    <row r="1583" customFormat="false" ht="15" hidden="false" customHeight="false" outlineLevel="0" collapsed="false">
      <c r="A1583" s="22"/>
      <c r="B1583" s="9"/>
      <c r="C1583" s="9"/>
      <c r="D1583" s="9"/>
      <c r="E1583" s="9"/>
      <c r="F1583" s="10" t="str">
        <f aca="false">IF($B1583="","",$C1583+$D1583-$E1583)</f>
        <v/>
      </c>
      <c r="G1583" s="10" t="str">
        <f aca="false">IF($B1583="","",IFERROR(INDEX(Drinks!$C$4:$C$53,MATCH($B1583,Drinks!$A$4:$A$53,0)),0))</f>
        <v/>
      </c>
      <c r="H1583" s="10" t="str">
        <f aca="false">IF($B1583="","",$D1583*$G1583)</f>
        <v/>
      </c>
      <c r="I1583" s="10" t="str">
        <f aca="false">IF($B1583="","",$F1583*$G1583)</f>
        <v/>
      </c>
      <c r="J1583" s="9"/>
      <c r="K1583" s="10" t="str">
        <f aca="false">IF($B1583="","",$E1583*IFERROR(INDEX(Drinks!$B$4:$B$53,MATCH($B1583,Drinks!$A$4:$A$53,0)),0))</f>
        <v/>
      </c>
      <c r="L1583" s="10" t="str">
        <f aca="false">IF($B1583="","",$J1583+$K1583)</f>
        <v/>
      </c>
      <c r="M1583" s="9"/>
      <c r="N1583" s="10" t="str">
        <f aca="false">IF($B1583="","",$L1583-$M1583)</f>
        <v/>
      </c>
      <c r="O1583" s="10" t="str">
        <f aca="false">IF($B1583="","",IFERROR(INDEX(Drinks!$E$4:$E$53,MATCH($B1583,Drinks!$A$4:$A$53,0)),0))</f>
        <v/>
      </c>
      <c r="P1583" s="10" t="str">
        <f aca="false">IF($B1583="","",$N1583*$O1583)</f>
        <v/>
      </c>
      <c r="Q1583" s="10" t="str">
        <f aca="false">IF($B1583="","",$N1583*IFERROR(INDEX(Drinks!$D$4:$D$53,MATCH($B1583,Drinks!$A$4:$A$53,0)),0))</f>
        <v/>
      </c>
      <c r="R1583" s="10" t="str">
        <f aca="false">IF($B1583="","",$P1583-$Q1583)</f>
        <v/>
      </c>
      <c r="S1583" s="23" t="str">
        <f aca="false">IF($B1583="","",IF(COUNTIFS($A$4:$A$2003,$A1583-1,$B$4:$B$2003,$B1583)=0,"first day",IF(SUMIFS($M$4:$M$2003,$A$4:$A$2003,$A1583-1,$B$4:$B$2003,$B1583)=$J1583,"OK","CHECK")))</f>
        <v/>
      </c>
      <c r="T1583" s="10" t="str">
        <f aca="false">IF($B1583="","",IFERROR(INDEX(Drinks!$D$4:$D$53,MATCH($B1583,Drinks!$A$4:$A$53,0)),0))</f>
        <v/>
      </c>
    </row>
    <row r="1584" customFormat="false" ht="15" hidden="false" customHeight="false" outlineLevel="0" collapsed="false">
      <c r="A1584" s="22"/>
      <c r="B1584" s="9"/>
      <c r="C1584" s="9"/>
      <c r="D1584" s="9"/>
      <c r="E1584" s="9"/>
      <c r="F1584" s="10" t="str">
        <f aca="false">IF($B1584="","",$C1584+$D1584-$E1584)</f>
        <v/>
      </c>
      <c r="G1584" s="10" t="str">
        <f aca="false">IF($B1584="","",IFERROR(INDEX(Drinks!$C$4:$C$53,MATCH($B1584,Drinks!$A$4:$A$53,0)),0))</f>
        <v/>
      </c>
      <c r="H1584" s="10" t="str">
        <f aca="false">IF($B1584="","",$D1584*$G1584)</f>
        <v/>
      </c>
      <c r="I1584" s="10" t="str">
        <f aca="false">IF($B1584="","",$F1584*$G1584)</f>
        <v/>
      </c>
      <c r="J1584" s="9"/>
      <c r="K1584" s="10" t="str">
        <f aca="false">IF($B1584="","",$E1584*IFERROR(INDEX(Drinks!$B$4:$B$53,MATCH($B1584,Drinks!$A$4:$A$53,0)),0))</f>
        <v/>
      </c>
      <c r="L1584" s="10" t="str">
        <f aca="false">IF($B1584="","",$J1584+$K1584)</f>
        <v/>
      </c>
      <c r="M1584" s="9"/>
      <c r="N1584" s="10" t="str">
        <f aca="false">IF($B1584="","",$L1584-$M1584)</f>
        <v/>
      </c>
      <c r="O1584" s="10" t="str">
        <f aca="false">IF($B1584="","",IFERROR(INDEX(Drinks!$E$4:$E$53,MATCH($B1584,Drinks!$A$4:$A$53,0)),0))</f>
        <v/>
      </c>
      <c r="P1584" s="10" t="str">
        <f aca="false">IF($B1584="","",$N1584*$O1584)</f>
        <v/>
      </c>
      <c r="Q1584" s="10" t="str">
        <f aca="false">IF($B1584="","",$N1584*IFERROR(INDEX(Drinks!$D$4:$D$53,MATCH($B1584,Drinks!$A$4:$A$53,0)),0))</f>
        <v/>
      </c>
      <c r="R1584" s="10" t="str">
        <f aca="false">IF($B1584="","",$P1584-$Q1584)</f>
        <v/>
      </c>
      <c r="S1584" s="23" t="str">
        <f aca="false">IF($B1584="","",IF(COUNTIFS($A$4:$A$2003,$A1584-1,$B$4:$B$2003,$B1584)=0,"first day",IF(SUMIFS($M$4:$M$2003,$A$4:$A$2003,$A1584-1,$B$4:$B$2003,$B1584)=$J1584,"OK","CHECK")))</f>
        <v/>
      </c>
      <c r="T1584" s="10" t="str">
        <f aca="false">IF($B1584="","",IFERROR(INDEX(Drinks!$D$4:$D$53,MATCH($B1584,Drinks!$A$4:$A$53,0)),0))</f>
        <v/>
      </c>
    </row>
    <row r="1585" customFormat="false" ht="15" hidden="false" customHeight="false" outlineLevel="0" collapsed="false">
      <c r="A1585" s="22"/>
      <c r="B1585" s="9"/>
      <c r="C1585" s="9"/>
      <c r="D1585" s="9"/>
      <c r="E1585" s="9"/>
      <c r="F1585" s="10" t="str">
        <f aca="false">IF($B1585="","",$C1585+$D1585-$E1585)</f>
        <v/>
      </c>
      <c r="G1585" s="10" t="str">
        <f aca="false">IF($B1585="","",IFERROR(INDEX(Drinks!$C$4:$C$53,MATCH($B1585,Drinks!$A$4:$A$53,0)),0))</f>
        <v/>
      </c>
      <c r="H1585" s="10" t="str">
        <f aca="false">IF($B1585="","",$D1585*$G1585)</f>
        <v/>
      </c>
      <c r="I1585" s="10" t="str">
        <f aca="false">IF($B1585="","",$F1585*$G1585)</f>
        <v/>
      </c>
      <c r="J1585" s="9"/>
      <c r="K1585" s="10" t="str">
        <f aca="false">IF($B1585="","",$E1585*IFERROR(INDEX(Drinks!$B$4:$B$53,MATCH($B1585,Drinks!$A$4:$A$53,0)),0))</f>
        <v/>
      </c>
      <c r="L1585" s="10" t="str">
        <f aca="false">IF($B1585="","",$J1585+$K1585)</f>
        <v/>
      </c>
      <c r="M1585" s="9"/>
      <c r="N1585" s="10" t="str">
        <f aca="false">IF($B1585="","",$L1585-$M1585)</f>
        <v/>
      </c>
      <c r="O1585" s="10" t="str">
        <f aca="false">IF($B1585="","",IFERROR(INDEX(Drinks!$E$4:$E$53,MATCH($B1585,Drinks!$A$4:$A$53,0)),0))</f>
        <v/>
      </c>
      <c r="P1585" s="10" t="str">
        <f aca="false">IF($B1585="","",$N1585*$O1585)</f>
        <v/>
      </c>
      <c r="Q1585" s="10" t="str">
        <f aca="false">IF($B1585="","",$N1585*IFERROR(INDEX(Drinks!$D$4:$D$53,MATCH($B1585,Drinks!$A$4:$A$53,0)),0))</f>
        <v/>
      </c>
      <c r="R1585" s="10" t="str">
        <f aca="false">IF($B1585="","",$P1585-$Q1585)</f>
        <v/>
      </c>
      <c r="S1585" s="23" t="str">
        <f aca="false">IF($B1585="","",IF(COUNTIFS($A$4:$A$2003,$A1585-1,$B$4:$B$2003,$B1585)=0,"first day",IF(SUMIFS($M$4:$M$2003,$A$4:$A$2003,$A1585-1,$B$4:$B$2003,$B1585)=$J1585,"OK","CHECK")))</f>
        <v/>
      </c>
      <c r="T1585" s="10" t="str">
        <f aca="false">IF($B1585="","",IFERROR(INDEX(Drinks!$D$4:$D$53,MATCH($B1585,Drinks!$A$4:$A$53,0)),0))</f>
        <v/>
      </c>
    </row>
    <row r="1586" customFormat="false" ht="15" hidden="false" customHeight="false" outlineLevel="0" collapsed="false">
      <c r="A1586" s="22"/>
      <c r="B1586" s="9"/>
      <c r="C1586" s="9"/>
      <c r="D1586" s="9"/>
      <c r="E1586" s="9"/>
      <c r="F1586" s="10" t="str">
        <f aca="false">IF($B1586="","",$C1586+$D1586-$E1586)</f>
        <v/>
      </c>
      <c r="G1586" s="10" t="str">
        <f aca="false">IF($B1586="","",IFERROR(INDEX(Drinks!$C$4:$C$53,MATCH($B1586,Drinks!$A$4:$A$53,0)),0))</f>
        <v/>
      </c>
      <c r="H1586" s="10" t="str">
        <f aca="false">IF($B1586="","",$D1586*$G1586)</f>
        <v/>
      </c>
      <c r="I1586" s="10" t="str">
        <f aca="false">IF($B1586="","",$F1586*$G1586)</f>
        <v/>
      </c>
      <c r="J1586" s="9"/>
      <c r="K1586" s="10" t="str">
        <f aca="false">IF($B1586="","",$E1586*IFERROR(INDEX(Drinks!$B$4:$B$53,MATCH($B1586,Drinks!$A$4:$A$53,0)),0))</f>
        <v/>
      </c>
      <c r="L1586" s="10" t="str">
        <f aca="false">IF($B1586="","",$J1586+$K1586)</f>
        <v/>
      </c>
      <c r="M1586" s="9"/>
      <c r="N1586" s="10" t="str">
        <f aca="false">IF($B1586="","",$L1586-$M1586)</f>
        <v/>
      </c>
      <c r="O1586" s="10" t="str">
        <f aca="false">IF($B1586="","",IFERROR(INDEX(Drinks!$E$4:$E$53,MATCH($B1586,Drinks!$A$4:$A$53,0)),0))</f>
        <v/>
      </c>
      <c r="P1586" s="10" t="str">
        <f aca="false">IF($B1586="","",$N1586*$O1586)</f>
        <v/>
      </c>
      <c r="Q1586" s="10" t="str">
        <f aca="false">IF($B1586="","",$N1586*IFERROR(INDEX(Drinks!$D$4:$D$53,MATCH($B1586,Drinks!$A$4:$A$53,0)),0))</f>
        <v/>
      </c>
      <c r="R1586" s="10" t="str">
        <f aca="false">IF($B1586="","",$P1586-$Q1586)</f>
        <v/>
      </c>
      <c r="S1586" s="23" t="str">
        <f aca="false">IF($B1586="","",IF(COUNTIFS($A$4:$A$2003,$A1586-1,$B$4:$B$2003,$B1586)=0,"first day",IF(SUMIFS($M$4:$M$2003,$A$4:$A$2003,$A1586-1,$B$4:$B$2003,$B1586)=$J1586,"OK","CHECK")))</f>
        <v/>
      </c>
      <c r="T1586" s="10" t="str">
        <f aca="false">IF($B1586="","",IFERROR(INDEX(Drinks!$D$4:$D$53,MATCH($B1586,Drinks!$A$4:$A$53,0)),0))</f>
        <v/>
      </c>
    </row>
    <row r="1587" customFormat="false" ht="15" hidden="false" customHeight="false" outlineLevel="0" collapsed="false">
      <c r="A1587" s="22"/>
      <c r="B1587" s="9"/>
      <c r="C1587" s="9"/>
      <c r="D1587" s="9"/>
      <c r="E1587" s="9"/>
      <c r="F1587" s="10" t="str">
        <f aca="false">IF($B1587="","",$C1587+$D1587-$E1587)</f>
        <v/>
      </c>
      <c r="G1587" s="10" t="str">
        <f aca="false">IF($B1587="","",IFERROR(INDEX(Drinks!$C$4:$C$53,MATCH($B1587,Drinks!$A$4:$A$53,0)),0))</f>
        <v/>
      </c>
      <c r="H1587" s="10" t="str">
        <f aca="false">IF($B1587="","",$D1587*$G1587)</f>
        <v/>
      </c>
      <c r="I1587" s="10" t="str">
        <f aca="false">IF($B1587="","",$F1587*$G1587)</f>
        <v/>
      </c>
      <c r="J1587" s="9"/>
      <c r="K1587" s="10" t="str">
        <f aca="false">IF($B1587="","",$E1587*IFERROR(INDEX(Drinks!$B$4:$B$53,MATCH($B1587,Drinks!$A$4:$A$53,0)),0))</f>
        <v/>
      </c>
      <c r="L1587" s="10" t="str">
        <f aca="false">IF($B1587="","",$J1587+$K1587)</f>
        <v/>
      </c>
      <c r="M1587" s="9"/>
      <c r="N1587" s="10" t="str">
        <f aca="false">IF($B1587="","",$L1587-$M1587)</f>
        <v/>
      </c>
      <c r="O1587" s="10" t="str">
        <f aca="false">IF($B1587="","",IFERROR(INDEX(Drinks!$E$4:$E$53,MATCH($B1587,Drinks!$A$4:$A$53,0)),0))</f>
        <v/>
      </c>
      <c r="P1587" s="10" t="str">
        <f aca="false">IF($B1587="","",$N1587*$O1587)</f>
        <v/>
      </c>
      <c r="Q1587" s="10" t="str">
        <f aca="false">IF($B1587="","",$N1587*IFERROR(INDEX(Drinks!$D$4:$D$53,MATCH($B1587,Drinks!$A$4:$A$53,0)),0))</f>
        <v/>
      </c>
      <c r="R1587" s="10" t="str">
        <f aca="false">IF($B1587="","",$P1587-$Q1587)</f>
        <v/>
      </c>
      <c r="S1587" s="23" t="str">
        <f aca="false">IF($B1587="","",IF(COUNTIFS($A$4:$A$2003,$A1587-1,$B$4:$B$2003,$B1587)=0,"first day",IF(SUMIFS($M$4:$M$2003,$A$4:$A$2003,$A1587-1,$B$4:$B$2003,$B1587)=$J1587,"OK","CHECK")))</f>
        <v/>
      </c>
      <c r="T1587" s="10" t="str">
        <f aca="false">IF($B1587="","",IFERROR(INDEX(Drinks!$D$4:$D$53,MATCH($B1587,Drinks!$A$4:$A$53,0)),0))</f>
        <v/>
      </c>
    </row>
    <row r="1588" customFormat="false" ht="15" hidden="false" customHeight="false" outlineLevel="0" collapsed="false">
      <c r="A1588" s="22"/>
      <c r="B1588" s="9"/>
      <c r="C1588" s="9"/>
      <c r="D1588" s="9"/>
      <c r="E1588" s="9"/>
      <c r="F1588" s="10" t="str">
        <f aca="false">IF($B1588="","",$C1588+$D1588-$E1588)</f>
        <v/>
      </c>
      <c r="G1588" s="10" t="str">
        <f aca="false">IF($B1588="","",IFERROR(INDEX(Drinks!$C$4:$C$53,MATCH($B1588,Drinks!$A$4:$A$53,0)),0))</f>
        <v/>
      </c>
      <c r="H1588" s="10" t="str">
        <f aca="false">IF($B1588="","",$D1588*$G1588)</f>
        <v/>
      </c>
      <c r="I1588" s="10" t="str">
        <f aca="false">IF($B1588="","",$F1588*$G1588)</f>
        <v/>
      </c>
      <c r="J1588" s="9"/>
      <c r="K1588" s="10" t="str">
        <f aca="false">IF($B1588="","",$E1588*IFERROR(INDEX(Drinks!$B$4:$B$53,MATCH($B1588,Drinks!$A$4:$A$53,0)),0))</f>
        <v/>
      </c>
      <c r="L1588" s="10" t="str">
        <f aca="false">IF($B1588="","",$J1588+$K1588)</f>
        <v/>
      </c>
      <c r="M1588" s="9"/>
      <c r="N1588" s="10" t="str">
        <f aca="false">IF($B1588="","",$L1588-$M1588)</f>
        <v/>
      </c>
      <c r="O1588" s="10" t="str">
        <f aca="false">IF($B1588="","",IFERROR(INDEX(Drinks!$E$4:$E$53,MATCH($B1588,Drinks!$A$4:$A$53,0)),0))</f>
        <v/>
      </c>
      <c r="P1588" s="10" t="str">
        <f aca="false">IF($B1588="","",$N1588*$O1588)</f>
        <v/>
      </c>
      <c r="Q1588" s="10" t="str">
        <f aca="false">IF($B1588="","",$N1588*IFERROR(INDEX(Drinks!$D$4:$D$53,MATCH($B1588,Drinks!$A$4:$A$53,0)),0))</f>
        <v/>
      </c>
      <c r="R1588" s="10" t="str">
        <f aca="false">IF($B1588="","",$P1588-$Q1588)</f>
        <v/>
      </c>
      <c r="S1588" s="23" t="str">
        <f aca="false">IF($B1588="","",IF(COUNTIFS($A$4:$A$2003,$A1588-1,$B$4:$B$2003,$B1588)=0,"first day",IF(SUMIFS($M$4:$M$2003,$A$4:$A$2003,$A1588-1,$B$4:$B$2003,$B1588)=$J1588,"OK","CHECK")))</f>
        <v/>
      </c>
      <c r="T1588" s="10" t="str">
        <f aca="false">IF($B1588="","",IFERROR(INDEX(Drinks!$D$4:$D$53,MATCH($B1588,Drinks!$A$4:$A$53,0)),0))</f>
        <v/>
      </c>
    </row>
    <row r="1589" customFormat="false" ht="15" hidden="false" customHeight="false" outlineLevel="0" collapsed="false">
      <c r="A1589" s="22"/>
      <c r="B1589" s="9"/>
      <c r="C1589" s="9"/>
      <c r="D1589" s="9"/>
      <c r="E1589" s="9"/>
      <c r="F1589" s="10" t="str">
        <f aca="false">IF($B1589="","",$C1589+$D1589-$E1589)</f>
        <v/>
      </c>
      <c r="G1589" s="10" t="str">
        <f aca="false">IF($B1589="","",IFERROR(INDEX(Drinks!$C$4:$C$53,MATCH($B1589,Drinks!$A$4:$A$53,0)),0))</f>
        <v/>
      </c>
      <c r="H1589" s="10" t="str">
        <f aca="false">IF($B1589="","",$D1589*$G1589)</f>
        <v/>
      </c>
      <c r="I1589" s="10" t="str">
        <f aca="false">IF($B1589="","",$F1589*$G1589)</f>
        <v/>
      </c>
      <c r="J1589" s="9"/>
      <c r="K1589" s="10" t="str">
        <f aca="false">IF($B1589="","",$E1589*IFERROR(INDEX(Drinks!$B$4:$B$53,MATCH($B1589,Drinks!$A$4:$A$53,0)),0))</f>
        <v/>
      </c>
      <c r="L1589" s="10" t="str">
        <f aca="false">IF($B1589="","",$J1589+$K1589)</f>
        <v/>
      </c>
      <c r="M1589" s="9"/>
      <c r="N1589" s="10" t="str">
        <f aca="false">IF($B1589="","",$L1589-$M1589)</f>
        <v/>
      </c>
      <c r="O1589" s="10" t="str">
        <f aca="false">IF($B1589="","",IFERROR(INDEX(Drinks!$E$4:$E$53,MATCH($B1589,Drinks!$A$4:$A$53,0)),0))</f>
        <v/>
      </c>
      <c r="P1589" s="10" t="str">
        <f aca="false">IF($B1589="","",$N1589*$O1589)</f>
        <v/>
      </c>
      <c r="Q1589" s="10" t="str">
        <f aca="false">IF($B1589="","",$N1589*IFERROR(INDEX(Drinks!$D$4:$D$53,MATCH($B1589,Drinks!$A$4:$A$53,0)),0))</f>
        <v/>
      </c>
      <c r="R1589" s="10" t="str">
        <f aca="false">IF($B1589="","",$P1589-$Q1589)</f>
        <v/>
      </c>
      <c r="S1589" s="23" t="str">
        <f aca="false">IF($B1589="","",IF(COUNTIFS($A$4:$A$2003,$A1589-1,$B$4:$B$2003,$B1589)=0,"first day",IF(SUMIFS($M$4:$M$2003,$A$4:$A$2003,$A1589-1,$B$4:$B$2003,$B1589)=$J1589,"OK","CHECK")))</f>
        <v/>
      </c>
      <c r="T1589" s="10" t="str">
        <f aca="false">IF($B1589="","",IFERROR(INDEX(Drinks!$D$4:$D$53,MATCH($B1589,Drinks!$A$4:$A$53,0)),0))</f>
        <v/>
      </c>
    </row>
    <row r="1590" customFormat="false" ht="15" hidden="false" customHeight="false" outlineLevel="0" collapsed="false">
      <c r="A1590" s="22"/>
      <c r="B1590" s="9"/>
      <c r="C1590" s="9"/>
      <c r="D1590" s="9"/>
      <c r="E1590" s="9"/>
      <c r="F1590" s="10" t="str">
        <f aca="false">IF($B1590="","",$C1590+$D1590-$E1590)</f>
        <v/>
      </c>
      <c r="G1590" s="10" t="str">
        <f aca="false">IF($B1590="","",IFERROR(INDEX(Drinks!$C$4:$C$53,MATCH($B1590,Drinks!$A$4:$A$53,0)),0))</f>
        <v/>
      </c>
      <c r="H1590" s="10" t="str">
        <f aca="false">IF($B1590="","",$D1590*$G1590)</f>
        <v/>
      </c>
      <c r="I1590" s="10" t="str">
        <f aca="false">IF($B1590="","",$F1590*$G1590)</f>
        <v/>
      </c>
      <c r="J1590" s="9"/>
      <c r="K1590" s="10" t="str">
        <f aca="false">IF($B1590="","",$E1590*IFERROR(INDEX(Drinks!$B$4:$B$53,MATCH($B1590,Drinks!$A$4:$A$53,0)),0))</f>
        <v/>
      </c>
      <c r="L1590" s="10" t="str">
        <f aca="false">IF($B1590="","",$J1590+$K1590)</f>
        <v/>
      </c>
      <c r="M1590" s="9"/>
      <c r="N1590" s="10" t="str">
        <f aca="false">IF($B1590="","",$L1590-$M1590)</f>
        <v/>
      </c>
      <c r="O1590" s="10" t="str">
        <f aca="false">IF($B1590="","",IFERROR(INDEX(Drinks!$E$4:$E$53,MATCH($B1590,Drinks!$A$4:$A$53,0)),0))</f>
        <v/>
      </c>
      <c r="P1590" s="10" t="str">
        <f aca="false">IF($B1590="","",$N1590*$O1590)</f>
        <v/>
      </c>
      <c r="Q1590" s="10" t="str">
        <f aca="false">IF($B1590="","",$N1590*IFERROR(INDEX(Drinks!$D$4:$D$53,MATCH($B1590,Drinks!$A$4:$A$53,0)),0))</f>
        <v/>
      </c>
      <c r="R1590" s="10" t="str">
        <f aca="false">IF($B1590="","",$P1590-$Q1590)</f>
        <v/>
      </c>
      <c r="S1590" s="23" t="str">
        <f aca="false">IF($B1590="","",IF(COUNTIFS($A$4:$A$2003,$A1590-1,$B$4:$B$2003,$B1590)=0,"first day",IF(SUMIFS($M$4:$M$2003,$A$4:$A$2003,$A1590-1,$B$4:$B$2003,$B1590)=$J1590,"OK","CHECK")))</f>
        <v/>
      </c>
      <c r="T1590" s="10" t="str">
        <f aca="false">IF($B1590="","",IFERROR(INDEX(Drinks!$D$4:$D$53,MATCH($B1590,Drinks!$A$4:$A$53,0)),0))</f>
        <v/>
      </c>
    </row>
    <row r="1591" customFormat="false" ht="15" hidden="false" customHeight="false" outlineLevel="0" collapsed="false">
      <c r="A1591" s="22"/>
      <c r="B1591" s="9"/>
      <c r="C1591" s="9"/>
      <c r="D1591" s="9"/>
      <c r="E1591" s="9"/>
      <c r="F1591" s="10" t="str">
        <f aca="false">IF($B1591="","",$C1591+$D1591-$E1591)</f>
        <v/>
      </c>
      <c r="G1591" s="10" t="str">
        <f aca="false">IF($B1591="","",IFERROR(INDEX(Drinks!$C$4:$C$53,MATCH($B1591,Drinks!$A$4:$A$53,0)),0))</f>
        <v/>
      </c>
      <c r="H1591" s="10" t="str">
        <f aca="false">IF($B1591="","",$D1591*$G1591)</f>
        <v/>
      </c>
      <c r="I1591" s="10" t="str">
        <f aca="false">IF($B1591="","",$F1591*$G1591)</f>
        <v/>
      </c>
      <c r="J1591" s="9"/>
      <c r="K1591" s="10" t="str">
        <f aca="false">IF($B1591="","",$E1591*IFERROR(INDEX(Drinks!$B$4:$B$53,MATCH($B1591,Drinks!$A$4:$A$53,0)),0))</f>
        <v/>
      </c>
      <c r="L1591" s="10" t="str">
        <f aca="false">IF($B1591="","",$J1591+$K1591)</f>
        <v/>
      </c>
      <c r="M1591" s="9"/>
      <c r="N1591" s="10" t="str">
        <f aca="false">IF($B1591="","",$L1591-$M1591)</f>
        <v/>
      </c>
      <c r="O1591" s="10" t="str">
        <f aca="false">IF($B1591="","",IFERROR(INDEX(Drinks!$E$4:$E$53,MATCH($B1591,Drinks!$A$4:$A$53,0)),0))</f>
        <v/>
      </c>
      <c r="P1591" s="10" t="str">
        <f aca="false">IF($B1591="","",$N1591*$O1591)</f>
        <v/>
      </c>
      <c r="Q1591" s="10" t="str">
        <f aca="false">IF($B1591="","",$N1591*IFERROR(INDEX(Drinks!$D$4:$D$53,MATCH($B1591,Drinks!$A$4:$A$53,0)),0))</f>
        <v/>
      </c>
      <c r="R1591" s="10" t="str">
        <f aca="false">IF($B1591="","",$P1591-$Q1591)</f>
        <v/>
      </c>
      <c r="S1591" s="23" t="str">
        <f aca="false">IF($B1591="","",IF(COUNTIFS($A$4:$A$2003,$A1591-1,$B$4:$B$2003,$B1591)=0,"first day",IF(SUMIFS($M$4:$M$2003,$A$4:$A$2003,$A1591-1,$B$4:$B$2003,$B1591)=$J1591,"OK","CHECK")))</f>
        <v/>
      </c>
      <c r="T1591" s="10" t="str">
        <f aca="false">IF($B1591="","",IFERROR(INDEX(Drinks!$D$4:$D$53,MATCH($B1591,Drinks!$A$4:$A$53,0)),0))</f>
        <v/>
      </c>
    </row>
    <row r="1592" customFormat="false" ht="15" hidden="false" customHeight="false" outlineLevel="0" collapsed="false">
      <c r="A1592" s="22"/>
      <c r="B1592" s="9"/>
      <c r="C1592" s="9"/>
      <c r="D1592" s="9"/>
      <c r="E1592" s="9"/>
      <c r="F1592" s="10" t="str">
        <f aca="false">IF($B1592="","",$C1592+$D1592-$E1592)</f>
        <v/>
      </c>
      <c r="G1592" s="10" t="str">
        <f aca="false">IF($B1592="","",IFERROR(INDEX(Drinks!$C$4:$C$53,MATCH($B1592,Drinks!$A$4:$A$53,0)),0))</f>
        <v/>
      </c>
      <c r="H1592" s="10" t="str">
        <f aca="false">IF($B1592="","",$D1592*$G1592)</f>
        <v/>
      </c>
      <c r="I1592" s="10" t="str">
        <f aca="false">IF($B1592="","",$F1592*$G1592)</f>
        <v/>
      </c>
      <c r="J1592" s="9"/>
      <c r="K1592" s="10" t="str">
        <f aca="false">IF($B1592="","",$E1592*IFERROR(INDEX(Drinks!$B$4:$B$53,MATCH($B1592,Drinks!$A$4:$A$53,0)),0))</f>
        <v/>
      </c>
      <c r="L1592" s="10" t="str">
        <f aca="false">IF($B1592="","",$J1592+$K1592)</f>
        <v/>
      </c>
      <c r="M1592" s="9"/>
      <c r="N1592" s="10" t="str">
        <f aca="false">IF($B1592="","",$L1592-$M1592)</f>
        <v/>
      </c>
      <c r="O1592" s="10" t="str">
        <f aca="false">IF($B1592="","",IFERROR(INDEX(Drinks!$E$4:$E$53,MATCH($B1592,Drinks!$A$4:$A$53,0)),0))</f>
        <v/>
      </c>
      <c r="P1592" s="10" t="str">
        <f aca="false">IF($B1592="","",$N1592*$O1592)</f>
        <v/>
      </c>
      <c r="Q1592" s="10" t="str">
        <f aca="false">IF($B1592="","",$N1592*IFERROR(INDEX(Drinks!$D$4:$D$53,MATCH($B1592,Drinks!$A$4:$A$53,0)),0))</f>
        <v/>
      </c>
      <c r="R1592" s="10" t="str">
        <f aca="false">IF($B1592="","",$P1592-$Q1592)</f>
        <v/>
      </c>
      <c r="S1592" s="23" t="str">
        <f aca="false">IF($B1592="","",IF(COUNTIFS($A$4:$A$2003,$A1592-1,$B$4:$B$2003,$B1592)=0,"first day",IF(SUMIFS($M$4:$M$2003,$A$4:$A$2003,$A1592-1,$B$4:$B$2003,$B1592)=$J1592,"OK","CHECK")))</f>
        <v/>
      </c>
      <c r="T1592" s="10" t="str">
        <f aca="false">IF($B1592="","",IFERROR(INDEX(Drinks!$D$4:$D$53,MATCH($B1592,Drinks!$A$4:$A$53,0)),0))</f>
        <v/>
      </c>
    </row>
    <row r="1593" customFormat="false" ht="15" hidden="false" customHeight="false" outlineLevel="0" collapsed="false">
      <c r="A1593" s="22"/>
      <c r="B1593" s="9"/>
      <c r="C1593" s="9"/>
      <c r="D1593" s="9"/>
      <c r="E1593" s="9"/>
      <c r="F1593" s="10" t="str">
        <f aca="false">IF($B1593="","",$C1593+$D1593-$E1593)</f>
        <v/>
      </c>
      <c r="G1593" s="10" t="str">
        <f aca="false">IF($B1593="","",IFERROR(INDEX(Drinks!$C$4:$C$53,MATCH($B1593,Drinks!$A$4:$A$53,0)),0))</f>
        <v/>
      </c>
      <c r="H1593" s="10" t="str">
        <f aca="false">IF($B1593="","",$D1593*$G1593)</f>
        <v/>
      </c>
      <c r="I1593" s="10" t="str">
        <f aca="false">IF($B1593="","",$F1593*$G1593)</f>
        <v/>
      </c>
      <c r="J1593" s="9"/>
      <c r="K1593" s="10" t="str">
        <f aca="false">IF($B1593="","",$E1593*IFERROR(INDEX(Drinks!$B$4:$B$53,MATCH($B1593,Drinks!$A$4:$A$53,0)),0))</f>
        <v/>
      </c>
      <c r="L1593" s="10" t="str">
        <f aca="false">IF($B1593="","",$J1593+$K1593)</f>
        <v/>
      </c>
      <c r="M1593" s="9"/>
      <c r="N1593" s="10" t="str">
        <f aca="false">IF($B1593="","",$L1593-$M1593)</f>
        <v/>
      </c>
      <c r="O1593" s="10" t="str">
        <f aca="false">IF($B1593="","",IFERROR(INDEX(Drinks!$E$4:$E$53,MATCH($B1593,Drinks!$A$4:$A$53,0)),0))</f>
        <v/>
      </c>
      <c r="P1593" s="10" t="str">
        <f aca="false">IF($B1593="","",$N1593*$O1593)</f>
        <v/>
      </c>
      <c r="Q1593" s="10" t="str">
        <f aca="false">IF($B1593="","",$N1593*IFERROR(INDEX(Drinks!$D$4:$D$53,MATCH($B1593,Drinks!$A$4:$A$53,0)),0))</f>
        <v/>
      </c>
      <c r="R1593" s="10" t="str">
        <f aca="false">IF($B1593="","",$P1593-$Q1593)</f>
        <v/>
      </c>
      <c r="S1593" s="23" t="str">
        <f aca="false">IF($B1593="","",IF(COUNTIFS($A$4:$A$2003,$A1593-1,$B$4:$B$2003,$B1593)=0,"first day",IF(SUMIFS($M$4:$M$2003,$A$4:$A$2003,$A1593-1,$B$4:$B$2003,$B1593)=$J1593,"OK","CHECK")))</f>
        <v/>
      </c>
      <c r="T1593" s="10" t="str">
        <f aca="false">IF($B1593="","",IFERROR(INDEX(Drinks!$D$4:$D$53,MATCH($B1593,Drinks!$A$4:$A$53,0)),0))</f>
        <v/>
      </c>
    </row>
    <row r="1594" customFormat="false" ht="15" hidden="false" customHeight="false" outlineLevel="0" collapsed="false">
      <c r="A1594" s="22"/>
      <c r="B1594" s="9"/>
      <c r="C1594" s="9"/>
      <c r="D1594" s="9"/>
      <c r="E1594" s="9"/>
      <c r="F1594" s="10" t="str">
        <f aca="false">IF($B1594="","",$C1594+$D1594-$E1594)</f>
        <v/>
      </c>
      <c r="G1594" s="10" t="str">
        <f aca="false">IF($B1594="","",IFERROR(INDEX(Drinks!$C$4:$C$53,MATCH($B1594,Drinks!$A$4:$A$53,0)),0))</f>
        <v/>
      </c>
      <c r="H1594" s="10" t="str">
        <f aca="false">IF($B1594="","",$D1594*$G1594)</f>
        <v/>
      </c>
      <c r="I1594" s="10" t="str">
        <f aca="false">IF($B1594="","",$F1594*$G1594)</f>
        <v/>
      </c>
      <c r="J1594" s="9"/>
      <c r="K1594" s="10" t="str">
        <f aca="false">IF($B1594="","",$E1594*IFERROR(INDEX(Drinks!$B$4:$B$53,MATCH($B1594,Drinks!$A$4:$A$53,0)),0))</f>
        <v/>
      </c>
      <c r="L1594" s="10" t="str">
        <f aca="false">IF($B1594="","",$J1594+$K1594)</f>
        <v/>
      </c>
      <c r="M1594" s="9"/>
      <c r="N1594" s="10" t="str">
        <f aca="false">IF($B1594="","",$L1594-$M1594)</f>
        <v/>
      </c>
      <c r="O1594" s="10" t="str">
        <f aca="false">IF($B1594="","",IFERROR(INDEX(Drinks!$E$4:$E$53,MATCH($B1594,Drinks!$A$4:$A$53,0)),0))</f>
        <v/>
      </c>
      <c r="P1594" s="10" t="str">
        <f aca="false">IF($B1594="","",$N1594*$O1594)</f>
        <v/>
      </c>
      <c r="Q1594" s="10" t="str">
        <f aca="false">IF($B1594="","",$N1594*IFERROR(INDEX(Drinks!$D$4:$D$53,MATCH($B1594,Drinks!$A$4:$A$53,0)),0))</f>
        <v/>
      </c>
      <c r="R1594" s="10" t="str">
        <f aca="false">IF($B1594="","",$P1594-$Q1594)</f>
        <v/>
      </c>
      <c r="S1594" s="23" t="str">
        <f aca="false">IF($B1594="","",IF(COUNTIFS($A$4:$A$2003,$A1594-1,$B$4:$B$2003,$B1594)=0,"first day",IF(SUMIFS($M$4:$M$2003,$A$4:$A$2003,$A1594-1,$B$4:$B$2003,$B1594)=$J1594,"OK","CHECK")))</f>
        <v/>
      </c>
      <c r="T1594" s="10" t="str">
        <f aca="false">IF($B1594="","",IFERROR(INDEX(Drinks!$D$4:$D$53,MATCH($B1594,Drinks!$A$4:$A$53,0)),0))</f>
        <v/>
      </c>
    </row>
    <row r="1595" customFormat="false" ht="15" hidden="false" customHeight="false" outlineLevel="0" collapsed="false">
      <c r="A1595" s="22"/>
      <c r="B1595" s="9"/>
      <c r="C1595" s="9"/>
      <c r="D1595" s="9"/>
      <c r="E1595" s="9"/>
      <c r="F1595" s="10" t="str">
        <f aca="false">IF($B1595="","",$C1595+$D1595-$E1595)</f>
        <v/>
      </c>
      <c r="G1595" s="10" t="str">
        <f aca="false">IF($B1595="","",IFERROR(INDEX(Drinks!$C$4:$C$53,MATCH($B1595,Drinks!$A$4:$A$53,0)),0))</f>
        <v/>
      </c>
      <c r="H1595" s="10" t="str">
        <f aca="false">IF($B1595="","",$D1595*$G1595)</f>
        <v/>
      </c>
      <c r="I1595" s="10" t="str">
        <f aca="false">IF($B1595="","",$F1595*$G1595)</f>
        <v/>
      </c>
      <c r="J1595" s="9"/>
      <c r="K1595" s="10" t="str">
        <f aca="false">IF($B1595="","",$E1595*IFERROR(INDEX(Drinks!$B$4:$B$53,MATCH($B1595,Drinks!$A$4:$A$53,0)),0))</f>
        <v/>
      </c>
      <c r="L1595" s="10" t="str">
        <f aca="false">IF($B1595="","",$J1595+$K1595)</f>
        <v/>
      </c>
      <c r="M1595" s="9"/>
      <c r="N1595" s="10" t="str">
        <f aca="false">IF($B1595="","",$L1595-$M1595)</f>
        <v/>
      </c>
      <c r="O1595" s="10" t="str">
        <f aca="false">IF($B1595="","",IFERROR(INDEX(Drinks!$E$4:$E$53,MATCH($B1595,Drinks!$A$4:$A$53,0)),0))</f>
        <v/>
      </c>
      <c r="P1595" s="10" t="str">
        <f aca="false">IF($B1595="","",$N1595*$O1595)</f>
        <v/>
      </c>
      <c r="Q1595" s="10" t="str">
        <f aca="false">IF($B1595="","",$N1595*IFERROR(INDEX(Drinks!$D$4:$D$53,MATCH($B1595,Drinks!$A$4:$A$53,0)),0))</f>
        <v/>
      </c>
      <c r="R1595" s="10" t="str">
        <f aca="false">IF($B1595="","",$P1595-$Q1595)</f>
        <v/>
      </c>
      <c r="S1595" s="23" t="str">
        <f aca="false">IF($B1595="","",IF(COUNTIFS($A$4:$A$2003,$A1595-1,$B$4:$B$2003,$B1595)=0,"first day",IF(SUMIFS($M$4:$M$2003,$A$4:$A$2003,$A1595-1,$B$4:$B$2003,$B1595)=$J1595,"OK","CHECK")))</f>
        <v/>
      </c>
      <c r="T1595" s="10" t="str">
        <f aca="false">IF($B1595="","",IFERROR(INDEX(Drinks!$D$4:$D$53,MATCH($B1595,Drinks!$A$4:$A$53,0)),0))</f>
        <v/>
      </c>
    </row>
    <row r="1596" customFormat="false" ht="15" hidden="false" customHeight="false" outlineLevel="0" collapsed="false">
      <c r="A1596" s="22"/>
      <c r="B1596" s="9"/>
      <c r="C1596" s="9"/>
      <c r="D1596" s="9"/>
      <c r="E1596" s="9"/>
      <c r="F1596" s="10" t="str">
        <f aca="false">IF($B1596="","",$C1596+$D1596-$E1596)</f>
        <v/>
      </c>
      <c r="G1596" s="10" t="str">
        <f aca="false">IF($B1596="","",IFERROR(INDEX(Drinks!$C$4:$C$53,MATCH($B1596,Drinks!$A$4:$A$53,0)),0))</f>
        <v/>
      </c>
      <c r="H1596" s="10" t="str">
        <f aca="false">IF($B1596="","",$D1596*$G1596)</f>
        <v/>
      </c>
      <c r="I1596" s="10" t="str">
        <f aca="false">IF($B1596="","",$F1596*$G1596)</f>
        <v/>
      </c>
      <c r="J1596" s="9"/>
      <c r="K1596" s="10" t="str">
        <f aca="false">IF($B1596="","",$E1596*IFERROR(INDEX(Drinks!$B$4:$B$53,MATCH($B1596,Drinks!$A$4:$A$53,0)),0))</f>
        <v/>
      </c>
      <c r="L1596" s="10" t="str">
        <f aca="false">IF($B1596="","",$J1596+$K1596)</f>
        <v/>
      </c>
      <c r="M1596" s="9"/>
      <c r="N1596" s="10" t="str">
        <f aca="false">IF($B1596="","",$L1596-$M1596)</f>
        <v/>
      </c>
      <c r="O1596" s="10" t="str">
        <f aca="false">IF($B1596="","",IFERROR(INDEX(Drinks!$E$4:$E$53,MATCH($B1596,Drinks!$A$4:$A$53,0)),0))</f>
        <v/>
      </c>
      <c r="P1596" s="10" t="str">
        <f aca="false">IF($B1596="","",$N1596*$O1596)</f>
        <v/>
      </c>
      <c r="Q1596" s="10" t="str">
        <f aca="false">IF($B1596="","",$N1596*IFERROR(INDEX(Drinks!$D$4:$D$53,MATCH($B1596,Drinks!$A$4:$A$53,0)),0))</f>
        <v/>
      </c>
      <c r="R1596" s="10" t="str">
        <f aca="false">IF($B1596="","",$P1596-$Q1596)</f>
        <v/>
      </c>
      <c r="S1596" s="23" t="str">
        <f aca="false">IF($B1596="","",IF(COUNTIFS($A$4:$A$2003,$A1596-1,$B$4:$B$2003,$B1596)=0,"first day",IF(SUMIFS($M$4:$M$2003,$A$4:$A$2003,$A1596-1,$B$4:$B$2003,$B1596)=$J1596,"OK","CHECK")))</f>
        <v/>
      </c>
      <c r="T1596" s="10" t="str">
        <f aca="false">IF($B1596="","",IFERROR(INDEX(Drinks!$D$4:$D$53,MATCH($B1596,Drinks!$A$4:$A$53,0)),0))</f>
        <v/>
      </c>
    </row>
    <row r="1597" customFormat="false" ht="15" hidden="false" customHeight="false" outlineLevel="0" collapsed="false">
      <c r="A1597" s="22"/>
      <c r="B1597" s="9"/>
      <c r="C1597" s="9"/>
      <c r="D1597" s="9"/>
      <c r="E1597" s="9"/>
      <c r="F1597" s="10" t="str">
        <f aca="false">IF($B1597="","",$C1597+$D1597-$E1597)</f>
        <v/>
      </c>
      <c r="G1597" s="10" t="str">
        <f aca="false">IF($B1597="","",IFERROR(INDEX(Drinks!$C$4:$C$53,MATCH($B1597,Drinks!$A$4:$A$53,0)),0))</f>
        <v/>
      </c>
      <c r="H1597" s="10" t="str">
        <f aca="false">IF($B1597="","",$D1597*$G1597)</f>
        <v/>
      </c>
      <c r="I1597" s="10" t="str">
        <f aca="false">IF($B1597="","",$F1597*$G1597)</f>
        <v/>
      </c>
      <c r="J1597" s="9"/>
      <c r="K1597" s="10" t="str">
        <f aca="false">IF($B1597="","",$E1597*IFERROR(INDEX(Drinks!$B$4:$B$53,MATCH($B1597,Drinks!$A$4:$A$53,0)),0))</f>
        <v/>
      </c>
      <c r="L1597" s="10" t="str">
        <f aca="false">IF($B1597="","",$J1597+$K1597)</f>
        <v/>
      </c>
      <c r="M1597" s="9"/>
      <c r="N1597" s="10" t="str">
        <f aca="false">IF($B1597="","",$L1597-$M1597)</f>
        <v/>
      </c>
      <c r="O1597" s="10" t="str">
        <f aca="false">IF($B1597="","",IFERROR(INDEX(Drinks!$E$4:$E$53,MATCH($B1597,Drinks!$A$4:$A$53,0)),0))</f>
        <v/>
      </c>
      <c r="P1597" s="10" t="str">
        <f aca="false">IF($B1597="","",$N1597*$O1597)</f>
        <v/>
      </c>
      <c r="Q1597" s="10" t="str">
        <f aca="false">IF($B1597="","",$N1597*IFERROR(INDEX(Drinks!$D$4:$D$53,MATCH($B1597,Drinks!$A$4:$A$53,0)),0))</f>
        <v/>
      </c>
      <c r="R1597" s="10" t="str">
        <f aca="false">IF($B1597="","",$P1597-$Q1597)</f>
        <v/>
      </c>
      <c r="S1597" s="23" t="str">
        <f aca="false">IF($B1597="","",IF(COUNTIFS($A$4:$A$2003,$A1597-1,$B$4:$B$2003,$B1597)=0,"first day",IF(SUMIFS($M$4:$M$2003,$A$4:$A$2003,$A1597-1,$B$4:$B$2003,$B1597)=$J1597,"OK","CHECK")))</f>
        <v/>
      </c>
      <c r="T1597" s="10" t="str">
        <f aca="false">IF($B1597="","",IFERROR(INDEX(Drinks!$D$4:$D$53,MATCH($B1597,Drinks!$A$4:$A$53,0)),0))</f>
        <v/>
      </c>
    </row>
    <row r="1598" customFormat="false" ht="15" hidden="false" customHeight="false" outlineLevel="0" collapsed="false">
      <c r="A1598" s="22"/>
      <c r="B1598" s="9"/>
      <c r="C1598" s="9"/>
      <c r="D1598" s="9"/>
      <c r="E1598" s="9"/>
      <c r="F1598" s="10" t="str">
        <f aca="false">IF($B1598="","",$C1598+$D1598-$E1598)</f>
        <v/>
      </c>
      <c r="G1598" s="10" t="str">
        <f aca="false">IF($B1598="","",IFERROR(INDEX(Drinks!$C$4:$C$53,MATCH($B1598,Drinks!$A$4:$A$53,0)),0))</f>
        <v/>
      </c>
      <c r="H1598" s="10" t="str">
        <f aca="false">IF($B1598="","",$D1598*$G1598)</f>
        <v/>
      </c>
      <c r="I1598" s="10" t="str">
        <f aca="false">IF($B1598="","",$F1598*$G1598)</f>
        <v/>
      </c>
      <c r="J1598" s="9"/>
      <c r="K1598" s="10" t="str">
        <f aca="false">IF($B1598="","",$E1598*IFERROR(INDEX(Drinks!$B$4:$B$53,MATCH($B1598,Drinks!$A$4:$A$53,0)),0))</f>
        <v/>
      </c>
      <c r="L1598" s="10" t="str">
        <f aca="false">IF($B1598="","",$J1598+$K1598)</f>
        <v/>
      </c>
      <c r="M1598" s="9"/>
      <c r="N1598" s="10" t="str">
        <f aca="false">IF($B1598="","",$L1598-$M1598)</f>
        <v/>
      </c>
      <c r="O1598" s="10" t="str">
        <f aca="false">IF($B1598="","",IFERROR(INDEX(Drinks!$E$4:$E$53,MATCH($B1598,Drinks!$A$4:$A$53,0)),0))</f>
        <v/>
      </c>
      <c r="P1598" s="10" t="str">
        <f aca="false">IF($B1598="","",$N1598*$O1598)</f>
        <v/>
      </c>
      <c r="Q1598" s="10" t="str">
        <f aca="false">IF($B1598="","",$N1598*IFERROR(INDEX(Drinks!$D$4:$D$53,MATCH($B1598,Drinks!$A$4:$A$53,0)),0))</f>
        <v/>
      </c>
      <c r="R1598" s="10" t="str">
        <f aca="false">IF($B1598="","",$P1598-$Q1598)</f>
        <v/>
      </c>
      <c r="S1598" s="23" t="str">
        <f aca="false">IF($B1598="","",IF(COUNTIFS($A$4:$A$2003,$A1598-1,$B$4:$B$2003,$B1598)=0,"first day",IF(SUMIFS($M$4:$M$2003,$A$4:$A$2003,$A1598-1,$B$4:$B$2003,$B1598)=$J1598,"OK","CHECK")))</f>
        <v/>
      </c>
      <c r="T1598" s="10" t="str">
        <f aca="false">IF($B1598="","",IFERROR(INDEX(Drinks!$D$4:$D$53,MATCH($B1598,Drinks!$A$4:$A$53,0)),0))</f>
        <v/>
      </c>
    </row>
    <row r="1599" customFormat="false" ht="15" hidden="false" customHeight="false" outlineLevel="0" collapsed="false">
      <c r="A1599" s="22"/>
      <c r="B1599" s="9"/>
      <c r="C1599" s="9"/>
      <c r="D1599" s="9"/>
      <c r="E1599" s="9"/>
      <c r="F1599" s="10" t="str">
        <f aca="false">IF($B1599="","",$C1599+$D1599-$E1599)</f>
        <v/>
      </c>
      <c r="G1599" s="10" t="str">
        <f aca="false">IF($B1599="","",IFERROR(INDEX(Drinks!$C$4:$C$53,MATCH($B1599,Drinks!$A$4:$A$53,0)),0))</f>
        <v/>
      </c>
      <c r="H1599" s="10" t="str">
        <f aca="false">IF($B1599="","",$D1599*$G1599)</f>
        <v/>
      </c>
      <c r="I1599" s="10" t="str">
        <f aca="false">IF($B1599="","",$F1599*$G1599)</f>
        <v/>
      </c>
      <c r="J1599" s="9"/>
      <c r="K1599" s="10" t="str">
        <f aca="false">IF($B1599="","",$E1599*IFERROR(INDEX(Drinks!$B$4:$B$53,MATCH($B1599,Drinks!$A$4:$A$53,0)),0))</f>
        <v/>
      </c>
      <c r="L1599" s="10" t="str">
        <f aca="false">IF($B1599="","",$J1599+$K1599)</f>
        <v/>
      </c>
      <c r="M1599" s="9"/>
      <c r="N1599" s="10" t="str">
        <f aca="false">IF($B1599="","",$L1599-$M1599)</f>
        <v/>
      </c>
      <c r="O1599" s="10" t="str">
        <f aca="false">IF($B1599="","",IFERROR(INDEX(Drinks!$E$4:$E$53,MATCH($B1599,Drinks!$A$4:$A$53,0)),0))</f>
        <v/>
      </c>
      <c r="P1599" s="10" t="str">
        <f aca="false">IF($B1599="","",$N1599*$O1599)</f>
        <v/>
      </c>
      <c r="Q1599" s="10" t="str">
        <f aca="false">IF($B1599="","",$N1599*IFERROR(INDEX(Drinks!$D$4:$D$53,MATCH($B1599,Drinks!$A$4:$A$53,0)),0))</f>
        <v/>
      </c>
      <c r="R1599" s="10" t="str">
        <f aca="false">IF($B1599="","",$P1599-$Q1599)</f>
        <v/>
      </c>
      <c r="S1599" s="23" t="str">
        <f aca="false">IF($B1599="","",IF(COUNTIFS($A$4:$A$2003,$A1599-1,$B$4:$B$2003,$B1599)=0,"first day",IF(SUMIFS($M$4:$M$2003,$A$4:$A$2003,$A1599-1,$B$4:$B$2003,$B1599)=$J1599,"OK","CHECK")))</f>
        <v/>
      </c>
      <c r="T1599" s="10" t="str">
        <f aca="false">IF($B1599="","",IFERROR(INDEX(Drinks!$D$4:$D$53,MATCH($B1599,Drinks!$A$4:$A$53,0)),0))</f>
        <v/>
      </c>
    </row>
    <row r="1600" customFormat="false" ht="15" hidden="false" customHeight="false" outlineLevel="0" collapsed="false">
      <c r="A1600" s="22"/>
      <c r="B1600" s="9"/>
      <c r="C1600" s="9"/>
      <c r="D1600" s="9"/>
      <c r="E1600" s="9"/>
      <c r="F1600" s="10" t="str">
        <f aca="false">IF($B1600="","",$C1600+$D1600-$E1600)</f>
        <v/>
      </c>
      <c r="G1600" s="10" t="str">
        <f aca="false">IF($B1600="","",IFERROR(INDEX(Drinks!$C$4:$C$53,MATCH($B1600,Drinks!$A$4:$A$53,0)),0))</f>
        <v/>
      </c>
      <c r="H1600" s="10" t="str">
        <f aca="false">IF($B1600="","",$D1600*$G1600)</f>
        <v/>
      </c>
      <c r="I1600" s="10" t="str">
        <f aca="false">IF($B1600="","",$F1600*$G1600)</f>
        <v/>
      </c>
      <c r="J1600" s="9"/>
      <c r="K1600" s="10" t="str">
        <f aca="false">IF($B1600="","",$E1600*IFERROR(INDEX(Drinks!$B$4:$B$53,MATCH($B1600,Drinks!$A$4:$A$53,0)),0))</f>
        <v/>
      </c>
      <c r="L1600" s="10" t="str">
        <f aca="false">IF($B1600="","",$J1600+$K1600)</f>
        <v/>
      </c>
      <c r="M1600" s="9"/>
      <c r="N1600" s="10" t="str">
        <f aca="false">IF($B1600="","",$L1600-$M1600)</f>
        <v/>
      </c>
      <c r="O1600" s="10" t="str">
        <f aca="false">IF($B1600="","",IFERROR(INDEX(Drinks!$E$4:$E$53,MATCH($B1600,Drinks!$A$4:$A$53,0)),0))</f>
        <v/>
      </c>
      <c r="P1600" s="10" t="str">
        <f aca="false">IF($B1600="","",$N1600*$O1600)</f>
        <v/>
      </c>
      <c r="Q1600" s="10" t="str">
        <f aca="false">IF($B1600="","",$N1600*IFERROR(INDEX(Drinks!$D$4:$D$53,MATCH($B1600,Drinks!$A$4:$A$53,0)),0))</f>
        <v/>
      </c>
      <c r="R1600" s="10" t="str">
        <f aca="false">IF($B1600="","",$P1600-$Q1600)</f>
        <v/>
      </c>
      <c r="S1600" s="23" t="str">
        <f aca="false">IF($B1600="","",IF(COUNTIFS($A$4:$A$2003,$A1600-1,$B$4:$B$2003,$B1600)=0,"first day",IF(SUMIFS($M$4:$M$2003,$A$4:$A$2003,$A1600-1,$B$4:$B$2003,$B1600)=$J1600,"OK","CHECK")))</f>
        <v/>
      </c>
      <c r="T1600" s="10" t="str">
        <f aca="false">IF($B1600="","",IFERROR(INDEX(Drinks!$D$4:$D$53,MATCH($B1600,Drinks!$A$4:$A$53,0)),0))</f>
        <v/>
      </c>
    </row>
    <row r="1601" customFormat="false" ht="15" hidden="false" customHeight="false" outlineLevel="0" collapsed="false">
      <c r="A1601" s="22"/>
      <c r="B1601" s="9"/>
      <c r="C1601" s="9"/>
      <c r="D1601" s="9"/>
      <c r="E1601" s="9"/>
      <c r="F1601" s="10" t="str">
        <f aca="false">IF($B1601="","",$C1601+$D1601-$E1601)</f>
        <v/>
      </c>
      <c r="G1601" s="10" t="str">
        <f aca="false">IF($B1601="","",IFERROR(INDEX(Drinks!$C$4:$C$53,MATCH($B1601,Drinks!$A$4:$A$53,0)),0))</f>
        <v/>
      </c>
      <c r="H1601" s="10" t="str">
        <f aca="false">IF($B1601="","",$D1601*$G1601)</f>
        <v/>
      </c>
      <c r="I1601" s="10" t="str">
        <f aca="false">IF($B1601="","",$F1601*$G1601)</f>
        <v/>
      </c>
      <c r="J1601" s="9"/>
      <c r="K1601" s="10" t="str">
        <f aca="false">IF($B1601="","",$E1601*IFERROR(INDEX(Drinks!$B$4:$B$53,MATCH($B1601,Drinks!$A$4:$A$53,0)),0))</f>
        <v/>
      </c>
      <c r="L1601" s="10" t="str">
        <f aca="false">IF($B1601="","",$J1601+$K1601)</f>
        <v/>
      </c>
      <c r="M1601" s="9"/>
      <c r="N1601" s="10" t="str">
        <f aca="false">IF($B1601="","",$L1601-$M1601)</f>
        <v/>
      </c>
      <c r="O1601" s="10" t="str">
        <f aca="false">IF($B1601="","",IFERROR(INDEX(Drinks!$E$4:$E$53,MATCH($B1601,Drinks!$A$4:$A$53,0)),0))</f>
        <v/>
      </c>
      <c r="P1601" s="10" t="str">
        <f aca="false">IF($B1601="","",$N1601*$O1601)</f>
        <v/>
      </c>
      <c r="Q1601" s="10" t="str">
        <f aca="false">IF($B1601="","",$N1601*IFERROR(INDEX(Drinks!$D$4:$D$53,MATCH($B1601,Drinks!$A$4:$A$53,0)),0))</f>
        <v/>
      </c>
      <c r="R1601" s="10" t="str">
        <f aca="false">IF($B1601="","",$P1601-$Q1601)</f>
        <v/>
      </c>
      <c r="S1601" s="23" t="str">
        <f aca="false">IF($B1601="","",IF(COUNTIFS($A$4:$A$2003,$A1601-1,$B$4:$B$2003,$B1601)=0,"first day",IF(SUMIFS($M$4:$M$2003,$A$4:$A$2003,$A1601-1,$B$4:$B$2003,$B1601)=$J1601,"OK","CHECK")))</f>
        <v/>
      </c>
      <c r="T1601" s="10" t="str">
        <f aca="false">IF($B1601="","",IFERROR(INDEX(Drinks!$D$4:$D$53,MATCH($B1601,Drinks!$A$4:$A$53,0)),0))</f>
        <v/>
      </c>
    </row>
    <row r="1602" customFormat="false" ht="15" hidden="false" customHeight="false" outlineLevel="0" collapsed="false">
      <c r="A1602" s="22"/>
      <c r="B1602" s="9"/>
      <c r="C1602" s="9"/>
      <c r="D1602" s="9"/>
      <c r="E1602" s="9"/>
      <c r="F1602" s="10" t="str">
        <f aca="false">IF($B1602="","",$C1602+$D1602-$E1602)</f>
        <v/>
      </c>
      <c r="G1602" s="10" t="str">
        <f aca="false">IF($B1602="","",IFERROR(INDEX(Drinks!$C$4:$C$53,MATCH($B1602,Drinks!$A$4:$A$53,0)),0))</f>
        <v/>
      </c>
      <c r="H1602" s="10" t="str">
        <f aca="false">IF($B1602="","",$D1602*$G1602)</f>
        <v/>
      </c>
      <c r="I1602" s="10" t="str">
        <f aca="false">IF($B1602="","",$F1602*$G1602)</f>
        <v/>
      </c>
      <c r="J1602" s="9"/>
      <c r="K1602" s="10" t="str">
        <f aca="false">IF($B1602="","",$E1602*IFERROR(INDEX(Drinks!$B$4:$B$53,MATCH($B1602,Drinks!$A$4:$A$53,0)),0))</f>
        <v/>
      </c>
      <c r="L1602" s="10" t="str">
        <f aca="false">IF($B1602="","",$J1602+$K1602)</f>
        <v/>
      </c>
      <c r="M1602" s="9"/>
      <c r="N1602" s="10" t="str">
        <f aca="false">IF($B1602="","",$L1602-$M1602)</f>
        <v/>
      </c>
      <c r="O1602" s="10" t="str">
        <f aca="false">IF($B1602="","",IFERROR(INDEX(Drinks!$E$4:$E$53,MATCH($B1602,Drinks!$A$4:$A$53,0)),0))</f>
        <v/>
      </c>
      <c r="P1602" s="10" t="str">
        <f aca="false">IF($B1602="","",$N1602*$O1602)</f>
        <v/>
      </c>
      <c r="Q1602" s="10" t="str">
        <f aca="false">IF($B1602="","",$N1602*IFERROR(INDEX(Drinks!$D$4:$D$53,MATCH($B1602,Drinks!$A$4:$A$53,0)),0))</f>
        <v/>
      </c>
      <c r="R1602" s="10" t="str">
        <f aca="false">IF($B1602="","",$P1602-$Q1602)</f>
        <v/>
      </c>
      <c r="S1602" s="23" t="str">
        <f aca="false">IF($B1602="","",IF(COUNTIFS($A$4:$A$2003,$A1602-1,$B$4:$B$2003,$B1602)=0,"first day",IF(SUMIFS($M$4:$M$2003,$A$4:$A$2003,$A1602-1,$B$4:$B$2003,$B1602)=$J1602,"OK","CHECK")))</f>
        <v/>
      </c>
      <c r="T1602" s="10" t="str">
        <f aca="false">IF($B1602="","",IFERROR(INDEX(Drinks!$D$4:$D$53,MATCH($B1602,Drinks!$A$4:$A$53,0)),0))</f>
        <v/>
      </c>
    </row>
    <row r="1603" customFormat="false" ht="15" hidden="false" customHeight="false" outlineLevel="0" collapsed="false">
      <c r="A1603" s="22"/>
      <c r="B1603" s="9"/>
      <c r="C1603" s="9"/>
      <c r="D1603" s="9"/>
      <c r="E1603" s="9"/>
      <c r="F1603" s="10" t="str">
        <f aca="false">IF($B1603="","",$C1603+$D1603-$E1603)</f>
        <v/>
      </c>
      <c r="G1603" s="10" t="str">
        <f aca="false">IF($B1603="","",IFERROR(INDEX(Drinks!$C$4:$C$53,MATCH($B1603,Drinks!$A$4:$A$53,0)),0))</f>
        <v/>
      </c>
      <c r="H1603" s="10" t="str">
        <f aca="false">IF($B1603="","",$D1603*$G1603)</f>
        <v/>
      </c>
      <c r="I1603" s="10" t="str">
        <f aca="false">IF($B1603="","",$F1603*$G1603)</f>
        <v/>
      </c>
      <c r="J1603" s="9"/>
      <c r="K1603" s="10" t="str">
        <f aca="false">IF($B1603="","",$E1603*IFERROR(INDEX(Drinks!$B$4:$B$53,MATCH($B1603,Drinks!$A$4:$A$53,0)),0))</f>
        <v/>
      </c>
      <c r="L1603" s="10" t="str">
        <f aca="false">IF($B1603="","",$J1603+$K1603)</f>
        <v/>
      </c>
      <c r="M1603" s="9"/>
      <c r="N1603" s="10" t="str">
        <f aca="false">IF($B1603="","",$L1603-$M1603)</f>
        <v/>
      </c>
      <c r="O1603" s="10" t="str">
        <f aca="false">IF($B1603="","",IFERROR(INDEX(Drinks!$E$4:$E$53,MATCH($B1603,Drinks!$A$4:$A$53,0)),0))</f>
        <v/>
      </c>
      <c r="P1603" s="10" t="str">
        <f aca="false">IF($B1603="","",$N1603*$O1603)</f>
        <v/>
      </c>
      <c r="Q1603" s="10" t="str">
        <f aca="false">IF($B1603="","",$N1603*IFERROR(INDEX(Drinks!$D$4:$D$53,MATCH($B1603,Drinks!$A$4:$A$53,0)),0))</f>
        <v/>
      </c>
      <c r="R1603" s="10" t="str">
        <f aca="false">IF($B1603="","",$P1603-$Q1603)</f>
        <v/>
      </c>
      <c r="S1603" s="23" t="str">
        <f aca="false">IF($B1603="","",IF(COUNTIFS($A$4:$A$2003,$A1603-1,$B$4:$B$2003,$B1603)=0,"first day",IF(SUMIFS($M$4:$M$2003,$A$4:$A$2003,$A1603-1,$B$4:$B$2003,$B1603)=$J1603,"OK","CHECK")))</f>
        <v/>
      </c>
      <c r="T1603" s="10" t="str">
        <f aca="false">IF($B1603="","",IFERROR(INDEX(Drinks!$D$4:$D$53,MATCH($B1603,Drinks!$A$4:$A$53,0)),0))</f>
        <v/>
      </c>
    </row>
    <row r="1604" customFormat="false" ht="15" hidden="false" customHeight="false" outlineLevel="0" collapsed="false">
      <c r="A1604" s="22"/>
      <c r="B1604" s="9"/>
      <c r="C1604" s="9"/>
      <c r="D1604" s="9"/>
      <c r="E1604" s="9"/>
      <c r="F1604" s="10" t="str">
        <f aca="false">IF($B1604="","",$C1604+$D1604-$E1604)</f>
        <v/>
      </c>
      <c r="G1604" s="10" t="str">
        <f aca="false">IF($B1604="","",IFERROR(INDEX(Drinks!$C$4:$C$53,MATCH($B1604,Drinks!$A$4:$A$53,0)),0))</f>
        <v/>
      </c>
      <c r="H1604" s="10" t="str">
        <f aca="false">IF($B1604="","",$D1604*$G1604)</f>
        <v/>
      </c>
      <c r="I1604" s="10" t="str">
        <f aca="false">IF($B1604="","",$F1604*$G1604)</f>
        <v/>
      </c>
      <c r="J1604" s="9"/>
      <c r="K1604" s="10" t="str">
        <f aca="false">IF($B1604="","",$E1604*IFERROR(INDEX(Drinks!$B$4:$B$53,MATCH($B1604,Drinks!$A$4:$A$53,0)),0))</f>
        <v/>
      </c>
      <c r="L1604" s="10" t="str">
        <f aca="false">IF($B1604="","",$J1604+$K1604)</f>
        <v/>
      </c>
      <c r="M1604" s="9"/>
      <c r="N1604" s="10" t="str">
        <f aca="false">IF($B1604="","",$L1604-$M1604)</f>
        <v/>
      </c>
      <c r="O1604" s="10" t="str">
        <f aca="false">IF($B1604="","",IFERROR(INDEX(Drinks!$E$4:$E$53,MATCH($B1604,Drinks!$A$4:$A$53,0)),0))</f>
        <v/>
      </c>
      <c r="P1604" s="10" t="str">
        <f aca="false">IF($B1604="","",$N1604*$O1604)</f>
        <v/>
      </c>
      <c r="Q1604" s="10" t="str">
        <f aca="false">IF($B1604="","",$N1604*IFERROR(INDEX(Drinks!$D$4:$D$53,MATCH($B1604,Drinks!$A$4:$A$53,0)),0))</f>
        <v/>
      </c>
      <c r="R1604" s="10" t="str">
        <f aca="false">IF($B1604="","",$P1604-$Q1604)</f>
        <v/>
      </c>
      <c r="S1604" s="23" t="str">
        <f aca="false">IF($B1604="","",IF(COUNTIFS($A$4:$A$2003,$A1604-1,$B$4:$B$2003,$B1604)=0,"first day",IF(SUMIFS($M$4:$M$2003,$A$4:$A$2003,$A1604-1,$B$4:$B$2003,$B1604)=$J1604,"OK","CHECK")))</f>
        <v/>
      </c>
      <c r="T1604" s="10" t="str">
        <f aca="false">IF($B1604="","",IFERROR(INDEX(Drinks!$D$4:$D$53,MATCH($B1604,Drinks!$A$4:$A$53,0)),0))</f>
        <v/>
      </c>
    </row>
    <row r="1605" customFormat="false" ht="15" hidden="false" customHeight="false" outlineLevel="0" collapsed="false">
      <c r="A1605" s="22"/>
      <c r="B1605" s="9"/>
      <c r="C1605" s="9"/>
      <c r="D1605" s="9"/>
      <c r="E1605" s="9"/>
      <c r="F1605" s="10" t="str">
        <f aca="false">IF($B1605="","",$C1605+$D1605-$E1605)</f>
        <v/>
      </c>
      <c r="G1605" s="10" t="str">
        <f aca="false">IF($B1605="","",IFERROR(INDEX(Drinks!$C$4:$C$53,MATCH($B1605,Drinks!$A$4:$A$53,0)),0))</f>
        <v/>
      </c>
      <c r="H1605" s="10" t="str">
        <f aca="false">IF($B1605="","",$D1605*$G1605)</f>
        <v/>
      </c>
      <c r="I1605" s="10" t="str">
        <f aca="false">IF($B1605="","",$F1605*$G1605)</f>
        <v/>
      </c>
      <c r="J1605" s="9"/>
      <c r="K1605" s="10" t="str">
        <f aca="false">IF($B1605="","",$E1605*IFERROR(INDEX(Drinks!$B$4:$B$53,MATCH($B1605,Drinks!$A$4:$A$53,0)),0))</f>
        <v/>
      </c>
      <c r="L1605" s="10" t="str">
        <f aca="false">IF($B1605="","",$J1605+$K1605)</f>
        <v/>
      </c>
      <c r="M1605" s="9"/>
      <c r="N1605" s="10" t="str">
        <f aca="false">IF($B1605="","",$L1605-$M1605)</f>
        <v/>
      </c>
      <c r="O1605" s="10" t="str">
        <f aca="false">IF($B1605="","",IFERROR(INDEX(Drinks!$E$4:$E$53,MATCH($B1605,Drinks!$A$4:$A$53,0)),0))</f>
        <v/>
      </c>
      <c r="P1605" s="10" t="str">
        <f aca="false">IF($B1605="","",$N1605*$O1605)</f>
        <v/>
      </c>
      <c r="Q1605" s="10" t="str">
        <f aca="false">IF($B1605="","",$N1605*IFERROR(INDEX(Drinks!$D$4:$D$53,MATCH($B1605,Drinks!$A$4:$A$53,0)),0))</f>
        <v/>
      </c>
      <c r="R1605" s="10" t="str">
        <f aca="false">IF($B1605="","",$P1605-$Q1605)</f>
        <v/>
      </c>
      <c r="S1605" s="23" t="str">
        <f aca="false">IF($B1605="","",IF(COUNTIFS($A$4:$A$2003,$A1605-1,$B$4:$B$2003,$B1605)=0,"first day",IF(SUMIFS($M$4:$M$2003,$A$4:$A$2003,$A1605-1,$B$4:$B$2003,$B1605)=$J1605,"OK","CHECK")))</f>
        <v/>
      </c>
      <c r="T1605" s="10" t="str">
        <f aca="false">IF($B1605="","",IFERROR(INDEX(Drinks!$D$4:$D$53,MATCH($B1605,Drinks!$A$4:$A$53,0)),0))</f>
        <v/>
      </c>
    </row>
    <row r="1606" customFormat="false" ht="15" hidden="false" customHeight="false" outlineLevel="0" collapsed="false">
      <c r="A1606" s="22"/>
      <c r="B1606" s="9"/>
      <c r="C1606" s="9"/>
      <c r="D1606" s="9"/>
      <c r="E1606" s="9"/>
      <c r="F1606" s="10" t="str">
        <f aca="false">IF($B1606="","",$C1606+$D1606-$E1606)</f>
        <v/>
      </c>
      <c r="G1606" s="10" t="str">
        <f aca="false">IF($B1606="","",IFERROR(INDEX(Drinks!$C$4:$C$53,MATCH($B1606,Drinks!$A$4:$A$53,0)),0))</f>
        <v/>
      </c>
      <c r="H1606" s="10" t="str">
        <f aca="false">IF($B1606="","",$D1606*$G1606)</f>
        <v/>
      </c>
      <c r="I1606" s="10" t="str">
        <f aca="false">IF($B1606="","",$F1606*$G1606)</f>
        <v/>
      </c>
      <c r="J1606" s="9"/>
      <c r="K1606" s="10" t="str">
        <f aca="false">IF($B1606="","",$E1606*IFERROR(INDEX(Drinks!$B$4:$B$53,MATCH($B1606,Drinks!$A$4:$A$53,0)),0))</f>
        <v/>
      </c>
      <c r="L1606" s="10" t="str">
        <f aca="false">IF($B1606="","",$J1606+$K1606)</f>
        <v/>
      </c>
      <c r="M1606" s="9"/>
      <c r="N1606" s="10" t="str">
        <f aca="false">IF($B1606="","",$L1606-$M1606)</f>
        <v/>
      </c>
      <c r="O1606" s="10" t="str">
        <f aca="false">IF($B1606="","",IFERROR(INDEX(Drinks!$E$4:$E$53,MATCH($B1606,Drinks!$A$4:$A$53,0)),0))</f>
        <v/>
      </c>
      <c r="P1606" s="10" t="str">
        <f aca="false">IF($B1606="","",$N1606*$O1606)</f>
        <v/>
      </c>
      <c r="Q1606" s="10" t="str">
        <f aca="false">IF($B1606="","",$N1606*IFERROR(INDEX(Drinks!$D$4:$D$53,MATCH($B1606,Drinks!$A$4:$A$53,0)),0))</f>
        <v/>
      </c>
      <c r="R1606" s="10" t="str">
        <f aca="false">IF($B1606="","",$P1606-$Q1606)</f>
        <v/>
      </c>
      <c r="S1606" s="23" t="str">
        <f aca="false">IF($B1606="","",IF(COUNTIFS($A$4:$A$2003,$A1606-1,$B$4:$B$2003,$B1606)=0,"first day",IF(SUMIFS($M$4:$M$2003,$A$4:$A$2003,$A1606-1,$B$4:$B$2003,$B1606)=$J1606,"OK","CHECK")))</f>
        <v/>
      </c>
      <c r="T1606" s="10" t="str">
        <f aca="false">IF($B1606="","",IFERROR(INDEX(Drinks!$D$4:$D$53,MATCH($B1606,Drinks!$A$4:$A$53,0)),0))</f>
        <v/>
      </c>
    </row>
    <row r="1607" customFormat="false" ht="15" hidden="false" customHeight="false" outlineLevel="0" collapsed="false">
      <c r="A1607" s="22"/>
      <c r="B1607" s="9"/>
      <c r="C1607" s="9"/>
      <c r="D1607" s="9"/>
      <c r="E1607" s="9"/>
      <c r="F1607" s="10" t="str">
        <f aca="false">IF($B1607="","",$C1607+$D1607-$E1607)</f>
        <v/>
      </c>
      <c r="G1607" s="10" t="str">
        <f aca="false">IF($B1607="","",IFERROR(INDEX(Drinks!$C$4:$C$53,MATCH($B1607,Drinks!$A$4:$A$53,0)),0))</f>
        <v/>
      </c>
      <c r="H1607" s="10" t="str">
        <f aca="false">IF($B1607="","",$D1607*$G1607)</f>
        <v/>
      </c>
      <c r="I1607" s="10" t="str">
        <f aca="false">IF($B1607="","",$F1607*$G1607)</f>
        <v/>
      </c>
      <c r="J1607" s="9"/>
      <c r="K1607" s="10" t="str">
        <f aca="false">IF($B1607="","",$E1607*IFERROR(INDEX(Drinks!$B$4:$B$53,MATCH($B1607,Drinks!$A$4:$A$53,0)),0))</f>
        <v/>
      </c>
      <c r="L1607" s="10" t="str">
        <f aca="false">IF($B1607="","",$J1607+$K1607)</f>
        <v/>
      </c>
      <c r="M1607" s="9"/>
      <c r="N1607" s="10" t="str">
        <f aca="false">IF($B1607="","",$L1607-$M1607)</f>
        <v/>
      </c>
      <c r="O1607" s="10" t="str">
        <f aca="false">IF($B1607="","",IFERROR(INDEX(Drinks!$E$4:$E$53,MATCH($B1607,Drinks!$A$4:$A$53,0)),0))</f>
        <v/>
      </c>
      <c r="P1607" s="10" t="str">
        <f aca="false">IF($B1607="","",$N1607*$O1607)</f>
        <v/>
      </c>
      <c r="Q1607" s="10" t="str">
        <f aca="false">IF($B1607="","",$N1607*IFERROR(INDEX(Drinks!$D$4:$D$53,MATCH($B1607,Drinks!$A$4:$A$53,0)),0))</f>
        <v/>
      </c>
      <c r="R1607" s="10" t="str">
        <f aca="false">IF($B1607="","",$P1607-$Q1607)</f>
        <v/>
      </c>
      <c r="S1607" s="23" t="str">
        <f aca="false">IF($B1607="","",IF(COUNTIFS($A$4:$A$2003,$A1607-1,$B$4:$B$2003,$B1607)=0,"first day",IF(SUMIFS($M$4:$M$2003,$A$4:$A$2003,$A1607-1,$B$4:$B$2003,$B1607)=$J1607,"OK","CHECK")))</f>
        <v/>
      </c>
      <c r="T1607" s="10" t="str">
        <f aca="false">IF($B1607="","",IFERROR(INDEX(Drinks!$D$4:$D$53,MATCH($B1607,Drinks!$A$4:$A$53,0)),0))</f>
        <v/>
      </c>
    </row>
    <row r="1608" customFormat="false" ht="15" hidden="false" customHeight="false" outlineLevel="0" collapsed="false">
      <c r="A1608" s="22"/>
      <c r="B1608" s="9"/>
      <c r="C1608" s="9"/>
      <c r="D1608" s="9"/>
      <c r="E1608" s="9"/>
      <c r="F1608" s="10" t="str">
        <f aca="false">IF($B1608="","",$C1608+$D1608-$E1608)</f>
        <v/>
      </c>
      <c r="G1608" s="10" t="str">
        <f aca="false">IF($B1608="","",IFERROR(INDEX(Drinks!$C$4:$C$53,MATCH($B1608,Drinks!$A$4:$A$53,0)),0))</f>
        <v/>
      </c>
      <c r="H1608" s="10" t="str">
        <f aca="false">IF($B1608="","",$D1608*$G1608)</f>
        <v/>
      </c>
      <c r="I1608" s="10" t="str">
        <f aca="false">IF($B1608="","",$F1608*$G1608)</f>
        <v/>
      </c>
      <c r="J1608" s="9"/>
      <c r="K1608" s="10" t="str">
        <f aca="false">IF($B1608="","",$E1608*IFERROR(INDEX(Drinks!$B$4:$B$53,MATCH($B1608,Drinks!$A$4:$A$53,0)),0))</f>
        <v/>
      </c>
      <c r="L1608" s="10" t="str">
        <f aca="false">IF($B1608="","",$J1608+$K1608)</f>
        <v/>
      </c>
      <c r="M1608" s="9"/>
      <c r="N1608" s="10" t="str">
        <f aca="false">IF($B1608="","",$L1608-$M1608)</f>
        <v/>
      </c>
      <c r="O1608" s="10" t="str">
        <f aca="false">IF($B1608="","",IFERROR(INDEX(Drinks!$E$4:$E$53,MATCH($B1608,Drinks!$A$4:$A$53,0)),0))</f>
        <v/>
      </c>
      <c r="P1608" s="10" t="str">
        <f aca="false">IF($B1608="","",$N1608*$O1608)</f>
        <v/>
      </c>
      <c r="Q1608" s="10" t="str">
        <f aca="false">IF($B1608="","",$N1608*IFERROR(INDEX(Drinks!$D$4:$D$53,MATCH($B1608,Drinks!$A$4:$A$53,0)),0))</f>
        <v/>
      </c>
      <c r="R1608" s="10" t="str">
        <f aca="false">IF($B1608="","",$P1608-$Q1608)</f>
        <v/>
      </c>
      <c r="S1608" s="23" t="str">
        <f aca="false">IF($B1608="","",IF(COUNTIFS($A$4:$A$2003,$A1608-1,$B$4:$B$2003,$B1608)=0,"first day",IF(SUMIFS($M$4:$M$2003,$A$4:$A$2003,$A1608-1,$B$4:$B$2003,$B1608)=$J1608,"OK","CHECK")))</f>
        <v/>
      </c>
      <c r="T1608" s="10" t="str">
        <f aca="false">IF($B1608="","",IFERROR(INDEX(Drinks!$D$4:$D$53,MATCH($B1608,Drinks!$A$4:$A$53,0)),0))</f>
        <v/>
      </c>
    </row>
    <row r="1609" customFormat="false" ht="15" hidden="false" customHeight="false" outlineLevel="0" collapsed="false">
      <c r="A1609" s="22"/>
      <c r="B1609" s="9"/>
      <c r="C1609" s="9"/>
      <c r="D1609" s="9"/>
      <c r="E1609" s="9"/>
      <c r="F1609" s="10" t="str">
        <f aca="false">IF($B1609="","",$C1609+$D1609-$E1609)</f>
        <v/>
      </c>
      <c r="G1609" s="10" t="str">
        <f aca="false">IF($B1609="","",IFERROR(INDEX(Drinks!$C$4:$C$53,MATCH($B1609,Drinks!$A$4:$A$53,0)),0))</f>
        <v/>
      </c>
      <c r="H1609" s="10" t="str">
        <f aca="false">IF($B1609="","",$D1609*$G1609)</f>
        <v/>
      </c>
      <c r="I1609" s="10" t="str">
        <f aca="false">IF($B1609="","",$F1609*$G1609)</f>
        <v/>
      </c>
      <c r="J1609" s="9"/>
      <c r="K1609" s="10" t="str">
        <f aca="false">IF($B1609="","",$E1609*IFERROR(INDEX(Drinks!$B$4:$B$53,MATCH($B1609,Drinks!$A$4:$A$53,0)),0))</f>
        <v/>
      </c>
      <c r="L1609" s="10" t="str">
        <f aca="false">IF($B1609="","",$J1609+$K1609)</f>
        <v/>
      </c>
      <c r="M1609" s="9"/>
      <c r="N1609" s="10" t="str">
        <f aca="false">IF($B1609="","",$L1609-$M1609)</f>
        <v/>
      </c>
      <c r="O1609" s="10" t="str">
        <f aca="false">IF($B1609="","",IFERROR(INDEX(Drinks!$E$4:$E$53,MATCH($B1609,Drinks!$A$4:$A$53,0)),0))</f>
        <v/>
      </c>
      <c r="P1609" s="10" t="str">
        <f aca="false">IF($B1609="","",$N1609*$O1609)</f>
        <v/>
      </c>
      <c r="Q1609" s="10" t="str">
        <f aca="false">IF($B1609="","",$N1609*IFERROR(INDEX(Drinks!$D$4:$D$53,MATCH($B1609,Drinks!$A$4:$A$53,0)),0))</f>
        <v/>
      </c>
      <c r="R1609" s="10" t="str">
        <f aca="false">IF($B1609="","",$P1609-$Q1609)</f>
        <v/>
      </c>
      <c r="S1609" s="23" t="str">
        <f aca="false">IF($B1609="","",IF(COUNTIFS($A$4:$A$2003,$A1609-1,$B$4:$B$2003,$B1609)=0,"first day",IF(SUMIFS($M$4:$M$2003,$A$4:$A$2003,$A1609-1,$B$4:$B$2003,$B1609)=$J1609,"OK","CHECK")))</f>
        <v/>
      </c>
      <c r="T1609" s="10" t="str">
        <f aca="false">IF($B1609="","",IFERROR(INDEX(Drinks!$D$4:$D$53,MATCH($B1609,Drinks!$A$4:$A$53,0)),0))</f>
        <v/>
      </c>
    </row>
    <row r="1610" customFormat="false" ht="15" hidden="false" customHeight="false" outlineLevel="0" collapsed="false">
      <c r="A1610" s="22"/>
      <c r="B1610" s="9"/>
      <c r="C1610" s="9"/>
      <c r="D1610" s="9"/>
      <c r="E1610" s="9"/>
      <c r="F1610" s="10" t="str">
        <f aca="false">IF($B1610="","",$C1610+$D1610-$E1610)</f>
        <v/>
      </c>
      <c r="G1610" s="10" t="str">
        <f aca="false">IF($B1610="","",IFERROR(INDEX(Drinks!$C$4:$C$53,MATCH($B1610,Drinks!$A$4:$A$53,0)),0))</f>
        <v/>
      </c>
      <c r="H1610" s="10" t="str">
        <f aca="false">IF($B1610="","",$D1610*$G1610)</f>
        <v/>
      </c>
      <c r="I1610" s="10" t="str">
        <f aca="false">IF($B1610="","",$F1610*$G1610)</f>
        <v/>
      </c>
      <c r="J1610" s="9"/>
      <c r="K1610" s="10" t="str">
        <f aca="false">IF($B1610="","",$E1610*IFERROR(INDEX(Drinks!$B$4:$B$53,MATCH($B1610,Drinks!$A$4:$A$53,0)),0))</f>
        <v/>
      </c>
      <c r="L1610" s="10" t="str">
        <f aca="false">IF($B1610="","",$J1610+$K1610)</f>
        <v/>
      </c>
      <c r="M1610" s="9"/>
      <c r="N1610" s="10" t="str">
        <f aca="false">IF($B1610="","",$L1610-$M1610)</f>
        <v/>
      </c>
      <c r="O1610" s="10" t="str">
        <f aca="false">IF($B1610="","",IFERROR(INDEX(Drinks!$E$4:$E$53,MATCH($B1610,Drinks!$A$4:$A$53,0)),0))</f>
        <v/>
      </c>
      <c r="P1610" s="10" t="str">
        <f aca="false">IF($B1610="","",$N1610*$O1610)</f>
        <v/>
      </c>
      <c r="Q1610" s="10" t="str">
        <f aca="false">IF($B1610="","",$N1610*IFERROR(INDEX(Drinks!$D$4:$D$53,MATCH($B1610,Drinks!$A$4:$A$53,0)),0))</f>
        <v/>
      </c>
      <c r="R1610" s="10" t="str">
        <f aca="false">IF($B1610="","",$P1610-$Q1610)</f>
        <v/>
      </c>
      <c r="S1610" s="23" t="str">
        <f aca="false">IF($B1610="","",IF(COUNTIFS($A$4:$A$2003,$A1610-1,$B$4:$B$2003,$B1610)=0,"first day",IF(SUMIFS($M$4:$M$2003,$A$4:$A$2003,$A1610-1,$B$4:$B$2003,$B1610)=$J1610,"OK","CHECK")))</f>
        <v/>
      </c>
      <c r="T1610" s="10" t="str">
        <f aca="false">IF($B1610="","",IFERROR(INDEX(Drinks!$D$4:$D$53,MATCH($B1610,Drinks!$A$4:$A$53,0)),0))</f>
        <v/>
      </c>
    </row>
    <row r="1611" customFormat="false" ht="15" hidden="false" customHeight="false" outlineLevel="0" collapsed="false">
      <c r="A1611" s="22"/>
      <c r="B1611" s="9"/>
      <c r="C1611" s="9"/>
      <c r="D1611" s="9"/>
      <c r="E1611" s="9"/>
      <c r="F1611" s="10" t="str">
        <f aca="false">IF($B1611="","",$C1611+$D1611-$E1611)</f>
        <v/>
      </c>
      <c r="G1611" s="10" t="str">
        <f aca="false">IF($B1611="","",IFERROR(INDEX(Drinks!$C$4:$C$53,MATCH($B1611,Drinks!$A$4:$A$53,0)),0))</f>
        <v/>
      </c>
      <c r="H1611" s="10" t="str">
        <f aca="false">IF($B1611="","",$D1611*$G1611)</f>
        <v/>
      </c>
      <c r="I1611" s="10" t="str">
        <f aca="false">IF($B1611="","",$F1611*$G1611)</f>
        <v/>
      </c>
      <c r="J1611" s="9"/>
      <c r="K1611" s="10" t="str">
        <f aca="false">IF($B1611="","",$E1611*IFERROR(INDEX(Drinks!$B$4:$B$53,MATCH($B1611,Drinks!$A$4:$A$53,0)),0))</f>
        <v/>
      </c>
      <c r="L1611" s="10" t="str">
        <f aca="false">IF($B1611="","",$J1611+$K1611)</f>
        <v/>
      </c>
      <c r="M1611" s="9"/>
      <c r="N1611" s="10" t="str">
        <f aca="false">IF($B1611="","",$L1611-$M1611)</f>
        <v/>
      </c>
      <c r="O1611" s="10" t="str">
        <f aca="false">IF($B1611="","",IFERROR(INDEX(Drinks!$E$4:$E$53,MATCH($B1611,Drinks!$A$4:$A$53,0)),0))</f>
        <v/>
      </c>
      <c r="P1611" s="10" t="str">
        <f aca="false">IF($B1611="","",$N1611*$O1611)</f>
        <v/>
      </c>
      <c r="Q1611" s="10" t="str">
        <f aca="false">IF($B1611="","",$N1611*IFERROR(INDEX(Drinks!$D$4:$D$53,MATCH($B1611,Drinks!$A$4:$A$53,0)),0))</f>
        <v/>
      </c>
      <c r="R1611" s="10" t="str">
        <f aca="false">IF($B1611="","",$P1611-$Q1611)</f>
        <v/>
      </c>
      <c r="S1611" s="23" t="str">
        <f aca="false">IF($B1611="","",IF(COUNTIFS($A$4:$A$2003,$A1611-1,$B$4:$B$2003,$B1611)=0,"first day",IF(SUMIFS($M$4:$M$2003,$A$4:$A$2003,$A1611-1,$B$4:$B$2003,$B1611)=$J1611,"OK","CHECK")))</f>
        <v/>
      </c>
      <c r="T1611" s="10" t="str">
        <f aca="false">IF($B1611="","",IFERROR(INDEX(Drinks!$D$4:$D$53,MATCH($B1611,Drinks!$A$4:$A$53,0)),0))</f>
        <v/>
      </c>
    </row>
    <row r="1612" customFormat="false" ht="15" hidden="false" customHeight="false" outlineLevel="0" collapsed="false">
      <c r="A1612" s="22"/>
      <c r="B1612" s="9"/>
      <c r="C1612" s="9"/>
      <c r="D1612" s="9"/>
      <c r="E1612" s="9"/>
      <c r="F1612" s="10" t="str">
        <f aca="false">IF($B1612="","",$C1612+$D1612-$E1612)</f>
        <v/>
      </c>
      <c r="G1612" s="10" t="str">
        <f aca="false">IF($B1612="","",IFERROR(INDEX(Drinks!$C$4:$C$53,MATCH($B1612,Drinks!$A$4:$A$53,0)),0))</f>
        <v/>
      </c>
      <c r="H1612" s="10" t="str">
        <f aca="false">IF($B1612="","",$D1612*$G1612)</f>
        <v/>
      </c>
      <c r="I1612" s="10" t="str">
        <f aca="false">IF($B1612="","",$F1612*$G1612)</f>
        <v/>
      </c>
      <c r="J1612" s="9"/>
      <c r="K1612" s="10" t="str">
        <f aca="false">IF($B1612="","",$E1612*IFERROR(INDEX(Drinks!$B$4:$B$53,MATCH($B1612,Drinks!$A$4:$A$53,0)),0))</f>
        <v/>
      </c>
      <c r="L1612" s="10" t="str">
        <f aca="false">IF($B1612="","",$J1612+$K1612)</f>
        <v/>
      </c>
      <c r="M1612" s="9"/>
      <c r="N1612" s="10" t="str">
        <f aca="false">IF($B1612="","",$L1612-$M1612)</f>
        <v/>
      </c>
      <c r="O1612" s="10" t="str">
        <f aca="false">IF($B1612="","",IFERROR(INDEX(Drinks!$E$4:$E$53,MATCH($B1612,Drinks!$A$4:$A$53,0)),0))</f>
        <v/>
      </c>
      <c r="P1612" s="10" t="str">
        <f aca="false">IF($B1612="","",$N1612*$O1612)</f>
        <v/>
      </c>
      <c r="Q1612" s="10" t="str">
        <f aca="false">IF($B1612="","",$N1612*IFERROR(INDEX(Drinks!$D$4:$D$53,MATCH($B1612,Drinks!$A$4:$A$53,0)),0))</f>
        <v/>
      </c>
      <c r="R1612" s="10" t="str">
        <f aca="false">IF($B1612="","",$P1612-$Q1612)</f>
        <v/>
      </c>
      <c r="S1612" s="23" t="str">
        <f aca="false">IF($B1612="","",IF(COUNTIFS($A$4:$A$2003,$A1612-1,$B$4:$B$2003,$B1612)=0,"first day",IF(SUMIFS($M$4:$M$2003,$A$4:$A$2003,$A1612-1,$B$4:$B$2003,$B1612)=$J1612,"OK","CHECK")))</f>
        <v/>
      </c>
      <c r="T1612" s="10" t="str">
        <f aca="false">IF($B1612="","",IFERROR(INDEX(Drinks!$D$4:$D$53,MATCH($B1612,Drinks!$A$4:$A$53,0)),0))</f>
        <v/>
      </c>
    </row>
    <row r="1613" customFormat="false" ht="15" hidden="false" customHeight="false" outlineLevel="0" collapsed="false">
      <c r="A1613" s="22"/>
      <c r="B1613" s="9"/>
      <c r="C1613" s="9"/>
      <c r="D1613" s="9"/>
      <c r="E1613" s="9"/>
      <c r="F1613" s="10" t="str">
        <f aca="false">IF($B1613="","",$C1613+$D1613-$E1613)</f>
        <v/>
      </c>
      <c r="G1613" s="10" t="str">
        <f aca="false">IF($B1613="","",IFERROR(INDEX(Drinks!$C$4:$C$53,MATCH($B1613,Drinks!$A$4:$A$53,0)),0))</f>
        <v/>
      </c>
      <c r="H1613" s="10" t="str">
        <f aca="false">IF($B1613="","",$D1613*$G1613)</f>
        <v/>
      </c>
      <c r="I1613" s="10" t="str">
        <f aca="false">IF($B1613="","",$F1613*$G1613)</f>
        <v/>
      </c>
      <c r="J1613" s="9"/>
      <c r="K1613" s="10" t="str">
        <f aca="false">IF($B1613="","",$E1613*IFERROR(INDEX(Drinks!$B$4:$B$53,MATCH($B1613,Drinks!$A$4:$A$53,0)),0))</f>
        <v/>
      </c>
      <c r="L1613" s="10" t="str">
        <f aca="false">IF($B1613="","",$J1613+$K1613)</f>
        <v/>
      </c>
      <c r="M1613" s="9"/>
      <c r="N1613" s="10" t="str">
        <f aca="false">IF($B1613="","",$L1613-$M1613)</f>
        <v/>
      </c>
      <c r="O1613" s="10" t="str">
        <f aca="false">IF($B1613="","",IFERROR(INDEX(Drinks!$E$4:$E$53,MATCH($B1613,Drinks!$A$4:$A$53,0)),0))</f>
        <v/>
      </c>
      <c r="P1613" s="10" t="str">
        <f aca="false">IF($B1613="","",$N1613*$O1613)</f>
        <v/>
      </c>
      <c r="Q1613" s="10" t="str">
        <f aca="false">IF($B1613="","",$N1613*IFERROR(INDEX(Drinks!$D$4:$D$53,MATCH($B1613,Drinks!$A$4:$A$53,0)),0))</f>
        <v/>
      </c>
      <c r="R1613" s="10" t="str">
        <f aca="false">IF($B1613="","",$P1613-$Q1613)</f>
        <v/>
      </c>
      <c r="S1613" s="23" t="str">
        <f aca="false">IF($B1613="","",IF(COUNTIFS($A$4:$A$2003,$A1613-1,$B$4:$B$2003,$B1613)=0,"first day",IF(SUMIFS($M$4:$M$2003,$A$4:$A$2003,$A1613-1,$B$4:$B$2003,$B1613)=$J1613,"OK","CHECK")))</f>
        <v/>
      </c>
      <c r="T1613" s="10" t="str">
        <f aca="false">IF($B1613="","",IFERROR(INDEX(Drinks!$D$4:$D$53,MATCH($B1613,Drinks!$A$4:$A$53,0)),0))</f>
        <v/>
      </c>
    </row>
    <row r="1614" customFormat="false" ht="15" hidden="false" customHeight="false" outlineLevel="0" collapsed="false">
      <c r="A1614" s="22"/>
      <c r="B1614" s="9"/>
      <c r="C1614" s="9"/>
      <c r="D1614" s="9"/>
      <c r="E1614" s="9"/>
      <c r="F1614" s="10" t="str">
        <f aca="false">IF($B1614="","",$C1614+$D1614-$E1614)</f>
        <v/>
      </c>
      <c r="G1614" s="10" t="str">
        <f aca="false">IF($B1614="","",IFERROR(INDEX(Drinks!$C$4:$C$53,MATCH($B1614,Drinks!$A$4:$A$53,0)),0))</f>
        <v/>
      </c>
      <c r="H1614" s="10" t="str">
        <f aca="false">IF($B1614="","",$D1614*$G1614)</f>
        <v/>
      </c>
      <c r="I1614" s="10" t="str">
        <f aca="false">IF($B1614="","",$F1614*$G1614)</f>
        <v/>
      </c>
      <c r="J1614" s="9"/>
      <c r="K1614" s="10" t="str">
        <f aca="false">IF($B1614="","",$E1614*IFERROR(INDEX(Drinks!$B$4:$B$53,MATCH($B1614,Drinks!$A$4:$A$53,0)),0))</f>
        <v/>
      </c>
      <c r="L1614" s="10" t="str">
        <f aca="false">IF($B1614="","",$J1614+$K1614)</f>
        <v/>
      </c>
      <c r="M1614" s="9"/>
      <c r="N1614" s="10" t="str">
        <f aca="false">IF($B1614="","",$L1614-$M1614)</f>
        <v/>
      </c>
      <c r="O1614" s="10" t="str">
        <f aca="false">IF($B1614="","",IFERROR(INDEX(Drinks!$E$4:$E$53,MATCH($B1614,Drinks!$A$4:$A$53,0)),0))</f>
        <v/>
      </c>
      <c r="P1614" s="10" t="str">
        <f aca="false">IF($B1614="","",$N1614*$O1614)</f>
        <v/>
      </c>
      <c r="Q1614" s="10" t="str">
        <f aca="false">IF($B1614="","",$N1614*IFERROR(INDEX(Drinks!$D$4:$D$53,MATCH($B1614,Drinks!$A$4:$A$53,0)),0))</f>
        <v/>
      </c>
      <c r="R1614" s="10" t="str">
        <f aca="false">IF($B1614="","",$P1614-$Q1614)</f>
        <v/>
      </c>
      <c r="S1614" s="23" t="str">
        <f aca="false">IF($B1614="","",IF(COUNTIFS($A$4:$A$2003,$A1614-1,$B$4:$B$2003,$B1614)=0,"first day",IF(SUMIFS($M$4:$M$2003,$A$4:$A$2003,$A1614-1,$B$4:$B$2003,$B1614)=$J1614,"OK","CHECK")))</f>
        <v/>
      </c>
      <c r="T1614" s="10" t="str">
        <f aca="false">IF($B1614="","",IFERROR(INDEX(Drinks!$D$4:$D$53,MATCH($B1614,Drinks!$A$4:$A$53,0)),0))</f>
        <v/>
      </c>
    </row>
    <row r="1615" customFormat="false" ht="15" hidden="false" customHeight="false" outlineLevel="0" collapsed="false">
      <c r="A1615" s="22"/>
      <c r="B1615" s="9"/>
      <c r="C1615" s="9"/>
      <c r="D1615" s="9"/>
      <c r="E1615" s="9"/>
      <c r="F1615" s="10" t="str">
        <f aca="false">IF($B1615="","",$C1615+$D1615-$E1615)</f>
        <v/>
      </c>
      <c r="G1615" s="10" t="str">
        <f aca="false">IF($B1615="","",IFERROR(INDEX(Drinks!$C$4:$C$53,MATCH($B1615,Drinks!$A$4:$A$53,0)),0))</f>
        <v/>
      </c>
      <c r="H1615" s="10" t="str">
        <f aca="false">IF($B1615="","",$D1615*$G1615)</f>
        <v/>
      </c>
      <c r="I1615" s="10" t="str">
        <f aca="false">IF($B1615="","",$F1615*$G1615)</f>
        <v/>
      </c>
      <c r="J1615" s="9"/>
      <c r="K1615" s="10" t="str">
        <f aca="false">IF($B1615="","",$E1615*IFERROR(INDEX(Drinks!$B$4:$B$53,MATCH($B1615,Drinks!$A$4:$A$53,0)),0))</f>
        <v/>
      </c>
      <c r="L1615" s="10" t="str">
        <f aca="false">IF($B1615="","",$J1615+$K1615)</f>
        <v/>
      </c>
      <c r="M1615" s="9"/>
      <c r="N1615" s="10" t="str">
        <f aca="false">IF($B1615="","",$L1615-$M1615)</f>
        <v/>
      </c>
      <c r="O1615" s="10" t="str">
        <f aca="false">IF($B1615="","",IFERROR(INDEX(Drinks!$E$4:$E$53,MATCH($B1615,Drinks!$A$4:$A$53,0)),0))</f>
        <v/>
      </c>
      <c r="P1615" s="10" t="str">
        <f aca="false">IF($B1615="","",$N1615*$O1615)</f>
        <v/>
      </c>
      <c r="Q1615" s="10" t="str">
        <f aca="false">IF($B1615="","",$N1615*IFERROR(INDEX(Drinks!$D$4:$D$53,MATCH($B1615,Drinks!$A$4:$A$53,0)),0))</f>
        <v/>
      </c>
      <c r="R1615" s="10" t="str">
        <f aca="false">IF($B1615="","",$P1615-$Q1615)</f>
        <v/>
      </c>
      <c r="S1615" s="23" t="str">
        <f aca="false">IF($B1615="","",IF(COUNTIFS($A$4:$A$2003,$A1615-1,$B$4:$B$2003,$B1615)=0,"first day",IF(SUMIFS($M$4:$M$2003,$A$4:$A$2003,$A1615-1,$B$4:$B$2003,$B1615)=$J1615,"OK","CHECK")))</f>
        <v/>
      </c>
      <c r="T1615" s="10" t="str">
        <f aca="false">IF($B1615="","",IFERROR(INDEX(Drinks!$D$4:$D$53,MATCH($B1615,Drinks!$A$4:$A$53,0)),0))</f>
        <v/>
      </c>
    </row>
    <row r="1616" customFormat="false" ht="15" hidden="false" customHeight="false" outlineLevel="0" collapsed="false">
      <c r="A1616" s="22"/>
      <c r="B1616" s="9"/>
      <c r="C1616" s="9"/>
      <c r="D1616" s="9"/>
      <c r="E1616" s="9"/>
      <c r="F1616" s="10" t="str">
        <f aca="false">IF($B1616="","",$C1616+$D1616-$E1616)</f>
        <v/>
      </c>
      <c r="G1616" s="10" t="str">
        <f aca="false">IF($B1616="","",IFERROR(INDEX(Drinks!$C$4:$C$53,MATCH($B1616,Drinks!$A$4:$A$53,0)),0))</f>
        <v/>
      </c>
      <c r="H1616" s="10" t="str">
        <f aca="false">IF($B1616="","",$D1616*$G1616)</f>
        <v/>
      </c>
      <c r="I1616" s="10" t="str">
        <f aca="false">IF($B1616="","",$F1616*$G1616)</f>
        <v/>
      </c>
      <c r="J1616" s="9"/>
      <c r="K1616" s="10" t="str">
        <f aca="false">IF($B1616="","",$E1616*IFERROR(INDEX(Drinks!$B$4:$B$53,MATCH($B1616,Drinks!$A$4:$A$53,0)),0))</f>
        <v/>
      </c>
      <c r="L1616" s="10" t="str">
        <f aca="false">IF($B1616="","",$J1616+$K1616)</f>
        <v/>
      </c>
      <c r="M1616" s="9"/>
      <c r="N1616" s="10" t="str">
        <f aca="false">IF($B1616="","",$L1616-$M1616)</f>
        <v/>
      </c>
      <c r="O1616" s="10" t="str">
        <f aca="false">IF($B1616="","",IFERROR(INDEX(Drinks!$E$4:$E$53,MATCH($B1616,Drinks!$A$4:$A$53,0)),0))</f>
        <v/>
      </c>
      <c r="P1616" s="10" t="str">
        <f aca="false">IF($B1616="","",$N1616*$O1616)</f>
        <v/>
      </c>
      <c r="Q1616" s="10" t="str">
        <f aca="false">IF($B1616="","",$N1616*IFERROR(INDEX(Drinks!$D$4:$D$53,MATCH($B1616,Drinks!$A$4:$A$53,0)),0))</f>
        <v/>
      </c>
      <c r="R1616" s="10" t="str">
        <f aca="false">IF($B1616="","",$P1616-$Q1616)</f>
        <v/>
      </c>
      <c r="S1616" s="23" t="str">
        <f aca="false">IF($B1616="","",IF(COUNTIFS($A$4:$A$2003,$A1616-1,$B$4:$B$2003,$B1616)=0,"first day",IF(SUMIFS($M$4:$M$2003,$A$4:$A$2003,$A1616-1,$B$4:$B$2003,$B1616)=$J1616,"OK","CHECK")))</f>
        <v/>
      </c>
      <c r="T1616" s="10" t="str">
        <f aca="false">IF($B1616="","",IFERROR(INDEX(Drinks!$D$4:$D$53,MATCH($B1616,Drinks!$A$4:$A$53,0)),0))</f>
        <v/>
      </c>
    </row>
    <row r="1617" customFormat="false" ht="15" hidden="false" customHeight="false" outlineLevel="0" collapsed="false">
      <c r="A1617" s="22"/>
      <c r="B1617" s="9"/>
      <c r="C1617" s="9"/>
      <c r="D1617" s="9"/>
      <c r="E1617" s="9"/>
      <c r="F1617" s="10" t="str">
        <f aca="false">IF($B1617="","",$C1617+$D1617-$E1617)</f>
        <v/>
      </c>
      <c r="G1617" s="10" t="str">
        <f aca="false">IF($B1617="","",IFERROR(INDEX(Drinks!$C$4:$C$53,MATCH($B1617,Drinks!$A$4:$A$53,0)),0))</f>
        <v/>
      </c>
      <c r="H1617" s="10" t="str">
        <f aca="false">IF($B1617="","",$D1617*$G1617)</f>
        <v/>
      </c>
      <c r="I1617" s="10" t="str">
        <f aca="false">IF($B1617="","",$F1617*$G1617)</f>
        <v/>
      </c>
      <c r="J1617" s="9"/>
      <c r="K1617" s="10" t="str">
        <f aca="false">IF($B1617="","",$E1617*IFERROR(INDEX(Drinks!$B$4:$B$53,MATCH($B1617,Drinks!$A$4:$A$53,0)),0))</f>
        <v/>
      </c>
      <c r="L1617" s="10" t="str">
        <f aca="false">IF($B1617="","",$J1617+$K1617)</f>
        <v/>
      </c>
      <c r="M1617" s="9"/>
      <c r="N1617" s="10" t="str">
        <f aca="false">IF($B1617="","",$L1617-$M1617)</f>
        <v/>
      </c>
      <c r="O1617" s="10" t="str">
        <f aca="false">IF($B1617="","",IFERROR(INDEX(Drinks!$E$4:$E$53,MATCH($B1617,Drinks!$A$4:$A$53,0)),0))</f>
        <v/>
      </c>
      <c r="P1617" s="10" t="str">
        <f aca="false">IF($B1617="","",$N1617*$O1617)</f>
        <v/>
      </c>
      <c r="Q1617" s="10" t="str">
        <f aca="false">IF($B1617="","",$N1617*IFERROR(INDEX(Drinks!$D$4:$D$53,MATCH($B1617,Drinks!$A$4:$A$53,0)),0))</f>
        <v/>
      </c>
      <c r="R1617" s="10" t="str">
        <f aca="false">IF($B1617="","",$P1617-$Q1617)</f>
        <v/>
      </c>
      <c r="S1617" s="23" t="str">
        <f aca="false">IF($B1617="","",IF(COUNTIFS($A$4:$A$2003,$A1617-1,$B$4:$B$2003,$B1617)=0,"first day",IF(SUMIFS($M$4:$M$2003,$A$4:$A$2003,$A1617-1,$B$4:$B$2003,$B1617)=$J1617,"OK","CHECK")))</f>
        <v/>
      </c>
      <c r="T1617" s="10" t="str">
        <f aca="false">IF($B1617="","",IFERROR(INDEX(Drinks!$D$4:$D$53,MATCH($B1617,Drinks!$A$4:$A$53,0)),0))</f>
        <v/>
      </c>
    </row>
    <row r="1618" customFormat="false" ht="15" hidden="false" customHeight="false" outlineLevel="0" collapsed="false">
      <c r="A1618" s="22"/>
      <c r="B1618" s="9"/>
      <c r="C1618" s="9"/>
      <c r="D1618" s="9"/>
      <c r="E1618" s="9"/>
      <c r="F1618" s="10" t="str">
        <f aca="false">IF($B1618="","",$C1618+$D1618-$E1618)</f>
        <v/>
      </c>
      <c r="G1618" s="10" t="str">
        <f aca="false">IF($B1618="","",IFERROR(INDEX(Drinks!$C$4:$C$53,MATCH($B1618,Drinks!$A$4:$A$53,0)),0))</f>
        <v/>
      </c>
      <c r="H1618" s="10" t="str">
        <f aca="false">IF($B1618="","",$D1618*$G1618)</f>
        <v/>
      </c>
      <c r="I1618" s="10" t="str">
        <f aca="false">IF($B1618="","",$F1618*$G1618)</f>
        <v/>
      </c>
      <c r="J1618" s="9"/>
      <c r="K1618" s="10" t="str">
        <f aca="false">IF($B1618="","",$E1618*IFERROR(INDEX(Drinks!$B$4:$B$53,MATCH($B1618,Drinks!$A$4:$A$53,0)),0))</f>
        <v/>
      </c>
      <c r="L1618" s="10" t="str">
        <f aca="false">IF($B1618="","",$J1618+$K1618)</f>
        <v/>
      </c>
      <c r="M1618" s="9"/>
      <c r="N1618" s="10" t="str">
        <f aca="false">IF($B1618="","",$L1618-$M1618)</f>
        <v/>
      </c>
      <c r="O1618" s="10" t="str">
        <f aca="false">IF($B1618="","",IFERROR(INDEX(Drinks!$E$4:$E$53,MATCH($B1618,Drinks!$A$4:$A$53,0)),0))</f>
        <v/>
      </c>
      <c r="P1618" s="10" t="str">
        <f aca="false">IF($B1618="","",$N1618*$O1618)</f>
        <v/>
      </c>
      <c r="Q1618" s="10" t="str">
        <f aca="false">IF($B1618="","",$N1618*IFERROR(INDEX(Drinks!$D$4:$D$53,MATCH($B1618,Drinks!$A$4:$A$53,0)),0))</f>
        <v/>
      </c>
      <c r="R1618" s="10" t="str">
        <f aca="false">IF($B1618="","",$P1618-$Q1618)</f>
        <v/>
      </c>
      <c r="S1618" s="23" t="str">
        <f aca="false">IF($B1618="","",IF(COUNTIFS($A$4:$A$2003,$A1618-1,$B$4:$B$2003,$B1618)=0,"first day",IF(SUMIFS($M$4:$M$2003,$A$4:$A$2003,$A1618-1,$B$4:$B$2003,$B1618)=$J1618,"OK","CHECK")))</f>
        <v/>
      </c>
      <c r="T1618" s="10" t="str">
        <f aca="false">IF($B1618="","",IFERROR(INDEX(Drinks!$D$4:$D$53,MATCH($B1618,Drinks!$A$4:$A$53,0)),0))</f>
        <v/>
      </c>
    </row>
    <row r="1619" customFormat="false" ht="15" hidden="false" customHeight="false" outlineLevel="0" collapsed="false">
      <c r="A1619" s="22"/>
      <c r="B1619" s="9"/>
      <c r="C1619" s="9"/>
      <c r="D1619" s="9"/>
      <c r="E1619" s="9"/>
      <c r="F1619" s="10" t="str">
        <f aca="false">IF($B1619="","",$C1619+$D1619-$E1619)</f>
        <v/>
      </c>
      <c r="G1619" s="10" t="str">
        <f aca="false">IF($B1619="","",IFERROR(INDEX(Drinks!$C$4:$C$53,MATCH($B1619,Drinks!$A$4:$A$53,0)),0))</f>
        <v/>
      </c>
      <c r="H1619" s="10" t="str">
        <f aca="false">IF($B1619="","",$D1619*$G1619)</f>
        <v/>
      </c>
      <c r="I1619" s="10" t="str">
        <f aca="false">IF($B1619="","",$F1619*$G1619)</f>
        <v/>
      </c>
      <c r="J1619" s="9"/>
      <c r="K1619" s="10" t="str">
        <f aca="false">IF($B1619="","",$E1619*IFERROR(INDEX(Drinks!$B$4:$B$53,MATCH($B1619,Drinks!$A$4:$A$53,0)),0))</f>
        <v/>
      </c>
      <c r="L1619" s="10" t="str">
        <f aca="false">IF($B1619="","",$J1619+$K1619)</f>
        <v/>
      </c>
      <c r="M1619" s="9"/>
      <c r="N1619" s="10" t="str">
        <f aca="false">IF($B1619="","",$L1619-$M1619)</f>
        <v/>
      </c>
      <c r="O1619" s="10" t="str">
        <f aca="false">IF($B1619="","",IFERROR(INDEX(Drinks!$E$4:$E$53,MATCH($B1619,Drinks!$A$4:$A$53,0)),0))</f>
        <v/>
      </c>
      <c r="P1619" s="10" t="str">
        <f aca="false">IF($B1619="","",$N1619*$O1619)</f>
        <v/>
      </c>
      <c r="Q1619" s="10" t="str">
        <f aca="false">IF($B1619="","",$N1619*IFERROR(INDEX(Drinks!$D$4:$D$53,MATCH($B1619,Drinks!$A$4:$A$53,0)),0))</f>
        <v/>
      </c>
      <c r="R1619" s="10" t="str">
        <f aca="false">IF($B1619="","",$P1619-$Q1619)</f>
        <v/>
      </c>
      <c r="S1619" s="23" t="str">
        <f aca="false">IF($B1619="","",IF(COUNTIFS($A$4:$A$2003,$A1619-1,$B$4:$B$2003,$B1619)=0,"first day",IF(SUMIFS($M$4:$M$2003,$A$4:$A$2003,$A1619-1,$B$4:$B$2003,$B1619)=$J1619,"OK","CHECK")))</f>
        <v/>
      </c>
      <c r="T1619" s="10" t="str">
        <f aca="false">IF($B1619="","",IFERROR(INDEX(Drinks!$D$4:$D$53,MATCH($B1619,Drinks!$A$4:$A$53,0)),0))</f>
        <v/>
      </c>
    </row>
    <row r="1620" customFormat="false" ht="15" hidden="false" customHeight="false" outlineLevel="0" collapsed="false">
      <c r="A1620" s="22"/>
      <c r="B1620" s="9"/>
      <c r="C1620" s="9"/>
      <c r="D1620" s="9"/>
      <c r="E1620" s="9"/>
      <c r="F1620" s="10" t="str">
        <f aca="false">IF($B1620="","",$C1620+$D1620-$E1620)</f>
        <v/>
      </c>
      <c r="G1620" s="10" t="str">
        <f aca="false">IF($B1620="","",IFERROR(INDEX(Drinks!$C$4:$C$53,MATCH($B1620,Drinks!$A$4:$A$53,0)),0))</f>
        <v/>
      </c>
      <c r="H1620" s="10" t="str">
        <f aca="false">IF($B1620="","",$D1620*$G1620)</f>
        <v/>
      </c>
      <c r="I1620" s="10" t="str">
        <f aca="false">IF($B1620="","",$F1620*$G1620)</f>
        <v/>
      </c>
      <c r="J1620" s="9"/>
      <c r="K1620" s="10" t="str">
        <f aca="false">IF($B1620="","",$E1620*IFERROR(INDEX(Drinks!$B$4:$B$53,MATCH($B1620,Drinks!$A$4:$A$53,0)),0))</f>
        <v/>
      </c>
      <c r="L1620" s="10" t="str">
        <f aca="false">IF($B1620="","",$J1620+$K1620)</f>
        <v/>
      </c>
      <c r="M1620" s="9"/>
      <c r="N1620" s="10" t="str">
        <f aca="false">IF($B1620="","",$L1620-$M1620)</f>
        <v/>
      </c>
      <c r="O1620" s="10" t="str">
        <f aca="false">IF($B1620="","",IFERROR(INDEX(Drinks!$E$4:$E$53,MATCH($B1620,Drinks!$A$4:$A$53,0)),0))</f>
        <v/>
      </c>
      <c r="P1620" s="10" t="str">
        <f aca="false">IF($B1620="","",$N1620*$O1620)</f>
        <v/>
      </c>
      <c r="Q1620" s="10" t="str">
        <f aca="false">IF($B1620="","",$N1620*IFERROR(INDEX(Drinks!$D$4:$D$53,MATCH($B1620,Drinks!$A$4:$A$53,0)),0))</f>
        <v/>
      </c>
      <c r="R1620" s="10" t="str">
        <f aca="false">IF($B1620="","",$P1620-$Q1620)</f>
        <v/>
      </c>
      <c r="S1620" s="23" t="str">
        <f aca="false">IF($B1620="","",IF(COUNTIFS($A$4:$A$2003,$A1620-1,$B$4:$B$2003,$B1620)=0,"first day",IF(SUMIFS($M$4:$M$2003,$A$4:$A$2003,$A1620-1,$B$4:$B$2003,$B1620)=$J1620,"OK","CHECK")))</f>
        <v/>
      </c>
      <c r="T1620" s="10" t="str">
        <f aca="false">IF($B1620="","",IFERROR(INDEX(Drinks!$D$4:$D$53,MATCH($B1620,Drinks!$A$4:$A$53,0)),0))</f>
        <v/>
      </c>
    </row>
    <row r="1621" customFormat="false" ht="15" hidden="false" customHeight="false" outlineLevel="0" collapsed="false">
      <c r="A1621" s="22"/>
      <c r="B1621" s="9"/>
      <c r="C1621" s="9"/>
      <c r="D1621" s="9"/>
      <c r="E1621" s="9"/>
      <c r="F1621" s="10" t="str">
        <f aca="false">IF($B1621="","",$C1621+$D1621-$E1621)</f>
        <v/>
      </c>
      <c r="G1621" s="10" t="str">
        <f aca="false">IF($B1621="","",IFERROR(INDEX(Drinks!$C$4:$C$53,MATCH($B1621,Drinks!$A$4:$A$53,0)),0))</f>
        <v/>
      </c>
      <c r="H1621" s="10" t="str">
        <f aca="false">IF($B1621="","",$D1621*$G1621)</f>
        <v/>
      </c>
      <c r="I1621" s="10" t="str">
        <f aca="false">IF($B1621="","",$F1621*$G1621)</f>
        <v/>
      </c>
      <c r="J1621" s="9"/>
      <c r="K1621" s="10" t="str">
        <f aca="false">IF($B1621="","",$E1621*IFERROR(INDEX(Drinks!$B$4:$B$53,MATCH($B1621,Drinks!$A$4:$A$53,0)),0))</f>
        <v/>
      </c>
      <c r="L1621" s="10" t="str">
        <f aca="false">IF($B1621="","",$J1621+$K1621)</f>
        <v/>
      </c>
      <c r="M1621" s="9"/>
      <c r="N1621" s="10" t="str">
        <f aca="false">IF($B1621="","",$L1621-$M1621)</f>
        <v/>
      </c>
      <c r="O1621" s="10" t="str">
        <f aca="false">IF($B1621="","",IFERROR(INDEX(Drinks!$E$4:$E$53,MATCH($B1621,Drinks!$A$4:$A$53,0)),0))</f>
        <v/>
      </c>
      <c r="P1621" s="10" t="str">
        <f aca="false">IF($B1621="","",$N1621*$O1621)</f>
        <v/>
      </c>
      <c r="Q1621" s="10" t="str">
        <f aca="false">IF($B1621="","",$N1621*IFERROR(INDEX(Drinks!$D$4:$D$53,MATCH($B1621,Drinks!$A$4:$A$53,0)),0))</f>
        <v/>
      </c>
      <c r="R1621" s="10" t="str">
        <f aca="false">IF($B1621="","",$P1621-$Q1621)</f>
        <v/>
      </c>
      <c r="S1621" s="23" t="str">
        <f aca="false">IF($B1621="","",IF(COUNTIFS($A$4:$A$2003,$A1621-1,$B$4:$B$2003,$B1621)=0,"first day",IF(SUMIFS($M$4:$M$2003,$A$4:$A$2003,$A1621-1,$B$4:$B$2003,$B1621)=$J1621,"OK","CHECK")))</f>
        <v/>
      </c>
      <c r="T1621" s="10" t="str">
        <f aca="false">IF($B1621="","",IFERROR(INDEX(Drinks!$D$4:$D$53,MATCH($B1621,Drinks!$A$4:$A$53,0)),0))</f>
        <v/>
      </c>
    </row>
    <row r="1622" customFormat="false" ht="15" hidden="false" customHeight="false" outlineLevel="0" collapsed="false">
      <c r="A1622" s="22"/>
      <c r="B1622" s="9"/>
      <c r="C1622" s="9"/>
      <c r="D1622" s="9"/>
      <c r="E1622" s="9"/>
      <c r="F1622" s="10" t="str">
        <f aca="false">IF($B1622="","",$C1622+$D1622-$E1622)</f>
        <v/>
      </c>
      <c r="G1622" s="10" t="str">
        <f aca="false">IF($B1622="","",IFERROR(INDEX(Drinks!$C$4:$C$53,MATCH($B1622,Drinks!$A$4:$A$53,0)),0))</f>
        <v/>
      </c>
      <c r="H1622" s="10" t="str">
        <f aca="false">IF($B1622="","",$D1622*$G1622)</f>
        <v/>
      </c>
      <c r="I1622" s="10" t="str">
        <f aca="false">IF($B1622="","",$F1622*$G1622)</f>
        <v/>
      </c>
      <c r="J1622" s="9"/>
      <c r="K1622" s="10" t="str">
        <f aca="false">IF($B1622="","",$E1622*IFERROR(INDEX(Drinks!$B$4:$B$53,MATCH($B1622,Drinks!$A$4:$A$53,0)),0))</f>
        <v/>
      </c>
      <c r="L1622" s="10" t="str">
        <f aca="false">IF($B1622="","",$J1622+$K1622)</f>
        <v/>
      </c>
      <c r="M1622" s="9"/>
      <c r="N1622" s="10" t="str">
        <f aca="false">IF($B1622="","",$L1622-$M1622)</f>
        <v/>
      </c>
      <c r="O1622" s="10" t="str">
        <f aca="false">IF($B1622="","",IFERROR(INDEX(Drinks!$E$4:$E$53,MATCH($B1622,Drinks!$A$4:$A$53,0)),0))</f>
        <v/>
      </c>
      <c r="P1622" s="10" t="str">
        <f aca="false">IF($B1622="","",$N1622*$O1622)</f>
        <v/>
      </c>
      <c r="Q1622" s="10" t="str">
        <f aca="false">IF($B1622="","",$N1622*IFERROR(INDEX(Drinks!$D$4:$D$53,MATCH($B1622,Drinks!$A$4:$A$53,0)),0))</f>
        <v/>
      </c>
      <c r="R1622" s="10" t="str">
        <f aca="false">IF($B1622="","",$P1622-$Q1622)</f>
        <v/>
      </c>
      <c r="S1622" s="23" t="str">
        <f aca="false">IF($B1622="","",IF(COUNTIFS($A$4:$A$2003,$A1622-1,$B$4:$B$2003,$B1622)=0,"first day",IF(SUMIFS($M$4:$M$2003,$A$4:$A$2003,$A1622-1,$B$4:$B$2003,$B1622)=$J1622,"OK","CHECK")))</f>
        <v/>
      </c>
      <c r="T1622" s="10" t="str">
        <f aca="false">IF($B1622="","",IFERROR(INDEX(Drinks!$D$4:$D$53,MATCH($B1622,Drinks!$A$4:$A$53,0)),0))</f>
        <v/>
      </c>
    </row>
    <row r="1623" customFormat="false" ht="15" hidden="false" customHeight="false" outlineLevel="0" collapsed="false">
      <c r="A1623" s="22"/>
      <c r="B1623" s="9"/>
      <c r="C1623" s="9"/>
      <c r="D1623" s="9"/>
      <c r="E1623" s="9"/>
      <c r="F1623" s="10" t="str">
        <f aca="false">IF($B1623="","",$C1623+$D1623-$E1623)</f>
        <v/>
      </c>
      <c r="G1623" s="10" t="str">
        <f aca="false">IF($B1623="","",IFERROR(INDEX(Drinks!$C$4:$C$53,MATCH($B1623,Drinks!$A$4:$A$53,0)),0))</f>
        <v/>
      </c>
      <c r="H1623" s="10" t="str">
        <f aca="false">IF($B1623="","",$D1623*$G1623)</f>
        <v/>
      </c>
      <c r="I1623" s="10" t="str">
        <f aca="false">IF($B1623="","",$F1623*$G1623)</f>
        <v/>
      </c>
      <c r="J1623" s="9"/>
      <c r="K1623" s="10" t="str">
        <f aca="false">IF($B1623="","",$E1623*IFERROR(INDEX(Drinks!$B$4:$B$53,MATCH($B1623,Drinks!$A$4:$A$53,0)),0))</f>
        <v/>
      </c>
      <c r="L1623" s="10" t="str">
        <f aca="false">IF($B1623="","",$J1623+$K1623)</f>
        <v/>
      </c>
      <c r="M1623" s="9"/>
      <c r="N1623" s="10" t="str">
        <f aca="false">IF($B1623="","",$L1623-$M1623)</f>
        <v/>
      </c>
      <c r="O1623" s="10" t="str">
        <f aca="false">IF($B1623="","",IFERROR(INDEX(Drinks!$E$4:$E$53,MATCH($B1623,Drinks!$A$4:$A$53,0)),0))</f>
        <v/>
      </c>
      <c r="P1623" s="10" t="str">
        <f aca="false">IF($B1623="","",$N1623*$O1623)</f>
        <v/>
      </c>
      <c r="Q1623" s="10" t="str">
        <f aca="false">IF($B1623="","",$N1623*IFERROR(INDEX(Drinks!$D$4:$D$53,MATCH($B1623,Drinks!$A$4:$A$53,0)),0))</f>
        <v/>
      </c>
      <c r="R1623" s="10" t="str">
        <f aca="false">IF($B1623="","",$P1623-$Q1623)</f>
        <v/>
      </c>
      <c r="S1623" s="23" t="str">
        <f aca="false">IF($B1623="","",IF(COUNTIFS($A$4:$A$2003,$A1623-1,$B$4:$B$2003,$B1623)=0,"first day",IF(SUMIFS($M$4:$M$2003,$A$4:$A$2003,$A1623-1,$B$4:$B$2003,$B1623)=$J1623,"OK","CHECK")))</f>
        <v/>
      </c>
      <c r="T1623" s="10" t="str">
        <f aca="false">IF($B1623="","",IFERROR(INDEX(Drinks!$D$4:$D$53,MATCH($B1623,Drinks!$A$4:$A$53,0)),0))</f>
        <v/>
      </c>
    </row>
    <row r="1624" customFormat="false" ht="15" hidden="false" customHeight="false" outlineLevel="0" collapsed="false">
      <c r="A1624" s="22"/>
      <c r="B1624" s="9"/>
      <c r="C1624" s="9"/>
      <c r="D1624" s="9"/>
      <c r="E1624" s="9"/>
      <c r="F1624" s="10" t="str">
        <f aca="false">IF($B1624="","",$C1624+$D1624-$E1624)</f>
        <v/>
      </c>
      <c r="G1624" s="10" t="str">
        <f aca="false">IF($B1624="","",IFERROR(INDEX(Drinks!$C$4:$C$53,MATCH($B1624,Drinks!$A$4:$A$53,0)),0))</f>
        <v/>
      </c>
      <c r="H1624" s="10" t="str">
        <f aca="false">IF($B1624="","",$D1624*$G1624)</f>
        <v/>
      </c>
      <c r="I1624" s="10" t="str">
        <f aca="false">IF($B1624="","",$F1624*$G1624)</f>
        <v/>
      </c>
      <c r="J1624" s="9"/>
      <c r="K1624" s="10" t="str">
        <f aca="false">IF($B1624="","",$E1624*IFERROR(INDEX(Drinks!$B$4:$B$53,MATCH($B1624,Drinks!$A$4:$A$53,0)),0))</f>
        <v/>
      </c>
      <c r="L1624" s="10" t="str">
        <f aca="false">IF($B1624="","",$J1624+$K1624)</f>
        <v/>
      </c>
      <c r="M1624" s="9"/>
      <c r="N1624" s="10" t="str">
        <f aca="false">IF($B1624="","",$L1624-$M1624)</f>
        <v/>
      </c>
      <c r="O1624" s="10" t="str">
        <f aca="false">IF($B1624="","",IFERROR(INDEX(Drinks!$E$4:$E$53,MATCH($B1624,Drinks!$A$4:$A$53,0)),0))</f>
        <v/>
      </c>
      <c r="P1624" s="10" t="str">
        <f aca="false">IF($B1624="","",$N1624*$O1624)</f>
        <v/>
      </c>
      <c r="Q1624" s="10" t="str">
        <f aca="false">IF($B1624="","",$N1624*IFERROR(INDEX(Drinks!$D$4:$D$53,MATCH($B1624,Drinks!$A$4:$A$53,0)),0))</f>
        <v/>
      </c>
      <c r="R1624" s="10" t="str">
        <f aca="false">IF($B1624="","",$P1624-$Q1624)</f>
        <v/>
      </c>
      <c r="S1624" s="23" t="str">
        <f aca="false">IF($B1624="","",IF(COUNTIFS($A$4:$A$2003,$A1624-1,$B$4:$B$2003,$B1624)=0,"first day",IF(SUMIFS($M$4:$M$2003,$A$4:$A$2003,$A1624-1,$B$4:$B$2003,$B1624)=$J1624,"OK","CHECK")))</f>
        <v/>
      </c>
      <c r="T1624" s="10" t="str">
        <f aca="false">IF($B1624="","",IFERROR(INDEX(Drinks!$D$4:$D$53,MATCH($B1624,Drinks!$A$4:$A$53,0)),0))</f>
        <v/>
      </c>
    </row>
    <row r="1625" customFormat="false" ht="15" hidden="false" customHeight="false" outlineLevel="0" collapsed="false">
      <c r="A1625" s="22"/>
      <c r="B1625" s="9"/>
      <c r="C1625" s="9"/>
      <c r="D1625" s="9"/>
      <c r="E1625" s="9"/>
      <c r="F1625" s="10" t="str">
        <f aca="false">IF($B1625="","",$C1625+$D1625-$E1625)</f>
        <v/>
      </c>
      <c r="G1625" s="10" t="str">
        <f aca="false">IF($B1625="","",IFERROR(INDEX(Drinks!$C$4:$C$53,MATCH($B1625,Drinks!$A$4:$A$53,0)),0))</f>
        <v/>
      </c>
      <c r="H1625" s="10" t="str">
        <f aca="false">IF($B1625="","",$D1625*$G1625)</f>
        <v/>
      </c>
      <c r="I1625" s="10" t="str">
        <f aca="false">IF($B1625="","",$F1625*$G1625)</f>
        <v/>
      </c>
      <c r="J1625" s="9"/>
      <c r="K1625" s="10" t="str">
        <f aca="false">IF($B1625="","",$E1625*IFERROR(INDEX(Drinks!$B$4:$B$53,MATCH($B1625,Drinks!$A$4:$A$53,0)),0))</f>
        <v/>
      </c>
      <c r="L1625" s="10" t="str">
        <f aca="false">IF($B1625="","",$J1625+$K1625)</f>
        <v/>
      </c>
      <c r="M1625" s="9"/>
      <c r="N1625" s="10" t="str">
        <f aca="false">IF($B1625="","",$L1625-$M1625)</f>
        <v/>
      </c>
      <c r="O1625" s="10" t="str">
        <f aca="false">IF($B1625="","",IFERROR(INDEX(Drinks!$E$4:$E$53,MATCH($B1625,Drinks!$A$4:$A$53,0)),0))</f>
        <v/>
      </c>
      <c r="P1625" s="10" t="str">
        <f aca="false">IF($B1625="","",$N1625*$O1625)</f>
        <v/>
      </c>
      <c r="Q1625" s="10" t="str">
        <f aca="false">IF($B1625="","",$N1625*IFERROR(INDEX(Drinks!$D$4:$D$53,MATCH($B1625,Drinks!$A$4:$A$53,0)),0))</f>
        <v/>
      </c>
      <c r="R1625" s="10" t="str">
        <f aca="false">IF($B1625="","",$P1625-$Q1625)</f>
        <v/>
      </c>
      <c r="S1625" s="23" t="str">
        <f aca="false">IF($B1625="","",IF(COUNTIFS($A$4:$A$2003,$A1625-1,$B$4:$B$2003,$B1625)=0,"first day",IF(SUMIFS($M$4:$M$2003,$A$4:$A$2003,$A1625-1,$B$4:$B$2003,$B1625)=$J1625,"OK","CHECK")))</f>
        <v/>
      </c>
      <c r="T1625" s="10" t="str">
        <f aca="false">IF($B1625="","",IFERROR(INDEX(Drinks!$D$4:$D$53,MATCH($B1625,Drinks!$A$4:$A$53,0)),0))</f>
        <v/>
      </c>
    </row>
    <row r="1626" customFormat="false" ht="15" hidden="false" customHeight="false" outlineLevel="0" collapsed="false">
      <c r="A1626" s="22"/>
      <c r="B1626" s="9"/>
      <c r="C1626" s="9"/>
      <c r="D1626" s="9"/>
      <c r="E1626" s="9"/>
      <c r="F1626" s="10" t="str">
        <f aca="false">IF($B1626="","",$C1626+$D1626-$E1626)</f>
        <v/>
      </c>
      <c r="G1626" s="10" t="str">
        <f aca="false">IF($B1626="","",IFERROR(INDEX(Drinks!$C$4:$C$53,MATCH($B1626,Drinks!$A$4:$A$53,0)),0))</f>
        <v/>
      </c>
      <c r="H1626" s="10" t="str">
        <f aca="false">IF($B1626="","",$D1626*$G1626)</f>
        <v/>
      </c>
      <c r="I1626" s="10" t="str">
        <f aca="false">IF($B1626="","",$F1626*$G1626)</f>
        <v/>
      </c>
      <c r="J1626" s="9"/>
      <c r="K1626" s="10" t="str">
        <f aca="false">IF($B1626="","",$E1626*IFERROR(INDEX(Drinks!$B$4:$B$53,MATCH($B1626,Drinks!$A$4:$A$53,0)),0))</f>
        <v/>
      </c>
      <c r="L1626" s="10" t="str">
        <f aca="false">IF($B1626="","",$J1626+$K1626)</f>
        <v/>
      </c>
      <c r="M1626" s="9"/>
      <c r="N1626" s="10" t="str">
        <f aca="false">IF($B1626="","",$L1626-$M1626)</f>
        <v/>
      </c>
      <c r="O1626" s="10" t="str">
        <f aca="false">IF($B1626="","",IFERROR(INDEX(Drinks!$E$4:$E$53,MATCH($B1626,Drinks!$A$4:$A$53,0)),0))</f>
        <v/>
      </c>
      <c r="P1626" s="10" t="str">
        <f aca="false">IF($B1626="","",$N1626*$O1626)</f>
        <v/>
      </c>
      <c r="Q1626" s="10" t="str">
        <f aca="false">IF($B1626="","",$N1626*IFERROR(INDEX(Drinks!$D$4:$D$53,MATCH($B1626,Drinks!$A$4:$A$53,0)),0))</f>
        <v/>
      </c>
      <c r="R1626" s="10" t="str">
        <f aca="false">IF($B1626="","",$P1626-$Q1626)</f>
        <v/>
      </c>
      <c r="S1626" s="23" t="str">
        <f aca="false">IF($B1626="","",IF(COUNTIFS($A$4:$A$2003,$A1626-1,$B$4:$B$2003,$B1626)=0,"first day",IF(SUMIFS($M$4:$M$2003,$A$4:$A$2003,$A1626-1,$B$4:$B$2003,$B1626)=$J1626,"OK","CHECK")))</f>
        <v/>
      </c>
      <c r="T1626" s="10" t="str">
        <f aca="false">IF($B1626="","",IFERROR(INDEX(Drinks!$D$4:$D$53,MATCH($B1626,Drinks!$A$4:$A$53,0)),0))</f>
        <v/>
      </c>
    </row>
    <row r="1627" customFormat="false" ht="15" hidden="false" customHeight="false" outlineLevel="0" collapsed="false">
      <c r="A1627" s="22"/>
      <c r="B1627" s="9"/>
      <c r="C1627" s="9"/>
      <c r="D1627" s="9"/>
      <c r="E1627" s="9"/>
      <c r="F1627" s="10" t="str">
        <f aca="false">IF($B1627="","",$C1627+$D1627-$E1627)</f>
        <v/>
      </c>
      <c r="G1627" s="10" t="str">
        <f aca="false">IF($B1627="","",IFERROR(INDEX(Drinks!$C$4:$C$53,MATCH($B1627,Drinks!$A$4:$A$53,0)),0))</f>
        <v/>
      </c>
      <c r="H1627" s="10" t="str">
        <f aca="false">IF($B1627="","",$D1627*$G1627)</f>
        <v/>
      </c>
      <c r="I1627" s="10" t="str">
        <f aca="false">IF($B1627="","",$F1627*$G1627)</f>
        <v/>
      </c>
      <c r="J1627" s="9"/>
      <c r="K1627" s="10" t="str">
        <f aca="false">IF($B1627="","",$E1627*IFERROR(INDEX(Drinks!$B$4:$B$53,MATCH($B1627,Drinks!$A$4:$A$53,0)),0))</f>
        <v/>
      </c>
      <c r="L1627" s="10" t="str">
        <f aca="false">IF($B1627="","",$J1627+$K1627)</f>
        <v/>
      </c>
      <c r="M1627" s="9"/>
      <c r="N1627" s="10" t="str">
        <f aca="false">IF($B1627="","",$L1627-$M1627)</f>
        <v/>
      </c>
      <c r="O1627" s="10" t="str">
        <f aca="false">IF($B1627="","",IFERROR(INDEX(Drinks!$E$4:$E$53,MATCH($B1627,Drinks!$A$4:$A$53,0)),0))</f>
        <v/>
      </c>
      <c r="P1627" s="10" t="str">
        <f aca="false">IF($B1627="","",$N1627*$O1627)</f>
        <v/>
      </c>
      <c r="Q1627" s="10" t="str">
        <f aca="false">IF($B1627="","",$N1627*IFERROR(INDEX(Drinks!$D$4:$D$53,MATCH($B1627,Drinks!$A$4:$A$53,0)),0))</f>
        <v/>
      </c>
      <c r="R1627" s="10" t="str">
        <f aca="false">IF($B1627="","",$P1627-$Q1627)</f>
        <v/>
      </c>
      <c r="S1627" s="23" t="str">
        <f aca="false">IF($B1627="","",IF(COUNTIFS($A$4:$A$2003,$A1627-1,$B$4:$B$2003,$B1627)=0,"first day",IF(SUMIFS($M$4:$M$2003,$A$4:$A$2003,$A1627-1,$B$4:$B$2003,$B1627)=$J1627,"OK","CHECK")))</f>
        <v/>
      </c>
      <c r="T1627" s="10" t="str">
        <f aca="false">IF($B1627="","",IFERROR(INDEX(Drinks!$D$4:$D$53,MATCH($B1627,Drinks!$A$4:$A$53,0)),0))</f>
        <v/>
      </c>
    </row>
    <row r="1628" customFormat="false" ht="15" hidden="false" customHeight="false" outlineLevel="0" collapsed="false">
      <c r="A1628" s="22"/>
      <c r="B1628" s="9"/>
      <c r="C1628" s="9"/>
      <c r="D1628" s="9"/>
      <c r="E1628" s="9"/>
      <c r="F1628" s="10" t="str">
        <f aca="false">IF($B1628="","",$C1628+$D1628-$E1628)</f>
        <v/>
      </c>
      <c r="G1628" s="10" t="str">
        <f aca="false">IF($B1628="","",IFERROR(INDEX(Drinks!$C$4:$C$53,MATCH($B1628,Drinks!$A$4:$A$53,0)),0))</f>
        <v/>
      </c>
      <c r="H1628" s="10" t="str">
        <f aca="false">IF($B1628="","",$D1628*$G1628)</f>
        <v/>
      </c>
      <c r="I1628" s="10" t="str">
        <f aca="false">IF($B1628="","",$F1628*$G1628)</f>
        <v/>
      </c>
      <c r="J1628" s="9"/>
      <c r="K1628" s="10" t="str">
        <f aca="false">IF($B1628="","",$E1628*IFERROR(INDEX(Drinks!$B$4:$B$53,MATCH($B1628,Drinks!$A$4:$A$53,0)),0))</f>
        <v/>
      </c>
      <c r="L1628" s="10" t="str">
        <f aca="false">IF($B1628="","",$J1628+$K1628)</f>
        <v/>
      </c>
      <c r="M1628" s="9"/>
      <c r="N1628" s="10" t="str">
        <f aca="false">IF($B1628="","",$L1628-$M1628)</f>
        <v/>
      </c>
      <c r="O1628" s="10" t="str">
        <f aca="false">IF($B1628="","",IFERROR(INDEX(Drinks!$E$4:$E$53,MATCH($B1628,Drinks!$A$4:$A$53,0)),0))</f>
        <v/>
      </c>
      <c r="P1628" s="10" t="str">
        <f aca="false">IF($B1628="","",$N1628*$O1628)</f>
        <v/>
      </c>
      <c r="Q1628" s="10" t="str">
        <f aca="false">IF($B1628="","",$N1628*IFERROR(INDEX(Drinks!$D$4:$D$53,MATCH($B1628,Drinks!$A$4:$A$53,0)),0))</f>
        <v/>
      </c>
      <c r="R1628" s="10" t="str">
        <f aca="false">IF($B1628="","",$P1628-$Q1628)</f>
        <v/>
      </c>
      <c r="S1628" s="23" t="str">
        <f aca="false">IF($B1628="","",IF(COUNTIFS($A$4:$A$2003,$A1628-1,$B$4:$B$2003,$B1628)=0,"first day",IF(SUMIFS($M$4:$M$2003,$A$4:$A$2003,$A1628-1,$B$4:$B$2003,$B1628)=$J1628,"OK","CHECK")))</f>
        <v/>
      </c>
      <c r="T1628" s="10" t="str">
        <f aca="false">IF($B1628="","",IFERROR(INDEX(Drinks!$D$4:$D$53,MATCH($B1628,Drinks!$A$4:$A$53,0)),0))</f>
        <v/>
      </c>
    </row>
    <row r="1629" customFormat="false" ht="15" hidden="false" customHeight="false" outlineLevel="0" collapsed="false">
      <c r="A1629" s="22"/>
      <c r="B1629" s="9"/>
      <c r="C1629" s="9"/>
      <c r="D1629" s="9"/>
      <c r="E1629" s="9"/>
      <c r="F1629" s="10" t="str">
        <f aca="false">IF($B1629="","",$C1629+$D1629-$E1629)</f>
        <v/>
      </c>
      <c r="G1629" s="10" t="str">
        <f aca="false">IF($B1629="","",IFERROR(INDEX(Drinks!$C$4:$C$53,MATCH($B1629,Drinks!$A$4:$A$53,0)),0))</f>
        <v/>
      </c>
      <c r="H1629" s="10" t="str">
        <f aca="false">IF($B1629="","",$D1629*$G1629)</f>
        <v/>
      </c>
      <c r="I1629" s="10" t="str">
        <f aca="false">IF($B1629="","",$F1629*$G1629)</f>
        <v/>
      </c>
      <c r="J1629" s="9"/>
      <c r="K1629" s="10" t="str">
        <f aca="false">IF($B1629="","",$E1629*IFERROR(INDEX(Drinks!$B$4:$B$53,MATCH($B1629,Drinks!$A$4:$A$53,0)),0))</f>
        <v/>
      </c>
      <c r="L1629" s="10" t="str">
        <f aca="false">IF($B1629="","",$J1629+$K1629)</f>
        <v/>
      </c>
      <c r="M1629" s="9"/>
      <c r="N1629" s="10" t="str">
        <f aca="false">IF($B1629="","",$L1629-$M1629)</f>
        <v/>
      </c>
      <c r="O1629" s="10" t="str">
        <f aca="false">IF($B1629="","",IFERROR(INDEX(Drinks!$E$4:$E$53,MATCH($B1629,Drinks!$A$4:$A$53,0)),0))</f>
        <v/>
      </c>
      <c r="P1629" s="10" t="str">
        <f aca="false">IF($B1629="","",$N1629*$O1629)</f>
        <v/>
      </c>
      <c r="Q1629" s="10" t="str">
        <f aca="false">IF($B1629="","",$N1629*IFERROR(INDEX(Drinks!$D$4:$D$53,MATCH($B1629,Drinks!$A$4:$A$53,0)),0))</f>
        <v/>
      </c>
      <c r="R1629" s="10" t="str">
        <f aca="false">IF($B1629="","",$P1629-$Q1629)</f>
        <v/>
      </c>
      <c r="S1629" s="23" t="str">
        <f aca="false">IF($B1629="","",IF(COUNTIFS($A$4:$A$2003,$A1629-1,$B$4:$B$2003,$B1629)=0,"first day",IF(SUMIFS($M$4:$M$2003,$A$4:$A$2003,$A1629-1,$B$4:$B$2003,$B1629)=$J1629,"OK","CHECK")))</f>
        <v/>
      </c>
      <c r="T1629" s="10" t="str">
        <f aca="false">IF($B1629="","",IFERROR(INDEX(Drinks!$D$4:$D$53,MATCH($B1629,Drinks!$A$4:$A$53,0)),0))</f>
        <v/>
      </c>
    </row>
    <row r="1630" customFormat="false" ht="15" hidden="false" customHeight="false" outlineLevel="0" collapsed="false">
      <c r="A1630" s="22"/>
      <c r="B1630" s="9"/>
      <c r="C1630" s="9"/>
      <c r="D1630" s="9"/>
      <c r="E1630" s="9"/>
      <c r="F1630" s="10" t="str">
        <f aca="false">IF($B1630="","",$C1630+$D1630-$E1630)</f>
        <v/>
      </c>
      <c r="G1630" s="10" t="str">
        <f aca="false">IF($B1630="","",IFERROR(INDEX(Drinks!$C$4:$C$53,MATCH($B1630,Drinks!$A$4:$A$53,0)),0))</f>
        <v/>
      </c>
      <c r="H1630" s="10" t="str">
        <f aca="false">IF($B1630="","",$D1630*$G1630)</f>
        <v/>
      </c>
      <c r="I1630" s="10" t="str">
        <f aca="false">IF($B1630="","",$F1630*$G1630)</f>
        <v/>
      </c>
      <c r="J1630" s="9"/>
      <c r="K1630" s="10" t="str">
        <f aca="false">IF($B1630="","",$E1630*IFERROR(INDEX(Drinks!$B$4:$B$53,MATCH($B1630,Drinks!$A$4:$A$53,0)),0))</f>
        <v/>
      </c>
      <c r="L1630" s="10" t="str">
        <f aca="false">IF($B1630="","",$J1630+$K1630)</f>
        <v/>
      </c>
      <c r="M1630" s="9"/>
      <c r="N1630" s="10" t="str">
        <f aca="false">IF($B1630="","",$L1630-$M1630)</f>
        <v/>
      </c>
      <c r="O1630" s="10" t="str">
        <f aca="false">IF($B1630="","",IFERROR(INDEX(Drinks!$E$4:$E$53,MATCH($B1630,Drinks!$A$4:$A$53,0)),0))</f>
        <v/>
      </c>
      <c r="P1630" s="10" t="str">
        <f aca="false">IF($B1630="","",$N1630*$O1630)</f>
        <v/>
      </c>
      <c r="Q1630" s="10" t="str">
        <f aca="false">IF($B1630="","",$N1630*IFERROR(INDEX(Drinks!$D$4:$D$53,MATCH($B1630,Drinks!$A$4:$A$53,0)),0))</f>
        <v/>
      </c>
      <c r="R1630" s="10" t="str">
        <f aca="false">IF($B1630="","",$P1630-$Q1630)</f>
        <v/>
      </c>
      <c r="S1630" s="23" t="str">
        <f aca="false">IF($B1630="","",IF(COUNTIFS($A$4:$A$2003,$A1630-1,$B$4:$B$2003,$B1630)=0,"first day",IF(SUMIFS($M$4:$M$2003,$A$4:$A$2003,$A1630-1,$B$4:$B$2003,$B1630)=$J1630,"OK","CHECK")))</f>
        <v/>
      </c>
      <c r="T1630" s="10" t="str">
        <f aca="false">IF($B1630="","",IFERROR(INDEX(Drinks!$D$4:$D$53,MATCH($B1630,Drinks!$A$4:$A$53,0)),0))</f>
        <v/>
      </c>
    </row>
    <row r="1631" customFormat="false" ht="15" hidden="false" customHeight="false" outlineLevel="0" collapsed="false">
      <c r="A1631" s="22"/>
      <c r="B1631" s="9"/>
      <c r="C1631" s="9"/>
      <c r="D1631" s="9"/>
      <c r="E1631" s="9"/>
      <c r="F1631" s="10" t="str">
        <f aca="false">IF($B1631="","",$C1631+$D1631-$E1631)</f>
        <v/>
      </c>
      <c r="G1631" s="10" t="str">
        <f aca="false">IF($B1631="","",IFERROR(INDEX(Drinks!$C$4:$C$53,MATCH($B1631,Drinks!$A$4:$A$53,0)),0))</f>
        <v/>
      </c>
      <c r="H1631" s="10" t="str">
        <f aca="false">IF($B1631="","",$D1631*$G1631)</f>
        <v/>
      </c>
      <c r="I1631" s="10" t="str">
        <f aca="false">IF($B1631="","",$F1631*$G1631)</f>
        <v/>
      </c>
      <c r="J1631" s="9"/>
      <c r="K1631" s="10" t="str">
        <f aca="false">IF($B1631="","",$E1631*IFERROR(INDEX(Drinks!$B$4:$B$53,MATCH($B1631,Drinks!$A$4:$A$53,0)),0))</f>
        <v/>
      </c>
      <c r="L1631" s="10" t="str">
        <f aca="false">IF($B1631="","",$J1631+$K1631)</f>
        <v/>
      </c>
      <c r="M1631" s="9"/>
      <c r="N1631" s="10" t="str">
        <f aca="false">IF($B1631="","",$L1631-$M1631)</f>
        <v/>
      </c>
      <c r="O1631" s="10" t="str">
        <f aca="false">IF($B1631="","",IFERROR(INDEX(Drinks!$E$4:$E$53,MATCH($B1631,Drinks!$A$4:$A$53,0)),0))</f>
        <v/>
      </c>
      <c r="P1631" s="10" t="str">
        <f aca="false">IF($B1631="","",$N1631*$O1631)</f>
        <v/>
      </c>
      <c r="Q1631" s="10" t="str">
        <f aca="false">IF($B1631="","",$N1631*IFERROR(INDEX(Drinks!$D$4:$D$53,MATCH($B1631,Drinks!$A$4:$A$53,0)),0))</f>
        <v/>
      </c>
      <c r="R1631" s="10" t="str">
        <f aca="false">IF($B1631="","",$P1631-$Q1631)</f>
        <v/>
      </c>
      <c r="S1631" s="23" t="str">
        <f aca="false">IF($B1631="","",IF(COUNTIFS($A$4:$A$2003,$A1631-1,$B$4:$B$2003,$B1631)=0,"first day",IF(SUMIFS($M$4:$M$2003,$A$4:$A$2003,$A1631-1,$B$4:$B$2003,$B1631)=$J1631,"OK","CHECK")))</f>
        <v/>
      </c>
      <c r="T1631" s="10" t="str">
        <f aca="false">IF($B1631="","",IFERROR(INDEX(Drinks!$D$4:$D$53,MATCH($B1631,Drinks!$A$4:$A$53,0)),0))</f>
        <v/>
      </c>
    </row>
    <row r="1632" customFormat="false" ht="15" hidden="false" customHeight="false" outlineLevel="0" collapsed="false">
      <c r="A1632" s="22"/>
      <c r="B1632" s="9"/>
      <c r="C1632" s="9"/>
      <c r="D1632" s="9"/>
      <c r="E1632" s="9"/>
      <c r="F1632" s="10" t="str">
        <f aca="false">IF($B1632="","",$C1632+$D1632-$E1632)</f>
        <v/>
      </c>
      <c r="G1632" s="10" t="str">
        <f aca="false">IF($B1632="","",IFERROR(INDEX(Drinks!$C$4:$C$53,MATCH($B1632,Drinks!$A$4:$A$53,0)),0))</f>
        <v/>
      </c>
      <c r="H1632" s="10" t="str">
        <f aca="false">IF($B1632="","",$D1632*$G1632)</f>
        <v/>
      </c>
      <c r="I1632" s="10" t="str">
        <f aca="false">IF($B1632="","",$F1632*$G1632)</f>
        <v/>
      </c>
      <c r="J1632" s="9"/>
      <c r="K1632" s="10" t="str">
        <f aca="false">IF($B1632="","",$E1632*IFERROR(INDEX(Drinks!$B$4:$B$53,MATCH($B1632,Drinks!$A$4:$A$53,0)),0))</f>
        <v/>
      </c>
      <c r="L1632" s="10" t="str">
        <f aca="false">IF($B1632="","",$J1632+$K1632)</f>
        <v/>
      </c>
      <c r="M1632" s="9"/>
      <c r="N1632" s="10" t="str">
        <f aca="false">IF($B1632="","",$L1632-$M1632)</f>
        <v/>
      </c>
      <c r="O1632" s="10" t="str">
        <f aca="false">IF($B1632="","",IFERROR(INDEX(Drinks!$E$4:$E$53,MATCH($B1632,Drinks!$A$4:$A$53,0)),0))</f>
        <v/>
      </c>
      <c r="P1632" s="10" t="str">
        <f aca="false">IF($B1632="","",$N1632*$O1632)</f>
        <v/>
      </c>
      <c r="Q1632" s="10" t="str">
        <f aca="false">IF($B1632="","",$N1632*IFERROR(INDEX(Drinks!$D$4:$D$53,MATCH($B1632,Drinks!$A$4:$A$53,0)),0))</f>
        <v/>
      </c>
      <c r="R1632" s="10" t="str">
        <f aca="false">IF($B1632="","",$P1632-$Q1632)</f>
        <v/>
      </c>
      <c r="S1632" s="23" t="str">
        <f aca="false">IF($B1632="","",IF(COUNTIFS($A$4:$A$2003,$A1632-1,$B$4:$B$2003,$B1632)=0,"first day",IF(SUMIFS($M$4:$M$2003,$A$4:$A$2003,$A1632-1,$B$4:$B$2003,$B1632)=$J1632,"OK","CHECK")))</f>
        <v/>
      </c>
      <c r="T1632" s="10" t="str">
        <f aca="false">IF($B1632="","",IFERROR(INDEX(Drinks!$D$4:$D$53,MATCH($B1632,Drinks!$A$4:$A$53,0)),0))</f>
        <v/>
      </c>
    </row>
    <row r="1633" customFormat="false" ht="15" hidden="false" customHeight="false" outlineLevel="0" collapsed="false">
      <c r="A1633" s="22"/>
      <c r="B1633" s="9"/>
      <c r="C1633" s="9"/>
      <c r="D1633" s="9"/>
      <c r="E1633" s="9"/>
      <c r="F1633" s="10" t="str">
        <f aca="false">IF($B1633="","",$C1633+$D1633-$E1633)</f>
        <v/>
      </c>
      <c r="G1633" s="10" t="str">
        <f aca="false">IF($B1633="","",IFERROR(INDEX(Drinks!$C$4:$C$53,MATCH($B1633,Drinks!$A$4:$A$53,0)),0))</f>
        <v/>
      </c>
      <c r="H1633" s="10" t="str">
        <f aca="false">IF($B1633="","",$D1633*$G1633)</f>
        <v/>
      </c>
      <c r="I1633" s="10" t="str">
        <f aca="false">IF($B1633="","",$F1633*$G1633)</f>
        <v/>
      </c>
      <c r="J1633" s="9"/>
      <c r="K1633" s="10" t="str">
        <f aca="false">IF($B1633="","",$E1633*IFERROR(INDEX(Drinks!$B$4:$B$53,MATCH($B1633,Drinks!$A$4:$A$53,0)),0))</f>
        <v/>
      </c>
      <c r="L1633" s="10" t="str">
        <f aca="false">IF($B1633="","",$J1633+$K1633)</f>
        <v/>
      </c>
      <c r="M1633" s="9"/>
      <c r="N1633" s="10" t="str">
        <f aca="false">IF($B1633="","",$L1633-$M1633)</f>
        <v/>
      </c>
      <c r="O1633" s="10" t="str">
        <f aca="false">IF($B1633="","",IFERROR(INDEX(Drinks!$E$4:$E$53,MATCH($B1633,Drinks!$A$4:$A$53,0)),0))</f>
        <v/>
      </c>
      <c r="P1633" s="10" t="str">
        <f aca="false">IF($B1633="","",$N1633*$O1633)</f>
        <v/>
      </c>
      <c r="Q1633" s="10" t="str">
        <f aca="false">IF($B1633="","",$N1633*IFERROR(INDEX(Drinks!$D$4:$D$53,MATCH($B1633,Drinks!$A$4:$A$53,0)),0))</f>
        <v/>
      </c>
      <c r="R1633" s="10" t="str">
        <f aca="false">IF($B1633="","",$P1633-$Q1633)</f>
        <v/>
      </c>
      <c r="S1633" s="23" t="str">
        <f aca="false">IF($B1633="","",IF(COUNTIFS($A$4:$A$2003,$A1633-1,$B$4:$B$2003,$B1633)=0,"first day",IF(SUMIFS($M$4:$M$2003,$A$4:$A$2003,$A1633-1,$B$4:$B$2003,$B1633)=$J1633,"OK","CHECK")))</f>
        <v/>
      </c>
      <c r="T1633" s="10" t="str">
        <f aca="false">IF($B1633="","",IFERROR(INDEX(Drinks!$D$4:$D$53,MATCH($B1633,Drinks!$A$4:$A$53,0)),0))</f>
        <v/>
      </c>
    </row>
    <row r="1634" customFormat="false" ht="15" hidden="false" customHeight="false" outlineLevel="0" collapsed="false">
      <c r="A1634" s="22"/>
      <c r="B1634" s="9"/>
      <c r="C1634" s="9"/>
      <c r="D1634" s="9"/>
      <c r="E1634" s="9"/>
      <c r="F1634" s="10" t="str">
        <f aca="false">IF($B1634="","",$C1634+$D1634-$E1634)</f>
        <v/>
      </c>
      <c r="G1634" s="10" t="str">
        <f aca="false">IF($B1634="","",IFERROR(INDEX(Drinks!$C$4:$C$53,MATCH($B1634,Drinks!$A$4:$A$53,0)),0))</f>
        <v/>
      </c>
      <c r="H1634" s="10" t="str">
        <f aca="false">IF($B1634="","",$D1634*$G1634)</f>
        <v/>
      </c>
      <c r="I1634" s="10" t="str">
        <f aca="false">IF($B1634="","",$F1634*$G1634)</f>
        <v/>
      </c>
      <c r="J1634" s="9"/>
      <c r="K1634" s="10" t="str">
        <f aca="false">IF($B1634="","",$E1634*IFERROR(INDEX(Drinks!$B$4:$B$53,MATCH($B1634,Drinks!$A$4:$A$53,0)),0))</f>
        <v/>
      </c>
      <c r="L1634" s="10" t="str">
        <f aca="false">IF($B1634="","",$J1634+$K1634)</f>
        <v/>
      </c>
      <c r="M1634" s="9"/>
      <c r="N1634" s="10" t="str">
        <f aca="false">IF($B1634="","",$L1634-$M1634)</f>
        <v/>
      </c>
      <c r="O1634" s="10" t="str">
        <f aca="false">IF($B1634="","",IFERROR(INDEX(Drinks!$E$4:$E$53,MATCH($B1634,Drinks!$A$4:$A$53,0)),0))</f>
        <v/>
      </c>
      <c r="P1634" s="10" t="str">
        <f aca="false">IF($B1634="","",$N1634*$O1634)</f>
        <v/>
      </c>
      <c r="Q1634" s="10" t="str">
        <f aca="false">IF($B1634="","",$N1634*IFERROR(INDEX(Drinks!$D$4:$D$53,MATCH($B1634,Drinks!$A$4:$A$53,0)),0))</f>
        <v/>
      </c>
      <c r="R1634" s="10" t="str">
        <f aca="false">IF($B1634="","",$P1634-$Q1634)</f>
        <v/>
      </c>
      <c r="S1634" s="23" t="str">
        <f aca="false">IF($B1634="","",IF(COUNTIFS($A$4:$A$2003,$A1634-1,$B$4:$B$2003,$B1634)=0,"first day",IF(SUMIFS($M$4:$M$2003,$A$4:$A$2003,$A1634-1,$B$4:$B$2003,$B1634)=$J1634,"OK","CHECK")))</f>
        <v/>
      </c>
      <c r="T1634" s="10" t="str">
        <f aca="false">IF($B1634="","",IFERROR(INDEX(Drinks!$D$4:$D$53,MATCH($B1634,Drinks!$A$4:$A$53,0)),0))</f>
        <v/>
      </c>
    </row>
    <row r="1635" customFormat="false" ht="15" hidden="false" customHeight="false" outlineLevel="0" collapsed="false">
      <c r="A1635" s="22"/>
      <c r="B1635" s="9"/>
      <c r="C1635" s="9"/>
      <c r="D1635" s="9"/>
      <c r="E1635" s="9"/>
      <c r="F1635" s="10" t="str">
        <f aca="false">IF($B1635="","",$C1635+$D1635-$E1635)</f>
        <v/>
      </c>
      <c r="G1635" s="10" t="str">
        <f aca="false">IF($B1635="","",IFERROR(INDEX(Drinks!$C$4:$C$53,MATCH($B1635,Drinks!$A$4:$A$53,0)),0))</f>
        <v/>
      </c>
      <c r="H1635" s="10" t="str">
        <f aca="false">IF($B1635="","",$D1635*$G1635)</f>
        <v/>
      </c>
      <c r="I1635" s="10" t="str">
        <f aca="false">IF($B1635="","",$F1635*$G1635)</f>
        <v/>
      </c>
      <c r="J1635" s="9"/>
      <c r="K1635" s="10" t="str">
        <f aca="false">IF($B1635="","",$E1635*IFERROR(INDEX(Drinks!$B$4:$B$53,MATCH($B1635,Drinks!$A$4:$A$53,0)),0))</f>
        <v/>
      </c>
      <c r="L1635" s="10" t="str">
        <f aca="false">IF($B1635="","",$J1635+$K1635)</f>
        <v/>
      </c>
      <c r="M1635" s="9"/>
      <c r="N1635" s="10" t="str">
        <f aca="false">IF($B1635="","",$L1635-$M1635)</f>
        <v/>
      </c>
      <c r="O1635" s="10" t="str">
        <f aca="false">IF($B1635="","",IFERROR(INDEX(Drinks!$E$4:$E$53,MATCH($B1635,Drinks!$A$4:$A$53,0)),0))</f>
        <v/>
      </c>
      <c r="P1635" s="10" t="str">
        <f aca="false">IF($B1635="","",$N1635*$O1635)</f>
        <v/>
      </c>
      <c r="Q1635" s="10" t="str">
        <f aca="false">IF($B1635="","",$N1635*IFERROR(INDEX(Drinks!$D$4:$D$53,MATCH($B1635,Drinks!$A$4:$A$53,0)),0))</f>
        <v/>
      </c>
      <c r="R1635" s="10" t="str">
        <f aca="false">IF($B1635="","",$P1635-$Q1635)</f>
        <v/>
      </c>
      <c r="S1635" s="23" t="str">
        <f aca="false">IF($B1635="","",IF(COUNTIFS($A$4:$A$2003,$A1635-1,$B$4:$B$2003,$B1635)=0,"first day",IF(SUMIFS($M$4:$M$2003,$A$4:$A$2003,$A1635-1,$B$4:$B$2003,$B1635)=$J1635,"OK","CHECK")))</f>
        <v/>
      </c>
      <c r="T1635" s="10" t="str">
        <f aca="false">IF($B1635="","",IFERROR(INDEX(Drinks!$D$4:$D$53,MATCH($B1635,Drinks!$A$4:$A$53,0)),0))</f>
        <v/>
      </c>
    </row>
    <row r="1636" customFormat="false" ht="15" hidden="false" customHeight="false" outlineLevel="0" collapsed="false">
      <c r="A1636" s="22"/>
      <c r="B1636" s="9"/>
      <c r="C1636" s="9"/>
      <c r="D1636" s="9"/>
      <c r="E1636" s="9"/>
      <c r="F1636" s="10" t="str">
        <f aca="false">IF($B1636="","",$C1636+$D1636-$E1636)</f>
        <v/>
      </c>
      <c r="G1636" s="10" t="str">
        <f aca="false">IF($B1636="","",IFERROR(INDEX(Drinks!$C$4:$C$53,MATCH($B1636,Drinks!$A$4:$A$53,0)),0))</f>
        <v/>
      </c>
      <c r="H1636" s="10" t="str">
        <f aca="false">IF($B1636="","",$D1636*$G1636)</f>
        <v/>
      </c>
      <c r="I1636" s="10" t="str">
        <f aca="false">IF($B1636="","",$F1636*$G1636)</f>
        <v/>
      </c>
      <c r="J1636" s="9"/>
      <c r="K1636" s="10" t="str">
        <f aca="false">IF($B1636="","",$E1636*IFERROR(INDEX(Drinks!$B$4:$B$53,MATCH($B1636,Drinks!$A$4:$A$53,0)),0))</f>
        <v/>
      </c>
      <c r="L1636" s="10" t="str">
        <f aca="false">IF($B1636="","",$J1636+$K1636)</f>
        <v/>
      </c>
      <c r="M1636" s="9"/>
      <c r="N1636" s="10" t="str">
        <f aca="false">IF($B1636="","",$L1636-$M1636)</f>
        <v/>
      </c>
      <c r="O1636" s="10" t="str">
        <f aca="false">IF($B1636="","",IFERROR(INDEX(Drinks!$E$4:$E$53,MATCH($B1636,Drinks!$A$4:$A$53,0)),0))</f>
        <v/>
      </c>
      <c r="P1636" s="10" t="str">
        <f aca="false">IF($B1636="","",$N1636*$O1636)</f>
        <v/>
      </c>
      <c r="Q1636" s="10" t="str">
        <f aca="false">IF($B1636="","",$N1636*IFERROR(INDEX(Drinks!$D$4:$D$53,MATCH($B1636,Drinks!$A$4:$A$53,0)),0))</f>
        <v/>
      </c>
      <c r="R1636" s="10" t="str">
        <f aca="false">IF($B1636="","",$P1636-$Q1636)</f>
        <v/>
      </c>
      <c r="S1636" s="23" t="str">
        <f aca="false">IF($B1636="","",IF(COUNTIFS($A$4:$A$2003,$A1636-1,$B$4:$B$2003,$B1636)=0,"first day",IF(SUMIFS($M$4:$M$2003,$A$4:$A$2003,$A1636-1,$B$4:$B$2003,$B1636)=$J1636,"OK","CHECK")))</f>
        <v/>
      </c>
      <c r="T1636" s="10" t="str">
        <f aca="false">IF($B1636="","",IFERROR(INDEX(Drinks!$D$4:$D$53,MATCH($B1636,Drinks!$A$4:$A$53,0)),0))</f>
        <v/>
      </c>
    </row>
    <row r="1637" customFormat="false" ht="15" hidden="false" customHeight="false" outlineLevel="0" collapsed="false">
      <c r="A1637" s="22"/>
      <c r="B1637" s="9"/>
      <c r="C1637" s="9"/>
      <c r="D1637" s="9"/>
      <c r="E1637" s="9"/>
      <c r="F1637" s="10" t="str">
        <f aca="false">IF($B1637="","",$C1637+$D1637-$E1637)</f>
        <v/>
      </c>
      <c r="G1637" s="10" t="str">
        <f aca="false">IF($B1637="","",IFERROR(INDEX(Drinks!$C$4:$C$53,MATCH($B1637,Drinks!$A$4:$A$53,0)),0))</f>
        <v/>
      </c>
      <c r="H1637" s="10" t="str">
        <f aca="false">IF($B1637="","",$D1637*$G1637)</f>
        <v/>
      </c>
      <c r="I1637" s="10" t="str">
        <f aca="false">IF($B1637="","",$F1637*$G1637)</f>
        <v/>
      </c>
      <c r="J1637" s="9"/>
      <c r="K1637" s="10" t="str">
        <f aca="false">IF($B1637="","",$E1637*IFERROR(INDEX(Drinks!$B$4:$B$53,MATCH($B1637,Drinks!$A$4:$A$53,0)),0))</f>
        <v/>
      </c>
      <c r="L1637" s="10" t="str">
        <f aca="false">IF($B1637="","",$J1637+$K1637)</f>
        <v/>
      </c>
      <c r="M1637" s="9"/>
      <c r="N1637" s="10" t="str">
        <f aca="false">IF($B1637="","",$L1637-$M1637)</f>
        <v/>
      </c>
      <c r="O1637" s="10" t="str">
        <f aca="false">IF($B1637="","",IFERROR(INDEX(Drinks!$E$4:$E$53,MATCH($B1637,Drinks!$A$4:$A$53,0)),0))</f>
        <v/>
      </c>
      <c r="P1637" s="10" t="str">
        <f aca="false">IF($B1637="","",$N1637*$O1637)</f>
        <v/>
      </c>
      <c r="Q1637" s="10" t="str">
        <f aca="false">IF($B1637="","",$N1637*IFERROR(INDEX(Drinks!$D$4:$D$53,MATCH($B1637,Drinks!$A$4:$A$53,0)),0))</f>
        <v/>
      </c>
      <c r="R1637" s="10" t="str">
        <f aca="false">IF($B1637="","",$P1637-$Q1637)</f>
        <v/>
      </c>
      <c r="S1637" s="23" t="str">
        <f aca="false">IF($B1637="","",IF(COUNTIFS($A$4:$A$2003,$A1637-1,$B$4:$B$2003,$B1637)=0,"first day",IF(SUMIFS($M$4:$M$2003,$A$4:$A$2003,$A1637-1,$B$4:$B$2003,$B1637)=$J1637,"OK","CHECK")))</f>
        <v/>
      </c>
      <c r="T1637" s="10" t="str">
        <f aca="false">IF($B1637="","",IFERROR(INDEX(Drinks!$D$4:$D$53,MATCH($B1637,Drinks!$A$4:$A$53,0)),0))</f>
        <v/>
      </c>
    </row>
    <row r="1638" customFormat="false" ht="15" hidden="false" customHeight="false" outlineLevel="0" collapsed="false">
      <c r="A1638" s="22"/>
      <c r="B1638" s="9"/>
      <c r="C1638" s="9"/>
      <c r="D1638" s="9"/>
      <c r="E1638" s="9"/>
      <c r="F1638" s="10" t="str">
        <f aca="false">IF($B1638="","",$C1638+$D1638-$E1638)</f>
        <v/>
      </c>
      <c r="G1638" s="10" t="str">
        <f aca="false">IF($B1638="","",IFERROR(INDEX(Drinks!$C$4:$C$53,MATCH($B1638,Drinks!$A$4:$A$53,0)),0))</f>
        <v/>
      </c>
      <c r="H1638" s="10" t="str">
        <f aca="false">IF($B1638="","",$D1638*$G1638)</f>
        <v/>
      </c>
      <c r="I1638" s="10" t="str">
        <f aca="false">IF($B1638="","",$F1638*$G1638)</f>
        <v/>
      </c>
      <c r="J1638" s="9"/>
      <c r="K1638" s="10" t="str">
        <f aca="false">IF($B1638="","",$E1638*IFERROR(INDEX(Drinks!$B$4:$B$53,MATCH($B1638,Drinks!$A$4:$A$53,0)),0))</f>
        <v/>
      </c>
      <c r="L1638" s="10" t="str">
        <f aca="false">IF($B1638="","",$J1638+$K1638)</f>
        <v/>
      </c>
      <c r="M1638" s="9"/>
      <c r="N1638" s="10" t="str">
        <f aca="false">IF($B1638="","",$L1638-$M1638)</f>
        <v/>
      </c>
      <c r="O1638" s="10" t="str">
        <f aca="false">IF($B1638="","",IFERROR(INDEX(Drinks!$E$4:$E$53,MATCH($B1638,Drinks!$A$4:$A$53,0)),0))</f>
        <v/>
      </c>
      <c r="P1638" s="10" t="str">
        <f aca="false">IF($B1638="","",$N1638*$O1638)</f>
        <v/>
      </c>
      <c r="Q1638" s="10" t="str">
        <f aca="false">IF($B1638="","",$N1638*IFERROR(INDEX(Drinks!$D$4:$D$53,MATCH($B1638,Drinks!$A$4:$A$53,0)),0))</f>
        <v/>
      </c>
      <c r="R1638" s="10" t="str">
        <f aca="false">IF($B1638="","",$P1638-$Q1638)</f>
        <v/>
      </c>
      <c r="S1638" s="23" t="str">
        <f aca="false">IF($B1638="","",IF(COUNTIFS($A$4:$A$2003,$A1638-1,$B$4:$B$2003,$B1638)=0,"first day",IF(SUMIFS($M$4:$M$2003,$A$4:$A$2003,$A1638-1,$B$4:$B$2003,$B1638)=$J1638,"OK","CHECK")))</f>
        <v/>
      </c>
      <c r="T1638" s="10" t="str">
        <f aca="false">IF($B1638="","",IFERROR(INDEX(Drinks!$D$4:$D$53,MATCH($B1638,Drinks!$A$4:$A$53,0)),0))</f>
        <v/>
      </c>
    </row>
    <row r="1639" customFormat="false" ht="15" hidden="false" customHeight="false" outlineLevel="0" collapsed="false">
      <c r="A1639" s="22"/>
      <c r="B1639" s="9"/>
      <c r="C1639" s="9"/>
      <c r="D1639" s="9"/>
      <c r="E1639" s="9"/>
      <c r="F1639" s="10" t="str">
        <f aca="false">IF($B1639="","",$C1639+$D1639-$E1639)</f>
        <v/>
      </c>
      <c r="G1639" s="10" t="str">
        <f aca="false">IF($B1639="","",IFERROR(INDEX(Drinks!$C$4:$C$53,MATCH($B1639,Drinks!$A$4:$A$53,0)),0))</f>
        <v/>
      </c>
      <c r="H1639" s="10" t="str">
        <f aca="false">IF($B1639="","",$D1639*$G1639)</f>
        <v/>
      </c>
      <c r="I1639" s="10" t="str">
        <f aca="false">IF($B1639="","",$F1639*$G1639)</f>
        <v/>
      </c>
      <c r="J1639" s="9"/>
      <c r="K1639" s="10" t="str">
        <f aca="false">IF($B1639="","",$E1639*IFERROR(INDEX(Drinks!$B$4:$B$53,MATCH($B1639,Drinks!$A$4:$A$53,0)),0))</f>
        <v/>
      </c>
      <c r="L1639" s="10" t="str">
        <f aca="false">IF($B1639="","",$J1639+$K1639)</f>
        <v/>
      </c>
      <c r="M1639" s="9"/>
      <c r="N1639" s="10" t="str">
        <f aca="false">IF($B1639="","",$L1639-$M1639)</f>
        <v/>
      </c>
      <c r="O1639" s="10" t="str">
        <f aca="false">IF($B1639="","",IFERROR(INDEX(Drinks!$E$4:$E$53,MATCH($B1639,Drinks!$A$4:$A$53,0)),0))</f>
        <v/>
      </c>
      <c r="P1639" s="10" t="str">
        <f aca="false">IF($B1639="","",$N1639*$O1639)</f>
        <v/>
      </c>
      <c r="Q1639" s="10" t="str">
        <f aca="false">IF($B1639="","",$N1639*IFERROR(INDEX(Drinks!$D$4:$D$53,MATCH($B1639,Drinks!$A$4:$A$53,0)),0))</f>
        <v/>
      </c>
      <c r="R1639" s="10" t="str">
        <f aca="false">IF($B1639="","",$P1639-$Q1639)</f>
        <v/>
      </c>
      <c r="S1639" s="23" t="str">
        <f aca="false">IF($B1639="","",IF(COUNTIFS($A$4:$A$2003,$A1639-1,$B$4:$B$2003,$B1639)=0,"first day",IF(SUMIFS($M$4:$M$2003,$A$4:$A$2003,$A1639-1,$B$4:$B$2003,$B1639)=$J1639,"OK","CHECK")))</f>
        <v/>
      </c>
      <c r="T1639" s="10" t="str">
        <f aca="false">IF($B1639="","",IFERROR(INDEX(Drinks!$D$4:$D$53,MATCH($B1639,Drinks!$A$4:$A$53,0)),0))</f>
        <v/>
      </c>
    </row>
    <row r="1640" customFormat="false" ht="15" hidden="false" customHeight="false" outlineLevel="0" collapsed="false">
      <c r="A1640" s="22"/>
      <c r="B1640" s="9"/>
      <c r="C1640" s="9"/>
      <c r="D1640" s="9"/>
      <c r="E1640" s="9"/>
      <c r="F1640" s="10" t="str">
        <f aca="false">IF($B1640="","",$C1640+$D1640-$E1640)</f>
        <v/>
      </c>
      <c r="G1640" s="10" t="str">
        <f aca="false">IF($B1640="","",IFERROR(INDEX(Drinks!$C$4:$C$53,MATCH($B1640,Drinks!$A$4:$A$53,0)),0))</f>
        <v/>
      </c>
      <c r="H1640" s="10" t="str">
        <f aca="false">IF($B1640="","",$D1640*$G1640)</f>
        <v/>
      </c>
      <c r="I1640" s="10" t="str">
        <f aca="false">IF($B1640="","",$F1640*$G1640)</f>
        <v/>
      </c>
      <c r="J1640" s="9"/>
      <c r="K1640" s="10" t="str">
        <f aca="false">IF($B1640="","",$E1640*IFERROR(INDEX(Drinks!$B$4:$B$53,MATCH($B1640,Drinks!$A$4:$A$53,0)),0))</f>
        <v/>
      </c>
      <c r="L1640" s="10" t="str">
        <f aca="false">IF($B1640="","",$J1640+$K1640)</f>
        <v/>
      </c>
      <c r="M1640" s="9"/>
      <c r="N1640" s="10" t="str">
        <f aca="false">IF($B1640="","",$L1640-$M1640)</f>
        <v/>
      </c>
      <c r="O1640" s="10" t="str">
        <f aca="false">IF($B1640="","",IFERROR(INDEX(Drinks!$E$4:$E$53,MATCH($B1640,Drinks!$A$4:$A$53,0)),0))</f>
        <v/>
      </c>
      <c r="P1640" s="10" t="str">
        <f aca="false">IF($B1640="","",$N1640*$O1640)</f>
        <v/>
      </c>
      <c r="Q1640" s="10" t="str">
        <f aca="false">IF($B1640="","",$N1640*IFERROR(INDEX(Drinks!$D$4:$D$53,MATCH($B1640,Drinks!$A$4:$A$53,0)),0))</f>
        <v/>
      </c>
      <c r="R1640" s="10" t="str">
        <f aca="false">IF($B1640="","",$P1640-$Q1640)</f>
        <v/>
      </c>
      <c r="S1640" s="23" t="str">
        <f aca="false">IF($B1640="","",IF(COUNTIFS($A$4:$A$2003,$A1640-1,$B$4:$B$2003,$B1640)=0,"first day",IF(SUMIFS($M$4:$M$2003,$A$4:$A$2003,$A1640-1,$B$4:$B$2003,$B1640)=$J1640,"OK","CHECK")))</f>
        <v/>
      </c>
      <c r="T1640" s="10" t="str">
        <f aca="false">IF($B1640="","",IFERROR(INDEX(Drinks!$D$4:$D$53,MATCH($B1640,Drinks!$A$4:$A$53,0)),0))</f>
        <v/>
      </c>
    </row>
    <row r="1641" customFormat="false" ht="15" hidden="false" customHeight="false" outlineLevel="0" collapsed="false">
      <c r="A1641" s="22"/>
      <c r="B1641" s="9"/>
      <c r="C1641" s="9"/>
      <c r="D1641" s="9"/>
      <c r="E1641" s="9"/>
      <c r="F1641" s="10" t="str">
        <f aca="false">IF($B1641="","",$C1641+$D1641-$E1641)</f>
        <v/>
      </c>
      <c r="G1641" s="10" t="str">
        <f aca="false">IF($B1641="","",IFERROR(INDEX(Drinks!$C$4:$C$53,MATCH($B1641,Drinks!$A$4:$A$53,0)),0))</f>
        <v/>
      </c>
      <c r="H1641" s="10" t="str">
        <f aca="false">IF($B1641="","",$D1641*$G1641)</f>
        <v/>
      </c>
      <c r="I1641" s="10" t="str">
        <f aca="false">IF($B1641="","",$F1641*$G1641)</f>
        <v/>
      </c>
      <c r="J1641" s="9"/>
      <c r="K1641" s="10" t="str">
        <f aca="false">IF($B1641="","",$E1641*IFERROR(INDEX(Drinks!$B$4:$B$53,MATCH($B1641,Drinks!$A$4:$A$53,0)),0))</f>
        <v/>
      </c>
      <c r="L1641" s="10" t="str">
        <f aca="false">IF($B1641="","",$J1641+$K1641)</f>
        <v/>
      </c>
      <c r="M1641" s="9"/>
      <c r="N1641" s="10" t="str">
        <f aca="false">IF($B1641="","",$L1641-$M1641)</f>
        <v/>
      </c>
      <c r="O1641" s="10" t="str">
        <f aca="false">IF($B1641="","",IFERROR(INDEX(Drinks!$E$4:$E$53,MATCH($B1641,Drinks!$A$4:$A$53,0)),0))</f>
        <v/>
      </c>
      <c r="P1641" s="10" t="str">
        <f aca="false">IF($B1641="","",$N1641*$O1641)</f>
        <v/>
      </c>
      <c r="Q1641" s="10" t="str">
        <f aca="false">IF($B1641="","",$N1641*IFERROR(INDEX(Drinks!$D$4:$D$53,MATCH($B1641,Drinks!$A$4:$A$53,0)),0))</f>
        <v/>
      </c>
      <c r="R1641" s="10" t="str">
        <f aca="false">IF($B1641="","",$P1641-$Q1641)</f>
        <v/>
      </c>
      <c r="S1641" s="23" t="str">
        <f aca="false">IF($B1641="","",IF(COUNTIFS($A$4:$A$2003,$A1641-1,$B$4:$B$2003,$B1641)=0,"first day",IF(SUMIFS($M$4:$M$2003,$A$4:$A$2003,$A1641-1,$B$4:$B$2003,$B1641)=$J1641,"OK","CHECK")))</f>
        <v/>
      </c>
      <c r="T1641" s="10" t="str">
        <f aca="false">IF($B1641="","",IFERROR(INDEX(Drinks!$D$4:$D$53,MATCH($B1641,Drinks!$A$4:$A$53,0)),0))</f>
        <v/>
      </c>
    </row>
    <row r="1642" customFormat="false" ht="15" hidden="false" customHeight="false" outlineLevel="0" collapsed="false">
      <c r="A1642" s="22"/>
      <c r="B1642" s="9"/>
      <c r="C1642" s="9"/>
      <c r="D1642" s="9"/>
      <c r="E1642" s="9"/>
      <c r="F1642" s="10" t="str">
        <f aca="false">IF($B1642="","",$C1642+$D1642-$E1642)</f>
        <v/>
      </c>
      <c r="G1642" s="10" t="str">
        <f aca="false">IF($B1642="","",IFERROR(INDEX(Drinks!$C$4:$C$53,MATCH($B1642,Drinks!$A$4:$A$53,0)),0))</f>
        <v/>
      </c>
      <c r="H1642" s="10" t="str">
        <f aca="false">IF($B1642="","",$D1642*$G1642)</f>
        <v/>
      </c>
      <c r="I1642" s="10" t="str">
        <f aca="false">IF($B1642="","",$F1642*$G1642)</f>
        <v/>
      </c>
      <c r="J1642" s="9"/>
      <c r="K1642" s="10" t="str">
        <f aca="false">IF($B1642="","",$E1642*IFERROR(INDEX(Drinks!$B$4:$B$53,MATCH($B1642,Drinks!$A$4:$A$53,0)),0))</f>
        <v/>
      </c>
      <c r="L1642" s="10" t="str">
        <f aca="false">IF($B1642="","",$J1642+$K1642)</f>
        <v/>
      </c>
      <c r="M1642" s="9"/>
      <c r="N1642" s="10" t="str">
        <f aca="false">IF($B1642="","",$L1642-$M1642)</f>
        <v/>
      </c>
      <c r="O1642" s="10" t="str">
        <f aca="false">IF($B1642="","",IFERROR(INDEX(Drinks!$E$4:$E$53,MATCH($B1642,Drinks!$A$4:$A$53,0)),0))</f>
        <v/>
      </c>
      <c r="P1642" s="10" t="str">
        <f aca="false">IF($B1642="","",$N1642*$O1642)</f>
        <v/>
      </c>
      <c r="Q1642" s="10" t="str">
        <f aca="false">IF($B1642="","",$N1642*IFERROR(INDEX(Drinks!$D$4:$D$53,MATCH($B1642,Drinks!$A$4:$A$53,0)),0))</f>
        <v/>
      </c>
      <c r="R1642" s="10" t="str">
        <f aca="false">IF($B1642="","",$P1642-$Q1642)</f>
        <v/>
      </c>
      <c r="S1642" s="23" t="str">
        <f aca="false">IF($B1642="","",IF(COUNTIFS($A$4:$A$2003,$A1642-1,$B$4:$B$2003,$B1642)=0,"first day",IF(SUMIFS($M$4:$M$2003,$A$4:$A$2003,$A1642-1,$B$4:$B$2003,$B1642)=$J1642,"OK","CHECK")))</f>
        <v/>
      </c>
      <c r="T1642" s="10" t="str">
        <f aca="false">IF($B1642="","",IFERROR(INDEX(Drinks!$D$4:$D$53,MATCH($B1642,Drinks!$A$4:$A$53,0)),0))</f>
        <v/>
      </c>
    </row>
    <row r="1643" customFormat="false" ht="15" hidden="false" customHeight="false" outlineLevel="0" collapsed="false">
      <c r="A1643" s="22"/>
      <c r="B1643" s="9"/>
      <c r="C1643" s="9"/>
      <c r="D1643" s="9"/>
      <c r="E1643" s="9"/>
      <c r="F1643" s="10" t="str">
        <f aca="false">IF($B1643="","",$C1643+$D1643-$E1643)</f>
        <v/>
      </c>
      <c r="G1643" s="10" t="str">
        <f aca="false">IF($B1643="","",IFERROR(INDEX(Drinks!$C$4:$C$53,MATCH($B1643,Drinks!$A$4:$A$53,0)),0))</f>
        <v/>
      </c>
      <c r="H1643" s="10" t="str">
        <f aca="false">IF($B1643="","",$D1643*$G1643)</f>
        <v/>
      </c>
      <c r="I1643" s="10" t="str">
        <f aca="false">IF($B1643="","",$F1643*$G1643)</f>
        <v/>
      </c>
      <c r="J1643" s="9"/>
      <c r="K1643" s="10" t="str">
        <f aca="false">IF($B1643="","",$E1643*IFERROR(INDEX(Drinks!$B$4:$B$53,MATCH($B1643,Drinks!$A$4:$A$53,0)),0))</f>
        <v/>
      </c>
      <c r="L1643" s="10" t="str">
        <f aca="false">IF($B1643="","",$J1643+$K1643)</f>
        <v/>
      </c>
      <c r="M1643" s="9"/>
      <c r="N1643" s="10" t="str">
        <f aca="false">IF($B1643="","",$L1643-$M1643)</f>
        <v/>
      </c>
      <c r="O1643" s="10" t="str">
        <f aca="false">IF($B1643="","",IFERROR(INDEX(Drinks!$E$4:$E$53,MATCH($B1643,Drinks!$A$4:$A$53,0)),0))</f>
        <v/>
      </c>
      <c r="P1643" s="10" t="str">
        <f aca="false">IF($B1643="","",$N1643*$O1643)</f>
        <v/>
      </c>
      <c r="Q1643" s="10" t="str">
        <f aca="false">IF($B1643="","",$N1643*IFERROR(INDEX(Drinks!$D$4:$D$53,MATCH($B1643,Drinks!$A$4:$A$53,0)),0))</f>
        <v/>
      </c>
      <c r="R1643" s="10" t="str">
        <f aca="false">IF($B1643="","",$P1643-$Q1643)</f>
        <v/>
      </c>
      <c r="S1643" s="23" t="str">
        <f aca="false">IF($B1643="","",IF(COUNTIFS($A$4:$A$2003,$A1643-1,$B$4:$B$2003,$B1643)=0,"first day",IF(SUMIFS($M$4:$M$2003,$A$4:$A$2003,$A1643-1,$B$4:$B$2003,$B1643)=$J1643,"OK","CHECK")))</f>
        <v/>
      </c>
      <c r="T1643" s="10" t="str">
        <f aca="false">IF($B1643="","",IFERROR(INDEX(Drinks!$D$4:$D$53,MATCH($B1643,Drinks!$A$4:$A$53,0)),0))</f>
        <v/>
      </c>
    </row>
    <row r="1644" customFormat="false" ht="15" hidden="false" customHeight="false" outlineLevel="0" collapsed="false">
      <c r="A1644" s="22"/>
      <c r="B1644" s="9"/>
      <c r="C1644" s="9"/>
      <c r="D1644" s="9"/>
      <c r="E1644" s="9"/>
      <c r="F1644" s="10" t="str">
        <f aca="false">IF($B1644="","",$C1644+$D1644-$E1644)</f>
        <v/>
      </c>
      <c r="G1644" s="10" t="str">
        <f aca="false">IF($B1644="","",IFERROR(INDEX(Drinks!$C$4:$C$53,MATCH($B1644,Drinks!$A$4:$A$53,0)),0))</f>
        <v/>
      </c>
      <c r="H1644" s="10" t="str">
        <f aca="false">IF($B1644="","",$D1644*$G1644)</f>
        <v/>
      </c>
      <c r="I1644" s="10" t="str">
        <f aca="false">IF($B1644="","",$F1644*$G1644)</f>
        <v/>
      </c>
      <c r="J1644" s="9"/>
      <c r="K1644" s="10" t="str">
        <f aca="false">IF($B1644="","",$E1644*IFERROR(INDEX(Drinks!$B$4:$B$53,MATCH($B1644,Drinks!$A$4:$A$53,0)),0))</f>
        <v/>
      </c>
      <c r="L1644" s="10" t="str">
        <f aca="false">IF($B1644="","",$J1644+$K1644)</f>
        <v/>
      </c>
      <c r="M1644" s="9"/>
      <c r="N1644" s="10" t="str">
        <f aca="false">IF($B1644="","",$L1644-$M1644)</f>
        <v/>
      </c>
      <c r="O1644" s="10" t="str">
        <f aca="false">IF($B1644="","",IFERROR(INDEX(Drinks!$E$4:$E$53,MATCH($B1644,Drinks!$A$4:$A$53,0)),0))</f>
        <v/>
      </c>
      <c r="P1644" s="10" t="str">
        <f aca="false">IF($B1644="","",$N1644*$O1644)</f>
        <v/>
      </c>
      <c r="Q1644" s="10" t="str">
        <f aca="false">IF($B1644="","",$N1644*IFERROR(INDEX(Drinks!$D$4:$D$53,MATCH($B1644,Drinks!$A$4:$A$53,0)),0))</f>
        <v/>
      </c>
      <c r="R1644" s="10" t="str">
        <f aca="false">IF($B1644="","",$P1644-$Q1644)</f>
        <v/>
      </c>
      <c r="S1644" s="23" t="str">
        <f aca="false">IF($B1644="","",IF(COUNTIFS($A$4:$A$2003,$A1644-1,$B$4:$B$2003,$B1644)=0,"first day",IF(SUMIFS($M$4:$M$2003,$A$4:$A$2003,$A1644-1,$B$4:$B$2003,$B1644)=$J1644,"OK","CHECK")))</f>
        <v/>
      </c>
      <c r="T1644" s="10" t="str">
        <f aca="false">IF($B1644="","",IFERROR(INDEX(Drinks!$D$4:$D$53,MATCH($B1644,Drinks!$A$4:$A$53,0)),0))</f>
        <v/>
      </c>
    </row>
    <row r="1645" customFormat="false" ht="15" hidden="false" customHeight="false" outlineLevel="0" collapsed="false">
      <c r="A1645" s="22"/>
      <c r="B1645" s="9"/>
      <c r="C1645" s="9"/>
      <c r="D1645" s="9"/>
      <c r="E1645" s="9"/>
      <c r="F1645" s="10" t="str">
        <f aca="false">IF($B1645="","",$C1645+$D1645-$E1645)</f>
        <v/>
      </c>
      <c r="G1645" s="10" t="str">
        <f aca="false">IF($B1645="","",IFERROR(INDEX(Drinks!$C$4:$C$53,MATCH($B1645,Drinks!$A$4:$A$53,0)),0))</f>
        <v/>
      </c>
      <c r="H1645" s="10" t="str">
        <f aca="false">IF($B1645="","",$D1645*$G1645)</f>
        <v/>
      </c>
      <c r="I1645" s="10" t="str">
        <f aca="false">IF($B1645="","",$F1645*$G1645)</f>
        <v/>
      </c>
      <c r="J1645" s="9"/>
      <c r="K1645" s="10" t="str">
        <f aca="false">IF($B1645="","",$E1645*IFERROR(INDEX(Drinks!$B$4:$B$53,MATCH($B1645,Drinks!$A$4:$A$53,0)),0))</f>
        <v/>
      </c>
      <c r="L1645" s="10" t="str">
        <f aca="false">IF($B1645="","",$J1645+$K1645)</f>
        <v/>
      </c>
      <c r="M1645" s="9"/>
      <c r="N1645" s="10" t="str">
        <f aca="false">IF($B1645="","",$L1645-$M1645)</f>
        <v/>
      </c>
      <c r="O1645" s="10" t="str">
        <f aca="false">IF($B1645="","",IFERROR(INDEX(Drinks!$E$4:$E$53,MATCH($B1645,Drinks!$A$4:$A$53,0)),0))</f>
        <v/>
      </c>
      <c r="P1645" s="10" t="str">
        <f aca="false">IF($B1645="","",$N1645*$O1645)</f>
        <v/>
      </c>
      <c r="Q1645" s="10" t="str">
        <f aca="false">IF($B1645="","",$N1645*IFERROR(INDEX(Drinks!$D$4:$D$53,MATCH($B1645,Drinks!$A$4:$A$53,0)),0))</f>
        <v/>
      </c>
      <c r="R1645" s="10" t="str">
        <f aca="false">IF($B1645="","",$P1645-$Q1645)</f>
        <v/>
      </c>
      <c r="S1645" s="23" t="str">
        <f aca="false">IF($B1645="","",IF(COUNTIFS($A$4:$A$2003,$A1645-1,$B$4:$B$2003,$B1645)=0,"first day",IF(SUMIFS($M$4:$M$2003,$A$4:$A$2003,$A1645-1,$B$4:$B$2003,$B1645)=$J1645,"OK","CHECK")))</f>
        <v/>
      </c>
      <c r="T1645" s="10" t="str">
        <f aca="false">IF($B1645="","",IFERROR(INDEX(Drinks!$D$4:$D$53,MATCH($B1645,Drinks!$A$4:$A$53,0)),0))</f>
        <v/>
      </c>
    </row>
    <row r="1646" customFormat="false" ht="15" hidden="false" customHeight="false" outlineLevel="0" collapsed="false">
      <c r="A1646" s="22"/>
      <c r="B1646" s="9"/>
      <c r="C1646" s="9"/>
      <c r="D1646" s="9"/>
      <c r="E1646" s="9"/>
      <c r="F1646" s="10" t="str">
        <f aca="false">IF($B1646="","",$C1646+$D1646-$E1646)</f>
        <v/>
      </c>
      <c r="G1646" s="10" t="str">
        <f aca="false">IF($B1646="","",IFERROR(INDEX(Drinks!$C$4:$C$53,MATCH($B1646,Drinks!$A$4:$A$53,0)),0))</f>
        <v/>
      </c>
      <c r="H1646" s="10" t="str">
        <f aca="false">IF($B1646="","",$D1646*$G1646)</f>
        <v/>
      </c>
      <c r="I1646" s="10" t="str">
        <f aca="false">IF($B1646="","",$F1646*$G1646)</f>
        <v/>
      </c>
      <c r="J1646" s="9"/>
      <c r="K1646" s="10" t="str">
        <f aca="false">IF($B1646="","",$E1646*IFERROR(INDEX(Drinks!$B$4:$B$53,MATCH($B1646,Drinks!$A$4:$A$53,0)),0))</f>
        <v/>
      </c>
      <c r="L1646" s="10" t="str">
        <f aca="false">IF($B1646="","",$J1646+$K1646)</f>
        <v/>
      </c>
      <c r="M1646" s="9"/>
      <c r="N1646" s="10" t="str">
        <f aca="false">IF($B1646="","",$L1646-$M1646)</f>
        <v/>
      </c>
      <c r="O1646" s="10" t="str">
        <f aca="false">IF($B1646="","",IFERROR(INDEX(Drinks!$E$4:$E$53,MATCH($B1646,Drinks!$A$4:$A$53,0)),0))</f>
        <v/>
      </c>
      <c r="P1646" s="10" t="str">
        <f aca="false">IF($B1646="","",$N1646*$O1646)</f>
        <v/>
      </c>
      <c r="Q1646" s="10" t="str">
        <f aca="false">IF($B1646="","",$N1646*IFERROR(INDEX(Drinks!$D$4:$D$53,MATCH($B1646,Drinks!$A$4:$A$53,0)),0))</f>
        <v/>
      </c>
      <c r="R1646" s="10" t="str">
        <f aca="false">IF($B1646="","",$P1646-$Q1646)</f>
        <v/>
      </c>
      <c r="S1646" s="23" t="str">
        <f aca="false">IF($B1646="","",IF(COUNTIFS($A$4:$A$2003,$A1646-1,$B$4:$B$2003,$B1646)=0,"first day",IF(SUMIFS($M$4:$M$2003,$A$4:$A$2003,$A1646-1,$B$4:$B$2003,$B1646)=$J1646,"OK","CHECK")))</f>
        <v/>
      </c>
      <c r="T1646" s="10" t="str">
        <f aca="false">IF($B1646="","",IFERROR(INDEX(Drinks!$D$4:$D$53,MATCH($B1646,Drinks!$A$4:$A$53,0)),0))</f>
        <v/>
      </c>
    </row>
    <row r="1647" customFormat="false" ht="15" hidden="false" customHeight="false" outlineLevel="0" collapsed="false">
      <c r="A1647" s="22"/>
      <c r="B1647" s="9"/>
      <c r="C1647" s="9"/>
      <c r="D1647" s="9"/>
      <c r="E1647" s="9"/>
      <c r="F1647" s="10" t="str">
        <f aca="false">IF($B1647="","",$C1647+$D1647-$E1647)</f>
        <v/>
      </c>
      <c r="G1647" s="10" t="str">
        <f aca="false">IF($B1647="","",IFERROR(INDEX(Drinks!$C$4:$C$53,MATCH($B1647,Drinks!$A$4:$A$53,0)),0))</f>
        <v/>
      </c>
      <c r="H1647" s="10" t="str">
        <f aca="false">IF($B1647="","",$D1647*$G1647)</f>
        <v/>
      </c>
      <c r="I1647" s="10" t="str">
        <f aca="false">IF($B1647="","",$F1647*$G1647)</f>
        <v/>
      </c>
      <c r="J1647" s="9"/>
      <c r="K1647" s="10" t="str">
        <f aca="false">IF($B1647="","",$E1647*IFERROR(INDEX(Drinks!$B$4:$B$53,MATCH($B1647,Drinks!$A$4:$A$53,0)),0))</f>
        <v/>
      </c>
      <c r="L1647" s="10" t="str">
        <f aca="false">IF($B1647="","",$J1647+$K1647)</f>
        <v/>
      </c>
      <c r="M1647" s="9"/>
      <c r="N1647" s="10" t="str">
        <f aca="false">IF($B1647="","",$L1647-$M1647)</f>
        <v/>
      </c>
      <c r="O1647" s="10" t="str">
        <f aca="false">IF($B1647="","",IFERROR(INDEX(Drinks!$E$4:$E$53,MATCH($B1647,Drinks!$A$4:$A$53,0)),0))</f>
        <v/>
      </c>
      <c r="P1647" s="10" t="str">
        <f aca="false">IF($B1647="","",$N1647*$O1647)</f>
        <v/>
      </c>
      <c r="Q1647" s="10" t="str">
        <f aca="false">IF($B1647="","",$N1647*IFERROR(INDEX(Drinks!$D$4:$D$53,MATCH($B1647,Drinks!$A$4:$A$53,0)),0))</f>
        <v/>
      </c>
      <c r="R1647" s="10" t="str">
        <f aca="false">IF($B1647="","",$P1647-$Q1647)</f>
        <v/>
      </c>
      <c r="S1647" s="23" t="str">
        <f aca="false">IF($B1647="","",IF(COUNTIFS($A$4:$A$2003,$A1647-1,$B$4:$B$2003,$B1647)=0,"first day",IF(SUMIFS($M$4:$M$2003,$A$4:$A$2003,$A1647-1,$B$4:$B$2003,$B1647)=$J1647,"OK","CHECK")))</f>
        <v/>
      </c>
      <c r="T1647" s="10" t="str">
        <f aca="false">IF($B1647="","",IFERROR(INDEX(Drinks!$D$4:$D$53,MATCH($B1647,Drinks!$A$4:$A$53,0)),0))</f>
        <v/>
      </c>
    </row>
    <row r="1648" customFormat="false" ht="15" hidden="false" customHeight="false" outlineLevel="0" collapsed="false">
      <c r="A1648" s="22"/>
      <c r="B1648" s="9"/>
      <c r="C1648" s="9"/>
      <c r="D1648" s="9"/>
      <c r="E1648" s="9"/>
      <c r="F1648" s="10" t="str">
        <f aca="false">IF($B1648="","",$C1648+$D1648-$E1648)</f>
        <v/>
      </c>
      <c r="G1648" s="10" t="str">
        <f aca="false">IF($B1648="","",IFERROR(INDEX(Drinks!$C$4:$C$53,MATCH($B1648,Drinks!$A$4:$A$53,0)),0))</f>
        <v/>
      </c>
      <c r="H1648" s="10" t="str">
        <f aca="false">IF($B1648="","",$D1648*$G1648)</f>
        <v/>
      </c>
      <c r="I1648" s="10" t="str">
        <f aca="false">IF($B1648="","",$F1648*$G1648)</f>
        <v/>
      </c>
      <c r="J1648" s="9"/>
      <c r="K1648" s="10" t="str">
        <f aca="false">IF($B1648="","",$E1648*IFERROR(INDEX(Drinks!$B$4:$B$53,MATCH($B1648,Drinks!$A$4:$A$53,0)),0))</f>
        <v/>
      </c>
      <c r="L1648" s="10" t="str">
        <f aca="false">IF($B1648="","",$J1648+$K1648)</f>
        <v/>
      </c>
      <c r="M1648" s="9"/>
      <c r="N1648" s="10" t="str">
        <f aca="false">IF($B1648="","",$L1648-$M1648)</f>
        <v/>
      </c>
      <c r="O1648" s="10" t="str">
        <f aca="false">IF($B1648="","",IFERROR(INDEX(Drinks!$E$4:$E$53,MATCH($B1648,Drinks!$A$4:$A$53,0)),0))</f>
        <v/>
      </c>
      <c r="P1648" s="10" t="str">
        <f aca="false">IF($B1648="","",$N1648*$O1648)</f>
        <v/>
      </c>
      <c r="Q1648" s="10" t="str">
        <f aca="false">IF($B1648="","",$N1648*IFERROR(INDEX(Drinks!$D$4:$D$53,MATCH($B1648,Drinks!$A$4:$A$53,0)),0))</f>
        <v/>
      </c>
      <c r="R1648" s="10" t="str">
        <f aca="false">IF($B1648="","",$P1648-$Q1648)</f>
        <v/>
      </c>
      <c r="S1648" s="23" t="str">
        <f aca="false">IF($B1648="","",IF(COUNTIFS($A$4:$A$2003,$A1648-1,$B$4:$B$2003,$B1648)=0,"first day",IF(SUMIFS($M$4:$M$2003,$A$4:$A$2003,$A1648-1,$B$4:$B$2003,$B1648)=$J1648,"OK","CHECK")))</f>
        <v/>
      </c>
      <c r="T1648" s="10" t="str">
        <f aca="false">IF($B1648="","",IFERROR(INDEX(Drinks!$D$4:$D$53,MATCH($B1648,Drinks!$A$4:$A$53,0)),0))</f>
        <v/>
      </c>
    </row>
    <row r="1649" customFormat="false" ht="15" hidden="false" customHeight="false" outlineLevel="0" collapsed="false">
      <c r="A1649" s="22"/>
      <c r="B1649" s="9"/>
      <c r="C1649" s="9"/>
      <c r="D1649" s="9"/>
      <c r="E1649" s="9"/>
      <c r="F1649" s="10" t="str">
        <f aca="false">IF($B1649="","",$C1649+$D1649-$E1649)</f>
        <v/>
      </c>
      <c r="G1649" s="10" t="str">
        <f aca="false">IF($B1649="","",IFERROR(INDEX(Drinks!$C$4:$C$53,MATCH($B1649,Drinks!$A$4:$A$53,0)),0))</f>
        <v/>
      </c>
      <c r="H1649" s="10" t="str">
        <f aca="false">IF($B1649="","",$D1649*$G1649)</f>
        <v/>
      </c>
      <c r="I1649" s="10" t="str">
        <f aca="false">IF($B1649="","",$F1649*$G1649)</f>
        <v/>
      </c>
      <c r="J1649" s="9"/>
      <c r="K1649" s="10" t="str">
        <f aca="false">IF($B1649="","",$E1649*IFERROR(INDEX(Drinks!$B$4:$B$53,MATCH($B1649,Drinks!$A$4:$A$53,0)),0))</f>
        <v/>
      </c>
      <c r="L1649" s="10" t="str">
        <f aca="false">IF($B1649="","",$J1649+$K1649)</f>
        <v/>
      </c>
      <c r="M1649" s="9"/>
      <c r="N1649" s="10" t="str">
        <f aca="false">IF($B1649="","",$L1649-$M1649)</f>
        <v/>
      </c>
      <c r="O1649" s="10" t="str">
        <f aca="false">IF($B1649="","",IFERROR(INDEX(Drinks!$E$4:$E$53,MATCH($B1649,Drinks!$A$4:$A$53,0)),0))</f>
        <v/>
      </c>
      <c r="P1649" s="10" t="str">
        <f aca="false">IF($B1649="","",$N1649*$O1649)</f>
        <v/>
      </c>
      <c r="Q1649" s="10" t="str">
        <f aca="false">IF($B1649="","",$N1649*IFERROR(INDEX(Drinks!$D$4:$D$53,MATCH($B1649,Drinks!$A$4:$A$53,0)),0))</f>
        <v/>
      </c>
      <c r="R1649" s="10" t="str">
        <f aca="false">IF($B1649="","",$P1649-$Q1649)</f>
        <v/>
      </c>
      <c r="S1649" s="23" t="str">
        <f aca="false">IF($B1649="","",IF(COUNTIFS($A$4:$A$2003,$A1649-1,$B$4:$B$2003,$B1649)=0,"first day",IF(SUMIFS($M$4:$M$2003,$A$4:$A$2003,$A1649-1,$B$4:$B$2003,$B1649)=$J1649,"OK","CHECK")))</f>
        <v/>
      </c>
      <c r="T1649" s="10" t="str">
        <f aca="false">IF($B1649="","",IFERROR(INDEX(Drinks!$D$4:$D$53,MATCH($B1649,Drinks!$A$4:$A$53,0)),0))</f>
        <v/>
      </c>
    </row>
    <row r="1650" customFormat="false" ht="15" hidden="false" customHeight="false" outlineLevel="0" collapsed="false">
      <c r="A1650" s="22"/>
      <c r="B1650" s="9"/>
      <c r="C1650" s="9"/>
      <c r="D1650" s="9"/>
      <c r="E1650" s="9"/>
      <c r="F1650" s="10" t="str">
        <f aca="false">IF($B1650="","",$C1650+$D1650-$E1650)</f>
        <v/>
      </c>
      <c r="G1650" s="10" t="str">
        <f aca="false">IF($B1650="","",IFERROR(INDEX(Drinks!$C$4:$C$53,MATCH($B1650,Drinks!$A$4:$A$53,0)),0))</f>
        <v/>
      </c>
      <c r="H1650" s="10" t="str">
        <f aca="false">IF($B1650="","",$D1650*$G1650)</f>
        <v/>
      </c>
      <c r="I1650" s="10" t="str">
        <f aca="false">IF($B1650="","",$F1650*$G1650)</f>
        <v/>
      </c>
      <c r="J1650" s="9"/>
      <c r="K1650" s="10" t="str">
        <f aca="false">IF($B1650="","",$E1650*IFERROR(INDEX(Drinks!$B$4:$B$53,MATCH($B1650,Drinks!$A$4:$A$53,0)),0))</f>
        <v/>
      </c>
      <c r="L1650" s="10" t="str">
        <f aca="false">IF($B1650="","",$J1650+$K1650)</f>
        <v/>
      </c>
      <c r="M1650" s="9"/>
      <c r="N1650" s="10" t="str">
        <f aca="false">IF($B1650="","",$L1650-$M1650)</f>
        <v/>
      </c>
      <c r="O1650" s="10" t="str">
        <f aca="false">IF($B1650="","",IFERROR(INDEX(Drinks!$E$4:$E$53,MATCH($B1650,Drinks!$A$4:$A$53,0)),0))</f>
        <v/>
      </c>
      <c r="P1650" s="10" t="str">
        <f aca="false">IF($B1650="","",$N1650*$O1650)</f>
        <v/>
      </c>
      <c r="Q1650" s="10" t="str">
        <f aca="false">IF($B1650="","",$N1650*IFERROR(INDEX(Drinks!$D$4:$D$53,MATCH($B1650,Drinks!$A$4:$A$53,0)),0))</f>
        <v/>
      </c>
      <c r="R1650" s="10" t="str">
        <f aca="false">IF($B1650="","",$P1650-$Q1650)</f>
        <v/>
      </c>
      <c r="S1650" s="23" t="str">
        <f aca="false">IF($B1650="","",IF(COUNTIFS($A$4:$A$2003,$A1650-1,$B$4:$B$2003,$B1650)=0,"first day",IF(SUMIFS($M$4:$M$2003,$A$4:$A$2003,$A1650-1,$B$4:$B$2003,$B1650)=$J1650,"OK","CHECK")))</f>
        <v/>
      </c>
      <c r="T1650" s="10" t="str">
        <f aca="false">IF($B1650="","",IFERROR(INDEX(Drinks!$D$4:$D$53,MATCH($B1650,Drinks!$A$4:$A$53,0)),0))</f>
        <v/>
      </c>
    </row>
    <row r="1651" customFormat="false" ht="15" hidden="false" customHeight="false" outlineLevel="0" collapsed="false">
      <c r="A1651" s="22"/>
      <c r="B1651" s="9"/>
      <c r="C1651" s="9"/>
      <c r="D1651" s="9"/>
      <c r="E1651" s="9"/>
      <c r="F1651" s="10" t="str">
        <f aca="false">IF($B1651="","",$C1651+$D1651-$E1651)</f>
        <v/>
      </c>
      <c r="G1651" s="10" t="str">
        <f aca="false">IF($B1651="","",IFERROR(INDEX(Drinks!$C$4:$C$53,MATCH($B1651,Drinks!$A$4:$A$53,0)),0))</f>
        <v/>
      </c>
      <c r="H1651" s="10" t="str">
        <f aca="false">IF($B1651="","",$D1651*$G1651)</f>
        <v/>
      </c>
      <c r="I1651" s="10" t="str">
        <f aca="false">IF($B1651="","",$F1651*$G1651)</f>
        <v/>
      </c>
      <c r="J1651" s="9"/>
      <c r="K1651" s="10" t="str">
        <f aca="false">IF($B1651="","",$E1651*IFERROR(INDEX(Drinks!$B$4:$B$53,MATCH($B1651,Drinks!$A$4:$A$53,0)),0))</f>
        <v/>
      </c>
      <c r="L1651" s="10" t="str">
        <f aca="false">IF($B1651="","",$J1651+$K1651)</f>
        <v/>
      </c>
      <c r="M1651" s="9"/>
      <c r="N1651" s="10" t="str">
        <f aca="false">IF($B1651="","",$L1651-$M1651)</f>
        <v/>
      </c>
      <c r="O1651" s="10" t="str">
        <f aca="false">IF($B1651="","",IFERROR(INDEX(Drinks!$E$4:$E$53,MATCH($B1651,Drinks!$A$4:$A$53,0)),0))</f>
        <v/>
      </c>
      <c r="P1651" s="10" t="str">
        <f aca="false">IF($B1651="","",$N1651*$O1651)</f>
        <v/>
      </c>
      <c r="Q1651" s="10" t="str">
        <f aca="false">IF($B1651="","",$N1651*IFERROR(INDEX(Drinks!$D$4:$D$53,MATCH($B1651,Drinks!$A$4:$A$53,0)),0))</f>
        <v/>
      </c>
      <c r="R1651" s="10" t="str">
        <f aca="false">IF($B1651="","",$P1651-$Q1651)</f>
        <v/>
      </c>
      <c r="S1651" s="23" t="str">
        <f aca="false">IF($B1651="","",IF(COUNTIFS($A$4:$A$2003,$A1651-1,$B$4:$B$2003,$B1651)=0,"first day",IF(SUMIFS($M$4:$M$2003,$A$4:$A$2003,$A1651-1,$B$4:$B$2003,$B1651)=$J1651,"OK","CHECK")))</f>
        <v/>
      </c>
      <c r="T1651" s="10" t="str">
        <f aca="false">IF($B1651="","",IFERROR(INDEX(Drinks!$D$4:$D$53,MATCH($B1651,Drinks!$A$4:$A$53,0)),0))</f>
        <v/>
      </c>
    </row>
    <row r="1652" customFormat="false" ht="15" hidden="false" customHeight="false" outlineLevel="0" collapsed="false">
      <c r="A1652" s="22"/>
      <c r="B1652" s="9"/>
      <c r="C1652" s="9"/>
      <c r="D1652" s="9"/>
      <c r="E1652" s="9"/>
      <c r="F1652" s="10" t="str">
        <f aca="false">IF($B1652="","",$C1652+$D1652-$E1652)</f>
        <v/>
      </c>
      <c r="G1652" s="10" t="str">
        <f aca="false">IF($B1652="","",IFERROR(INDEX(Drinks!$C$4:$C$53,MATCH($B1652,Drinks!$A$4:$A$53,0)),0))</f>
        <v/>
      </c>
      <c r="H1652" s="10" t="str">
        <f aca="false">IF($B1652="","",$D1652*$G1652)</f>
        <v/>
      </c>
      <c r="I1652" s="10" t="str">
        <f aca="false">IF($B1652="","",$F1652*$G1652)</f>
        <v/>
      </c>
      <c r="J1652" s="9"/>
      <c r="K1652" s="10" t="str">
        <f aca="false">IF($B1652="","",$E1652*IFERROR(INDEX(Drinks!$B$4:$B$53,MATCH($B1652,Drinks!$A$4:$A$53,0)),0))</f>
        <v/>
      </c>
      <c r="L1652" s="10" t="str">
        <f aca="false">IF($B1652="","",$J1652+$K1652)</f>
        <v/>
      </c>
      <c r="M1652" s="9"/>
      <c r="N1652" s="10" t="str">
        <f aca="false">IF($B1652="","",$L1652-$M1652)</f>
        <v/>
      </c>
      <c r="O1652" s="10" t="str">
        <f aca="false">IF($B1652="","",IFERROR(INDEX(Drinks!$E$4:$E$53,MATCH($B1652,Drinks!$A$4:$A$53,0)),0))</f>
        <v/>
      </c>
      <c r="P1652" s="10" t="str">
        <f aca="false">IF($B1652="","",$N1652*$O1652)</f>
        <v/>
      </c>
      <c r="Q1652" s="10" t="str">
        <f aca="false">IF($B1652="","",$N1652*IFERROR(INDEX(Drinks!$D$4:$D$53,MATCH($B1652,Drinks!$A$4:$A$53,0)),0))</f>
        <v/>
      </c>
      <c r="R1652" s="10" t="str">
        <f aca="false">IF($B1652="","",$P1652-$Q1652)</f>
        <v/>
      </c>
      <c r="S1652" s="23" t="str">
        <f aca="false">IF($B1652="","",IF(COUNTIFS($A$4:$A$2003,$A1652-1,$B$4:$B$2003,$B1652)=0,"first day",IF(SUMIFS($M$4:$M$2003,$A$4:$A$2003,$A1652-1,$B$4:$B$2003,$B1652)=$J1652,"OK","CHECK")))</f>
        <v/>
      </c>
      <c r="T1652" s="10" t="str">
        <f aca="false">IF($B1652="","",IFERROR(INDEX(Drinks!$D$4:$D$53,MATCH($B1652,Drinks!$A$4:$A$53,0)),0))</f>
        <v/>
      </c>
    </row>
    <row r="1653" customFormat="false" ht="15" hidden="false" customHeight="false" outlineLevel="0" collapsed="false">
      <c r="A1653" s="22"/>
      <c r="B1653" s="9"/>
      <c r="C1653" s="9"/>
      <c r="D1653" s="9"/>
      <c r="E1653" s="9"/>
      <c r="F1653" s="10" t="str">
        <f aca="false">IF($B1653="","",$C1653+$D1653-$E1653)</f>
        <v/>
      </c>
      <c r="G1653" s="10" t="str">
        <f aca="false">IF($B1653="","",IFERROR(INDEX(Drinks!$C$4:$C$53,MATCH($B1653,Drinks!$A$4:$A$53,0)),0))</f>
        <v/>
      </c>
      <c r="H1653" s="10" t="str">
        <f aca="false">IF($B1653="","",$D1653*$G1653)</f>
        <v/>
      </c>
      <c r="I1653" s="10" t="str">
        <f aca="false">IF($B1653="","",$F1653*$G1653)</f>
        <v/>
      </c>
      <c r="J1653" s="9"/>
      <c r="K1653" s="10" t="str">
        <f aca="false">IF($B1653="","",$E1653*IFERROR(INDEX(Drinks!$B$4:$B$53,MATCH($B1653,Drinks!$A$4:$A$53,0)),0))</f>
        <v/>
      </c>
      <c r="L1653" s="10" t="str">
        <f aca="false">IF($B1653="","",$J1653+$K1653)</f>
        <v/>
      </c>
      <c r="M1653" s="9"/>
      <c r="N1653" s="10" t="str">
        <f aca="false">IF($B1653="","",$L1653-$M1653)</f>
        <v/>
      </c>
      <c r="O1653" s="10" t="str">
        <f aca="false">IF($B1653="","",IFERROR(INDEX(Drinks!$E$4:$E$53,MATCH($B1653,Drinks!$A$4:$A$53,0)),0))</f>
        <v/>
      </c>
      <c r="P1653" s="10" t="str">
        <f aca="false">IF($B1653="","",$N1653*$O1653)</f>
        <v/>
      </c>
      <c r="Q1653" s="10" t="str">
        <f aca="false">IF($B1653="","",$N1653*IFERROR(INDEX(Drinks!$D$4:$D$53,MATCH($B1653,Drinks!$A$4:$A$53,0)),0))</f>
        <v/>
      </c>
      <c r="R1653" s="10" t="str">
        <f aca="false">IF($B1653="","",$P1653-$Q1653)</f>
        <v/>
      </c>
      <c r="S1653" s="23" t="str">
        <f aca="false">IF($B1653="","",IF(COUNTIFS($A$4:$A$2003,$A1653-1,$B$4:$B$2003,$B1653)=0,"first day",IF(SUMIFS($M$4:$M$2003,$A$4:$A$2003,$A1653-1,$B$4:$B$2003,$B1653)=$J1653,"OK","CHECK")))</f>
        <v/>
      </c>
      <c r="T1653" s="10" t="str">
        <f aca="false">IF($B1653="","",IFERROR(INDEX(Drinks!$D$4:$D$53,MATCH($B1653,Drinks!$A$4:$A$53,0)),0))</f>
        <v/>
      </c>
    </row>
    <row r="1654" customFormat="false" ht="15" hidden="false" customHeight="false" outlineLevel="0" collapsed="false">
      <c r="A1654" s="22"/>
      <c r="B1654" s="9"/>
      <c r="C1654" s="9"/>
      <c r="D1654" s="9"/>
      <c r="E1654" s="9"/>
      <c r="F1654" s="10" t="str">
        <f aca="false">IF($B1654="","",$C1654+$D1654-$E1654)</f>
        <v/>
      </c>
      <c r="G1654" s="10" t="str">
        <f aca="false">IF($B1654="","",IFERROR(INDEX(Drinks!$C$4:$C$53,MATCH($B1654,Drinks!$A$4:$A$53,0)),0))</f>
        <v/>
      </c>
      <c r="H1654" s="10" t="str">
        <f aca="false">IF($B1654="","",$D1654*$G1654)</f>
        <v/>
      </c>
      <c r="I1654" s="10" t="str">
        <f aca="false">IF($B1654="","",$F1654*$G1654)</f>
        <v/>
      </c>
      <c r="J1654" s="9"/>
      <c r="K1654" s="10" t="str">
        <f aca="false">IF($B1654="","",$E1654*IFERROR(INDEX(Drinks!$B$4:$B$53,MATCH($B1654,Drinks!$A$4:$A$53,0)),0))</f>
        <v/>
      </c>
      <c r="L1654" s="10" t="str">
        <f aca="false">IF($B1654="","",$J1654+$K1654)</f>
        <v/>
      </c>
      <c r="M1654" s="9"/>
      <c r="N1654" s="10" t="str">
        <f aca="false">IF($B1654="","",$L1654-$M1654)</f>
        <v/>
      </c>
      <c r="O1654" s="10" t="str">
        <f aca="false">IF($B1654="","",IFERROR(INDEX(Drinks!$E$4:$E$53,MATCH($B1654,Drinks!$A$4:$A$53,0)),0))</f>
        <v/>
      </c>
      <c r="P1654" s="10" t="str">
        <f aca="false">IF($B1654="","",$N1654*$O1654)</f>
        <v/>
      </c>
      <c r="Q1654" s="10" t="str">
        <f aca="false">IF($B1654="","",$N1654*IFERROR(INDEX(Drinks!$D$4:$D$53,MATCH($B1654,Drinks!$A$4:$A$53,0)),0))</f>
        <v/>
      </c>
      <c r="R1654" s="10" t="str">
        <f aca="false">IF($B1654="","",$P1654-$Q1654)</f>
        <v/>
      </c>
      <c r="S1654" s="23" t="str">
        <f aca="false">IF($B1654="","",IF(COUNTIFS($A$4:$A$2003,$A1654-1,$B$4:$B$2003,$B1654)=0,"first day",IF(SUMIFS($M$4:$M$2003,$A$4:$A$2003,$A1654-1,$B$4:$B$2003,$B1654)=$J1654,"OK","CHECK")))</f>
        <v/>
      </c>
      <c r="T1654" s="10" t="str">
        <f aca="false">IF($B1654="","",IFERROR(INDEX(Drinks!$D$4:$D$53,MATCH($B1654,Drinks!$A$4:$A$53,0)),0))</f>
        <v/>
      </c>
    </row>
    <row r="1655" customFormat="false" ht="15" hidden="false" customHeight="false" outlineLevel="0" collapsed="false">
      <c r="A1655" s="22"/>
      <c r="B1655" s="9"/>
      <c r="C1655" s="9"/>
      <c r="D1655" s="9"/>
      <c r="E1655" s="9"/>
      <c r="F1655" s="10" t="str">
        <f aca="false">IF($B1655="","",$C1655+$D1655-$E1655)</f>
        <v/>
      </c>
      <c r="G1655" s="10" t="str">
        <f aca="false">IF($B1655="","",IFERROR(INDEX(Drinks!$C$4:$C$53,MATCH($B1655,Drinks!$A$4:$A$53,0)),0))</f>
        <v/>
      </c>
      <c r="H1655" s="10" t="str">
        <f aca="false">IF($B1655="","",$D1655*$G1655)</f>
        <v/>
      </c>
      <c r="I1655" s="10" t="str">
        <f aca="false">IF($B1655="","",$F1655*$G1655)</f>
        <v/>
      </c>
      <c r="J1655" s="9"/>
      <c r="K1655" s="10" t="str">
        <f aca="false">IF($B1655="","",$E1655*IFERROR(INDEX(Drinks!$B$4:$B$53,MATCH($B1655,Drinks!$A$4:$A$53,0)),0))</f>
        <v/>
      </c>
      <c r="L1655" s="10" t="str">
        <f aca="false">IF($B1655="","",$J1655+$K1655)</f>
        <v/>
      </c>
      <c r="M1655" s="9"/>
      <c r="N1655" s="10" t="str">
        <f aca="false">IF($B1655="","",$L1655-$M1655)</f>
        <v/>
      </c>
      <c r="O1655" s="10" t="str">
        <f aca="false">IF($B1655="","",IFERROR(INDEX(Drinks!$E$4:$E$53,MATCH($B1655,Drinks!$A$4:$A$53,0)),0))</f>
        <v/>
      </c>
      <c r="P1655" s="10" t="str">
        <f aca="false">IF($B1655="","",$N1655*$O1655)</f>
        <v/>
      </c>
      <c r="Q1655" s="10" t="str">
        <f aca="false">IF($B1655="","",$N1655*IFERROR(INDEX(Drinks!$D$4:$D$53,MATCH($B1655,Drinks!$A$4:$A$53,0)),0))</f>
        <v/>
      </c>
      <c r="R1655" s="10" t="str">
        <f aca="false">IF($B1655="","",$P1655-$Q1655)</f>
        <v/>
      </c>
      <c r="S1655" s="23" t="str">
        <f aca="false">IF($B1655="","",IF(COUNTIFS($A$4:$A$2003,$A1655-1,$B$4:$B$2003,$B1655)=0,"first day",IF(SUMIFS($M$4:$M$2003,$A$4:$A$2003,$A1655-1,$B$4:$B$2003,$B1655)=$J1655,"OK","CHECK")))</f>
        <v/>
      </c>
      <c r="T1655" s="10" t="str">
        <f aca="false">IF($B1655="","",IFERROR(INDEX(Drinks!$D$4:$D$53,MATCH($B1655,Drinks!$A$4:$A$53,0)),0))</f>
        <v/>
      </c>
    </row>
    <row r="1656" customFormat="false" ht="15" hidden="false" customHeight="false" outlineLevel="0" collapsed="false">
      <c r="A1656" s="22"/>
      <c r="B1656" s="9"/>
      <c r="C1656" s="9"/>
      <c r="D1656" s="9"/>
      <c r="E1656" s="9"/>
      <c r="F1656" s="10" t="str">
        <f aca="false">IF($B1656="","",$C1656+$D1656-$E1656)</f>
        <v/>
      </c>
      <c r="G1656" s="10" t="str">
        <f aca="false">IF($B1656="","",IFERROR(INDEX(Drinks!$C$4:$C$53,MATCH($B1656,Drinks!$A$4:$A$53,0)),0))</f>
        <v/>
      </c>
      <c r="H1656" s="10" t="str">
        <f aca="false">IF($B1656="","",$D1656*$G1656)</f>
        <v/>
      </c>
      <c r="I1656" s="10" t="str">
        <f aca="false">IF($B1656="","",$F1656*$G1656)</f>
        <v/>
      </c>
      <c r="J1656" s="9"/>
      <c r="K1656" s="10" t="str">
        <f aca="false">IF($B1656="","",$E1656*IFERROR(INDEX(Drinks!$B$4:$B$53,MATCH($B1656,Drinks!$A$4:$A$53,0)),0))</f>
        <v/>
      </c>
      <c r="L1656" s="10" t="str">
        <f aca="false">IF($B1656="","",$J1656+$K1656)</f>
        <v/>
      </c>
      <c r="M1656" s="9"/>
      <c r="N1656" s="10" t="str">
        <f aca="false">IF($B1656="","",$L1656-$M1656)</f>
        <v/>
      </c>
      <c r="O1656" s="10" t="str">
        <f aca="false">IF($B1656="","",IFERROR(INDEX(Drinks!$E$4:$E$53,MATCH($B1656,Drinks!$A$4:$A$53,0)),0))</f>
        <v/>
      </c>
      <c r="P1656" s="10" t="str">
        <f aca="false">IF($B1656="","",$N1656*$O1656)</f>
        <v/>
      </c>
      <c r="Q1656" s="10" t="str">
        <f aca="false">IF($B1656="","",$N1656*IFERROR(INDEX(Drinks!$D$4:$D$53,MATCH($B1656,Drinks!$A$4:$A$53,0)),0))</f>
        <v/>
      </c>
      <c r="R1656" s="10" t="str">
        <f aca="false">IF($B1656="","",$P1656-$Q1656)</f>
        <v/>
      </c>
      <c r="S1656" s="23" t="str">
        <f aca="false">IF($B1656="","",IF(COUNTIFS($A$4:$A$2003,$A1656-1,$B$4:$B$2003,$B1656)=0,"first day",IF(SUMIFS($M$4:$M$2003,$A$4:$A$2003,$A1656-1,$B$4:$B$2003,$B1656)=$J1656,"OK","CHECK")))</f>
        <v/>
      </c>
      <c r="T1656" s="10" t="str">
        <f aca="false">IF($B1656="","",IFERROR(INDEX(Drinks!$D$4:$D$53,MATCH($B1656,Drinks!$A$4:$A$53,0)),0))</f>
        <v/>
      </c>
    </row>
    <row r="1657" customFormat="false" ht="15" hidden="false" customHeight="false" outlineLevel="0" collapsed="false">
      <c r="A1657" s="22"/>
      <c r="B1657" s="9"/>
      <c r="C1657" s="9"/>
      <c r="D1657" s="9"/>
      <c r="E1657" s="9"/>
      <c r="F1657" s="10" t="str">
        <f aca="false">IF($B1657="","",$C1657+$D1657-$E1657)</f>
        <v/>
      </c>
      <c r="G1657" s="10" t="str">
        <f aca="false">IF($B1657="","",IFERROR(INDEX(Drinks!$C$4:$C$53,MATCH($B1657,Drinks!$A$4:$A$53,0)),0))</f>
        <v/>
      </c>
      <c r="H1657" s="10" t="str">
        <f aca="false">IF($B1657="","",$D1657*$G1657)</f>
        <v/>
      </c>
      <c r="I1657" s="10" t="str">
        <f aca="false">IF($B1657="","",$F1657*$G1657)</f>
        <v/>
      </c>
      <c r="J1657" s="9"/>
      <c r="K1657" s="10" t="str">
        <f aca="false">IF($B1657="","",$E1657*IFERROR(INDEX(Drinks!$B$4:$B$53,MATCH($B1657,Drinks!$A$4:$A$53,0)),0))</f>
        <v/>
      </c>
      <c r="L1657" s="10" t="str">
        <f aca="false">IF($B1657="","",$J1657+$K1657)</f>
        <v/>
      </c>
      <c r="M1657" s="9"/>
      <c r="N1657" s="10" t="str">
        <f aca="false">IF($B1657="","",$L1657-$M1657)</f>
        <v/>
      </c>
      <c r="O1657" s="10" t="str">
        <f aca="false">IF($B1657="","",IFERROR(INDEX(Drinks!$E$4:$E$53,MATCH($B1657,Drinks!$A$4:$A$53,0)),0))</f>
        <v/>
      </c>
      <c r="P1657" s="10" t="str">
        <f aca="false">IF($B1657="","",$N1657*$O1657)</f>
        <v/>
      </c>
      <c r="Q1657" s="10" t="str">
        <f aca="false">IF($B1657="","",$N1657*IFERROR(INDEX(Drinks!$D$4:$D$53,MATCH($B1657,Drinks!$A$4:$A$53,0)),0))</f>
        <v/>
      </c>
      <c r="R1657" s="10" t="str">
        <f aca="false">IF($B1657="","",$P1657-$Q1657)</f>
        <v/>
      </c>
      <c r="S1657" s="23" t="str">
        <f aca="false">IF($B1657="","",IF(COUNTIFS($A$4:$A$2003,$A1657-1,$B$4:$B$2003,$B1657)=0,"first day",IF(SUMIFS($M$4:$M$2003,$A$4:$A$2003,$A1657-1,$B$4:$B$2003,$B1657)=$J1657,"OK","CHECK")))</f>
        <v/>
      </c>
      <c r="T1657" s="10" t="str">
        <f aca="false">IF($B1657="","",IFERROR(INDEX(Drinks!$D$4:$D$53,MATCH($B1657,Drinks!$A$4:$A$53,0)),0))</f>
        <v/>
      </c>
    </row>
    <row r="1658" customFormat="false" ht="15" hidden="false" customHeight="false" outlineLevel="0" collapsed="false">
      <c r="A1658" s="22"/>
      <c r="B1658" s="9"/>
      <c r="C1658" s="9"/>
      <c r="D1658" s="9"/>
      <c r="E1658" s="9"/>
      <c r="F1658" s="10" t="str">
        <f aca="false">IF($B1658="","",$C1658+$D1658-$E1658)</f>
        <v/>
      </c>
      <c r="G1658" s="10" t="str">
        <f aca="false">IF($B1658="","",IFERROR(INDEX(Drinks!$C$4:$C$53,MATCH($B1658,Drinks!$A$4:$A$53,0)),0))</f>
        <v/>
      </c>
      <c r="H1658" s="10" t="str">
        <f aca="false">IF($B1658="","",$D1658*$G1658)</f>
        <v/>
      </c>
      <c r="I1658" s="10" t="str">
        <f aca="false">IF($B1658="","",$F1658*$G1658)</f>
        <v/>
      </c>
      <c r="J1658" s="9"/>
      <c r="K1658" s="10" t="str">
        <f aca="false">IF($B1658="","",$E1658*IFERROR(INDEX(Drinks!$B$4:$B$53,MATCH($B1658,Drinks!$A$4:$A$53,0)),0))</f>
        <v/>
      </c>
      <c r="L1658" s="10" t="str">
        <f aca="false">IF($B1658="","",$J1658+$K1658)</f>
        <v/>
      </c>
      <c r="M1658" s="9"/>
      <c r="N1658" s="10" t="str">
        <f aca="false">IF($B1658="","",$L1658-$M1658)</f>
        <v/>
      </c>
      <c r="O1658" s="10" t="str">
        <f aca="false">IF($B1658="","",IFERROR(INDEX(Drinks!$E$4:$E$53,MATCH($B1658,Drinks!$A$4:$A$53,0)),0))</f>
        <v/>
      </c>
      <c r="P1658" s="10" t="str">
        <f aca="false">IF($B1658="","",$N1658*$O1658)</f>
        <v/>
      </c>
      <c r="Q1658" s="10" t="str">
        <f aca="false">IF($B1658="","",$N1658*IFERROR(INDEX(Drinks!$D$4:$D$53,MATCH($B1658,Drinks!$A$4:$A$53,0)),0))</f>
        <v/>
      </c>
      <c r="R1658" s="10" t="str">
        <f aca="false">IF($B1658="","",$P1658-$Q1658)</f>
        <v/>
      </c>
      <c r="S1658" s="23" t="str">
        <f aca="false">IF($B1658="","",IF(COUNTIFS($A$4:$A$2003,$A1658-1,$B$4:$B$2003,$B1658)=0,"first day",IF(SUMIFS($M$4:$M$2003,$A$4:$A$2003,$A1658-1,$B$4:$B$2003,$B1658)=$J1658,"OK","CHECK")))</f>
        <v/>
      </c>
      <c r="T1658" s="10" t="str">
        <f aca="false">IF($B1658="","",IFERROR(INDEX(Drinks!$D$4:$D$53,MATCH($B1658,Drinks!$A$4:$A$53,0)),0))</f>
        <v/>
      </c>
    </row>
    <row r="1659" customFormat="false" ht="15" hidden="false" customHeight="false" outlineLevel="0" collapsed="false">
      <c r="A1659" s="22"/>
      <c r="B1659" s="9"/>
      <c r="C1659" s="9"/>
      <c r="D1659" s="9"/>
      <c r="E1659" s="9"/>
      <c r="F1659" s="10" t="str">
        <f aca="false">IF($B1659="","",$C1659+$D1659-$E1659)</f>
        <v/>
      </c>
      <c r="G1659" s="10" t="str">
        <f aca="false">IF($B1659="","",IFERROR(INDEX(Drinks!$C$4:$C$53,MATCH($B1659,Drinks!$A$4:$A$53,0)),0))</f>
        <v/>
      </c>
      <c r="H1659" s="10" t="str">
        <f aca="false">IF($B1659="","",$D1659*$G1659)</f>
        <v/>
      </c>
      <c r="I1659" s="10" t="str">
        <f aca="false">IF($B1659="","",$F1659*$G1659)</f>
        <v/>
      </c>
      <c r="J1659" s="9"/>
      <c r="K1659" s="10" t="str">
        <f aca="false">IF($B1659="","",$E1659*IFERROR(INDEX(Drinks!$B$4:$B$53,MATCH($B1659,Drinks!$A$4:$A$53,0)),0))</f>
        <v/>
      </c>
      <c r="L1659" s="10" t="str">
        <f aca="false">IF($B1659="","",$J1659+$K1659)</f>
        <v/>
      </c>
      <c r="M1659" s="9"/>
      <c r="N1659" s="10" t="str">
        <f aca="false">IF($B1659="","",$L1659-$M1659)</f>
        <v/>
      </c>
      <c r="O1659" s="10" t="str">
        <f aca="false">IF($B1659="","",IFERROR(INDEX(Drinks!$E$4:$E$53,MATCH($B1659,Drinks!$A$4:$A$53,0)),0))</f>
        <v/>
      </c>
      <c r="P1659" s="10" t="str">
        <f aca="false">IF($B1659="","",$N1659*$O1659)</f>
        <v/>
      </c>
      <c r="Q1659" s="10" t="str">
        <f aca="false">IF($B1659="","",$N1659*IFERROR(INDEX(Drinks!$D$4:$D$53,MATCH($B1659,Drinks!$A$4:$A$53,0)),0))</f>
        <v/>
      </c>
      <c r="R1659" s="10" t="str">
        <f aca="false">IF($B1659="","",$P1659-$Q1659)</f>
        <v/>
      </c>
      <c r="S1659" s="23" t="str">
        <f aca="false">IF($B1659="","",IF(COUNTIFS($A$4:$A$2003,$A1659-1,$B$4:$B$2003,$B1659)=0,"first day",IF(SUMIFS($M$4:$M$2003,$A$4:$A$2003,$A1659-1,$B$4:$B$2003,$B1659)=$J1659,"OK","CHECK")))</f>
        <v/>
      </c>
      <c r="T1659" s="10" t="str">
        <f aca="false">IF($B1659="","",IFERROR(INDEX(Drinks!$D$4:$D$53,MATCH($B1659,Drinks!$A$4:$A$53,0)),0))</f>
        <v/>
      </c>
    </row>
    <row r="1660" customFormat="false" ht="15" hidden="false" customHeight="false" outlineLevel="0" collapsed="false">
      <c r="A1660" s="22"/>
      <c r="B1660" s="9"/>
      <c r="C1660" s="9"/>
      <c r="D1660" s="9"/>
      <c r="E1660" s="9"/>
      <c r="F1660" s="10" t="str">
        <f aca="false">IF($B1660="","",$C1660+$D1660-$E1660)</f>
        <v/>
      </c>
      <c r="G1660" s="10" t="str">
        <f aca="false">IF($B1660="","",IFERROR(INDEX(Drinks!$C$4:$C$53,MATCH($B1660,Drinks!$A$4:$A$53,0)),0))</f>
        <v/>
      </c>
      <c r="H1660" s="10" t="str">
        <f aca="false">IF($B1660="","",$D1660*$G1660)</f>
        <v/>
      </c>
      <c r="I1660" s="10" t="str">
        <f aca="false">IF($B1660="","",$F1660*$G1660)</f>
        <v/>
      </c>
      <c r="J1660" s="9"/>
      <c r="K1660" s="10" t="str">
        <f aca="false">IF($B1660="","",$E1660*IFERROR(INDEX(Drinks!$B$4:$B$53,MATCH($B1660,Drinks!$A$4:$A$53,0)),0))</f>
        <v/>
      </c>
      <c r="L1660" s="10" t="str">
        <f aca="false">IF($B1660="","",$J1660+$K1660)</f>
        <v/>
      </c>
      <c r="M1660" s="9"/>
      <c r="N1660" s="10" t="str">
        <f aca="false">IF($B1660="","",$L1660-$M1660)</f>
        <v/>
      </c>
      <c r="O1660" s="10" t="str">
        <f aca="false">IF($B1660="","",IFERROR(INDEX(Drinks!$E$4:$E$53,MATCH($B1660,Drinks!$A$4:$A$53,0)),0))</f>
        <v/>
      </c>
      <c r="P1660" s="10" t="str">
        <f aca="false">IF($B1660="","",$N1660*$O1660)</f>
        <v/>
      </c>
      <c r="Q1660" s="10" t="str">
        <f aca="false">IF($B1660="","",$N1660*IFERROR(INDEX(Drinks!$D$4:$D$53,MATCH($B1660,Drinks!$A$4:$A$53,0)),0))</f>
        <v/>
      </c>
      <c r="R1660" s="10" t="str">
        <f aca="false">IF($B1660="","",$P1660-$Q1660)</f>
        <v/>
      </c>
      <c r="S1660" s="23" t="str">
        <f aca="false">IF($B1660="","",IF(COUNTIFS($A$4:$A$2003,$A1660-1,$B$4:$B$2003,$B1660)=0,"first day",IF(SUMIFS($M$4:$M$2003,$A$4:$A$2003,$A1660-1,$B$4:$B$2003,$B1660)=$J1660,"OK","CHECK")))</f>
        <v/>
      </c>
      <c r="T1660" s="10" t="str">
        <f aca="false">IF($B1660="","",IFERROR(INDEX(Drinks!$D$4:$D$53,MATCH($B1660,Drinks!$A$4:$A$53,0)),0))</f>
        <v/>
      </c>
    </row>
    <row r="1661" customFormat="false" ht="15" hidden="false" customHeight="false" outlineLevel="0" collapsed="false">
      <c r="A1661" s="22"/>
      <c r="B1661" s="9"/>
      <c r="C1661" s="9"/>
      <c r="D1661" s="9"/>
      <c r="E1661" s="9"/>
      <c r="F1661" s="10" t="str">
        <f aca="false">IF($B1661="","",$C1661+$D1661-$E1661)</f>
        <v/>
      </c>
      <c r="G1661" s="10" t="str">
        <f aca="false">IF($B1661="","",IFERROR(INDEX(Drinks!$C$4:$C$53,MATCH($B1661,Drinks!$A$4:$A$53,0)),0))</f>
        <v/>
      </c>
      <c r="H1661" s="10" t="str">
        <f aca="false">IF($B1661="","",$D1661*$G1661)</f>
        <v/>
      </c>
      <c r="I1661" s="10" t="str">
        <f aca="false">IF($B1661="","",$F1661*$G1661)</f>
        <v/>
      </c>
      <c r="J1661" s="9"/>
      <c r="K1661" s="10" t="str">
        <f aca="false">IF($B1661="","",$E1661*IFERROR(INDEX(Drinks!$B$4:$B$53,MATCH($B1661,Drinks!$A$4:$A$53,0)),0))</f>
        <v/>
      </c>
      <c r="L1661" s="10" t="str">
        <f aca="false">IF($B1661="","",$J1661+$K1661)</f>
        <v/>
      </c>
      <c r="M1661" s="9"/>
      <c r="N1661" s="10" t="str">
        <f aca="false">IF($B1661="","",$L1661-$M1661)</f>
        <v/>
      </c>
      <c r="O1661" s="10" t="str">
        <f aca="false">IF($B1661="","",IFERROR(INDEX(Drinks!$E$4:$E$53,MATCH($B1661,Drinks!$A$4:$A$53,0)),0))</f>
        <v/>
      </c>
      <c r="P1661" s="10" t="str">
        <f aca="false">IF($B1661="","",$N1661*$O1661)</f>
        <v/>
      </c>
      <c r="Q1661" s="10" t="str">
        <f aca="false">IF($B1661="","",$N1661*IFERROR(INDEX(Drinks!$D$4:$D$53,MATCH($B1661,Drinks!$A$4:$A$53,0)),0))</f>
        <v/>
      </c>
      <c r="R1661" s="10" t="str">
        <f aca="false">IF($B1661="","",$P1661-$Q1661)</f>
        <v/>
      </c>
      <c r="S1661" s="23" t="str">
        <f aca="false">IF($B1661="","",IF(COUNTIFS($A$4:$A$2003,$A1661-1,$B$4:$B$2003,$B1661)=0,"first day",IF(SUMIFS($M$4:$M$2003,$A$4:$A$2003,$A1661-1,$B$4:$B$2003,$B1661)=$J1661,"OK","CHECK")))</f>
        <v/>
      </c>
      <c r="T1661" s="10" t="str">
        <f aca="false">IF($B1661="","",IFERROR(INDEX(Drinks!$D$4:$D$53,MATCH($B1661,Drinks!$A$4:$A$53,0)),0))</f>
        <v/>
      </c>
    </row>
    <row r="1662" customFormat="false" ht="15" hidden="false" customHeight="false" outlineLevel="0" collapsed="false">
      <c r="A1662" s="22"/>
      <c r="B1662" s="9"/>
      <c r="C1662" s="9"/>
      <c r="D1662" s="9"/>
      <c r="E1662" s="9"/>
      <c r="F1662" s="10" t="str">
        <f aca="false">IF($B1662="","",$C1662+$D1662-$E1662)</f>
        <v/>
      </c>
      <c r="G1662" s="10" t="str">
        <f aca="false">IF($B1662="","",IFERROR(INDEX(Drinks!$C$4:$C$53,MATCH($B1662,Drinks!$A$4:$A$53,0)),0))</f>
        <v/>
      </c>
      <c r="H1662" s="10" t="str">
        <f aca="false">IF($B1662="","",$D1662*$G1662)</f>
        <v/>
      </c>
      <c r="I1662" s="10" t="str">
        <f aca="false">IF($B1662="","",$F1662*$G1662)</f>
        <v/>
      </c>
      <c r="J1662" s="9"/>
      <c r="K1662" s="10" t="str">
        <f aca="false">IF($B1662="","",$E1662*IFERROR(INDEX(Drinks!$B$4:$B$53,MATCH($B1662,Drinks!$A$4:$A$53,0)),0))</f>
        <v/>
      </c>
      <c r="L1662" s="10" t="str">
        <f aca="false">IF($B1662="","",$J1662+$K1662)</f>
        <v/>
      </c>
      <c r="M1662" s="9"/>
      <c r="N1662" s="10" t="str">
        <f aca="false">IF($B1662="","",$L1662-$M1662)</f>
        <v/>
      </c>
      <c r="O1662" s="10" t="str">
        <f aca="false">IF($B1662="","",IFERROR(INDEX(Drinks!$E$4:$E$53,MATCH($B1662,Drinks!$A$4:$A$53,0)),0))</f>
        <v/>
      </c>
      <c r="P1662" s="10" t="str">
        <f aca="false">IF($B1662="","",$N1662*$O1662)</f>
        <v/>
      </c>
      <c r="Q1662" s="10" t="str">
        <f aca="false">IF($B1662="","",$N1662*IFERROR(INDEX(Drinks!$D$4:$D$53,MATCH($B1662,Drinks!$A$4:$A$53,0)),0))</f>
        <v/>
      </c>
      <c r="R1662" s="10" t="str">
        <f aca="false">IF($B1662="","",$P1662-$Q1662)</f>
        <v/>
      </c>
      <c r="S1662" s="23" t="str">
        <f aca="false">IF($B1662="","",IF(COUNTIFS($A$4:$A$2003,$A1662-1,$B$4:$B$2003,$B1662)=0,"first day",IF(SUMIFS($M$4:$M$2003,$A$4:$A$2003,$A1662-1,$B$4:$B$2003,$B1662)=$J1662,"OK","CHECK")))</f>
        <v/>
      </c>
      <c r="T1662" s="10" t="str">
        <f aca="false">IF($B1662="","",IFERROR(INDEX(Drinks!$D$4:$D$53,MATCH($B1662,Drinks!$A$4:$A$53,0)),0))</f>
        <v/>
      </c>
    </row>
    <row r="1663" customFormat="false" ht="15" hidden="false" customHeight="false" outlineLevel="0" collapsed="false">
      <c r="A1663" s="22"/>
      <c r="B1663" s="9"/>
      <c r="C1663" s="9"/>
      <c r="D1663" s="9"/>
      <c r="E1663" s="9"/>
      <c r="F1663" s="10" t="str">
        <f aca="false">IF($B1663="","",$C1663+$D1663-$E1663)</f>
        <v/>
      </c>
      <c r="G1663" s="10" t="str">
        <f aca="false">IF($B1663="","",IFERROR(INDEX(Drinks!$C$4:$C$53,MATCH($B1663,Drinks!$A$4:$A$53,0)),0))</f>
        <v/>
      </c>
      <c r="H1663" s="10" t="str">
        <f aca="false">IF($B1663="","",$D1663*$G1663)</f>
        <v/>
      </c>
      <c r="I1663" s="10" t="str">
        <f aca="false">IF($B1663="","",$F1663*$G1663)</f>
        <v/>
      </c>
      <c r="J1663" s="9"/>
      <c r="K1663" s="10" t="str">
        <f aca="false">IF($B1663="","",$E1663*IFERROR(INDEX(Drinks!$B$4:$B$53,MATCH($B1663,Drinks!$A$4:$A$53,0)),0))</f>
        <v/>
      </c>
      <c r="L1663" s="10" t="str">
        <f aca="false">IF($B1663="","",$J1663+$K1663)</f>
        <v/>
      </c>
      <c r="M1663" s="9"/>
      <c r="N1663" s="10" t="str">
        <f aca="false">IF($B1663="","",$L1663-$M1663)</f>
        <v/>
      </c>
      <c r="O1663" s="10" t="str">
        <f aca="false">IF($B1663="","",IFERROR(INDEX(Drinks!$E$4:$E$53,MATCH($B1663,Drinks!$A$4:$A$53,0)),0))</f>
        <v/>
      </c>
      <c r="P1663" s="10" t="str">
        <f aca="false">IF($B1663="","",$N1663*$O1663)</f>
        <v/>
      </c>
      <c r="Q1663" s="10" t="str">
        <f aca="false">IF($B1663="","",$N1663*IFERROR(INDEX(Drinks!$D$4:$D$53,MATCH($B1663,Drinks!$A$4:$A$53,0)),0))</f>
        <v/>
      </c>
      <c r="R1663" s="10" t="str">
        <f aca="false">IF($B1663="","",$P1663-$Q1663)</f>
        <v/>
      </c>
      <c r="S1663" s="23" t="str">
        <f aca="false">IF($B1663="","",IF(COUNTIFS($A$4:$A$2003,$A1663-1,$B$4:$B$2003,$B1663)=0,"first day",IF(SUMIFS($M$4:$M$2003,$A$4:$A$2003,$A1663-1,$B$4:$B$2003,$B1663)=$J1663,"OK","CHECK")))</f>
        <v/>
      </c>
      <c r="T1663" s="10" t="str">
        <f aca="false">IF($B1663="","",IFERROR(INDEX(Drinks!$D$4:$D$53,MATCH($B1663,Drinks!$A$4:$A$53,0)),0))</f>
        <v/>
      </c>
    </row>
    <row r="1664" customFormat="false" ht="15" hidden="false" customHeight="false" outlineLevel="0" collapsed="false">
      <c r="A1664" s="22"/>
      <c r="B1664" s="9"/>
      <c r="C1664" s="9"/>
      <c r="D1664" s="9"/>
      <c r="E1664" s="9"/>
      <c r="F1664" s="10" t="str">
        <f aca="false">IF($B1664="","",$C1664+$D1664-$E1664)</f>
        <v/>
      </c>
      <c r="G1664" s="10" t="str">
        <f aca="false">IF($B1664="","",IFERROR(INDEX(Drinks!$C$4:$C$53,MATCH($B1664,Drinks!$A$4:$A$53,0)),0))</f>
        <v/>
      </c>
      <c r="H1664" s="10" t="str">
        <f aca="false">IF($B1664="","",$D1664*$G1664)</f>
        <v/>
      </c>
      <c r="I1664" s="10" t="str">
        <f aca="false">IF($B1664="","",$F1664*$G1664)</f>
        <v/>
      </c>
      <c r="J1664" s="9"/>
      <c r="K1664" s="10" t="str">
        <f aca="false">IF($B1664="","",$E1664*IFERROR(INDEX(Drinks!$B$4:$B$53,MATCH($B1664,Drinks!$A$4:$A$53,0)),0))</f>
        <v/>
      </c>
      <c r="L1664" s="10" t="str">
        <f aca="false">IF($B1664="","",$J1664+$K1664)</f>
        <v/>
      </c>
      <c r="M1664" s="9"/>
      <c r="N1664" s="10" t="str">
        <f aca="false">IF($B1664="","",$L1664-$M1664)</f>
        <v/>
      </c>
      <c r="O1664" s="10" t="str">
        <f aca="false">IF($B1664="","",IFERROR(INDEX(Drinks!$E$4:$E$53,MATCH($B1664,Drinks!$A$4:$A$53,0)),0))</f>
        <v/>
      </c>
      <c r="P1664" s="10" t="str">
        <f aca="false">IF($B1664="","",$N1664*$O1664)</f>
        <v/>
      </c>
      <c r="Q1664" s="10" t="str">
        <f aca="false">IF($B1664="","",$N1664*IFERROR(INDEX(Drinks!$D$4:$D$53,MATCH($B1664,Drinks!$A$4:$A$53,0)),0))</f>
        <v/>
      </c>
      <c r="R1664" s="10" t="str">
        <f aca="false">IF($B1664="","",$P1664-$Q1664)</f>
        <v/>
      </c>
      <c r="S1664" s="23" t="str">
        <f aca="false">IF($B1664="","",IF(COUNTIFS($A$4:$A$2003,$A1664-1,$B$4:$B$2003,$B1664)=0,"first day",IF(SUMIFS($M$4:$M$2003,$A$4:$A$2003,$A1664-1,$B$4:$B$2003,$B1664)=$J1664,"OK","CHECK")))</f>
        <v/>
      </c>
      <c r="T1664" s="10" t="str">
        <f aca="false">IF($B1664="","",IFERROR(INDEX(Drinks!$D$4:$D$53,MATCH($B1664,Drinks!$A$4:$A$53,0)),0))</f>
        <v/>
      </c>
    </row>
    <row r="1665" customFormat="false" ht="15" hidden="false" customHeight="false" outlineLevel="0" collapsed="false">
      <c r="A1665" s="22"/>
      <c r="B1665" s="9"/>
      <c r="C1665" s="9"/>
      <c r="D1665" s="9"/>
      <c r="E1665" s="9"/>
      <c r="F1665" s="10" t="str">
        <f aca="false">IF($B1665="","",$C1665+$D1665-$E1665)</f>
        <v/>
      </c>
      <c r="G1665" s="10" t="str">
        <f aca="false">IF($B1665="","",IFERROR(INDEX(Drinks!$C$4:$C$53,MATCH($B1665,Drinks!$A$4:$A$53,0)),0))</f>
        <v/>
      </c>
      <c r="H1665" s="10" t="str">
        <f aca="false">IF($B1665="","",$D1665*$G1665)</f>
        <v/>
      </c>
      <c r="I1665" s="10" t="str">
        <f aca="false">IF($B1665="","",$F1665*$G1665)</f>
        <v/>
      </c>
      <c r="J1665" s="9"/>
      <c r="K1665" s="10" t="str">
        <f aca="false">IF($B1665="","",$E1665*IFERROR(INDEX(Drinks!$B$4:$B$53,MATCH($B1665,Drinks!$A$4:$A$53,0)),0))</f>
        <v/>
      </c>
      <c r="L1665" s="10" t="str">
        <f aca="false">IF($B1665="","",$J1665+$K1665)</f>
        <v/>
      </c>
      <c r="M1665" s="9"/>
      <c r="N1665" s="10" t="str">
        <f aca="false">IF($B1665="","",$L1665-$M1665)</f>
        <v/>
      </c>
      <c r="O1665" s="10" t="str">
        <f aca="false">IF($B1665="","",IFERROR(INDEX(Drinks!$E$4:$E$53,MATCH($B1665,Drinks!$A$4:$A$53,0)),0))</f>
        <v/>
      </c>
      <c r="P1665" s="10" t="str">
        <f aca="false">IF($B1665="","",$N1665*$O1665)</f>
        <v/>
      </c>
      <c r="Q1665" s="10" t="str">
        <f aca="false">IF($B1665="","",$N1665*IFERROR(INDEX(Drinks!$D$4:$D$53,MATCH($B1665,Drinks!$A$4:$A$53,0)),0))</f>
        <v/>
      </c>
      <c r="R1665" s="10" t="str">
        <f aca="false">IF($B1665="","",$P1665-$Q1665)</f>
        <v/>
      </c>
      <c r="S1665" s="23" t="str">
        <f aca="false">IF($B1665="","",IF(COUNTIFS($A$4:$A$2003,$A1665-1,$B$4:$B$2003,$B1665)=0,"first day",IF(SUMIFS($M$4:$M$2003,$A$4:$A$2003,$A1665-1,$B$4:$B$2003,$B1665)=$J1665,"OK","CHECK")))</f>
        <v/>
      </c>
      <c r="T1665" s="10" t="str">
        <f aca="false">IF($B1665="","",IFERROR(INDEX(Drinks!$D$4:$D$53,MATCH($B1665,Drinks!$A$4:$A$53,0)),0))</f>
        <v/>
      </c>
    </row>
    <row r="1666" customFormat="false" ht="15" hidden="false" customHeight="false" outlineLevel="0" collapsed="false">
      <c r="A1666" s="22"/>
      <c r="B1666" s="9"/>
      <c r="C1666" s="9"/>
      <c r="D1666" s="9"/>
      <c r="E1666" s="9"/>
      <c r="F1666" s="10" t="str">
        <f aca="false">IF($B1666="","",$C1666+$D1666-$E1666)</f>
        <v/>
      </c>
      <c r="G1666" s="10" t="str">
        <f aca="false">IF($B1666="","",IFERROR(INDEX(Drinks!$C$4:$C$53,MATCH($B1666,Drinks!$A$4:$A$53,0)),0))</f>
        <v/>
      </c>
      <c r="H1666" s="10" t="str">
        <f aca="false">IF($B1666="","",$D1666*$G1666)</f>
        <v/>
      </c>
      <c r="I1666" s="10" t="str">
        <f aca="false">IF($B1666="","",$F1666*$G1666)</f>
        <v/>
      </c>
      <c r="J1666" s="9"/>
      <c r="K1666" s="10" t="str">
        <f aca="false">IF($B1666="","",$E1666*IFERROR(INDEX(Drinks!$B$4:$B$53,MATCH($B1666,Drinks!$A$4:$A$53,0)),0))</f>
        <v/>
      </c>
      <c r="L1666" s="10" t="str">
        <f aca="false">IF($B1666="","",$J1666+$K1666)</f>
        <v/>
      </c>
      <c r="M1666" s="9"/>
      <c r="N1666" s="10" t="str">
        <f aca="false">IF($B1666="","",$L1666-$M1666)</f>
        <v/>
      </c>
      <c r="O1666" s="10" t="str">
        <f aca="false">IF($B1666="","",IFERROR(INDEX(Drinks!$E$4:$E$53,MATCH($B1666,Drinks!$A$4:$A$53,0)),0))</f>
        <v/>
      </c>
      <c r="P1666" s="10" t="str">
        <f aca="false">IF($B1666="","",$N1666*$O1666)</f>
        <v/>
      </c>
      <c r="Q1666" s="10" t="str">
        <f aca="false">IF($B1666="","",$N1666*IFERROR(INDEX(Drinks!$D$4:$D$53,MATCH($B1666,Drinks!$A$4:$A$53,0)),0))</f>
        <v/>
      </c>
      <c r="R1666" s="10" t="str">
        <f aca="false">IF($B1666="","",$P1666-$Q1666)</f>
        <v/>
      </c>
      <c r="S1666" s="23" t="str">
        <f aca="false">IF($B1666="","",IF(COUNTIFS($A$4:$A$2003,$A1666-1,$B$4:$B$2003,$B1666)=0,"first day",IF(SUMIFS($M$4:$M$2003,$A$4:$A$2003,$A1666-1,$B$4:$B$2003,$B1666)=$J1666,"OK","CHECK")))</f>
        <v/>
      </c>
      <c r="T1666" s="10" t="str">
        <f aca="false">IF($B1666="","",IFERROR(INDEX(Drinks!$D$4:$D$53,MATCH($B1666,Drinks!$A$4:$A$53,0)),0))</f>
        <v/>
      </c>
    </row>
    <row r="1667" customFormat="false" ht="15" hidden="false" customHeight="false" outlineLevel="0" collapsed="false">
      <c r="A1667" s="22"/>
      <c r="B1667" s="9"/>
      <c r="C1667" s="9"/>
      <c r="D1667" s="9"/>
      <c r="E1667" s="9"/>
      <c r="F1667" s="10" t="str">
        <f aca="false">IF($B1667="","",$C1667+$D1667-$E1667)</f>
        <v/>
      </c>
      <c r="G1667" s="10" t="str">
        <f aca="false">IF($B1667="","",IFERROR(INDEX(Drinks!$C$4:$C$53,MATCH($B1667,Drinks!$A$4:$A$53,0)),0))</f>
        <v/>
      </c>
      <c r="H1667" s="10" t="str">
        <f aca="false">IF($B1667="","",$D1667*$G1667)</f>
        <v/>
      </c>
      <c r="I1667" s="10" t="str">
        <f aca="false">IF($B1667="","",$F1667*$G1667)</f>
        <v/>
      </c>
      <c r="J1667" s="9"/>
      <c r="K1667" s="10" t="str">
        <f aca="false">IF($B1667="","",$E1667*IFERROR(INDEX(Drinks!$B$4:$B$53,MATCH($B1667,Drinks!$A$4:$A$53,0)),0))</f>
        <v/>
      </c>
      <c r="L1667" s="10" t="str">
        <f aca="false">IF($B1667="","",$J1667+$K1667)</f>
        <v/>
      </c>
      <c r="M1667" s="9"/>
      <c r="N1667" s="10" t="str">
        <f aca="false">IF($B1667="","",$L1667-$M1667)</f>
        <v/>
      </c>
      <c r="O1667" s="10" t="str">
        <f aca="false">IF($B1667="","",IFERROR(INDEX(Drinks!$E$4:$E$53,MATCH($B1667,Drinks!$A$4:$A$53,0)),0))</f>
        <v/>
      </c>
      <c r="P1667" s="10" t="str">
        <f aca="false">IF($B1667="","",$N1667*$O1667)</f>
        <v/>
      </c>
      <c r="Q1667" s="10" t="str">
        <f aca="false">IF($B1667="","",$N1667*IFERROR(INDEX(Drinks!$D$4:$D$53,MATCH($B1667,Drinks!$A$4:$A$53,0)),0))</f>
        <v/>
      </c>
      <c r="R1667" s="10" t="str">
        <f aca="false">IF($B1667="","",$P1667-$Q1667)</f>
        <v/>
      </c>
      <c r="S1667" s="23" t="str">
        <f aca="false">IF($B1667="","",IF(COUNTIFS($A$4:$A$2003,$A1667-1,$B$4:$B$2003,$B1667)=0,"first day",IF(SUMIFS($M$4:$M$2003,$A$4:$A$2003,$A1667-1,$B$4:$B$2003,$B1667)=$J1667,"OK","CHECK")))</f>
        <v/>
      </c>
      <c r="T1667" s="10" t="str">
        <f aca="false">IF($B1667="","",IFERROR(INDEX(Drinks!$D$4:$D$53,MATCH($B1667,Drinks!$A$4:$A$53,0)),0))</f>
        <v/>
      </c>
    </row>
    <row r="1668" customFormat="false" ht="15" hidden="false" customHeight="false" outlineLevel="0" collapsed="false">
      <c r="A1668" s="22"/>
      <c r="B1668" s="9"/>
      <c r="C1668" s="9"/>
      <c r="D1668" s="9"/>
      <c r="E1668" s="9"/>
      <c r="F1668" s="10" t="str">
        <f aca="false">IF($B1668="","",$C1668+$D1668-$E1668)</f>
        <v/>
      </c>
      <c r="G1668" s="10" t="str">
        <f aca="false">IF($B1668="","",IFERROR(INDEX(Drinks!$C$4:$C$53,MATCH($B1668,Drinks!$A$4:$A$53,0)),0))</f>
        <v/>
      </c>
      <c r="H1668" s="10" t="str">
        <f aca="false">IF($B1668="","",$D1668*$G1668)</f>
        <v/>
      </c>
      <c r="I1668" s="10" t="str">
        <f aca="false">IF($B1668="","",$F1668*$G1668)</f>
        <v/>
      </c>
      <c r="J1668" s="9"/>
      <c r="K1668" s="10" t="str">
        <f aca="false">IF($B1668="","",$E1668*IFERROR(INDEX(Drinks!$B$4:$B$53,MATCH($B1668,Drinks!$A$4:$A$53,0)),0))</f>
        <v/>
      </c>
      <c r="L1668" s="10" t="str">
        <f aca="false">IF($B1668="","",$J1668+$K1668)</f>
        <v/>
      </c>
      <c r="M1668" s="9"/>
      <c r="N1668" s="10" t="str">
        <f aca="false">IF($B1668="","",$L1668-$M1668)</f>
        <v/>
      </c>
      <c r="O1668" s="10" t="str">
        <f aca="false">IF($B1668="","",IFERROR(INDEX(Drinks!$E$4:$E$53,MATCH($B1668,Drinks!$A$4:$A$53,0)),0))</f>
        <v/>
      </c>
      <c r="P1668" s="10" t="str">
        <f aca="false">IF($B1668="","",$N1668*$O1668)</f>
        <v/>
      </c>
      <c r="Q1668" s="10" t="str">
        <f aca="false">IF($B1668="","",$N1668*IFERROR(INDEX(Drinks!$D$4:$D$53,MATCH($B1668,Drinks!$A$4:$A$53,0)),0))</f>
        <v/>
      </c>
      <c r="R1668" s="10" t="str">
        <f aca="false">IF($B1668="","",$P1668-$Q1668)</f>
        <v/>
      </c>
      <c r="S1668" s="23" t="str">
        <f aca="false">IF($B1668="","",IF(COUNTIFS($A$4:$A$2003,$A1668-1,$B$4:$B$2003,$B1668)=0,"first day",IF(SUMIFS($M$4:$M$2003,$A$4:$A$2003,$A1668-1,$B$4:$B$2003,$B1668)=$J1668,"OK","CHECK")))</f>
        <v/>
      </c>
      <c r="T1668" s="10" t="str">
        <f aca="false">IF($B1668="","",IFERROR(INDEX(Drinks!$D$4:$D$53,MATCH($B1668,Drinks!$A$4:$A$53,0)),0))</f>
        <v/>
      </c>
    </row>
    <row r="1669" customFormat="false" ht="15" hidden="false" customHeight="false" outlineLevel="0" collapsed="false">
      <c r="A1669" s="22"/>
      <c r="B1669" s="9"/>
      <c r="C1669" s="9"/>
      <c r="D1669" s="9"/>
      <c r="E1669" s="9"/>
      <c r="F1669" s="10" t="str">
        <f aca="false">IF($B1669="","",$C1669+$D1669-$E1669)</f>
        <v/>
      </c>
      <c r="G1669" s="10" t="str">
        <f aca="false">IF($B1669="","",IFERROR(INDEX(Drinks!$C$4:$C$53,MATCH($B1669,Drinks!$A$4:$A$53,0)),0))</f>
        <v/>
      </c>
      <c r="H1669" s="10" t="str">
        <f aca="false">IF($B1669="","",$D1669*$G1669)</f>
        <v/>
      </c>
      <c r="I1669" s="10" t="str">
        <f aca="false">IF($B1669="","",$F1669*$G1669)</f>
        <v/>
      </c>
      <c r="J1669" s="9"/>
      <c r="K1669" s="10" t="str">
        <f aca="false">IF($B1669="","",$E1669*IFERROR(INDEX(Drinks!$B$4:$B$53,MATCH($B1669,Drinks!$A$4:$A$53,0)),0))</f>
        <v/>
      </c>
      <c r="L1669" s="10" t="str">
        <f aca="false">IF($B1669="","",$J1669+$K1669)</f>
        <v/>
      </c>
      <c r="M1669" s="9"/>
      <c r="N1669" s="10" t="str">
        <f aca="false">IF($B1669="","",$L1669-$M1669)</f>
        <v/>
      </c>
      <c r="O1669" s="10" t="str">
        <f aca="false">IF($B1669="","",IFERROR(INDEX(Drinks!$E$4:$E$53,MATCH($B1669,Drinks!$A$4:$A$53,0)),0))</f>
        <v/>
      </c>
      <c r="P1669" s="10" t="str">
        <f aca="false">IF($B1669="","",$N1669*$O1669)</f>
        <v/>
      </c>
      <c r="Q1669" s="10" t="str">
        <f aca="false">IF($B1669="","",$N1669*IFERROR(INDEX(Drinks!$D$4:$D$53,MATCH($B1669,Drinks!$A$4:$A$53,0)),0))</f>
        <v/>
      </c>
      <c r="R1669" s="10" t="str">
        <f aca="false">IF($B1669="","",$P1669-$Q1669)</f>
        <v/>
      </c>
      <c r="S1669" s="23" t="str">
        <f aca="false">IF($B1669="","",IF(COUNTIFS($A$4:$A$2003,$A1669-1,$B$4:$B$2003,$B1669)=0,"first day",IF(SUMIFS($M$4:$M$2003,$A$4:$A$2003,$A1669-1,$B$4:$B$2003,$B1669)=$J1669,"OK","CHECK")))</f>
        <v/>
      </c>
      <c r="T1669" s="10" t="str">
        <f aca="false">IF($B1669="","",IFERROR(INDEX(Drinks!$D$4:$D$53,MATCH($B1669,Drinks!$A$4:$A$53,0)),0))</f>
        <v/>
      </c>
    </row>
    <row r="1670" customFormat="false" ht="15" hidden="false" customHeight="false" outlineLevel="0" collapsed="false">
      <c r="A1670" s="22"/>
      <c r="B1670" s="9"/>
      <c r="C1670" s="9"/>
      <c r="D1670" s="9"/>
      <c r="E1670" s="9"/>
      <c r="F1670" s="10" t="str">
        <f aca="false">IF($B1670="","",$C1670+$D1670-$E1670)</f>
        <v/>
      </c>
      <c r="G1670" s="10" t="str">
        <f aca="false">IF($B1670="","",IFERROR(INDEX(Drinks!$C$4:$C$53,MATCH($B1670,Drinks!$A$4:$A$53,0)),0))</f>
        <v/>
      </c>
      <c r="H1670" s="10" t="str">
        <f aca="false">IF($B1670="","",$D1670*$G1670)</f>
        <v/>
      </c>
      <c r="I1670" s="10" t="str">
        <f aca="false">IF($B1670="","",$F1670*$G1670)</f>
        <v/>
      </c>
      <c r="J1670" s="9"/>
      <c r="K1670" s="10" t="str">
        <f aca="false">IF($B1670="","",$E1670*IFERROR(INDEX(Drinks!$B$4:$B$53,MATCH($B1670,Drinks!$A$4:$A$53,0)),0))</f>
        <v/>
      </c>
      <c r="L1670" s="10" t="str">
        <f aca="false">IF($B1670="","",$J1670+$K1670)</f>
        <v/>
      </c>
      <c r="M1670" s="9"/>
      <c r="N1670" s="10" t="str">
        <f aca="false">IF($B1670="","",$L1670-$M1670)</f>
        <v/>
      </c>
      <c r="O1670" s="10" t="str">
        <f aca="false">IF($B1670="","",IFERROR(INDEX(Drinks!$E$4:$E$53,MATCH($B1670,Drinks!$A$4:$A$53,0)),0))</f>
        <v/>
      </c>
      <c r="P1670" s="10" t="str">
        <f aca="false">IF($B1670="","",$N1670*$O1670)</f>
        <v/>
      </c>
      <c r="Q1670" s="10" t="str">
        <f aca="false">IF($B1670="","",$N1670*IFERROR(INDEX(Drinks!$D$4:$D$53,MATCH($B1670,Drinks!$A$4:$A$53,0)),0))</f>
        <v/>
      </c>
      <c r="R1670" s="10" t="str">
        <f aca="false">IF($B1670="","",$P1670-$Q1670)</f>
        <v/>
      </c>
      <c r="S1670" s="23" t="str">
        <f aca="false">IF($B1670="","",IF(COUNTIFS($A$4:$A$2003,$A1670-1,$B$4:$B$2003,$B1670)=0,"first day",IF(SUMIFS($M$4:$M$2003,$A$4:$A$2003,$A1670-1,$B$4:$B$2003,$B1670)=$J1670,"OK","CHECK")))</f>
        <v/>
      </c>
      <c r="T1670" s="10" t="str">
        <f aca="false">IF($B1670="","",IFERROR(INDEX(Drinks!$D$4:$D$53,MATCH($B1670,Drinks!$A$4:$A$53,0)),0))</f>
        <v/>
      </c>
    </row>
    <row r="1671" customFormat="false" ht="15" hidden="false" customHeight="false" outlineLevel="0" collapsed="false">
      <c r="A1671" s="22"/>
      <c r="B1671" s="9"/>
      <c r="C1671" s="9"/>
      <c r="D1671" s="9"/>
      <c r="E1671" s="9"/>
      <c r="F1671" s="10" t="str">
        <f aca="false">IF($B1671="","",$C1671+$D1671-$E1671)</f>
        <v/>
      </c>
      <c r="G1671" s="10" t="str">
        <f aca="false">IF($B1671="","",IFERROR(INDEX(Drinks!$C$4:$C$53,MATCH($B1671,Drinks!$A$4:$A$53,0)),0))</f>
        <v/>
      </c>
      <c r="H1671" s="10" t="str">
        <f aca="false">IF($B1671="","",$D1671*$G1671)</f>
        <v/>
      </c>
      <c r="I1671" s="10" t="str">
        <f aca="false">IF($B1671="","",$F1671*$G1671)</f>
        <v/>
      </c>
      <c r="J1671" s="9"/>
      <c r="K1671" s="10" t="str">
        <f aca="false">IF($B1671="","",$E1671*IFERROR(INDEX(Drinks!$B$4:$B$53,MATCH($B1671,Drinks!$A$4:$A$53,0)),0))</f>
        <v/>
      </c>
      <c r="L1671" s="10" t="str">
        <f aca="false">IF($B1671="","",$J1671+$K1671)</f>
        <v/>
      </c>
      <c r="M1671" s="9"/>
      <c r="N1671" s="10" t="str">
        <f aca="false">IF($B1671="","",$L1671-$M1671)</f>
        <v/>
      </c>
      <c r="O1671" s="10" t="str">
        <f aca="false">IF($B1671="","",IFERROR(INDEX(Drinks!$E$4:$E$53,MATCH($B1671,Drinks!$A$4:$A$53,0)),0))</f>
        <v/>
      </c>
      <c r="P1671" s="10" t="str">
        <f aca="false">IF($B1671="","",$N1671*$O1671)</f>
        <v/>
      </c>
      <c r="Q1671" s="10" t="str">
        <f aca="false">IF($B1671="","",$N1671*IFERROR(INDEX(Drinks!$D$4:$D$53,MATCH($B1671,Drinks!$A$4:$A$53,0)),0))</f>
        <v/>
      </c>
      <c r="R1671" s="10" t="str">
        <f aca="false">IF($B1671="","",$P1671-$Q1671)</f>
        <v/>
      </c>
      <c r="S1671" s="23" t="str">
        <f aca="false">IF($B1671="","",IF(COUNTIFS($A$4:$A$2003,$A1671-1,$B$4:$B$2003,$B1671)=0,"first day",IF(SUMIFS($M$4:$M$2003,$A$4:$A$2003,$A1671-1,$B$4:$B$2003,$B1671)=$J1671,"OK","CHECK")))</f>
        <v/>
      </c>
      <c r="T1671" s="10" t="str">
        <f aca="false">IF($B1671="","",IFERROR(INDEX(Drinks!$D$4:$D$53,MATCH($B1671,Drinks!$A$4:$A$53,0)),0))</f>
        <v/>
      </c>
    </row>
    <row r="1672" customFormat="false" ht="15" hidden="false" customHeight="false" outlineLevel="0" collapsed="false">
      <c r="A1672" s="22"/>
      <c r="B1672" s="9"/>
      <c r="C1672" s="9"/>
      <c r="D1672" s="9"/>
      <c r="E1672" s="9"/>
      <c r="F1672" s="10" t="str">
        <f aca="false">IF($B1672="","",$C1672+$D1672-$E1672)</f>
        <v/>
      </c>
      <c r="G1672" s="10" t="str">
        <f aca="false">IF($B1672="","",IFERROR(INDEX(Drinks!$C$4:$C$53,MATCH($B1672,Drinks!$A$4:$A$53,0)),0))</f>
        <v/>
      </c>
      <c r="H1672" s="10" t="str">
        <f aca="false">IF($B1672="","",$D1672*$G1672)</f>
        <v/>
      </c>
      <c r="I1672" s="10" t="str">
        <f aca="false">IF($B1672="","",$F1672*$G1672)</f>
        <v/>
      </c>
      <c r="J1672" s="9"/>
      <c r="K1672" s="10" t="str">
        <f aca="false">IF($B1672="","",$E1672*IFERROR(INDEX(Drinks!$B$4:$B$53,MATCH($B1672,Drinks!$A$4:$A$53,0)),0))</f>
        <v/>
      </c>
      <c r="L1672" s="10" t="str">
        <f aca="false">IF($B1672="","",$J1672+$K1672)</f>
        <v/>
      </c>
      <c r="M1672" s="9"/>
      <c r="N1672" s="10" t="str">
        <f aca="false">IF($B1672="","",$L1672-$M1672)</f>
        <v/>
      </c>
      <c r="O1672" s="10" t="str">
        <f aca="false">IF($B1672="","",IFERROR(INDEX(Drinks!$E$4:$E$53,MATCH($B1672,Drinks!$A$4:$A$53,0)),0))</f>
        <v/>
      </c>
      <c r="P1672" s="10" t="str">
        <f aca="false">IF($B1672="","",$N1672*$O1672)</f>
        <v/>
      </c>
      <c r="Q1672" s="10" t="str">
        <f aca="false">IF($B1672="","",$N1672*IFERROR(INDEX(Drinks!$D$4:$D$53,MATCH($B1672,Drinks!$A$4:$A$53,0)),0))</f>
        <v/>
      </c>
      <c r="R1672" s="10" t="str">
        <f aca="false">IF($B1672="","",$P1672-$Q1672)</f>
        <v/>
      </c>
      <c r="S1672" s="23" t="str">
        <f aca="false">IF($B1672="","",IF(COUNTIFS($A$4:$A$2003,$A1672-1,$B$4:$B$2003,$B1672)=0,"first day",IF(SUMIFS($M$4:$M$2003,$A$4:$A$2003,$A1672-1,$B$4:$B$2003,$B1672)=$J1672,"OK","CHECK")))</f>
        <v/>
      </c>
      <c r="T1672" s="10" t="str">
        <f aca="false">IF($B1672="","",IFERROR(INDEX(Drinks!$D$4:$D$53,MATCH($B1672,Drinks!$A$4:$A$53,0)),0))</f>
        <v/>
      </c>
    </row>
    <row r="1673" customFormat="false" ht="15" hidden="false" customHeight="false" outlineLevel="0" collapsed="false">
      <c r="A1673" s="22"/>
      <c r="B1673" s="9"/>
      <c r="C1673" s="9"/>
      <c r="D1673" s="9"/>
      <c r="E1673" s="9"/>
      <c r="F1673" s="10" t="str">
        <f aca="false">IF($B1673="","",$C1673+$D1673-$E1673)</f>
        <v/>
      </c>
      <c r="G1673" s="10" t="str">
        <f aca="false">IF($B1673="","",IFERROR(INDEX(Drinks!$C$4:$C$53,MATCH($B1673,Drinks!$A$4:$A$53,0)),0))</f>
        <v/>
      </c>
      <c r="H1673" s="10" t="str">
        <f aca="false">IF($B1673="","",$D1673*$G1673)</f>
        <v/>
      </c>
      <c r="I1673" s="10" t="str">
        <f aca="false">IF($B1673="","",$F1673*$G1673)</f>
        <v/>
      </c>
      <c r="J1673" s="9"/>
      <c r="K1673" s="10" t="str">
        <f aca="false">IF($B1673="","",$E1673*IFERROR(INDEX(Drinks!$B$4:$B$53,MATCH($B1673,Drinks!$A$4:$A$53,0)),0))</f>
        <v/>
      </c>
      <c r="L1673" s="10" t="str">
        <f aca="false">IF($B1673="","",$J1673+$K1673)</f>
        <v/>
      </c>
      <c r="M1673" s="9"/>
      <c r="N1673" s="10" t="str">
        <f aca="false">IF($B1673="","",$L1673-$M1673)</f>
        <v/>
      </c>
      <c r="O1673" s="10" t="str">
        <f aca="false">IF($B1673="","",IFERROR(INDEX(Drinks!$E$4:$E$53,MATCH($B1673,Drinks!$A$4:$A$53,0)),0))</f>
        <v/>
      </c>
      <c r="P1673" s="10" t="str">
        <f aca="false">IF($B1673="","",$N1673*$O1673)</f>
        <v/>
      </c>
      <c r="Q1673" s="10" t="str">
        <f aca="false">IF($B1673="","",$N1673*IFERROR(INDEX(Drinks!$D$4:$D$53,MATCH($B1673,Drinks!$A$4:$A$53,0)),0))</f>
        <v/>
      </c>
      <c r="R1673" s="10" t="str">
        <f aca="false">IF($B1673="","",$P1673-$Q1673)</f>
        <v/>
      </c>
      <c r="S1673" s="23" t="str">
        <f aca="false">IF($B1673="","",IF(COUNTIFS($A$4:$A$2003,$A1673-1,$B$4:$B$2003,$B1673)=0,"first day",IF(SUMIFS($M$4:$M$2003,$A$4:$A$2003,$A1673-1,$B$4:$B$2003,$B1673)=$J1673,"OK","CHECK")))</f>
        <v/>
      </c>
      <c r="T1673" s="10" t="str">
        <f aca="false">IF($B1673="","",IFERROR(INDEX(Drinks!$D$4:$D$53,MATCH($B1673,Drinks!$A$4:$A$53,0)),0))</f>
        <v/>
      </c>
    </row>
    <row r="1674" customFormat="false" ht="15" hidden="false" customHeight="false" outlineLevel="0" collapsed="false">
      <c r="A1674" s="22"/>
      <c r="B1674" s="9"/>
      <c r="C1674" s="9"/>
      <c r="D1674" s="9"/>
      <c r="E1674" s="9"/>
      <c r="F1674" s="10" t="str">
        <f aca="false">IF($B1674="","",$C1674+$D1674-$E1674)</f>
        <v/>
      </c>
      <c r="G1674" s="10" t="str">
        <f aca="false">IF($B1674="","",IFERROR(INDEX(Drinks!$C$4:$C$53,MATCH($B1674,Drinks!$A$4:$A$53,0)),0))</f>
        <v/>
      </c>
      <c r="H1674" s="10" t="str">
        <f aca="false">IF($B1674="","",$D1674*$G1674)</f>
        <v/>
      </c>
      <c r="I1674" s="10" t="str">
        <f aca="false">IF($B1674="","",$F1674*$G1674)</f>
        <v/>
      </c>
      <c r="J1674" s="9"/>
      <c r="K1674" s="10" t="str">
        <f aca="false">IF($B1674="","",$E1674*IFERROR(INDEX(Drinks!$B$4:$B$53,MATCH($B1674,Drinks!$A$4:$A$53,0)),0))</f>
        <v/>
      </c>
      <c r="L1674" s="10" t="str">
        <f aca="false">IF($B1674="","",$J1674+$K1674)</f>
        <v/>
      </c>
      <c r="M1674" s="9"/>
      <c r="N1674" s="10" t="str">
        <f aca="false">IF($B1674="","",$L1674-$M1674)</f>
        <v/>
      </c>
      <c r="O1674" s="10" t="str">
        <f aca="false">IF($B1674="","",IFERROR(INDEX(Drinks!$E$4:$E$53,MATCH($B1674,Drinks!$A$4:$A$53,0)),0))</f>
        <v/>
      </c>
      <c r="P1674" s="10" t="str">
        <f aca="false">IF($B1674="","",$N1674*$O1674)</f>
        <v/>
      </c>
      <c r="Q1674" s="10" t="str">
        <f aca="false">IF($B1674="","",$N1674*IFERROR(INDEX(Drinks!$D$4:$D$53,MATCH($B1674,Drinks!$A$4:$A$53,0)),0))</f>
        <v/>
      </c>
      <c r="R1674" s="10" t="str">
        <f aca="false">IF($B1674="","",$P1674-$Q1674)</f>
        <v/>
      </c>
      <c r="S1674" s="23" t="str">
        <f aca="false">IF($B1674="","",IF(COUNTIFS($A$4:$A$2003,$A1674-1,$B$4:$B$2003,$B1674)=0,"first day",IF(SUMIFS($M$4:$M$2003,$A$4:$A$2003,$A1674-1,$B$4:$B$2003,$B1674)=$J1674,"OK","CHECK")))</f>
        <v/>
      </c>
      <c r="T1674" s="10" t="str">
        <f aca="false">IF($B1674="","",IFERROR(INDEX(Drinks!$D$4:$D$53,MATCH($B1674,Drinks!$A$4:$A$53,0)),0))</f>
        <v/>
      </c>
    </row>
    <row r="1675" customFormat="false" ht="15" hidden="false" customHeight="false" outlineLevel="0" collapsed="false">
      <c r="A1675" s="22"/>
      <c r="B1675" s="9"/>
      <c r="C1675" s="9"/>
      <c r="D1675" s="9"/>
      <c r="E1675" s="9"/>
      <c r="F1675" s="10" t="str">
        <f aca="false">IF($B1675="","",$C1675+$D1675-$E1675)</f>
        <v/>
      </c>
      <c r="G1675" s="10" t="str">
        <f aca="false">IF($B1675="","",IFERROR(INDEX(Drinks!$C$4:$C$53,MATCH($B1675,Drinks!$A$4:$A$53,0)),0))</f>
        <v/>
      </c>
      <c r="H1675" s="10" t="str">
        <f aca="false">IF($B1675="","",$D1675*$G1675)</f>
        <v/>
      </c>
      <c r="I1675" s="10" t="str">
        <f aca="false">IF($B1675="","",$F1675*$G1675)</f>
        <v/>
      </c>
      <c r="J1675" s="9"/>
      <c r="K1675" s="10" t="str">
        <f aca="false">IF($B1675="","",$E1675*IFERROR(INDEX(Drinks!$B$4:$B$53,MATCH($B1675,Drinks!$A$4:$A$53,0)),0))</f>
        <v/>
      </c>
      <c r="L1675" s="10" t="str">
        <f aca="false">IF($B1675="","",$J1675+$K1675)</f>
        <v/>
      </c>
      <c r="M1675" s="9"/>
      <c r="N1675" s="10" t="str">
        <f aca="false">IF($B1675="","",$L1675-$M1675)</f>
        <v/>
      </c>
      <c r="O1675" s="10" t="str">
        <f aca="false">IF($B1675="","",IFERROR(INDEX(Drinks!$E$4:$E$53,MATCH($B1675,Drinks!$A$4:$A$53,0)),0))</f>
        <v/>
      </c>
      <c r="P1675" s="10" t="str">
        <f aca="false">IF($B1675="","",$N1675*$O1675)</f>
        <v/>
      </c>
      <c r="Q1675" s="10" t="str">
        <f aca="false">IF($B1675="","",$N1675*IFERROR(INDEX(Drinks!$D$4:$D$53,MATCH($B1675,Drinks!$A$4:$A$53,0)),0))</f>
        <v/>
      </c>
      <c r="R1675" s="10" t="str">
        <f aca="false">IF($B1675="","",$P1675-$Q1675)</f>
        <v/>
      </c>
      <c r="S1675" s="23" t="str">
        <f aca="false">IF($B1675="","",IF(COUNTIFS($A$4:$A$2003,$A1675-1,$B$4:$B$2003,$B1675)=0,"first day",IF(SUMIFS($M$4:$M$2003,$A$4:$A$2003,$A1675-1,$B$4:$B$2003,$B1675)=$J1675,"OK","CHECK")))</f>
        <v/>
      </c>
      <c r="T1675" s="10" t="str">
        <f aca="false">IF($B1675="","",IFERROR(INDEX(Drinks!$D$4:$D$53,MATCH($B1675,Drinks!$A$4:$A$53,0)),0))</f>
        <v/>
      </c>
    </row>
    <row r="1676" customFormat="false" ht="15" hidden="false" customHeight="false" outlineLevel="0" collapsed="false">
      <c r="A1676" s="22"/>
      <c r="B1676" s="9"/>
      <c r="C1676" s="9"/>
      <c r="D1676" s="9"/>
      <c r="E1676" s="9"/>
      <c r="F1676" s="10" t="str">
        <f aca="false">IF($B1676="","",$C1676+$D1676-$E1676)</f>
        <v/>
      </c>
      <c r="G1676" s="10" t="str">
        <f aca="false">IF($B1676="","",IFERROR(INDEX(Drinks!$C$4:$C$53,MATCH($B1676,Drinks!$A$4:$A$53,0)),0))</f>
        <v/>
      </c>
      <c r="H1676" s="10" t="str">
        <f aca="false">IF($B1676="","",$D1676*$G1676)</f>
        <v/>
      </c>
      <c r="I1676" s="10" t="str">
        <f aca="false">IF($B1676="","",$F1676*$G1676)</f>
        <v/>
      </c>
      <c r="J1676" s="9"/>
      <c r="K1676" s="10" t="str">
        <f aca="false">IF($B1676="","",$E1676*IFERROR(INDEX(Drinks!$B$4:$B$53,MATCH($B1676,Drinks!$A$4:$A$53,0)),0))</f>
        <v/>
      </c>
      <c r="L1676" s="10" t="str">
        <f aca="false">IF($B1676="","",$J1676+$K1676)</f>
        <v/>
      </c>
      <c r="M1676" s="9"/>
      <c r="N1676" s="10" t="str">
        <f aca="false">IF($B1676="","",$L1676-$M1676)</f>
        <v/>
      </c>
      <c r="O1676" s="10" t="str">
        <f aca="false">IF($B1676="","",IFERROR(INDEX(Drinks!$E$4:$E$53,MATCH($B1676,Drinks!$A$4:$A$53,0)),0))</f>
        <v/>
      </c>
      <c r="P1676" s="10" t="str">
        <f aca="false">IF($B1676="","",$N1676*$O1676)</f>
        <v/>
      </c>
      <c r="Q1676" s="10" t="str">
        <f aca="false">IF($B1676="","",$N1676*IFERROR(INDEX(Drinks!$D$4:$D$53,MATCH($B1676,Drinks!$A$4:$A$53,0)),0))</f>
        <v/>
      </c>
      <c r="R1676" s="10" t="str">
        <f aca="false">IF($B1676="","",$P1676-$Q1676)</f>
        <v/>
      </c>
      <c r="S1676" s="23" t="str">
        <f aca="false">IF($B1676="","",IF(COUNTIFS($A$4:$A$2003,$A1676-1,$B$4:$B$2003,$B1676)=0,"first day",IF(SUMIFS($M$4:$M$2003,$A$4:$A$2003,$A1676-1,$B$4:$B$2003,$B1676)=$J1676,"OK","CHECK")))</f>
        <v/>
      </c>
      <c r="T1676" s="10" t="str">
        <f aca="false">IF($B1676="","",IFERROR(INDEX(Drinks!$D$4:$D$53,MATCH($B1676,Drinks!$A$4:$A$53,0)),0))</f>
        <v/>
      </c>
    </row>
    <row r="1677" customFormat="false" ht="15" hidden="false" customHeight="false" outlineLevel="0" collapsed="false">
      <c r="A1677" s="22"/>
      <c r="B1677" s="9"/>
      <c r="C1677" s="9"/>
      <c r="D1677" s="9"/>
      <c r="E1677" s="9"/>
      <c r="F1677" s="10" t="str">
        <f aca="false">IF($B1677="","",$C1677+$D1677-$E1677)</f>
        <v/>
      </c>
      <c r="G1677" s="10" t="str">
        <f aca="false">IF($B1677="","",IFERROR(INDEX(Drinks!$C$4:$C$53,MATCH($B1677,Drinks!$A$4:$A$53,0)),0))</f>
        <v/>
      </c>
      <c r="H1677" s="10" t="str">
        <f aca="false">IF($B1677="","",$D1677*$G1677)</f>
        <v/>
      </c>
      <c r="I1677" s="10" t="str">
        <f aca="false">IF($B1677="","",$F1677*$G1677)</f>
        <v/>
      </c>
      <c r="J1677" s="9"/>
      <c r="K1677" s="10" t="str">
        <f aca="false">IF($B1677="","",$E1677*IFERROR(INDEX(Drinks!$B$4:$B$53,MATCH($B1677,Drinks!$A$4:$A$53,0)),0))</f>
        <v/>
      </c>
      <c r="L1677" s="10" t="str">
        <f aca="false">IF($B1677="","",$J1677+$K1677)</f>
        <v/>
      </c>
      <c r="M1677" s="9"/>
      <c r="N1677" s="10" t="str">
        <f aca="false">IF($B1677="","",$L1677-$M1677)</f>
        <v/>
      </c>
      <c r="O1677" s="10" t="str">
        <f aca="false">IF($B1677="","",IFERROR(INDEX(Drinks!$E$4:$E$53,MATCH($B1677,Drinks!$A$4:$A$53,0)),0))</f>
        <v/>
      </c>
      <c r="P1677" s="10" t="str">
        <f aca="false">IF($B1677="","",$N1677*$O1677)</f>
        <v/>
      </c>
      <c r="Q1677" s="10" t="str">
        <f aca="false">IF($B1677="","",$N1677*IFERROR(INDEX(Drinks!$D$4:$D$53,MATCH($B1677,Drinks!$A$4:$A$53,0)),0))</f>
        <v/>
      </c>
      <c r="R1677" s="10" t="str">
        <f aca="false">IF($B1677="","",$P1677-$Q1677)</f>
        <v/>
      </c>
      <c r="S1677" s="23" t="str">
        <f aca="false">IF($B1677="","",IF(COUNTIFS($A$4:$A$2003,$A1677-1,$B$4:$B$2003,$B1677)=0,"first day",IF(SUMIFS($M$4:$M$2003,$A$4:$A$2003,$A1677-1,$B$4:$B$2003,$B1677)=$J1677,"OK","CHECK")))</f>
        <v/>
      </c>
      <c r="T1677" s="10" t="str">
        <f aca="false">IF($B1677="","",IFERROR(INDEX(Drinks!$D$4:$D$53,MATCH($B1677,Drinks!$A$4:$A$53,0)),0))</f>
        <v/>
      </c>
    </row>
    <row r="1678" customFormat="false" ht="15" hidden="false" customHeight="false" outlineLevel="0" collapsed="false">
      <c r="A1678" s="22"/>
      <c r="B1678" s="9"/>
      <c r="C1678" s="9"/>
      <c r="D1678" s="9"/>
      <c r="E1678" s="9"/>
      <c r="F1678" s="10" t="str">
        <f aca="false">IF($B1678="","",$C1678+$D1678-$E1678)</f>
        <v/>
      </c>
      <c r="G1678" s="10" t="str">
        <f aca="false">IF($B1678="","",IFERROR(INDEX(Drinks!$C$4:$C$53,MATCH($B1678,Drinks!$A$4:$A$53,0)),0))</f>
        <v/>
      </c>
      <c r="H1678" s="10" t="str">
        <f aca="false">IF($B1678="","",$D1678*$G1678)</f>
        <v/>
      </c>
      <c r="I1678" s="10" t="str">
        <f aca="false">IF($B1678="","",$F1678*$G1678)</f>
        <v/>
      </c>
      <c r="J1678" s="9"/>
      <c r="K1678" s="10" t="str">
        <f aca="false">IF($B1678="","",$E1678*IFERROR(INDEX(Drinks!$B$4:$B$53,MATCH($B1678,Drinks!$A$4:$A$53,0)),0))</f>
        <v/>
      </c>
      <c r="L1678" s="10" t="str">
        <f aca="false">IF($B1678="","",$J1678+$K1678)</f>
        <v/>
      </c>
      <c r="M1678" s="9"/>
      <c r="N1678" s="10" t="str">
        <f aca="false">IF($B1678="","",$L1678-$M1678)</f>
        <v/>
      </c>
      <c r="O1678" s="10" t="str">
        <f aca="false">IF($B1678="","",IFERROR(INDEX(Drinks!$E$4:$E$53,MATCH($B1678,Drinks!$A$4:$A$53,0)),0))</f>
        <v/>
      </c>
      <c r="P1678" s="10" t="str">
        <f aca="false">IF($B1678="","",$N1678*$O1678)</f>
        <v/>
      </c>
      <c r="Q1678" s="10" t="str">
        <f aca="false">IF($B1678="","",$N1678*IFERROR(INDEX(Drinks!$D$4:$D$53,MATCH($B1678,Drinks!$A$4:$A$53,0)),0))</f>
        <v/>
      </c>
      <c r="R1678" s="10" t="str">
        <f aca="false">IF($B1678="","",$P1678-$Q1678)</f>
        <v/>
      </c>
      <c r="S1678" s="23" t="str">
        <f aca="false">IF($B1678="","",IF(COUNTIFS($A$4:$A$2003,$A1678-1,$B$4:$B$2003,$B1678)=0,"first day",IF(SUMIFS($M$4:$M$2003,$A$4:$A$2003,$A1678-1,$B$4:$B$2003,$B1678)=$J1678,"OK","CHECK")))</f>
        <v/>
      </c>
      <c r="T1678" s="10" t="str">
        <f aca="false">IF($B1678="","",IFERROR(INDEX(Drinks!$D$4:$D$53,MATCH($B1678,Drinks!$A$4:$A$53,0)),0))</f>
        <v/>
      </c>
    </row>
    <row r="1679" customFormat="false" ht="15" hidden="false" customHeight="false" outlineLevel="0" collapsed="false">
      <c r="A1679" s="22"/>
      <c r="B1679" s="9"/>
      <c r="C1679" s="9"/>
      <c r="D1679" s="9"/>
      <c r="E1679" s="9"/>
      <c r="F1679" s="10" t="str">
        <f aca="false">IF($B1679="","",$C1679+$D1679-$E1679)</f>
        <v/>
      </c>
      <c r="G1679" s="10" t="str">
        <f aca="false">IF($B1679="","",IFERROR(INDEX(Drinks!$C$4:$C$53,MATCH($B1679,Drinks!$A$4:$A$53,0)),0))</f>
        <v/>
      </c>
      <c r="H1679" s="10" t="str">
        <f aca="false">IF($B1679="","",$D1679*$G1679)</f>
        <v/>
      </c>
      <c r="I1679" s="10" t="str">
        <f aca="false">IF($B1679="","",$F1679*$G1679)</f>
        <v/>
      </c>
      <c r="J1679" s="9"/>
      <c r="K1679" s="10" t="str">
        <f aca="false">IF($B1679="","",$E1679*IFERROR(INDEX(Drinks!$B$4:$B$53,MATCH($B1679,Drinks!$A$4:$A$53,0)),0))</f>
        <v/>
      </c>
      <c r="L1679" s="10" t="str">
        <f aca="false">IF($B1679="","",$J1679+$K1679)</f>
        <v/>
      </c>
      <c r="M1679" s="9"/>
      <c r="N1679" s="10" t="str">
        <f aca="false">IF($B1679="","",$L1679-$M1679)</f>
        <v/>
      </c>
      <c r="O1679" s="10" t="str">
        <f aca="false">IF($B1679="","",IFERROR(INDEX(Drinks!$E$4:$E$53,MATCH($B1679,Drinks!$A$4:$A$53,0)),0))</f>
        <v/>
      </c>
      <c r="P1679" s="10" t="str">
        <f aca="false">IF($B1679="","",$N1679*$O1679)</f>
        <v/>
      </c>
      <c r="Q1679" s="10" t="str">
        <f aca="false">IF($B1679="","",$N1679*IFERROR(INDEX(Drinks!$D$4:$D$53,MATCH($B1679,Drinks!$A$4:$A$53,0)),0))</f>
        <v/>
      </c>
      <c r="R1679" s="10" t="str">
        <f aca="false">IF($B1679="","",$P1679-$Q1679)</f>
        <v/>
      </c>
      <c r="S1679" s="23" t="str">
        <f aca="false">IF($B1679="","",IF(COUNTIFS($A$4:$A$2003,$A1679-1,$B$4:$B$2003,$B1679)=0,"first day",IF(SUMIFS($M$4:$M$2003,$A$4:$A$2003,$A1679-1,$B$4:$B$2003,$B1679)=$J1679,"OK","CHECK")))</f>
        <v/>
      </c>
      <c r="T1679" s="10" t="str">
        <f aca="false">IF($B1679="","",IFERROR(INDEX(Drinks!$D$4:$D$53,MATCH($B1679,Drinks!$A$4:$A$53,0)),0))</f>
        <v/>
      </c>
    </row>
    <row r="1680" customFormat="false" ht="15" hidden="false" customHeight="false" outlineLevel="0" collapsed="false">
      <c r="A1680" s="22"/>
      <c r="B1680" s="9"/>
      <c r="C1680" s="9"/>
      <c r="D1680" s="9"/>
      <c r="E1680" s="9"/>
      <c r="F1680" s="10" t="str">
        <f aca="false">IF($B1680="","",$C1680+$D1680-$E1680)</f>
        <v/>
      </c>
      <c r="G1680" s="10" t="str">
        <f aca="false">IF($B1680="","",IFERROR(INDEX(Drinks!$C$4:$C$53,MATCH($B1680,Drinks!$A$4:$A$53,0)),0))</f>
        <v/>
      </c>
      <c r="H1680" s="10" t="str">
        <f aca="false">IF($B1680="","",$D1680*$G1680)</f>
        <v/>
      </c>
      <c r="I1680" s="10" t="str">
        <f aca="false">IF($B1680="","",$F1680*$G1680)</f>
        <v/>
      </c>
      <c r="J1680" s="9"/>
      <c r="K1680" s="10" t="str">
        <f aca="false">IF($B1680="","",$E1680*IFERROR(INDEX(Drinks!$B$4:$B$53,MATCH($B1680,Drinks!$A$4:$A$53,0)),0))</f>
        <v/>
      </c>
      <c r="L1680" s="10" t="str">
        <f aca="false">IF($B1680="","",$J1680+$K1680)</f>
        <v/>
      </c>
      <c r="M1680" s="9"/>
      <c r="N1680" s="10" t="str">
        <f aca="false">IF($B1680="","",$L1680-$M1680)</f>
        <v/>
      </c>
      <c r="O1680" s="10" t="str">
        <f aca="false">IF($B1680="","",IFERROR(INDEX(Drinks!$E$4:$E$53,MATCH($B1680,Drinks!$A$4:$A$53,0)),0))</f>
        <v/>
      </c>
      <c r="P1680" s="10" t="str">
        <f aca="false">IF($B1680="","",$N1680*$O1680)</f>
        <v/>
      </c>
      <c r="Q1680" s="10" t="str">
        <f aca="false">IF($B1680="","",$N1680*IFERROR(INDEX(Drinks!$D$4:$D$53,MATCH($B1680,Drinks!$A$4:$A$53,0)),0))</f>
        <v/>
      </c>
      <c r="R1680" s="10" t="str">
        <f aca="false">IF($B1680="","",$P1680-$Q1680)</f>
        <v/>
      </c>
      <c r="S1680" s="23" t="str">
        <f aca="false">IF($B1680="","",IF(COUNTIFS($A$4:$A$2003,$A1680-1,$B$4:$B$2003,$B1680)=0,"first day",IF(SUMIFS($M$4:$M$2003,$A$4:$A$2003,$A1680-1,$B$4:$B$2003,$B1680)=$J1680,"OK","CHECK")))</f>
        <v/>
      </c>
      <c r="T1680" s="10" t="str">
        <f aca="false">IF($B1680="","",IFERROR(INDEX(Drinks!$D$4:$D$53,MATCH($B1680,Drinks!$A$4:$A$53,0)),0))</f>
        <v/>
      </c>
    </row>
    <row r="1681" customFormat="false" ht="15" hidden="false" customHeight="false" outlineLevel="0" collapsed="false">
      <c r="A1681" s="22"/>
      <c r="B1681" s="9"/>
      <c r="C1681" s="9"/>
      <c r="D1681" s="9"/>
      <c r="E1681" s="9"/>
      <c r="F1681" s="10" t="str">
        <f aca="false">IF($B1681="","",$C1681+$D1681-$E1681)</f>
        <v/>
      </c>
      <c r="G1681" s="10" t="str">
        <f aca="false">IF($B1681="","",IFERROR(INDEX(Drinks!$C$4:$C$53,MATCH($B1681,Drinks!$A$4:$A$53,0)),0))</f>
        <v/>
      </c>
      <c r="H1681" s="10" t="str">
        <f aca="false">IF($B1681="","",$D1681*$G1681)</f>
        <v/>
      </c>
      <c r="I1681" s="10" t="str">
        <f aca="false">IF($B1681="","",$F1681*$G1681)</f>
        <v/>
      </c>
      <c r="J1681" s="9"/>
      <c r="K1681" s="10" t="str">
        <f aca="false">IF($B1681="","",$E1681*IFERROR(INDEX(Drinks!$B$4:$B$53,MATCH($B1681,Drinks!$A$4:$A$53,0)),0))</f>
        <v/>
      </c>
      <c r="L1681" s="10" t="str">
        <f aca="false">IF($B1681="","",$J1681+$K1681)</f>
        <v/>
      </c>
      <c r="M1681" s="9"/>
      <c r="N1681" s="10" t="str">
        <f aca="false">IF($B1681="","",$L1681-$M1681)</f>
        <v/>
      </c>
      <c r="O1681" s="10" t="str">
        <f aca="false">IF($B1681="","",IFERROR(INDEX(Drinks!$E$4:$E$53,MATCH($B1681,Drinks!$A$4:$A$53,0)),0))</f>
        <v/>
      </c>
      <c r="P1681" s="10" t="str">
        <f aca="false">IF($B1681="","",$N1681*$O1681)</f>
        <v/>
      </c>
      <c r="Q1681" s="10" t="str">
        <f aca="false">IF($B1681="","",$N1681*IFERROR(INDEX(Drinks!$D$4:$D$53,MATCH($B1681,Drinks!$A$4:$A$53,0)),0))</f>
        <v/>
      </c>
      <c r="R1681" s="10" t="str">
        <f aca="false">IF($B1681="","",$P1681-$Q1681)</f>
        <v/>
      </c>
      <c r="S1681" s="23" t="str">
        <f aca="false">IF($B1681="","",IF(COUNTIFS($A$4:$A$2003,$A1681-1,$B$4:$B$2003,$B1681)=0,"first day",IF(SUMIFS($M$4:$M$2003,$A$4:$A$2003,$A1681-1,$B$4:$B$2003,$B1681)=$J1681,"OK","CHECK")))</f>
        <v/>
      </c>
      <c r="T1681" s="10" t="str">
        <f aca="false">IF($B1681="","",IFERROR(INDEX(Drinks!$D$4:$D$53,MATCH($B1681,Drinks!$A$4:$A$53,0)),0))</f>
        <v/>
      </c>
    </row>
    <row r="1682" customFormat="false" ht="15" hidden="false" customHeight="false" outlineLevel="0" collapsed="false">
      <c r="A1682" s="22"/>
      <c r="B1682" s="9"/>
      <c r="C1682" s="9"/>
      <c r="D1682" s="9"/>
      <c r="E1682" s="9"/>
      <c r="F1682" s="10" t="str">
        <f aca="false">IF($B1682="","",$C1682+$D1682-$E1682)</f>
        <v/>
      </c>
      <c r="G1682" s="10" t="str">
        <f aca="false">IF($B1682="","",IFERROR(INDEX(Drinks!$C$4:$C$53,MATCH($B1682,Drinks!$A$4:$A$53,0)),0))</f>
        <v/>
      </c>
      <c r="H1682" s="10" t="str">
        <f aca="false">IF($B1682="","",$D1682*$G1682)</f>
        <v/>
      </c>
      <c r="I1682" s="10" t="str">
        <f aca="false">IF($B1682="","",$F1682*$G1682)</f>
        <v/>
      </c>
      <c r="J1682" s="9"/>
      <c r="K1682" s="10" t="str">
        <f aca="false">IF($B1682="","",$E1682*IFERROR(INDEX(Drinks!$B$4:$B$53,MATCH($B1682,Drinks!$A$4:$A$53,0)),0))</f>
        <v/>
      </c>
      <c r="L1682" s="10" t="str">
        <f aca="false">IF($B1682="","",$J1682+$K1682)</f>
        <v/>
      </c>
      <c r="M1682" s="9"/>
      <c r="N1682" s="10" t="str">
        <f aca="false">IF($B1682="","",$L1682-$M1682)</f>
        <v/>
      </c>
      <c r="O1682" s="10" t="str">
        <f aca="false">IF($B1682="","",IFERROR(INDEX(Drinks!$E$4:$E$53,MATCH($B1682,Drinks!$A$4:$A$53,0)),0))</f>
        <v/>
      </c>
      <c r="P1682" s="10" t="str">
        <f aca="false">IF($B1682="","",$N1682*$O1682)</f>
        <v/>
      </c>
      <c r="Q1682" s="10" t="str">
        <f aca="false">IF($B1682="","",$N1682*IFERROR(INDEX(Drinks!$D$4:$D$53,MATCH($B1682,Drinks!$A$4:$A$53,0)),0))</f>
        <v/>
      </c>
      <c r="R1682" s="10" t="str">
        <f aca="false">IF($B1682="","",$P1682-$Q1682)</f>
        <v/>
      </c>
      <c r="S1682" s="23" t="str">
        <f aca="false">IF($B1682="","",IF(COUNTIFS($A$4:$A$2003,$A1682-1,$B$4:$B$2003,$B1682)=0,"first day",IF(SUMIFS($M$4:$M$2003,$A$4:$A$2003,$A1682-1,$B$4:$B$2003,$B1682)=$J1682,"OK","CHECK")))</f>
        <v/>
      </c>
      <c r="T1682" s="10" t="str">
        <f aca="false">IF($B1682="","",IFERROR(INDEX(Drinks!$D$4:$D$53,MATCH($B1682,Drinks!$A$4:$A$53,0)),0))</f>
        <v/>
      </c>
    </row>
    <row r="1683" customFormat="false" ht="15" hidden="false" customHeight="false" outlineLevel="0" collapsed="false">
      <c r="A1683" s="22"/>
      <c r="B1683" s="9"/>
      <c r="C1683" s="9"/>
      <c r="D1683" s="9"/>
      <c r="E1683" s="9"/>
      <c r="F1683" s="10" t="str">
        <f aca="false">IF($B1683="","",$C1683+$D1683-$E1683)</f>
        <v/>
      </c>
      <c r="G1683" s="10" t="str">
        <f aca="false">IF($B1683="","",IFERROR(INDEX(Drinks!$C$4:$C$53,MATCH($B1683,Drinks!$A$4:$A$53,0)),0))</f>
        <v/>
      </c>
      <c r="H1683" s="10" t="str">
        <f aca="false">IF($B1683="","",$D1683*$G1683)</f>
        <v/>
      </c>
      <c r="I1683" s="10" t="str">
        <f aca="false">IF($B1683="","",$F1683*$G1683)</f>
        <v/>
      </c>
      <c r="J1683" s="9"/>
      <c r="K1683" s="10" t="str">
        <f aca="false">IF($B1683="","",$E1683*IFERROR(INDEX(Drinks!$B$4:$B$53,MATCH($B1683,Drinks!$A$4:$A$53,0)),0))</f>
        <v/>
      </c>
      <c r="L1683" s="10" t="str">
        <f aca="false">IF($B1683="","",$J1683+$K1683)</f>
        <v/>
      </c>
      <c r="M1683" s="9"/>
      <c r="N1683" s="10" t="str">
        <f aca="false">IF($B1683="","",$L1683-$M1683)</f>
        <v/>
      </c>
      <c r="O1683" s="10" t="str">
        <f aca="false">IF($B1683="","",IFERROR(INDEX(Drinks!$E$4:$E$53,MATCH($B1683,Drinks!$A$4:$A$53,0)),0))</f>
        <v/>
      </c>
      <c r="P1683" s="10" t="str">
        <f aca="false">IF($B1683="","",$N1683*$O1683)</f>
        <v/>
      </c>
      <c r="Q1683" s="10" t="str">
        <f aca="false">IF($B1683="","",$N1683*IFERROR(INDEX(Drinks!$D$4:$D$53,MATCH($B1683,Drinks!$A$4:$A$53,0)),0))</f>
        <v/>
      </c>
      <c r="R1683" s="10" t="str">
        <f aca="false">IF($B1683="","",$P1683-$Q1683)</f>
        <v/>
      </c>
      <c r="S1683" s="23" t="str">
        <f aca="false">IF($B1683="","",IF(COUNTIFS($A$4:$A$2003,$A1683-1,$B$4:$B$2003,$B1683)=0,"first day",IF(SUMIFS($M$4:$M$2003,$A$4:$A$2003,$A1683-1,$B$4:$B$2003,$B1683)=$J1683,"OK","CHECK")))</f>
        <v/>
      </c>
      <c r="T1683" s="10" t="str">
        <f aca="false">IF($B1683="","",IFERROR(INDEX(Drinks!$D$4:$D$53,MATCH($B1683,Drinks!$A$4:$A$53,0)),0))</f>
        <v/>
      </c>
    </row>
    <row r="1684" customFormat="false" ht="15" hidden="false" customHeight="false" outlineLevel="0" collapsed="false">
      <c r="A1684" s="22"/>
      <c r="B1684" s="9"/>
      <c r="C1684" s="9"/>
      <c r="D1684" s="9"/>
      <c r="E1684" s="9"/>
      <c r="F1684" s="10" t="str">
        <f aca="false">IF($B1684="","",$C1684+$D1684-$E1684)</f>
        <v/>
      </c>
      <c r="G1684" s="10" t="str">
        <f aca="false">IF($B1684="","",IFERROR(INDEX(Drinks!$C$4:$C$53,MATCH($B1684,Drinks!$A$4:$A$53,0)),0))</f>
        <v/>
      </c>
      <c r="H1684" s="10" t="str">
        <f aca="false">IF($B1684="","",$D1684*$G1684)</f>
        <v/>
      </c>
      <c r="I1684" s="10" t="str">
        <f aca="false">IF($B1684="","",$F1684*$G1684)</f>
        <v/>
      </c>
      <c r="J1684" s="9"/>
      <c r="K1684" s="10" t="str">
        <f aca="false">IF($B1684="","",$E1684*IFERROR(INDEX(Drinks!$B$4:$B$53,MATCH($B1684,Drinks!$A$4:$A$53,0)),0))</f>
        <v/>
      </c>
      <c r="L1684" s="10" t="str">
        <f aca="false">IF($B1684="","",$J1684+$K1684)</f>
        <v/>
      </c>
      <c r="M1684" s="9"/>
      <c r="N1684" s="10" t="str">
        <f aca="false">IF($B1684="","",$L1684-$M1684)</f>
        <v/>
      </c>
      <c r="O1684" s="10" t="str">
        <f aca="false">IF($B1684="","",IFERROR(INDEX(Drinks!$E$4:$E$53,MATCH($B1684,Drinks!$A$4:$A$53,0)),0))</f>
        <v/>
      </c>
      <c r="P1684" s="10" t="str">
        <f aca="false">IF($B1684="","",$N1684*$O1684)</f>
        <v/>
      </c>
      <c r="Q1684" s="10" t="str">
        <f aca="false">IF($B1684="","",$N1684*IFERROR(INDEX(Drinks!$D$4:$D$53,MATCH($B1684,Drinks!$A$4:$A$53,0)),0))</f>
        <v/>
      </c>
      <c r="R1684" s="10" t="str">
        <f aca="false">IF($B1684="","",$P1684-$Q1684)</f>
        <v/>
      </c>
      <c r="S1684" s="23" t="str">
        <f aca="false">IF($B1684="","",IF(COUNTIFS($A$4:$A$2003,$A1684-1,$B$4:$B$2003,$B1684)=0,"first day",IF(SUMIFS($M$4:$M$2003,$A$4:$A$2003,$A1684-1,$B$4:$B$2003,$B1684)=$J1684,"OK","CHECK")))</f>
        <v/>
      </c>
      <c r="T1684" s="10" t="str">
        <f aca="false">IF($B1684="","",IFERROR(INDEX(Drinks!$D$4:$D$53,MATCH($B1684,Drinks!$A$4:$A$53,0)),0))</f>
        <v/>
      </c>
    </row>
    <row r="1685" customFormat="false" ht="15" hidden="false" customHeight="false" outlineLevel="0" collapsed="false">
      <c r="A1685" s="22"/>
      <c r="B1685" s="9"/>
      <c r="C1685" s="9"/>
      <c r="D1685" s="9"/>
      <c r="E1685" s="9"/>
      <c r="F1685" s="10" t="str">
        <f aca="false">IF($B1685="","",$C1685+$D1685-$E1685)</f>
        <v/>
      </c>
      <c r="G1685" s="10" t="str">
        <f aca="false">IF($B1685="","",IFERROR(INDEX(Drinks!$C$4:$C$53,MATCH($B1685,Drinks!$A$4:$A$53,0)),0))</f>
        <v/>
      </c>
      <c r="H1685" s="10" t="str">
        <f aca="false">IF($B1685="","",$D1685*$G1685)</f>
        <v/>
      </c>
      <c r="I1685" s="10" t="str">
        <f aca="false">IF($B1685="","",$F1685*$G1685)</f>
        <v/>
      </c>
      <c r="J1685" s="9"/>
      <c r="K1685" s="10" t="str">
        <f aca="false">IF($B1685="","",$E1685*IFERROR(INDEX(Drinks!$B$4:$B$53,MATCH($B1685,Drinks!$A$4:$A$53,0)),0))</f>
        <v/>
      </c>
      <c r="L1685" s="10" t="str">
        <f aca="false">IF($B1685="","",$J1685+$K1685)</f>
        <v/>
      </c>
      <c r="M1685" s="9"/>
      <c r="N1685" s="10" t="str">
        <f aca="false">IF($B1685="","",$L1685-$M1685)</f>
        <v/>
      </c>
      <c r="O1685" s="10" t="str">
        <f aca="false">IF($B1685="","",IFERROR(INDEX(Drinks!$E$4:$E$53,MATCH($B1685,Drinks!$A$4:$A$53,0)),0))</f>
        <v/>
      </c>
      <c r="P1685" s="10" t="str">
        <f aca="false">IF($B1685="","",$N1685*$O1685)</f>
        <v/>
      </c>
      <c r="Q1685" s="10" t="str">
        <f aca="false">IF($B1685="","",$N1685*IFERROR(INDEX(Drinks!$D$4:$D$53,MATCH($B1685,Drinks!$A$4:$A$53,0)),0))</f>
        <v/>
      </c>
      <c r="R1685" s="10" t="str">
        <f aca="false">IF($B1685="","",$P1685-$Q1685)</f>
        <v/>
      </c>
      <c r="S1685" s="23" t="str">
        <f aca="false">IF($B1685="","",IF(COUNTIFS($A$4:$A$2003,$A1685-1,$B$4:$B$2003,$B1685)=0,"first day",IF(SUMIFS($M$4:$M$2003,$A$4:$A$2003,$A1685-1,$B$4:$B$2003,$B1685)=$J1685,"OK","CHECK")))</f>
        <v/>
      </c>
      <c r="T1685" s="10" t="str">
        <f aca="false">IF($B1685="","",IFERROR(INDEX(Drinks!$D$4:$D$53,MATCH($B1685,Drinks!$A$4:$A$53,0)),0))</f>
        <v/>
      </c>
    </row>
    <row r="1686" customFormat="false" ht="15" hidden="false" customHeight="false" outlineLevel="0" collapsed="false">
      <c r="A1686" s="22"/>
      <c r="B1686" s="9"/>
      <c r="C1686" s="9"/>
      <c r="D1686" s="9"/>
      <c r="E1686" s="9"/>
      <c r="F1686" s="10" t="str">
        <f aca="false">IF($B1686="","",$C1686+$D1686-$E1686)</f>
        <v/>
      </c>
      <c r="G1686" s="10" t="str">
        <f aca="false">IF($B1686="","",IFERROR(INDEX(Drinks!$C$4:$C$53,MATCH($B1686,Drinks!$A$4:$A$53,0)),0))</f>
        <v/>
      </c>
      <c r="H1686" s="10" t="str">
        <f aca="false">IF($B1686="","",$D1686*$G1686)</f>
        <v/>
      </c>
      <c r="I1686" s="10" t="str">
        <f aca="false">IF($B1686="","",$F1686*$G1686)</f>
        <v/>
      </c>
      <c r="J1686" s="9"/>
      <c r="K1686" s="10" t="str">
        <f aca="false">IF($B1686="","",$E1686*IFERROR(INDEX(Drinks!$B$4:$B$53,MATCH($B1686,Drinks!$A$4:$A$53,0)),0))</f>
        <v/>
      </c>
      <c r="L1686" s="10" t="str">
        <f aca="false">IF($B1686="","",$J1686+$K1686)</f>
        <v/>
      </c>
      <c r="M1686" s="9"/>
      <c r="N1686" s="10" t="str">
        <f aca="false">IF($B1686="","",$L1686-$M1686)</f>
        <v/>
      </c>
      <c r="O1686" s="10" t="str">
        <f aca="false">IF($B1686="","",IFERROR(INDEX(Drinks!$E$4:$E$53,MATCH($B1686,Drinks!$A$4:$A$53,0)),0))</f>
        <v/>
      </c>
      <c r="P1686" s="10" t="str">
        <f aca="false">IF($B1686="","",$N1686*$O1686)</f>
        <v/>
      </c>
      <c r="Q1686" s="10" t="str">
        <f aca="false">IF($B1686="","",$N1686*IFERROR(INDEX(Drinks!$D$4:$D$53,MATCH($B1686,Drinks!$A$4:$A$53,0)),0))</f>
        <v/>
      </c>
      <c r="R1686" s="10" t="str">
        <f aca="false">IF($B1686="","",$P1686-$Q1686)</f>
        <v/>
      </c>
      <c r="S1686" s="23" t="str">
        <f aca="false">IF($B1686="","",IF(COUNTIFS($A$4:$A$2003,$A1686-1,$B$4:$B$2003,$B1686)=0,"first day",IF(SUMIFS($M$4:$M$2003,$A$4:$A$2003,$A1686-1,$B$4:$B$2003,$B1686)=$J1686,"OK","CHECK")))</f>
        <v/>
      </c>
      <c r="T1686" s="10" t="str">
        <f aca="false">IF($B1686="","",IFERROR(INDEX(Drinks!$D$4:$D$53,MATCH($B1686,Drinks!$A$4:$A$53,0)),0))</f>
        <v/>
      </c>
    </row>
    <row r="1687" customFormat="false" ht="15" hidden="false" customHeight="false" outlineLevel="0" collapsed="false">
      <c r="A1687" s="22"/>
      <c r="B1687" s="9"/>
      <c r="C1687" s="9"/>
      <c r="D1687" s="9"/>
      <c r="E1687" s="9"/>
      <c r="F1687" s="10" t="str">
        <f aca="false">IF($B1687="","",$C1687+$D1687-$E1687)</f>
        <v/>
      </c>
      <c r="G1687" s="10" t="str">
        <f aca="false">IF($B1687="","",IFERROR(INDEX(Drinks!$C$4:$C$53,MATCH($B1687,Drinks!$A$4:$A$53,0)),0))</f>
        <v/>
      </c>
      <c r="H1687" s="10" t="str">
        <f aca="false">IF($B1687="","",$D1687*$G1687)</f>
        <v/>
      </c>
      <c r="I1687" s="10" t="str">
        <f aca="false">IF($B1687="","",$F1687*$G1687)</f>
        <v/>
      </c>
      <c r="J1687" s="9"/>
      <c r="K1687" s="10" t="str">
        <f aca="false">IF($B1687="","",$E1687*IFERROR(INDEX(Drinks!$B$4:$B$53,MATCH($B1687,Drinks!$A$4:$A$53,0)),0))</f>
        <v/>
      </c>
      <c r="L1687" s="10" t="str">
        <f aca="false">IF($B1687="","",$J1687+$K1687)</f>
        <v/>
      </c>
      <c r="M1687" s="9"/>
      <c r="N1687" s="10" t="str">
        <f aca="false">IF($B1687="","",$L1687-$M1687)</f>
        <v/>
      </c>
      <c r="O1687" s="10" t="str">
        <f aca="false">IF($B1687="","",IFERROR(INDEX(Drinks!$E$4:$E$53,MATCH($B1687,Drinks!$A$4:$A$53,0)),0))</f>
        <v/>
      </c>
      <c r="P1687" s="10" t="str">
        <f aca="false">IF($B1687="","",$N1687*$O1687)</f>
        <v/>
      </c>
      <c r="Q1687" s="10" t="str">
        <f aca="false">IF($B1687="","",$N1687*IFERROR(INDEX(Drinks!$D$4:$D$53,MATCH($B1687,Drinks!$A$4:$A$53,0)),0))</f>
        <v/>
      </c>
      <c r="R1687" s="10" t="str">
        <f aca="false">IF($B1687="","",$P1687-$Q1687)</f>
        <v/>
      </c>
      <c r="S1687" s="23" t="str">
        <f aca="false">IF($B1687="","",IF(COUNTIFS($A$4:$A$2003,$A1687-1,$B$4:$B$2003,$B1687)=0,"first day",IF(SUMIFS($M$4:$M$2003,$A$4:$A$2003,$A1687-1,$B$4:$B$2003,$B1687)=$J1687,"OK","CHECK")))</f>
        <v/>
      </c>
      <c r="T1687" s="10" t="str">
        <f aca="false">IF($B1687="","",IFERROR(INDEX(Drinks!$D$4:$D$53,MATCH($B1687,Drinks!$A$4:$A$53,0)),0))</f>
        <v/>
      </c>
    </row>
    <row r="1688" customFormat="false" ht="15" hidden="false" customHeight="false" outlineLevel="0" collapsed="false">
      <c r="A1688" s="22"/>
      <c r="B1688" s="9"/>
      <c r="C1688" s="9"/>
      <c r="D1688" s="9"/>
      <c r="E1688" s="9"/>
      <c r="F1688" s="10" t="str">
        <f aca="false">IF($B1688="","",$C1688+$D1688-$E1688)</f>
        <v/>
      </c>
      <c r="G1688" s="10" t="str">
        <f aca="false">IF($B1688="","",IFERROR(INDEX(Drinks!$C$4:$C$53,MATCH($B1688,Drinks!$A$4:$A$53,0)),0))</f>
        <v/>
      </c>
      <c r="H1688" s="10" t="str">
        <f aca="false">IF($B1688="","",$D1688*$G1688)</f>
        <v/>
      </c>
      <c r="I1688" s="10" t="str">
        <f aca="false">IF($B1688="","",$F1688*$G1688)</f>
        <v/>
      </c>
      <c r="J1688" s="9"/>
      <c r="K1688" s="10" t="str">
        <f aca="false">IF($B1688="","",$E1688*IFERROR(INDEX(Drinks!$B$4:$B$53,MATCH($B1688,Drinks!$A$4:$A$53,0)),0))</f>
        <v/>
      </c>
      <c r="L1688" s="10" t="str">
        <f aca="false">IF($B1688="","",$J1688+$K1688)</f>
        <v/>
      </c>
      <c r="M1688" s="9"/>
      <c r="N1688" s="10" t="str">
        <f aca="false">IF($B1688="","",$L1688-$M1688)</f>
        <v/>
      </c>
      <c r="O1688" s="10" t="str">
        <f aca="false">IF($B1688="","",IFERROR(INDEX(Drinks!$E$4:$E$53,MATCH($B1688,Drinks!$A$4:$A$53,0)),0))</f>
        <v/>
      </c>
      <c r="P1688" s="10" t="str">
        <f aca="false">IF($B1688="","",$N1688*$O1688)</f>
        <v/>
      </c>
      <c r="Q1688" s="10" t="str">
        <f aca="false">IF($B1688="","",$N1688*IFERROR(INDEX(Drinks!$D$4:$D$53,MATCH($B1688,Drinks!$A$4:$A$53,0)),0))</f>
        <v/>
      </c>
      <c r="R1688" s="10" t="str">
        <f aca="false">IF($B1688="","",$P1688-$Q1688)</f>
        <v/>
      </c>
      <c r="S1688" s="23" t="str">
        <f aca="false">IF($B1688="","",IF(COUNTIFS($A$4:$A$2003,$A1688-1,$B$4:$B$2003,$B1688)=0,"first day",IF(SUMIFS($M$4:$M$2003,$A$4:$A$2003,$A1688-1,$B$4:$B$2003,$B1688)=$J1688,"OK","CHECK")))</f>
        <v/>
      </c>
      <c r="T1688" s="10" t="str">
        <f aca="false">IF($B1688="","",IFERROR(INDEX(Drinks!$D$4:$D$53,MATCH($B1688,Drinks!$A$4:$A$53,0)),0))</f>
        <v/>
      </c>
    </row>
    <row r="1689" customFormat="false" ht="15" hidden="false" customHeight="false" outlineLevel="0" collapsed="false">
      <c r="A1689" s="22"/>
      <c r="B1689" s="9"/>
      <c r="C1689" s="9"/>
      <c r="D1689" s="9"/>
      <c r="E1689" s="9"/>
      <c r="F1689" s="10" t="str">
        <f aca="false">IF($B1689="","",$C1689+$D1689-$E1689)</f>
        <v/>
      </c>
      <c r="G1689" s="10" t="str">
        <f aca="false">IF($B1689="","",IFERROR(INDEX(Drinks!$C$4:$C$53,MATCH($B1689,Drinks!$A$4:$A$53,0)),0))</f>
        <v/>
      </c>
      <c r="H1689" s="10" t="str">
        <f aca="false">IF($B1689="","",$D1689*$G1689)</f>
        <v/>
      </c>
      <c r="I1689" s="10" t="str">
        <f aca="false">IF($B1689="","",$F1689*$G1689)</f>
        <v/>
      </c>
      <c r="J1689" s="9"/>
      <c r="K1689" s="10" t="str">
        <f aca="false">IF($B1689="","",$E1689*IFERROR(INDEX(Drinks!$B$4:$B$53,MATCH($B1689,Drinks!$A$4:$A$53,0)),0))</f>
        <v/>
      </c>
      <c r="L1689" s="10" t="str">
        <f aca="false">IF($B1689="","",$J1689+$K1689)</f>
        <v/>
      </c>
      <c r="M1689" s="9"/>
      <c r="N1689" s="10" t="str">
        <f aca="false">IF($B1689="","",$L1689-$M1689)</f>
        <v/>
      </c>
      <c r="O1689" s="10" t="str">
        <f aca="false">IF($B1689="","",IFERROR(INDEX(Drinks!$E$4:$E$53,MATCH($B1689,Drinks!$A$4:$A$53,0)),0))</f>
        <v/>
      </c>
      <c r="P1689" s="10" t="str">
        <f aca="false">IF($B1689="","",$N1689*$O1689)</f>
        <v/>
      </c>
      <c r="Q1689" s="10" t="str">
        <f aca="false">IF($B1689="","",$N1689*IFERROR(INDEX(Drinks!$D$4:$D$53,MATCH($B1689,Drinks!$A$4:$A$53,0)),0))</f>
        <v/>
      </c>
      <c r="R1689" s="10" t="str">
        <f aca="false">IF($B1689="","",$P1689-$Q1689)</f>
        <v/>
      </c>
      <c r="S1689" s="23" t="str">
        <f aca="false">IF($B1689="","",IF(COUNTIFS($A$4:$A$2003,$A1689-1,$B$4:$B$2003,$B1689)=0,"first day",IF(SUMIFS($M$4:$M$2003,$A$4:$A$2003,$A1689-1,$B$4:$B$2003,$B1689)=$J1689,"OK","CHECK")))</f>
        <v/>
      </c>
      <c r="T1689" s="10" t="str">
        <f aca="false">IF($B1689="","",IFERROR(INDEX(Drinks!$D$4:$D$53,MATCH($B1689,Drinks!$A$4:$A$53,0)),0))</f>
        <v/>
      </c>
    </row>
    <row r="1690" customFormat="false" ht="15" hidden="false" customHeight="false" outlineLevel="0" collapsed="false">
      <c r="A1690" s="22"/>
      <c r="B1690" s="9"/>
      <c r="C1690" s="9"/>
      <c r="D1690" s="9"/>
      <c r="E1690" s="9"/>
      <c r="F1690" s="10" t="str">
        <f aca="false">IF($B1690="","",$C1690+$D1690-$E1690)</f>
        <v/>
      </c>
      <c r="G1690" s="10" t="str">
        <f aca="false">IF($B1690="","",IFERROR(INDEX(Drinks!$C$4:$C$53,MATCH($B1690,Drinks!$A$4:$A$53,0)),0))</f>
        <v/>
      </c>
      <c r="H1690" s="10" t="str">
        <f aca="false">IF($B1690="","",$D1690*$G1690)</f>
        <v/>
      </c>
      <c r="I1690" s="10" t="str">
        <f aca="false">IF($B1690="","",$F1690*$G1690)</f>
        <v/>
      </c>
      <c r="J1690" s="9"/>
      <c r="K1690" s="10" t="str">
        <f aca="false">IF($B1690="","",$E1690*IFERROR(INDEX(Drinks!$B$4:$B$53,MATCH($B1690,Drinks!$A$4:$A$53,0)),0))</f>
        <v/>
      </c>
      <c r="L1690" s="10" t="str">
        <f aca="false">IF($B1690="","",$J1690+$K1690)</f>
        <v/>
      </c>
      <c r="M1690" s="9"/>
      <c r="N1690" s="10" t="str">
        <f aca="false">IF($B1690="","",$L1690-$M1690)</f>
        <v/>
      </c>
      <c r="O1690" s="10" t="str">
        <f aca="false">IF($B1690="","",IFERROR(INDEX(Drinks!$E$4:$E$53,MATCH($B1690,Drinks!$A$4:$A$53,0)),0))</f>
        <v/>
      </c>
      <c r="P1690" s="10" t="str">
        <f aca="false">IF($B1690="","",$N1690*$O1690)</f>
        <v/>
      </c>
      <c r="Q1690" s="10" t="str">
        <f aca="false">IF($B1690="","",$N1690*IFERROR(INDEX(Drinks!$D$4:$D$53,MATCH($B1690,Drinks!$A$4:$A$53,0)),0))</f>
        <v/>
      </c>
      <c r="R1690" s="10" t="str">
        <f aca="false">IF($B1690="","",$P1690-$Q1690)</f>
        <v/>
      </c>
      <c r="S1690" s="23" t="str">
        <f aca="false">IF($B1690="","",IF(COUNTIFS($A$4:$A$2003,$A1690-1,$B$4:$B$2003,$B1690)=0,"first day",IF(SUMIFS($M$4:$M$2003,$A$4:$A$2003,$A1690-1,$B$4:$B$2003,$B1690)=$J1690,"OK","CHECK")))</f>
        <v/>
      </c>
      <c r="T1690" s="10" t="str">
        <f aca="false">IF($B1690="","",IFERROR(INDEX(Drinks!$D$4:$D$53,MATCH($B1690,Drinks!$A$4:$A$53,0)),0))</f>
        <v/>
      </c>
    </row>
    <row r="1691" customFormat="false" ht="15" hidden="false" customHeight="false" outlineLevel="0" collapsed="false">
      <c r="A1691" s="22"/>
      <c r="B1691" s="9"/>
      <c r="C1691" s="9"/>
      <c r="D1691" s="9"/>
      <c r="E1691" s="9"/>
      <c r="F1691" s="10" t="str">
        <f aca="false">IF($B1691="","",$C1691+$D1691-$E1691)</f>
        <v/>
      </c>
      <c r="G1691" s="10" t="str">
        <f aca="false">IF($B1691="","",IFERROR(INDEX(Drinks!$C$4:$C$53,MATCH($B1691,Drinks!$A$4:$A$53,0)),0))</f>
        <v/>
      </c>
      <c r="H1691" s="10" t="str">
        <f aca="false">IF($B1691="","",$D1691*$G1691)</f>
        <v/>
      </c>
      <c r="I1691" s="10" t="str">
        <f aca="false">IF($B1691="","",$F1691*$G1691)</f>
        <v/>
      </c>
      <c r="J1691" s="9"/>
      <c r="K1691" s="10" t="str">
        <f aca="false">IF($B1691="","",$E1691*IFERROR(INDEX(Drinks!$B$4:$B$53,MATCH($B1691,Drinks!$A$4:$A$53,0)),0))</f>
        <v/>
      </c>
      <c r="L1691" s="10" t="str">
        <f aca="false">IF($B1691="","",$J1691+$K1691)</f>
        <v/>
      </c>
      <c r="M1691" s="9"/>
      <c r="N1691" s="10" t="str">
        <f aca="false">IF($B1691="","",$L1691-$M1691)</f>
        <v/>
      </c>
      <c r="O1691" s="10" t="str">
        <f aca="false">IF($B1691="","",IFERROR(INDEX(Drinks!$E$4:$E$53,MATCH($B1691,Drinks!$A$4:$A$53,0)),0))</f>
        <v/>
      </c>
      <c r="P1691" s="10" t="str">
        <f aca="false">IF($B1691="","",$N1691*$O1691)</f>
        <v/>
      </c>
      <c r="Q1691" s="10" t="str">
        <f aca="false">IF($B1691="","",$N1691*IFERROR(INDEX(Drinks!$D$4:$D$53,MATCH($B1691,Drinks!$A$4:$A$53,0)),0))</f>
        <v/>
      </c>
      <c r="R1691" s="10" t="str">
        <f aca="false">IF($B1691="","",$P1691-$Q1691)</f>
        <v/>
      </c>
      <c r="S1691" s="23" t="str">
        <f aca="false">IF($B1691="","",IF(COUNTIFS($A$4:$A$2003,$A1691-1,$B$4:$B$2003,$B1691)=0,"first day",IF(SUMIFS($M$4:$M$2003,$A$4:$A$2003,$A1691-1,$B$4:$B$2003,$B1691)=$J1691,"OK","CHECK")))</f>
        <v/>
      </c>
      <c r="T1691" s="10" t="str">
        <f aca="false">IF($B1691="","",IFERROR(INDEX(Drinks!$D$4:$D$53,MATCH($B1691,Drinks!$A$4:$A$53,0)),0))</f>
        <v/>
      </c>
    </row>
    <row r="1692" customFormat="false" ht="15" hidden="false" customHeight="false" outlineLevel="0" collapsed="false">
      <c r="A1692" s="22"/>
      <c r="B1692" s="9"/>
      <c r="C1692" s="9"/>
      <c r="D1692" s="9"/>
      <c r="E1692" s="9"/>
      <c r="F1692" s="10" t="str">
        <f aca="false">IF($B1692="","",$C1692+$D1692-$E1692)</f>
        <v/>
      </c>
      <c r="G1692" s="10" t="str">
        <f aca="false">IF($B1692="","",IFERROR(INDEX(Drinks!$C$4:$C$53,MATCH($B1692,Drinks!$A$4:$A$53,0)),0))</f>
        <v/>
      </c>
      <c r="H1692" s="10" t="str">
        <f aca="false">IF($B1692="","",$D1692*$G1692)</f>
        <v/>
      </c>
      <c r="I1692" s="10" t="str">
        <f aca="false">IF($B1692="","",$F1692*$G1692)</f>
        <v/>
      </c>
      <c r="J1692" s="9"/>
      <c r="K1692" s="10" t="str">
        <f aca="false">IF($B1692="","",$E1692*IFERROR(INDEX(Drinks!$B$4:$B$53,MATCH($B1692,Drinks!$A$4:$A$53,0)),0))</f>
        <v/>
      </c>
      <c r="L1692" s="10" t="str">
        <f aca="false">IF($B1692="","",$J1692+$K1692)</f>
        <v/>
      </c>
      <c r="M1692" s="9"/>
      <c r="N1692" s="10" t="str">
        <f aca="false">IF($B1692="","",$L1692-$M1692)</f>
        <v/>
      </c>
      <c r="O1692" s="10" t="str">
        <f aca="false">IF($B1692="","",IFERROR(INDEX(Drinks!$E$4:$E$53,MATCH($B1692,Drinks!$A$4:$A$53,0)),0))</f>
        <v/>
      </c>
      <c r="P1692" s="10" t="str">
        <f aca="false">IF($B1692="","",$N1692*$O1692)</f>
        <v/>
      </c>
      <c r="Q1692" s="10" t="str">
        <f aca="false">IF($B1692="","",$N1692*IFERROR(INDEX(Drinks!$D$4:$D$53,MATCH($B1692,Drinks!$A$4:$A$53,0)),0))</f>
        <v/>
      </c>
      <c r="R1692" s="10" t="str">
        <f aca="false">IF($B1692="","",$P1692-$Q1692)</f>
        <v/>
      </c>
      <c r="S1692" s="23" t="str">
        <f aca="false">IF($B1692="","",IF(COUNTIFS($A$4:$A$2003,$A1692-1,$B$4:$B$2003,$B1692)=0,"first day",IF(SUMIFS($M$4:$M$2003,$A$4:$A$2003,$A1692-1,$B$4:$B$2003,$B1692)=$J1692,"OK","CHECK")))</f>
        <v/>
      </c>
      <c r="T1692" s="10" t="str">
        <f aca="false">IF($B1692="","",IFERROR(INDEX(Drinks!$D$4:$D$53,MATCH($B1692,Drinks!$A$4:$A$53,0)),0))</f>
        <v/>
      </c>
    </row>
    <row r="1693" customFormat="false" ht="15" hidden="false" customHeight="false" outlineLevel="0" collapsed="false">
      <c r="A1693" s="22"/>
      <c r="B1693" s="9"/>
      <c r="C1693" s="9"/>
      <c r="D1693" s="9"/>
      <c r="E1693" s="9"/>
      <c r="F1693" s="10" t="str">
        <f aca="false">IF($B1693="","",$C1693+$D1693-$E1693)</f>
        <v/>
      </c>
      <c r="G1693" s="10" t="str">
        <f aca="false">IF($B1693="","",IFERROR(INDEX(Drinks!$C$4:$C$53,MATCH($B1693,Drinks!$A$4:$A$53,0)),0))</f>
        <v/>
      </c>
      <c r="H1693" s="10" t="str">
        <f aca="false">IF($B1693="","",$D1693*$G1693)</f>
        <v/>
      </c>
      <c r="I1693" s="10" t="str">
        <f aca="false">IF($B1693="","",$F1693*$G1693)</f>
        <v/>
      </c>
      <c r="J1693" s="9"/>
      <c r="K1693" s="10" t="str">
        <f aca="false">IF($B1693="","",$E1693*IFERROR(INDEX(Drinks!$B$4:$B$53,MATCH($B1693,Drinks!$A$4:$A$53,0)),0))</f>
        <v/>
      </c>
      <c r="L1693" s="10" t="str">
        <f aca="false">IF($B1693="","",$J1693+$K1693)</f>
        <v/>
      </c>
      <c r="M1693" s="9"/>
      <c r="N1693" s="10" t="str">
        <f aca="false">IF($B1693="","",$L1693-$M1693)</f>
        <v/>
      </c>
      <c r="O1693" s="10" t="str">
        <f aca="false">IF($B1693="","",IFERROR(INDEX(Drinks!$E$4:$E$53,MATCH($B1693,Drinks!$A$4:$A$53,0)),0))</f>
        <v/>
      </c>
      <c r="P1693" s="10" t="str">
        <f aca="false">IF($B1693="","",$N1693*$O1693)</f>
        <v/>
      </c>
      <c r="Q1693" s="10" t="str">
        <f aca="false">IF($B1693="","",$N1693*IFERROR(INDEX(Drinks!$D$4:$D$53,MATCH($B1693,Drinks!$A$4:$A$53,0)),0))</f>
        <v/>
      </c>
      <c r="R1693" s="10" t="str">
        <f aca="false">IF($B1693="","",$P1693-$Q1693)</f>
        <v/>
      </c>
      <c r="S1693" s="23" t="str">
        <f aca="false">IF($B1693="","",IF(COUNTIFS($A$4:$A$2003,$A1693-1,$B$4:$B$2003,$B1693)=0,"first day",IF(SUMIFS($M$4:$M$2003,$A$4:$A$2003,$A1693-1,$B$4:$B$2003,$B1693)=$J1693,"OK","CHECK")))</f>
        <v/>
      </c>
      <c r="T1693" s="10" t="str">
        <f aca="false">IF($B1693="","",IFERROR(INDEX(Drinks!$D$4:$D$53,MATCH($B1693,Drinks!$A$4:$A$53,0)),0))</f>
        <v/>
      </c>
    </row>
    <row r="1694" customFormat="false" ht="15" hidden="false" customHeight="false" outlineLevel="0" collapsed="false">
      <c r="A1694" s="22"/>
      <c r="B1694" s="9"/>
      <c r="C1694" s="9"/>
      <c r="D1694" s="9"/>
      <c r="E1694" s="9"/>
      <c r="F1694" s="10" t="str">
        <f aca="false">IF($B1694="","",$C1694+$D1694-$E1694)</f>
        <v/>
      </c>
      <c r="G1694" s="10" t="str">
        <f aca="false">IF($B1694="","",IFERROR(INDEX(Drinks!$C$4:$C$53,MATCH($B1694,Drinks!$A$4:$A$53,0)),0))</f>
        <v/>
      </c>
      <c r="H1694" s="10" t="str">
        <f aca="false">IF($B1694="","",$D1694*$G1694)</f>
        <v/>
      </c>
      <c r="I1694" s="10" t="str">
        <f aca="false">IF($B1694="","",$F1694*$G1694)</f>
        <v/>
      </c>
      <c r="J1694" s="9"/>
      <c r="K1694" s="10" t="str">
        <f aca="false">IF($B1694="","",$E1694*IFERROR(INDEX(Drinks!$B$4:$B$53,MATCH($B1694,Drinks!$A$4:$A$53,0)),0))</f>
        <v/>
      </c>
      <c r="L1694" s="10" t="str">
        <f aca="false">IF($B1694="","",$J1694+$K1694)</f>
        <v/>
      </c>
      <c r="M1694" s="9"/>
      <c r="N1694" s="10" t="str">
        <f aca="false">IF($B1694="","",$L1694-$M1694)</f>
        <v/>
      </c>
      <c r="O1694" s="10" t="str">
        <f aca="false">IF($B1694="","",IFERROR(INDEX(Drinks!$E$4:$E$53,MATCH($B1694,Drinks!$A$4:$A$53,0)),0))</f>
        <v/>
      </c>
      <c r="P1694" s="10" t="str">
        <f aca="false">IF($B1694="","",$N1694*$O1694)</f>
        <v/>
      </c>
      <c r="Q1694" s="10" t="str">
        <f aca="false">IF($B1694="","",$N1694*IFERROR(INDEX(Drinks!$D$4:$D$53,MATCH($B1694,Drinks!$A$4:$A$53,0)),0))</f>
        <v/>
      </c>
      <c r="R1694" s="10" t="str">
        <f aca="false">IF($B1694="","",$P1694-$Q1694)</f>
        <v/>
      </c>
      <c r="S1694" s="23" t="str">
        <f aca="false">IF($B1694="","",IF(COUNTIFS($A$4:$A$2003,$A1694-1,$B$4:$B$2003,$B1694)=0,"first day",IF(SUMIFS($M$4:$M$2003,$A$4:$A$2003,$A1694-1,$B$4:$B$2003,$B1694)=$J1694,"OK","CHECK")))</f>
        <v/>
      </c>
      <c r="T1694" s="10" t="str">
        <f aca="false">IF($B1694="","",IFERROR(INDEX(Drinks!$D$4:$D$53,MATCH($B1694,Drinks!$A$4:$A$53,0)),0))</f>
        <v/>
      </c>
    </row>
    <row r="1695" customFormat="false" ht="15" hidden="false" customHeight="false" outlineLevel="0" collapsed="false">
      <c r="A1695" s="22"/>
      <c r="B1695" s="9"/>
      <c r="C1695" s="9"/>
      <c r="D1695" s="9"/>
      <c r="E1695" s="9"/>
      <c r="F1695" s="10" t="str">
        <f aca="false">IF($B1695="","",$C1695+$D1695-$E1695)</f>
        <v/>
      </c>
      <c r="G1695" s="10" t="str">
        <f aca="false">IF($B1695="","",IFERROR(INDEX(Drinks!$C$4:$C$53,MATCH($B1695,Drinks!$A$4:$A$53,0)),0))</f>
        <v/>
      </c>
      <c r="H1695" s="10" t="str">
        <f aca="false">IF($B1695="","",$D1695*$G1695)</f>
        <v/>
      </c>
      <c r="I1695" s="10" t="str">
        <f aca="false">IF($B1695="","",$F1695*$G1695)</f>
        <v/>
      </c>
      <c r="J1695" s="9"/>
      <c r="K1695" s="10" t="str">
        <f aca="false">IF($B1695="","",$E1695*IFERROR(INDEX(Drinks!$B$4:$B$53,MATCH($B1695,Drinks!$A$4:$A$53,0)),0))</f>
        <v/>
      </c>
      <c r="L1695" s="10" t="str">
        <f aca="false">IF($B1695="","",$J1695+$K1695)</f>
        <v/>
      </c>
      <c r="M1695" s="9"/>
      <c r="N1695" s="10" t="str">
        <f aca="false">IF($B1695="","",$L1695-$M1695)</f>
        <v/>
      </c>
      <c r="O1695" s="10" t="str">
        <f aca="false">IF($B1695="","",IFERROR(INDEX(Drinks!$E$4:$E$53,MATCH($B1695,Drinks!$A$4:$A$53,0)),0))</f>
        <v/>
      </c>
      <c r="P1695" s="10" t="str">
        <f aca="false">IF($B1695="","",$N1695*$O1695)</f>
        <v/>
      </c>
      <c r="Q1695" s="10" t="str">
        <f aca="false">IF($B1695="","",$N1695*IFERROR(INDEX(Drinks!$D$4:$D$53,MATCH($B1695,Drinks!$A$4:$A$53,0)),0))</f>
        <v/>
      </c>
      <c r="R1695" s="10" t="str">
        <f aca="false">IF($B1695="","",$P1695-$Q1695)</f>
        <v/>
      </c>
      <c r="S1695" s="23" t="str">
        <f aca="false">IF($B1695="","",IF(COUNTIFS($A$4:$A$2003,$A1695-1,$B$4:$B$2003,$B1695)=0,"first day",IF(SUMIFS($M$4:$M$2003,$A$4:$A$2003,$A1695-1,$B$4:$B$2003,$B1695)=$J1695,"OK","CHECK")))</f>
        <v/>
      </c>
      <c r="T1695" s="10" t="str">
        <f aca="false">IF($B1695="","",IFERROR(INDEX(Drinks!$D$4:$D$53,MATCH($B1695,Drinks!$A$4:$A$53,0)),0))</f>
        <v/>
      </c>
    </row>
    <row r="1696" customFormat="false" ht="15" hidden="false" customHeight="false" outlineLevel="0" collapsed="false">
      <c r="A1696" s="22"/>
      <c r="B1696" s="9"/>
      <c r="C1696" s="9"/>
      <c r="D1696" s="9"/>
      <c r="E1696" s="9"/>
      <c r="F1696" s="10" t="str">
        <f aca="false">IF($B1696="","",$C1696+$D1696-$E1696)</f>
        <v/>
      </c>
      <c r="G1696" s="10" t="str">
        <f aca="false">IF($B1696="","",IFERROR(INDEX(Drinks!$C$4:$C$53,MATCH($B1696,Drinks!$A$4:$A$53,0)),0))</f>
        <v/>
      </c>
      <c r="H1696" s="10" t="str">
        <f aca="false">IF($B1696="","",$D1696*$G1696)</f>
        <v/>
      </c>
      <c r="I1696" s="10" t="str">
        <f aca="false">IF($B1696="","",$F1696*$G1696)</f>
        <v/>
      </c>
      <c r="J1696" s="9"/>
      <c r="K1696" s="10" t="str">
        <f aca="false">IF($B1696="","",$E1696*IFERROR(INDEX(Drinks!$B$4:$B$53,MATCH($B1696,Drinks!$A$4:$A$53,0)),0))</f>
        <v/>
      </c>
      <c r="L1696" s="10" t="str">
        <f aca="false">IF($B1696="","",$J1696+$K1696)</f>
        <v/>
      </c>
      <c r="M1696" s="9"/>
      <c r="N1696" s="10" t="str">
        <f aca="false">IF($B1696="","",$L1696-$M1696)</f>
        <v/>
      </c>
      <c r="O1696" s="10" t="str">
        <f aca="false">IF($B1696="","",IFERROR(INDEX(Drinks!$E$4:$E$53,MATCH($B1696,Drinks!$A$4:$A$53,0)),0))</f>
        <v/>
      </c>
      <c r="P1696" s="10" t="str">
        <f aca="false">IF($B1696="","",$N1696*$O1696)</f>
        <v/>
      </c>
      <c r="Q1696" s="10" t="str">
        <f aca="false">IF($B1696="","",$N1696*IFERROR(INDEX(Drinks!$D$4:$D$53,MATCH($B1696,Drinks!$A$4:$A$53,0)),0))</f>
        <v/>
      </c>
      <c r="R1696" s="10" t="str">
        <f aca="false">IF($B1696="","",$P1696-$Q1696)</f>
        <v/>
      </c>
      <c r="S1696" s="23" t="str">
        <f aca="false">IF($B1696="","",IF(COUNTIFS($A$4:$A$2003,$A1696-1,$B$4:$B$2003,$B1696)=0,"first day",IF(SUMIFS($M$4:$M$2003,$A$4:$A$2003,$A1696-1,$B$4:$B$2003,$B1696)=$J1696,"OK","CHECK")))</f>
        <v/>
      </c>
      <c r="T1696" s="10" t="str">
        <f aca="false">IF($B1696="","",IFERROR(INDEX(Drinks!$D$4:$D$53,MATCH($B1696,Drinks!$A$4:$A$53,0)),0))</f>
        <v/>
      </c>
    </row>
    <row r="1697" customFormat="false" ht="15" hidden="false" customHeight="false" outlineLevel="0" collapsed="false">
      <c r="A1697" s="22"/>
      <c r="B1697" s="9"/>
      <c r="C1697" s="9"/>
      <c r="D1697" s="9"/>
      <c r="E1697" s="9"/>
      <c r="F1697" s="10" t="str">
        <f aca="false">IF($B1697="","",$C1697+$D1697-$E1697)</f>
        <v/>
      </c>
      <c r="G1697" s="10" t="str">
        <f aca="false">IF($B1697="","",IFERROR(INDEX(Drinks!$C$4:$C$53,MATCH($B1697,Drinks!$A$4:$A$53,0)),0))</f>
        <v/>
      </c>
      <c r="H1697" s="10" t="str">
        <f aca="false">IF($B1697="","",$D1697*$G1697)</f>
        <v/>
      </c>
      <c r="I1697" s="10" t="str">
        <f aca="false">IF($B1697="","",$F1697*$G1697)</f>
        <v/>
      </c>
      <c r="J1697" s="9"/>
      <c r="K1697" s="10" t="str">
        <f aca="false">IF($B1697="","",$E1697*IFERROR(INDEX(Drinks!$B$4:$B$53,MATCH($B1697,Drinks!$A$4:$A$53,0)),0))</f>
        <v/>
      </c>
      <c r="L1697" s="10" t="str">
        <f aca="false">IF($B1697="","",$J1697+$K1697)</f>
        <v/>
      </c>
      <c r="M1697" s="9"/>
      <c r="N1697" s="10" t="str">
        <f aca="false">IF($B1697="","",$L1697-$M1697)</f>
        <v/>
      </c>
      <c r="O1697" s="10" t="str">
        <f aca="false">IF($B1697="","",IFERROR(INDEX(Drinks!$E$4:$E$53,MATCH($B1697,Drinks!$A$4:$A$53,0)),0))</f>
        <v/>
      </c>
      <c r="P1697" s="10" t="str">
        <f aca="false">IF($B1697="","",$N1697*$O1697)</f>
        <v/>
      </c>
      <c r="Q1697" s="10" t="str">
        <f aca="false">IF($B1697="","",$N1697*IFERROR(INDEX(Drinks!$D$4:$D$53,MATCH($B1697,Drinks!$A$4:$A$53,0)),0))</f>
        <v/>
      </c>
      <c r="R1697" s="10" t="str">
        <f aca="false">IF($B1697="","",$P1697-$Q1697)</f>
        <v/>
      </c>
      <c r="S1697" s="23" t="str">
        <f aca="false">IF($B1697="","",IF(COUNTIFS($A$4:$A$2003,$A1697-1,$B$4:$B$2003,$B1697)=0,"first day",IF(SUMIFS($M$4:$M$2003,$A$4:$A$2003,$A1697-1,$B$4:$B$2003,$B1697)=$J1697,"OK","CHECK")))</f>
        <v/>
      </c>
      <c r="T1697" s="10" t="str">
        <f aca="false">IF($B1697="","",IFERROR(INDEX(Drinks!$D$4:$D$53,MATCH($B1697,Drinks!$A$4:$A$53,0)),0))</f>
        <v/>
      </c>
    </row>
    <row r="1698" customFormat="false" ht="15" hidden="false" customHeight="false" outlineLevel="0" collapsed="false">
      <c r="A1698" s="22"/>
      <c r="B1698" s="9"/>
      <c r="C1698" s="9"/>
      <c r="D1698" s="9"/>
      <c r="E1698" s="9"/>
      <c r="F1698" s="10" t="str">
        <f aca="false">IF($B1698="","",$C1698+$D1698-$E1698)</f>
        <v/>
      </c>
      <c r="G1698" s="10" t="str">
        <f aca="false">IF($B1698="","",IFERROR(INDEX(Drinks!$C$4:$C$53,MATCH($B1698,Drinks!$A$4:$A$53,0)),0))</f>
        <v/>
      </c>
      <c r="H1698" s="10" t="str">
        <f aca="false">IF($B1698="","",$D1698*$G1698)</f>
        <v/>
      </c>
      <c r="I1698" s="10" t="str">
        <f aca="false">IF($B1698="","",$F1698*$G1698)</f>
        <v/>
      </c>
      <c r="J1698" s="9"/>
      <c r="K1698" s="10" t="str">
        <f aca="false">IF($B1698="","",$E1698*IFERROR(INDEX(Drinks!$B$4:$B$53,MATCH($B1698,Drinks!$A$4:$A$53,0)),0))</f>
        <v/>
      </c>
      <c r="L1698" s="10" t="str">
        <f aca="false">IF($B1698="","",$J1698+$K1698)</f>
        <v/>
      </c>
      <c r="M1698" s="9"/>
      <c r="N1698" s="10" t="str">
        <f aca="false">IF($B1698="","",$L1698-$M1698)</f>
        <v/>
      </c>
      <c r="O1698" s="10" t="str">
        <f aca="false">IF($B1698="","",IFERROR(INDEX(Drinks!$E$4:$E$53,MATCH($B1698,Drinks!$A$4:$A$53,0)),0))</f>
        <v/>
      </c>
      <c r="P1698" s="10" t="str">
        <f aca="false">IF($B1698="","",$N1698*$O1698)</f>
        <v/>
      </c>
      <c r="Q1698" s="10" t="str">
        <f aca="false">IF($B1698="","",$N1698*IFERROR(INDEX(Drinks!$D$4:$D$53,MATCH($B1698,Drinks!$A$4:$A$53,0)),0))</f>
        <v/>
      </c>
      <c r="R1698" s="10" t="str">
        <f aca="false">IF($B1698="","",$P1698-$Q1698)</f>
        <v/>
      </c>
      <c r="S1698" s="23" t="str">
        <f aca="false">IF($B1698="","",IF(COUNTIFS($A$4:$A$2003,$A1698-1,$B$4:$B$2003,$B1698)=0,"first day",IF(SUMIFS($M$4:$M$2003,$A$4:$A$2003,$A1698-1,$B$4:$B$2003,$B1698)=$J1698,"OK","CHECK")))</f>
        <v/>
      </c>
      <c r="T1698" s="10" t="str">
        <f aca="false">IF($B1698="","",IFERROR(INDEX(Drinks!$D$4:$D$53,MATCH($B1698,Drinks!$A$4:$A$53,0)),0))</f>
        <v/>
      </c>
    </row>
    <row r="1699" customFormat="false" ht="15" hidden="false" customHeight="false" outlineLevel="0" collapsed="false">
      <c r="A1699" s="22"/>
      <c r="B1699" s="9"/>
      <c r="C1699" s="9"/>
      <c r="D1699" s="9"/>
      <c r="E1699" s="9"/>
      <c r="F1699" s="10" t="str">
        <f aca="false">IF($B1699="","",$C1699+$D1699-$E1699)</f>
        <v/>
      </c>
      <c r="G1699" s="10" t="str">
        <f aca="false">IF($B1699="","",IFERROR(INDEX(Drinks!$C$4:$C$53,MATCH($B1699,Drinks!$A$4:$A$53,0)),0))</f>
        <v/>
      </c>
      <c r="H1699" s="10" t="str">
        <f aca="false">IF($B1699="","",$D1699*$G1699)</f>
        <v/>
      </c>
      <c r="I1699" s="10" t="str">
        <f aca="false">IF($B1699="","",$F1699*$G1699)</f>
        <v/>
      </c>
      <c r="J1699" s="9"/>
      <c r="K1699" s="10" t="str">
        <f aca="false">IF($B1699="","",$E1699*IFERROR(INDEX(Drinks!$B$4:$B$53,MATCH($B1699,Drinks!$A$4:$A$53,0)),0))</f>
        <v/>
      </c>
      <c r="L1699" s="10" t="str">
        <f aca="false">IF($B1699="","",$J1699+$K1699)</f>
        <v/>
      </c>
      <c r="M1699" s="9"/>
      <c r="N1699" s="10" t="str">
        <f aca="false">IF($B1699="","",$L1699-$M1699)</f>
        <v/>
      </c>
      <c r="O1699" s="10" t="str">
        <f aca="false">IF($B1699="","",IFERROR(INDEX(Drinks!$E$4:$E$53,MATCH($B1699,Drinks!$A$4:$A$53,0)),0))</f>
        <v/>
      </c>
      <c r="P1699" s="10" t="str">
        <f aca="false">IF($B1699="","",$N1699*$O1699)</f>
        <v/>
      </c>
      <c r="Q1699" s="10" t="str">
        <f aca="false">IF($B1699="","",$N1699*IFERROR(INDEX(Drinks!$D$4:$D$53,MATCH($B1699,Drinks!$A$4:$A$53,0)),0))</f>
        <v/>
      </c>
      <c r="R1699" s="10" t="str">
        <f aca="false">IF($B1699="","",$P1699-$Q1699)</f>
        <v/>
      </c>
      <c r="S1699" s="23" t="str">
        <f aca="false">IF($B1699="","",IF(COUNTIFS($A$4:$A$2003,$A1699-1,$B$4:$B$2003,$B1699)=0,"first day",IF(SUMIFS($M$4:$M$2003,$A$4:$A$2003,$A1699-1,$B$4:$B$2003,$B1699)=$J1699,"OK","CHECK")))</f>
        <v/>
      </c>
      <c r="T1699" s="10" t="str">
        <f aca="false">IF($B1699="","",IFERROR(INDEX(Drinks!$D$4:$D$53,MATCH($B1699,Drinks!$A$4:$A$53,0)),0))</f>
        <v/>
      </c>
    </row>
    <row r="1700" customFormat="false" ht="15" hidden="false" customHeight="false" outlineLevel="0" collapsed="false">
      <c r="A1700" s="22"/>
      <c r="B1700" s="9"/>
      <c r="C1700" s="9"/>
      <c r="D1700" s="9"/>
      <c r="E1700" s="9"/>
      <c r="F1700" s="10" t="str">
        <f aca="false">IF($B1700="","",$C1700+$D1700-$E1700)</f>
        <v/>
      </c>
      <c r="G1700" s="10" t="str">
        <f aca="false">IF($B1700="","",IFERROR(INDEX(Drinks!$C$4:$C$53,MATCH($B1700,Drinks!$A$4:$A$53,0)),0))</f>
        <v/>
      </c>
      <c r="H1700" s="10" t="str">
        <f aca="false">IF($B1700="","",$D1700*$G1700)</f>
        <v/>
      </c>
      <c r="I1700" s="10" t="str">
        <f aca="false">IF($B1700="","",$F1700*$G1700)</f>
        <v/>
      </c>
      <c r="J1700" s="9"/>
      <c r="K1700" s="10" t="str">
        <f aca="false">IF($B1700="","",$E1700*IFERROR(INDEX(Drinks!$B$4:$B$53,MATCH($B1700,Drinks!$A$4:$A$53,0)),0))</f>
        <v/>
      </c>
      <c r="L1700" s="10" t="str">
        <f aca="false">IF($B1700="","",$J1700+$K1700)</f>
        <v/>
      </c>
      <c r="M1700" s="9"/>
      <c r="N1700" s="10" t="str">
        <f aca="false">IF($B1700="","",$L1700-$M1700)</f>
        <v/>
      </c>
      <c r="O1700" s="10" t="str">
        <f aca="false">IF($B1700="","",IFERROR(INDEX(Drinks!$E$4:$E$53,MATCH($B1700,Drinks!$A$4:$A$53,0)),0))</f>
        <v/>
      </c>
      <c r="P1700" s="10" t="str">
        <f aca="false">IF($B1700="","",$N1700*$O1700)</f>
        <v/>
      </c>
      <c r="Q1700" s="10" t="str">
        <f aca="false">IF($B1700="","",$N1700*IFERROR(INDEX(Drinks!$D$4:$D$53,MATCH($B1700,Drinks!$A$4:$A$53,0)),0))</f>
        <v/>
      </c>
      <c r="R1700" s="10" t="str">
        <f aca="false">IF($B1700="","",$P1700-$Q1700)</f>
        <v/>
      </c>
      <c r="S1700" s="23" t="str">
        <f aca="false">IF($B1700="","",IF(COUNTIFS($A$4:$A$2003,$A1700-1,$B$4:$B$2003,$B1700)=0,"first day",IF(SUMIFS($M$4:$M$2003,$A$4:$A$2003,$A1700-1,$B$4:$B$2003,$B1700)=$J1700,"OK","CHECK")))</f>
        <v/>
      </c>
      <c r="T1700" s="10" t="str">
        <f aca="false">IF($B1700="","",IFERROR(INDEX(Drinks!$D$4:$D$53,MATCH($B1700,Drinks!$A$4:$A$53,0)),0))</f>
        <v/>
      </c>
    </row>
    <row r="1701" customFormat="false" ht="15" hidden="false" customHeight="false" outlineLevel="0" collapsed="false">
      <c r="A1701" s="22"/>
      <c r="B1701" s="9"/>
      <c r="C1701" s="9"/>
      <c r="D1701" s="9"/>
      <c r="E1701" s="9"/>
      <c r="F1701" s="10" t="str">
        <f aca="false">IF($B1701="","",$C1701+$D1701-$E1701)</f>
        <v/>
      </c>
      <c r="G1701" s="10" t="str">
        <f aca="false">IF($B1701="","",IFERROR(INDEX(Drinks!$C$4:$C$53,MATCH($B1701,Drinks!$A$4:$A$53,0)),0))</f>
        <v/>
      </c>
      <c r="H1701" s="10" t="str">
        <f aca="false">IF($B1701="","",$D1701*$G1701)</f>
        <v/>
      </c>
      <c r="I1701" s="10" t="str">
        <f aca="false">IF($B1701="","",$F1701*$G1701)</f>
        <v/>
      </c>
      <c r="J1701" s="9"/>
      <c r="K1701" s="10" t="str">
        <f aca="false">IF($B1701="","",$E1701*IFERROR(INDEX(Drinks!$B$4:$B$53,MATCH($B1701,Drinks!$A$4:$A$53,0)),0))</f>
        <v/>
      </c>
      <c r="L1701" s="10" t="str">
        <f aca="false">IF($B1701="","",$J1701+$K1701)</f>
        <v/>
      </c>
      <c r="M1701" s="9"/>
      <c r="N1701" s="10" t="str">
        <f aca="false">IF($B1701="","",$L1701-$M1701)</f>
        <v/>
      </c>
      <c r="O1701" s="10" t="str">
        <f aca="false">IF($B1701="","",IFERROR(INDEX(Drinks!$E$4:$E$53,MATCH($B1701,Drinks!$A$4:$A$53,0)),0))</f>
        <v/>
      </c>
      <c r="P1701" s="10" t="str">
        <f aca="false">IF($B1701="","",$N1701*$O1701)</f>
        <v/>
      </c>
      <c r="Q1701" s="10" t="str">
        <f aca="false">IF($B1701="","",$N1701*IFERROR(INDEX(Drinks!$D$4:$D$53,MATCH($B1701,Drinks!$A$4:$A$53,0)),0))</f>
        <v/>
      </c>
      <c r="R1701" s="10" t="str">
        <f aca="false">IF($B1701="","",$P1701-$Q1701)</f>
        <v/>
      </c>
      <c r="S1701" s="23" t="str">
        <f aca="false">IF($B1701="","",IF(COUNTIFS($A$4:$A$2003,$A1701-1,$B$4:$B$2003,$B1701)=0,"first day",IF(SUMIFS($M$4:$M$2003,$A$4:$A$2003,$A1701-1,$B$4:$B$2003,$B1701)=$J1701,"OK","CHECK")))</f>
        <v/>
      </c>
      <c r="T1701" s="10" t="str">
        <f aca="false">IF($B1701="","",IFERROR(INDEX(Drinks!$D$4:$D$53,MATCH($B1701,Drinks!$A$4:$A$53,0)),0))</f>
        <v/>
      </c>
    </row>
    <row r="1702" customFormat="false" ht="15" hidden="false" customHeight="false" outlineLevel="0" collapsed="false">
      <c r="A1702" s="22"/>
      <c r="B1702" s="9"/>
      <c r="C1702" s="9"/>
      <c r="D1702" s="9"/>
      <c r="E1702" s="9"/>
      <c r="F1702" s="10" t="str">
        <f aca="false">IF($B1702="","",$C1702+$D1702-$E1702)</f>
        <v/>
      </c>
      <c r="G1702" s="10" t="str">
        <f aca="false">IF($B1702="","",IFERROR(INDEX(Drinks!$C$4:$C$53,MATCH($B1702,Drinks!$A$4:$A$53,0)),0))</f>
        <v/>
      </c>
      <c r="H1702" s="10" t="str">
        <f aca="false">IF($B1702="","",$D1702*$G1702)</f>
        <v/>
      </c>
      <c r="I1702" s="10" t="str">
        <f aca="false">IF($B1702="","",$F1702*$G1702)</f>
        <v/>
      </c>
      <c r="J1702" s="9"/>
      <c r="K1702" s="10" t="str">
        <f aca="false">IF($B1702="","",$E1702*IFERROR(INDEX(Drinks!$B$4:$B$53,MATCH($B1702,Drinks!$A$4:$A$53,0)),0))</f>
        <v/>
      </c>
      <c r="L1702" s="10" t="str">
        <f aca="false">IF($B1702="","",$J1702+$K1702)</f>
        <v/>
      </c>
      <c r="M1702" s="9"/>
      <c r="N1702" s="10" t="str">
        <f aca="false">IF($B1702="","",$L1702-$M1702)</f>
        <v/>
      </c>
      <c r="O1702" s="10" t="str">
        <f aca="false">IF($B1702="","",IFERROR(INDEX(Drinks!$E$4:$E$53,MATCH($B1702,Drinks!$A$4:$A$53,0)),0))</f>
        <v/>
      </c>
      <c r="P1702" s="10" t="str">
        <f aca="false">IF($B1702="","",$N1702*$O1702)</f>
        <v/>
      </c>
      <c r="Q1702" s="10" t="str">
        <f aca="false">IF($B1702="","",$N1702*IFERROR(INDEX(Drinks!$D$4:$D$53,MATCH($B1702,Drinks!$A$4:$A$53,0)),0))</f>
        <v/>
      </c>
      <c r="R1702" s="10" t="str">
        <f aca="false">IF($B1702="","",$P1702-$Q1702)</f>
        <v/>
      </c>
      <c r="S1702" s="23" t="str">
        <f aca="false">IF($B1702="","",IF(COUNTIFS($A$4:$A$2003,$A1702-1,$B$4:$B$2003,$B1702)=0,"first day",IF(SUMIFS($M$4:$M$2003,$A$4:$A$2003,$A1702-1,$B$4:$B$2003,$B1702)=$J1702,"OK","CHECK")))</f>
        <v/>
      </c>
      <c r="T1702" s="10" t="str">
        <f aca="false">IF($B1702="","",IFERROR(INDEX(Drinks!$D$4:$D$53,MATCH($B1702,Drinks!$A$4:$A$53,0)),0))</f>
        <v/>
      </c>
    </row>
    <row r="1703" customFormat="false" ht="15" hidden="false" customHeight="false" outlineLevel="0" collapsed="false">
      <c r="A1703" s="22"/>
      <c r="B1703" s="9"/>
      <c r="C1703" s="9"/>
      <c r="D1703" s="9"/>
      <c r="E1703" s="9"/>
      <c r="F1703" s="10" t="str">
        <f aca="false">IF($B1703="","",$C1703+$D1703-$E1703)</f>
        <v/>
      </c>
      <c r="G1703" s="10" t="str">
        <f aca="false">IF($B1703="","",IFERROR(INDEX(Drinks!$C$4:$C$53,MATCH($B1703,Drinks!$A$4:$A$53,0)),0))</f>
        <v/>
      </c>
      <c r="H1703" s="10" t="str">
        <f aca="false">IF($B1703="","",$D1703*$G1703)</f>
        <v/>
      </c>
      <c r="I1703" s="10" t="str">
        <f aca="false">IF($B1703="","",$F1703*$G1703)</f>
        <v/>
      </c>
      <c r="J1703" s="9"/>
      <c r="K1703" s="10" t="str">
        <f aca="false">IF($B1703="","",$E1703*IFERROR(INDEX(Drinks!$B$4:$B$53,MATCH($B1703,Drinks!$A$4:$A$53,0)),0))</f>
        <v/>
      </c>
      <c r="L1703" s="10" t="str">
        <f aca="false">IF($B1703="","",$J1703+$K1703)</f>
        <v/>
      </c>
      <c r="M1703" s="9"/>
      <c r="N1703" s="10" t="str">
        <f aca="false">IF($B1703="","",$L1703-$M1703)</f>
        <v/>
      </c>
      <c r="O1703" s="10" t="str">
        <f aca="false">IF($B1703="","",IFERROR(INDEX(Drinks!$E$4:$E$53,MATCH($B1703,Drinks!$A$4:$A$53,0)),0))</f>
        <v/>
      </c>
      <c r="P1703" s="10" t="str">
        <f aca="false">IF($B1703="","",$N1703*$O1703)</f>
        <v/>
      </c>
      <c r="Q1703" s="10" t="str">
        <f aca="false">IF($B1703="","",$N1703*IFERROR(INDEX(Drinks!$D$4:$D$53,MATCH($B1703,Drinks!$A$4:$A$53,0)),0))</f>
        <v/>
      </c>
      <c r="R1703" s="10" t="str">
        <f aca="false">IF($B1703="","",$P1703-$Q1703)</f>
        <v/>
      </c>
      <c r="S1703" s="23" t="str">
        <f aca="false">IF($B1703="","",IF(COUNTIFS($A$4:$A$2003,$A1703-1,$B$4:$B$2003,$B1703)=0,"first day",IF(SUMIFS($M$4:$M$2003,$A$4:$A$2003,$A1703-1,$B$4:$B$2003,$B1703)=$J1703,"OK","CHECK")))</f>
        <v/>
      </c>
      <c r="T1703" s="10" t="str">
        <f aca="false">IF($B1703="","",IFERROR(INDEX(Drinks!$D$4:$D$53,MATCH($B1703,Drinks!$A$4:$A$53,0)),0))</f>
        <v/>
      </c>
    </row>
    <row r="1704" customFormat="false" ht="15" hidden="false" customHeight="false" outlineLevel="0" collapsed="false">
      <c r="A1704" s="22"/>
      <c r="B1704" s="9"/>
      <c r="C1704" s="9"/>
      <c r="D1704" s="9"/>
      <c r="E1704" s="9"/>
      <c r="F1704" s="10" t="str">
        <f aca="false">IF($B1704="","",$C1704+$D1704-$E1704)</f>
        <v/>
      </c>
      <c r="G1704" s="10" t="str">
        <f aca="false">IF($B1704="","",IFERROR(INDEX(Drinks!$C$4:$C$53,MATCH($B1704,Drinks!$A$4:$A$53,0)),0))</f>
        <v/>
      </c>
      <c r="H1704" s="10" t="str">
        <f aca="false">IF($B1704="","",$D1704*$G1704)</f>
        <v/>
      </c>
      <c r="I1704" s="10" t="str">
        <f aca="false">IF($B1704="","",$F1704*$G1704)</f>
        <v/>
      </c>
      <c r="J1704" s="9"/>
      <c r="K1704" s="10" t="str">
        <f aca="false">IF($B1704="","",$E1704*IFERROR(INDEX(Drinks!$B$4:$B$53,MATCH($B1704,Drinks!$A$4:$A$53,0)),0))</f>
        <v/>
      </c>
      <c r="L1704" s="10" t="str">
        <f aca="false">IF($B1704="","",$J1704+$K1704)</f>
        <v/>
      </c>
      <c r="M1704" s="9"/>
      <c r="N1704" s="10" t="str">
        <f aca="false">IF($B1704="","",$L1704-$M1704)</f>
        <v/>
      </c>
      <c r="O1704" s="10" t="str">
        <f aca="false">IF($B1704="","",IFERROR(INDEX(Drinks!$E$4:$E$53,MATCH($B1704,Drinks!$A$4:$A$53,0)),0))</f>
        <v/>
      </c>
      <c r="P1704" s="10" t="str">
        <f aca="false">IF($B1704="","",$N1704*$O1704)</f>
        <v/>
      </c>
      <c r="Q1704" s="10" t="str">
        <f aca="false">IF($B1704="","",$N1704*IFERROR(INDEX(Drinks!$D$4:$D$53,MATCH($B1704,Drinks!$A$4:$A$53,0)),0))</f>
        <v/>
      </c>
      <c r="R1704" s="10" t="str">
        <f aca="false">IF($B1704="","",$P1704-$Q1704)</f>
        <v/>
      </c>
      <c r="S1704" s="23" t="str">
        <f aca="false">IF($B1704="","",IF(COUNTIFS($A$4:$A$2003,$A1704-1,$B$4:$B$2003,$B1704)=0,"first day",IF(SUMIFS($M$4:$M$2003,$A$4:$A$2003,$A1704-1,$B$4:$B$2003,$B1704)=$J1704,"OK","CHECK")))</f>
        <v/>
      </c>
      <c r="T1704" s="10" t="str">
        <f aca="false">IF($B1704="","",IFERROR(INDEX(Drinks!$D$4:$D$53,MATCH($B1704,Drinks!$A$4:$A$53,0)),0))</f>
        <v/>
      </c>
    </row>
    <row r="1705" customFormat="false" ht="15" hidden="false" customHeight="false" outlineLevel="0" collapsed="false">
      <c r="A1705" s="22"/>
      <c r="B1705" s="9"/>
      <c r="C1705" s="9"/>
      <c r="D1705" s="9"/>
      <c r="E1705" s="9"/>
      <c r="F1705" s="10" t="str">
        <f aca="false">IF($B1705="","",$C1705+$D1705-$E1705)</f>
        <v/>
      </c>
      <c r="G1705" s="10" t="str">
        <f aca="false">IF($B1705="","",IFERROR(INDEX(Drinks!$C$4:$C$53,MATCH($B1705,Drinks!$A$4:$A$53,0)),0))</f>
        <v/>
      </c>
      <c r="H1705" s="10" t="str">
        <f aca="false">IF($B1705="","",$D1705*$G1705)</f>
        <v/>
      </c>
      <c r="I1705" s="10" t="str">
        <f aca="false">IF($B1705="","",$F1705*$G1705)</f>
        <v/>
      </c>
      <c r="J1705" s="9"/>
      <c r="K1705" s="10" t="str">
        <f aca="false">IF($B1705="","",$E1705*IFERROR(INDEX(Drinks!$B$4:$B$53,MATCH($B1705,Drinks!$A$4:$A$53,0)),0))</f>
        <v/>
      </c>
      <c r="L1705" s="10" t="str">
        <f aca="false">IF($B1705="","",$J1705+$K1705)</f>
        <v/>
      </c>
      <c r="M1705" s="9"/>
      <c r="N1705" s="10" t="str">
        <f aca="false">IF($B1705="","",$L1705-$M1705)</f>
        <v/>
      </c>
      <c r="O1705" s="10" t="str">
        <f aca="false">IF($B1705="","",IFERROR(INDEX(Drinks!$E$4:$E$53,MATCH($B1705,Drinks!$A$4:$A$53,0)),0))</f>
        <v/>
      </c>
      <c r="P1705" s="10" t="str">
        <f aca="false">IF($B1705="","",$N1705*$O1705)</f>
        <v/>
      </c>
      <c r="Q1705" s="10" t="str">
        <f aca="false">IF($B1705="","",$N1705*IFERROR(INDEX(Drinks!$D$4:$D$53,MATCH($B1705,Drinks!$A$4:$A$53,0)),0))</f>
        <v/>
      </c>
      <c r="R1705" s="10" t="str">
        <f aca="false">IF($B1705="","",$P1705-$Q1705)</f>
        <v/>
      </c>
      <c r="S1705" s="23" t="str">
        <f aca="false">IF($B1705="","",IF(COUNTIFS($A$4:$A$2003,$A1705-1,$B$4:$B$2003,$B1705)=0,"first day",IF(SUMIFS($M$4:$M$2003,$A$4:$A$2003,$A1705-1,$B$4:$B$2003,$B1705)=$J1705,"OK","CHECK")))</f>
        <v/>
      </c>
      <c r="T1705" s="10" t="str">
        <f aca="false">IF($B1705="","",IFERROR(INDEX(Drinks!$D$4:$D$53,MATCH($B1705,Drinks!$A$4:$A$53,0)),0))</f>
        <v/>
      </c>
    </row>
    <row r="1706" customFormat="false" ht="15" hidden="false" customHeight="false" outlineLevel="0" collapsed="false">
      <c r="A1706" s="22"/>
      <c r="B1706" s="9"/>
      <c r="C1706" s="9"/>
      <c r="D1706" s="9"/>
      <c r="E1706" s="9"/>
      <c r="F1706" s="10" t="str">
        <f aca="false">IF($B1706="","",$C1706+$D1706-$E1706)</f>
        <v/>
      </c>
      <c r="G1706" s="10" t="str">
        <f aca="false">IF($B1706="","",IFERROR(INDEX(Drinks!$C$4:$C$53,MATCH($B1706,Drinks!$A$4:$A$53,0)),0))</f>
        <v/>
      </c>
      <c r="H1706" s="10" t="str">
        <f aca="false">IF($B1706="","",$D1706*$G1706)</f>
        <v/>
      </c>
      <c r="I1706" s="10" t="str">
        <f aca="false">IF($B1706="","",$F1706*$G1706)</f>
        <v/>
      </c>
      <c r="J1706" s="9"/>
      <c r="K1706" s="10" t="str">
        <f aca="false">IF($B1706="","",$E1706*IFERROR(INDEX(Drinks!$B$4:$B$53,MATCH($B1706,Drinks!$A$4:$A$53,0)),0))</f>
        <v/>
      </c>
      <c r="L1706" s="10" t="str">
        <f aca="false">IF($B1706="","",$J1706+$K1706)</f>
        <v/>
      </c>
      <c r="M1706" s="9"/>
      <c r="N1706" s="10" t="str">
        <f aca="false">IF($B1706="","",$L1706-$M1706)</f>
        <v/>
      </c>
      <c r="O1706" s="10" t="str">
        <f aca="false">IF($B1706="","",IFERROR(INDEX(Drinks!$E$4:$E$53,MATCH($B1706,Drinks!$A$4:$A$53,0)),0))</f>
        <v/>
      </c>
      <c r="P1706" s="10" t="str">
        <f aca="false">IF($B1706="","",$N1706*$O1706)</f>
        <v/>
      </c>
      <c r="Q1706" s="10" t="str">
        <f aca="false">IF($B1706="","",$N1706*IFERROR(INDEX(Drinks!$D$4:$D$53,MATCH($B1706,Drinks!$A$4:$A$53,0)),0))</f>
        <v/>
      </c>
      <c r="R1706" s="10" t="str">
        <f aca="false">IF($B1706="","",$P1706-$Q1706)</f>
        <v/>
      </c>
      <c r="S1706" s="23" t="str">
        <f aca="false">IF($B1706="","",IF(COUNTIFS($A$4:$A$2003,$A1706-1,$B$4:$B$2003,$B1706)=0,"first day",IF(SUMIFS($M$4:$M$2003,$A$4:$A$2003,$A1706-1,$B$4:$B$2003,$B1706)=$J1706,"OK","CHECK")))</f>
        <v/>
      </c>
      <c r="T1706" s="10" t="str">
        <f aca="false">IF($B1706="","",IFERROR(INDEX(Drinks!$D$4:$D$53,MATCH($B1706,Drinks!$A$4:$A$53,0)),0))</f>
        <v/>
      </c>
    </row>
    <row r="1707" customFormat="false" ht="15" hidden="false" customHeight="false" outlineLevel="0" collapsed="false">
      <c r="A1707" s="22"/>
      <c r="B1707" s="9"/>
      <c r="C1707" s="9"/>
      <c r="D1707" s="9"/>
      <c r="E1707" s="9"/>
      <c r="F1707" s="10" t="str">
        <f aca="false">IF($B1707="","",$C1707+$D1707-$E1707)</f>
        <v/>
      </c>
      <c r="G1707" s="10" t="str">
        <f aca="false">IF($B1707="","",IFERROR(INDEX(Drinks!$C$4:$C$53,MATCH($B1707,Drinks!$A$4:$A$53,0)),0))</f>
        <v/>
      </c>
      <c r="H1707" s="10" t="str">
        <f aca="false">IF($B1707="","",$D1707*$G1707)</f>
        <v/>
      </c>
      <c r="I1707" s="10" t="str">
        <f aca="false">IF($B1707="","",$F1707*$G1707)</f>
        <v/>
      </c>
      <c r="J1707" s="9"/>
      <c r="K1707" s="10" t="str">
        <f aca="false">IF($B1707="","",$E1707*IFERROR(INDEX(Drinks!$B$4:$B$53,MATCH($B1707,Drinks!$A$4:$A$53,0)),0))</f>
        <v/>
      </c>
      <c r="L1707" s="10" t="str">
        <f aca="false">IF($B1707="","",$J1707+$K1707)</f>
        <v/>
      </c>
      <c r="M1707" s="9"/>
      <c r="N1707" s="10" t="str">
        <f aca="false">IF($B1707="","",$L1707-$M1707)</f>
        <v/>
      </c>
      <c r="O1707" s="10" t="str">
        <f aca="false">IF($B1707="","",IFERROR(INDEX(Drinks!$E$4:$E$53,MATCH($B1707,Drinks!$A$4:$A$53,0)),0))</f>
        <v/>
      </c>
      <c r="P1707" s="10" t="str">
        <f aca="false">IF($B1707="","",$N1707*$O1707)</f>
        <v/>
      </c>
      <c r="Q1707" s="10" t="str">
        <f aca="false">IF($B1707="","",$N1707*IFERROR(INDEX(Drinks!$D$4:$D$53,MATCH($B1707,Drinks!$A$4:$A$53,0)),0))</f>
        <v/>
      </c>
      <c r="R1707" s="10" t="str">
        <f aca="false">IF($B1707="","",$P1707-$Q1707)</f>
        <v/>
      </c>
      <c r="S1707" s="23" t="str">
        <f aca="false">IF($B1707="","",IF(COUNTIFS($A$4:$A$2003,$A1707-1,$B$4:$B$2003,$B1707)=0,"first day",IF(SUMIFS($M$4:$M$2003,$A$4:$A$2003,$A1707-1,$B$4:$B$2003,$B1707)=$J1707,"OK","CHECK")))</f>
        <v/>
      </c>
      <c r="T1707" s="10" t="str">
        <f aca="false">IF($B1707="","",IFERROR(INDEX(Drinks!$D$4:$D$53,MATCH($B1707,Drinks!$A$4:$A$53,0)),0))</f>
        <v/>
      </c>
    </row>
    <row r="1708" customFormat="false" ht="15" hidden="false" customHeight="false" outlineLevel="0" collapsed="false">
      <c r="A1708" s="22"/>
      <c r="B1708" s="9"/>
      <c r="C1708" s="9"/>
      <c r="D1708" s="9"/>
      <c r="E1708" s="9"/>
      <c r="F1708" s="10" t="str">
        <f aca="false">IF($B1708="","",$C1708+$D1708-$E1708)</f>
        <v/>
      </c>
      <c r="G1708" s="10" t="str">
        <f aca="false">IF($B1708="","",IFERROR(INDEX(Drinks!$C$4:$C$53,MATCH($B1708,Drinks!$A$4:$A$53,0)),0))</f>
        <v/>
      </c>
      <c r="H1708" s="10" t="str">
        <f aca="false">IF($B1708="","",$D1708*$G1708)</f>
        <v/>
      </c>
      <c r="I1708" s="10" t="str">
        <f aca="false">IF($B1708="","",$F1708*$G1708)</f>
        <v/>
      </c>
      <c r="J1708" s="9"/>
      <c r="K1708" s="10" t="str">
        <f aca="false">IF($B1708="","",$E1708*IFERROR(INDEX(Drinks!$B$4:$B$53,MATCH($B1708,Drinks!$A$4:$A$53,0)),0))</f>
        <v/>
      </c>
      <c r="L1708" s="10" t="str">
        <f aca="false">IF($B1708="","",$J1708+$K1708)</f>
        <v/>
      </c>
      <c r="M1708" s="9"/>
      <c r="N1708" s="10" t="str">
        <f aca="false">IF($B1708="","",$L1708-$M1708)</f>
        <v/>
      </c>
      <c r="O1708" s="10" t="str">
        <f aca="false">IF($B1708="","",IFERROR(INDEX(Drinks!$E$4:$E$53,MATCH($B1708,Drinks!$A$4:$A$53,0)),0))</f>
        <v/>
      </c>
      <c r="P1708" s="10" t="str">
        <f aca="false">IF($B1708="","",$N1708*$O1708)</f>
        <v/>
      </c>
      <c r="Q1708" s="10" t="str">
        <f aca="false">IF($B1708="","",$N1708*IFERROR(INDEX(Drinks!$D$4:$D$53,MATCH($B1708,Drinks!$A$4:$A$53,0)),0))</f>
        <v/>
      </c>
      <c r="R1708" s="10" t="str">
        <f aca="false">IF($B1708="","",$P1708-$Q1708)</f>
        <v/>
      </c>
      <c r="S1708" s="23" t="str">
        <f aca="false">IF($B1708="","",IF(COUNTIFS($A$4:$A$2003,$A1708-1,$B$4:$B$2003,$B1708)=0,"first day",IF(SUMIFS($M$4:$M$2003,$A$4:$A$2003,$A1708-1,$B$4:$B$2003,$B1708)=$J1708,"OK","CHECK")))</f>
        <v/>
      </c>
      <c r="T1708" s="10" t="str">
        <f aca="false">IF($B1708="","",IFERROR(INDEX(Drinks!$D$4:$D$53,MATCH($B1708,Drinks!$A$4:$A$53,0)),0))</f>
        <v/>
      </c>
    </row>
    <row r="1709" customFormat="false" ht="15" hidden="false" customHeight="false" outlineLevel="0" collapsed="false">
      <c r="A1709" s="22"/>
      <c r="B1709" s="9"/>
      <c r="C1709" s="9"/>
      <c r="D1709" s="9"/>
      <c r="E1709" s="9"/>
      <c r="F1709" s="10" t="str">
        <f aca="false">IF($B1709="","",$C1709+$D1709-$E1709)</f>
        <v/>
      </c>
      <c r="G1709" s="10" t="str">
        <f aca="false">IF($B1709="","",IFERROR(INDEX(Drinks!$C$4:$C$53,MATCH($B1709,Drinks!$A$4:$A$53,0)),0))</f>
        <v/>
      </c>
      <c r="H1709" s="10" t="str">
        <f aca="false">IF($B1709="","",$D1709*$G1709)</f>
        <v/>
      </c>
      <c r="I1709" s="10" t="str">
        <f aca="false">IF($B1709="","",$F1709*$G1709)</f>
        <v/>
      </c>
      <c r="J1709" s="9"/>
      <c r="K1709" s="10" t="str">
        <f aca="false">IF($B1709="","",$E1709*IFERROR(INDEX(Drinks!$B$4:$B$53,MATCH($B1709,Drinks!$A$4:$A$53,0)),0))</f>
        <v/>
      </c>
      <c r="L1709" s="10" t="str">
        <f aca="false">IF($B1709="","",$J1709+$K1709)</f>
        <v/>
      </c>
      <c r="M1709" s="9"/>
      <c r="N1709" s="10" t="str">
        <f aca="false">IF($B1709="","",$L1709-$M1709)</f>
        <v/>
      </c>
      <c r="O1709" s="10" t="str">
        <f aca="false">IF($B1709="","",IFERROR(INDEX(Drinks!$E$4:$E$53,MATCH($B1709,Drinks!$A$4:$A$53,0)),0))</f>
        <v/>
      </c>
      <c r="P1709" s="10" t="str">
        <f aca="false">IF($B1709="","",$N1709*$O1709)</f>
        <v/>
      </c>
      <c r="Q1709" s="10" t="str">
        <f aca="false">IF($B1709="","",$N1709*IFERROR(INDEX(Drinks!$D$4:$D$53,MATCH($B1709,Drinks!$A$4:$A$53,0)),0))</f>
        <v/>
      </c>
      <c r="R1709" s="10" t="str">
        <f aca="false">IF($B1709="","",$P1709-$Q1709)</f>
        <v/>
      </c>
      <c r="S1709" s="23" t="str">
        <f aca="false">IF($B1709="","",IF(COUNTIFS($A$4:$A$2003,$A1709-1,$B$4:$B$2003,$B1709)=0,"first day",IF(SUMIFS($M$4:$M$2003,$A$4:$A$2003,$A1709-1,$B$4:$B$2003,$B1709)=$J1709,"OK","CHECK")))</f>
        <v/>
      </c>
      <c r="T1709" s="10" t="str">
        <f aca="false">IF($B1709="","",IFERROR(INDEX(Drinks!$D$4:$D$53,MATCH($B1709,Drinks!$A$4:$A$53,0)),0))</f>
        <v/>
      </c>
    </row>
    <row r="1710" customFormat="false" ht="15" hidden="false" customHeight="false" outlineLevel="0" collapsed="false">
      <c r="A1710" s="22"/>
      <c r="B1710" s="9"/>
      <c r="C1710" s="9"/>
      <c r="D1710" s="9"/>
      <c r="E1710" s="9"/>
      <c r="F1710" s="10" t="str">
        <f aca="false">IF($B1710="","",$C1710+$D1710-$E1710)</f>
        <v/>
      </c>
      <c r="G1710" s="10" t="str">
        <f aca="false">IF($B1710="","",IFERROR(INDEX(Drinks!$C$4:$C$53,MATCH($B1710,Drinks!$A$4:$A$53,0)),0))</f>
        <v/>
      </c>
      <c r="H1710" s="10" t="str">
        <f aca="false">IF($B1710="","",$D1710*$G1710)</f>
        <v/>
      </c>
      <c r="I1710" s="10" t="str">
        <f aca="false">IF($B1710="","",$F1710*$G1710)</f>
        <v/>
      </c>
      <c r="J1710" s="9"/>
      <c r="K1710" s="10" t="str">
        <f aca="false">IF($B1710="","",$E1710*IFERROR(INDEX(Drinks!$B$4:$B$53,MATCH($B1710,Drinks!$A$4:$A$53,0)),0))</f>
        <v/>
      </c>
      <c r="L1710" s="10" t="str">
        <f aca="false">IF($B1710="","",$J1710+$K1710)</f>
        <v/>
      </c>
      <c r="M1710" s="9"/>
      <c r="N1710" s="10" t="str">
        <f aca="false">IF($B1710="","",$L1710-$M1710)</f>
        <v/>
      </c>
      <c r="O1710" s="10" t="str">
        <f aca="false">IF($B1710="","",IFERROR(INDEX(Drinks!$E$4:$E$53,MATCH($B1710,Drinks!$A$4:$A$53,0)),0))</f>
        <v/>
      </c>
      <c r="P1710" s="10" t="str">
        <f aca="false">IF($B1710="","",$N1710*$O1710)</f>
        <v/>
      </c>
      <c r="Q1710" s="10" t="str">
        <f aca="false">IF($B1710="","",$N1710*IFERROR(INDEX(Drinks!$D$4:$D$53,MATCH($B1710,Drinks!$A$4:$A$53,0)),0))</f>
        <v/>
      </c>
      <c r="R1710" s="10" t="str">
        <f aca="false">IF($B1710="","",$P1710-$Q1710)</f>
        <v/>
      </c>
      <c r="S1710" s="23" t="str">
        <f aca="false">IF($B1710="","",IF(COUNTIFS($A$4:$A$2003,$A1710-1,$B$4:$B$2003,$B1710)=0,"first day",IF(SUMIFS($M$4:$M$2003,$A$4:$A$2003,$A1710-1,$B$4:$B$2003,$B1710)=$J1710,"OK","CHECK")))</f>
        <v/>
      </c>
      <c r="T1710" s="10" t="str">
        <f aca="false">IF($B1710="","",IFERROR(INDEX(Drinks!$D$4:$D$53,MATCH($B1710,Drinks!$A$4:$A$53,0)),0))</f>
        <v/>
      </c>
    </row>
    <row r="1711" customFormat="false" ht="15" hidden="false" customHeight="false" outlineLevel="0" collapsed="false">
      <c r="A1711" s="22"/>
      <c r="B1711" s="9"/>
      <c r="C1711" s="9"/>
      <c r="D1711" s="9"/>
      <c r="E1711" s="9"/>
      <c r="F1711" s="10" t="str">
        <f aca="false">IF($B1711="","",$C1711+$D1711-$E1711)</f>
        <v/>
      </c>
      <c r="G1711" s="10" t="str">
        <f aca="false">IF($B1711="","",IFERROR(INDEX(Drinks!$C$4:$C$53,MATCH($B1711,Drinks!$A$4:$A$53,0)),0))</f>
        <v/>
      </c>
      <c r="H1711" s="10" t="str">
        <f aca="false">IF($B1711="","",$D1711*$G1711)</f>
        <v/>
      </c>
      <c r="I1711" s="10" t="str">
        <f aca="false">IF($B1711="","",$F1711*$G1711)</f>
        <v/>
      </c>
      <c r="J1711" s="9"/>
      <c r="K1711" s="10" t="str">
        <f aca="false">IF($B1711="","",$E1711*IFERROR(INDEX(Drinks!$B$4:$B$53,MATCH($B1711,Drinks!$A$4:$A$53,0)),0))</f>
        <v/>
      </c>
      <c r="L1711" s="10" t="str">
        <f aca="false">IF($B1711="","",$J1711+$K1711)</f>
        <v/>
      </c>
      <c r="M1711" s="9"/>
      <c r="N1711" s="10" t="str">
        <f aca="false">IF($B1711="","",$L1711-$M1711)</f>
        <v/>
      </c>
      <c r="O1711" s="10" t="str">
        <f aca="false">IF($B1711="","",IFERROR(INDEX(Drinks!$E$4:$E$53,MATCH($B1711,Drinks!$A$4:$A$53,0)),0))</f>
        <v/>
      </c>
      <c r="P1711" s="10" t="str">
        <f aca="false">IF($B1711="","",$N1711*$O1711)</f>
        <v/>
      </c>
      <c r="Q1711" s="10" t="str">
        <f aca="false">IF($B1711="","",$N1711*IFERROR(INDEX(Drinks!$D$4:$D$53,MATCH($B1711,Drinks!$A$4:$A$53,0)),0))</f>
        <v/>
      </c>
      <c r="R1711" s="10" t="str">
        <f aca="false">IF($B1711="","",$P1711-$Q1711)</f>
        <v/>
      </c>
      <c r="S1711" s="23" t="str">
        <f aca="false">IF($B1711="","",IF(COUNTIFS($A$4:$A$2003,$A1711-1,$B$4:$B$2003,$B1711)=0,"first day",IF(SUMIFS($M$4:$M$2003,$A$4:$A$2003,$A1711-1,$B$4:$B$2003,$B1711)=$J1711,"OK","CHECK")))</f>
        <v/>
      </c>
      <c r="T1711" s="10" t="str">
        <f aca="false">IF($B1711="","",IFERROR(INDEX(Drinks!$D$4:$D$53,MATCH($B1711,Drinks!$A$4:$A$53,0)),0))</f>
        <v/>
      </c>
    </row>
    <row r="1712" customFormat="false" ht="15" hidden="false" customHeight="false" outlineLevel="0" collapsed="false">
      <c r="A1712" s="22"/>
      <c r="B1712" s="9"/>
      <c r="C1712" s="9"/>
      <c r="D1712" s="9"/>
      <c r="E1712" s="9"/>
      <c r="F1712" s="10" t="str">
        <f aca="false">IF($B1712="","",$C1712+$D1712-$E1712)</f>
        <v/>
      </c>
      <c r="G1712" s="10" t="str">
        <f aca="false">IF($B1712="","",IFERROR(INDEX(Drinks!$C$4:$C$53,MATCH($B1712,Drinks!$A$4:$A$53,0)),0))</f>
        <v/>
      </c>
      <c r="H1712" s="10" t="str">
        <f aca="false">IF($B1712="","",$D1712*$G1712)</f>
        <v/>
      </c>
      <c r="I1712" s="10" t="str">
        <f aca="false">IF($B1712="","",$F1712*$G1712)</f>
        <v/>
      </c>
      <c r="J1712" s="9"/>
      <c r="K1712" s="10" t="str">
        <f aca="false">IF($B1712="","",$E1712*IFERROR(INDEX(Drinks!$B$4:$B$53,MATCH($B1712,Drinks!$A$4:$A$53,0)),0))</f>
        <v/>
      </c>
      <c r="L1712" s="10" t="str">
        <f aca="false">IF($B1712="","",$J1712+$K1712)</f>
        <v/>
      </c>
      <c r="M1712" s="9"/>
      <c r="N1712" s="10" t="str">
        <f aca="false">IF($B1712="","",$L1712-$M1712)</f>
        <v/>
      </c>
      <c r="O1712" s="10" t="str">
        <f aca="false">IF($B1712="","",IFERROR(INDEX(Drinks!$E$4:$E$53,MATCH($B1712,Drinks!$A$4:$A$53,0)),0))</f>
        <v/>
      </c>
      <c r="P1712" s="10" t="str">
        <f aca="false">IF($B1712="","",$N1712*$O1712)</f>
        <v/>
      </c>
      <c r="Q1712" s="10" t="str">
        <f aca="false">IF($B1712="","",$N1712*IFERROR(INDEX(Drinks!$D$4:$D$53,MATCH($B1712,Drinks!$A$4:$A$53,0)),0))</f>
        <v/>
      </c>
      <c r="R1712" s="10" t="str">
        <f aca="false">IF($B1712="","",$P1712-$Q1712)</f>
        <v/>
      </c>
      <c r="S1712" s="23" t="str">
        <f aca="false">IF($B1712="","",IF(COUNTIFS($A$4:$A$2003,$A1712-1,$B$4:$B$2003,$B1712)=0,"first day",IF(SUMIFS($M$4:$M$2003,$A$4:$A$2003,$A1712-1,$B$4:$B$2003,$B1712)=$J1712,"OK","CHECK")))</f>
        <v/>
      </c>
      <c r="T1712" s="10" t="str">
        <f aca="false">IF($B1712="","",IFERROR(INDEX(Drinks!$D$4:$D$53,MATCH($B1712,Drinks!$A$4:$A$53,0)),0))</f>
        <v/>
      </c>
    </row>
    <row r="1713" customFormat="false" ht="15" hidden="false" customHeight="false" outlineLevel="0" collapsed="false">
      <c r="A1713" s="22"/>
      <c r="B1713" s="9"/>
      <c r="C1713" s="9"/>
      <c r="D1713" s="9"/>
      <c r="E1713" s="9"/>
      <c r="F1713" s="10" t="str">
        <f aca="false">IF($B1713="","",$C1713+$D1713-$E1713)</f>
        <v/>
      </c>
      <c r="G1713" s="10" t="str">
        <f aca="false">IF($B1713="","",IFERROR(INDEX(Drinks!$C$4:$C$53,MATCH($B1713,Drinks!$A$4:$A$53,0)),0))</f>
        <v/>
      </c>
      <c r="H1713" s="10" t="str">
        <f aca="false">IF($B1713="","",$D1713*$G1713)</f>
        <v/>
      </c>
      <c r="I1713" s="10" t="str">
        <f aca="false">IF($B1713="","",$F1713*$G1713)</f>
        <v/>
      </c>
      <c r="J1713" s="9"/>
      <c r="K1713" s="10" t="str">
        <f aca="false">IF($B1713="","",$E1713*IFERROR(INDEX(Drinks!$B$4:$B$53,MATCH($B1713,Drinks!$A$4:$A$53,0)),0))</f>
        <v/>
      </c>
      <c r="L1713" s="10" t="str">
        <f aca="false">IF($B1713="","",$J1713+$K1713)</f>
        <v/>
      </c>
      <c r="M1713" s="9"/>
      <c r="N1713" s="10" t="str">
        <f aca="false">IF($B1713="","",$L1713-$M1713)</f>
        <v/>
      </c>
      <c r="O1713" s="10" t="str">
        <f aca="false">IF($B1713="","",IFERROR(INDEX(Drinks!$E$4:$E$53,MATCH($B1713,Drinks!$A$4:$A$53,0)),0))</f>
        <v/>
      </c>
      <c r="P1713" s="10" t="str">
        <f aca="false">IF($B1713="","",$N1713*$O1713)</f>
        <v/>
      </c>
      <c r="Q1713" s="10" t="str">
        <f aca="false">IF($B1713="","",$N1713*IFERROR(INDEX(Drinks!$D$4:$D$53,MATCH($B1713,Drinks!$A$4:$A$53,0)),0))</f>
        <v/>
      </c>
      <c r="R1713" s="10" t="str">
        <f aca="false">IF($B1713="","",$P1713-$Q1713)</f>
        <v/>
      </c>
      <c r="S1713" s="23" t="str">
        <f aca="false">IF($B1713="","",IF(COUNTIFS($A$4:$A$2003,$A1713-1,$B$4:$B$2003,$B1713)=0,"first day",IF(SUMIFS($M$4:$M$2003,$A$4:$A$2003,$A1713-1,$B$4:$B$2003,$B1713)=$J1713,"OK","CHECK")))</f>
        <v/>
      </c>
      <c r="T1713" s="10" t="str">
        <f aca="false">IF($B1713="","",IFERROR(INDEX(Drinks!$D$4:$D$53,MATCH($B1713,Drinks!$A$4:$A$53,0)),0))</f>
        <v/>
      </c>
    </row>
    <row r="1714" customFormat="false" ht="15" hidden="false" customHeight="false" outlineLevel="0" collapsed="false">
      <c r="A1714" s="22"/>
      <c r="B1714" s="9"/>
      <c r="C1714" s="9"/>
      <c r="D1714" s="9"/>
      <c r="E1714" s="9"/>
      <c r="F1714" s="10" t="str">
        <f aca="false">IF($B1714="","",$C1714+$D1714-$E1714)</f>
        <v/>
      </c>
      <c r="G1714" s="10" t="str">
        <f aca="false">IF($B1714="","",IFERROR(INDEX(Drinks!$C$4:$C$53,MATCH($B1714,Drinks!$A$4:$A$53,0)),0))</f>
        <v/>
      </c>
      <c r="H1714" s="10" t="str">
        <f aca="false">IF($B1714="","",$D1714*$G1714)</f>
        <v/>
      </c>
      <c r="I1714" s="10" t="str">
        <f aca="false">IF($B1714="","",$F1714*$G1714)</f>
        <v/>
      </c>
      <c r="J1714" s="9"/>
      <c r="K1714" s="10" t="str">
        <f aca="false">IF($B1714="","",$E1714*IFERROR(INDEX(Drinks!$B$4:$B$53,MATCH($B1714,Drinks!$A$4:$A$53,0)),0))</f>
        <v/>
      </c>
      <c r="L1714" s="10" t="str">
        <f aca="false">IF($B1714="","",$J1714+$K1714)</f>
        <v/>
      </c>
      <c r="M1714" s="9"/>
      <c r="N1714" s="10" t="str">
        <f aca="false">IF($B1714="","",$L1714-$M1714)</f>
        <v/>
      </c>
      <c r="O1714" s="10" t="str">
        <f aca="false">IF($B1714="","",IFERROR(INDEX(Drinks!$E$4:$E$53,MATCH($B1714,Drinks!$A$4:$A$53,0)),0))</f>
        <v/>
      </c>
      <c r="P1714" s="10" t="str">
        <f aca="false">IF($B1714="","",$N1714*$O1714)</f>
        <v/>
      </c>
      <c r="Q1714" s="10" t="str">
        <f aca="false">IF($B1714="","",$N1714*IFERROR(INDEX(Drinks!$D$4:$D$53,MATCH($B1714,Drinks!$A$4:$A$53,0)),0))</f>
        <v/>
      </c>
      <c r="R1714" s="10" t="str">
        <f aca="false">IF($B1714="","",$P1714-$Q1714)</f>
        <v/>
      </c>
      <c r="S1714" s="23" t="str">
        <f aca="false">IF($B1714="","",IF(COUNTIFS($A$4:$A$2003,$A1714-1,$B$4:$B$2003,$B1714)=0,"first day",IF(SUMIFS($M$4:$M$2003,$A$4:$A$2003,$A1714-1,$B$4:$B$2003,$B1714)=$J1714,"OK","CHECK")))</f>
        <v/>
      </c>
      <c r="T1714" s="10" t="str">
        <f aca="false">IF($B1714="","",IFERROR(INDEX(Drinks!$D$4:$D$53,MATCH($B1714,Drinks!$A$4:$A$53,0)),0))</f>
        <v/>
      </c>
    </row>
    <row r="1715" customFormat="false" ht="15" hidden="false" customHeight="false" outlineLevel="0" collapsed="false">
      <c r="A1715" s="22"/>
      <c r="B1715" s="9"/>
      <c r="C1715" s="9"/>
      <c r="D1715" s="9"/>
      <c r="E1715" s="9"/>
      <c r="F1715" s="10" t="str">
        <f aca="false">IF($B1715="","",$C1715+$D1715-$E1715)</f>
        <v/>
      </c>
      <c r="G1715" s="10" t="str">
        <f aca="false">IF($B1715="","",IFERROR(INDEX(Drinks!$C$4:$C$53,MATCH($B1715,Drinks!$A$4:$A$53,0)),0))</f>
        <v/>
      </c>
      <c r="H1715" s="10" t="str">
        <f aca="false">IF($B1715="","",$D1715*$G1715)</f>
        <v/>
      </c>
      <c r="I1715" s="10" t="str">
        <f aca="false">IF($B1715="","",$F1715*$G1715)</f>
        <v/>
      </c>
      <c r="J1715" s="9"/>
      <c r="K1715" s="10" t="str">
        <f aca="false">IF($B1715="","",$E1715*IFERROR(INDEX(Drinks!$B$4:$B$53,MATCH($B1715,Drinks!$A$4:$A$53,0)),0))</f>
        <v/>
      </c>
      <c r="L1715" s="10" t="str">
        <f aca="false">IF($B1715="","",$J1715+$K1715)</f>
        <v/>
      </c>
      <c r="M1715" s="9"/>
      <c r="N1715" s="10" t="str">
        <f aca="false">IF($B1715="","",$L1715-$M1715)</f>
        <v/>
      </c>
      <c r="O1715" s="10" t="str">
        <f aca="false">IF($B1715="","",IFERROR(INDEX(Drinks!$E$4:$E$53,MATCH($B1715,Drinks!$A$4:$A$53,0)),0))</f>
        <v/>
      </c>
      <c r="P1715" s="10" t="str">
        <f aca="false">IF($B1715="","",$N1715*$O1715)</f>
        <v/>
      </c>
      <c r="Q1715" s="10" t="str">
        <f aca="false">IF($B1715="","",$N1715*IFERROR(INDEX(Drinks!$D$4:$D$53,MATCH($B1715,Drinks!$A$4:$A$53,0)),0))</f>
        <v/>
      </c>
      <c r="R1715" s="10" t="str">
        <f aca="false">IF($B1715="","",$P1715-$Q1715)</f>
        <v/>
      </c>
      <c r="S1715" s="23" t="str">
        <f aca="false">IF($B1715="","",IF(COUNTIFS($A$4:$A$2003,$A1715-1,$B$4:$B$2003,$B1715)=0,"first day",IF(SUMIFS($M$4:$M$2003,$A$4:$A$2003,$A1715-1,$B$4:$B$2003,$B1715)=$J1715,"OK","CHECK")))</f>
        <v/>
      </c>
      <c r="T1715" s="10" t="str">
        <f aca="false">IF($B1715="","",IFERROR(INDEX(Drinks!$D$4:$D$53,MATCH($B1715,Drinks!$A$4:$A$53,0)),0))</f>
        <v/>
      </c>
    </row>
    <row r="1716" customFormat="false" ht="15" hidden="false" customHeight="false" outlineLevel="0" collapsed="false">
      <c r="A1716" s="22"/>
      <c r="B1716" s="9"/>
      <c r="C1716" s="9"/>
      <c r="D1716" s="9"/>
      <c r="E1716" s="9"/>
      <c r="F1716" s="10" t="str">
        <f aca="false">IF($B1716="","",$C1716+$D1716-$E1716)</f>
        <v/>
      </c>
      <c r="G1716" s="10" t="str">
        <f aca="false">IF($B1716="","",IFERROR(INDEX(Drinks!$C$4:$C$53,MATCH($B1716,Drinks!$A$4:$A$53,0)),0))</f>
        <v/>
      </c>
      <c r="H1716" s="10" t="str">
        <f aca="false">IF($B1716="","",$D1716*$G1716)</f>
        <v/>
      </c>
      <c r="I1716" s="10" t="str">
        <f aca="false">IF($B1716="","",$F1716*$G1716)</f>
        <v/>
      </c>
      <c r="J1716" s="9"/>
      <c r="K1716" s="10" t="str">
        <f aca="false">IF($B1716="","",$E1716*IFERROR(INDEX(Drinks!$B$4:$B$53,MATCH($B1716,Drinks!$A$4:$A$53,0)),0))</f>
        <v/>
      </c>
      <c r="L1716" s="10" t="str">
        <f aca="false">IF($B1716="","",$J1716+$K1716)</f>
        <v/>
      </c>
      <c r="M1716" s="9"/>
      <c r="N1716" s="10" t="str">
        <f aca="false">IF($B1716="","",$L1716-$M1716)</f>
        <v/>
      </c>
      <c r="O1716" s="10" t="str">
        <f aca="false">IF($B1716="","",IFERROR(INDEX(Drinks!$E$4:$E$53,MATCH($B1716,Drinks!$A$4:$A$53,0)),0))</f>
        <v/>
      </c>
      <c r="P1716" s="10" t="str">
        <f aca="false">IF($B1716="","",$N1716*$O1716)</f>
        <v/>
      </c>
      <c r="Q1716" s="10" t="str">
        <f aca="false">IF($B1716="","",$N1716*IFERROR(INDEX(Drinks!$D$4:$D$53,MATCH($B1716,Drinks!$A$4:$A$53,0)),0))</f>
        <v/>
      </c>
      <c r="R1716" s="10" t="str">
        <f aca="false">IF($B1716="","",$P1716-$Q1716)</f>
        <v/>
      </c>
      <c r="S1716" s="23" t="str">
        <f aca="false">IF($B1716="","",IF(COUNTIFS($A$4:$A$2003,$A1716-1,$B$4:$B$2003,$B1716)=0,"first day",IF(SUMIFS($M$4:$M$2003,$A$4:$A$2003,$A1716-1,$B$4:$B$2003,$B1716)=$J1716,"OK","CHECK")))</f>
        <v/>
      </c>
      <c r="T1716" s="10" t="str">
        <f aca="false">IF($B1716="","",IFERROR(INDEX(Drinks!$D$4:$D$53,MATCH($B1716,Drinks!$A$4:$A$53,0)),0))</f>
        <v/>
      </c>
    </row>
    <row r="1717" customFormat="false" ht="15" hidden="false" customHeight="false" outlineLevel="0" collapsed="false">
      <c r="A1717" s="22"/>
      <c r="B1717" s="9"/>
      <c r="C1717" s="9"/>
      <c r="D1717" s="9"/>
      <c r="E1717" s="9"/>
      <c r="F1717" s="10" t="str">
        <f aca="false">IF($B1717="","",$C1717+$D1717-$E1717)</f>
        <v/>
      </c>
      <c r="G1717" s="10" t="str">
        <f aca="false">IF($B1717="","",IFERROR(INDEX(Drinks!$C$4:$C$53,MATCH($B1717,Drinks!$A$4:$A$53,0)),0))</f>
        <v/>
      </c>
      <c r="H1717" s="10" t="str">
        <f aca="false">IF($B1717="","",$D1717*$G1717)</f>
        <v/>
      </c>
      <c r="I1717" s="10" t="str">
        <f aca="false">IF($B1717="","",$F1717*$G1717)</f>
        <v/>
      </c>
      <c r="J1717" s="9"/>
      <c r="K1717" s="10" t="str">
        <f aca="false">IF($B1717="","",$E1717*IFERROR(INDEX(Drinks!$B$4:$B$53,MATCH($B1717,Drinks!$A$4:$A$53,0)),0))</f>
        <v/>
      </c>
      <c r="L1717" s="10" t="str">
        <f aca="false">IF($B1717="","",$J1717+$K1717)</f>
        <v/>
      </c>
      <c r="M1717" s="9"/>
      <c r="N1717" s="10" t="str">
        <f aca="false">IF($B1717="","",$L1717-$M1717)</f>
        <v/>
      </c>
      <c r="O1717" s="10" t="str">
        <f aca="false">IF($B1717="","",IFERROR(INDEX(Drinks!$E$4:$E$53,MATCH($B1717,Drinks!$A$4:$A$53,0)),0))</f>
        <v/>
      </c>
      <c r="P1717" s="10" t="str">
        <f aca="false">IF($B1717="","",$N1717*$O1717)</f>
        <v/>
      </c>
      <c r="Q1717" s="10" t="str">
        <f aca="false">IF($B1717="","",$N1717*IFERROR(INDEX(Drinks!$D$4:$D$53,MATCH($B1717,Drinks!$A$4:$A$53,0)),0))</f>
        <v/>
      </c>
      <c r="R1717" s="10" t="str">
        <f aca="false">IF($B1717="","",$P1717-$Q1717)</f>
        <v/>
      </c>
      <c r="S1717" s="23" t="str">
        <f aca="false">IF($B1717="","",IF(COUNTIFS($A$4:$A$2003,$A1717-1,$B$4:$B$2003,$B1717)=0,"first day",IF(SUMIFS($M$4:$M$2003,$A$4:$A$2003,$A1717-1,$B$4:$B$2003,$B1717)=$J1717,"OK","CHECK")))</f>
        <v/>
      </c>
      <c r="T1717" s="10" t="str">
        <f aca="false">IF($B1717="","",IFERROR(INDEX(Drinks!$D$4:$D$53,MATCH($B1717,Drinks!$A$4:$A$53,0)),0))</f>
        <v/>
      </c>
    </row>
    <row r="1718" customFormat="false" ht="15" hidden="false" customHeight="false" outlineLevel="0" collapsed="false">
      <c r="A1718" s="22"/>
      <c r="B1718" s="9"/>
      <c r="C1718" s="9"/>
      <c r="D1718" s="9"/>
      <c r="E1718" s="9"/>
      <c r="F1718" s="10" t="str">
        <f aca="false">IF($B1718="","",$C1718+$D1718-$E1718)</f>
        <v/>
      </c>
      <c r="G1718" s="10" t="str">
        <f aca="false">IF($B1718="","",IFERROR(INDEX(Drinks!$C$4:$C$53,MATCH($B1718,Drinks!$A$4:$A$53,0)),0))</f>
        <v/>
      </c>
      <c r="H1718" s="10" t="str">
        <f aca="false">IF($B1718="","",$D1718*$G1718)</f>
        <v/>
      </c>
      <c r="I1718" s="10" t="str">
        <f aca="false">IF($B1718="","",$F1718*$G1718)</f>
        <v/>
      </c>
      <c r="J1718" s="9"/>
      <c r="K1718" s="10" t="str">
        <f aca="false">IF($B1718="","",$E1718*IFERROR(INDEX(Drinks!$B$4:$B$53,MATCH($B1718,Drinks!$A$4:$A$53,0)),0))</f>
        <v/>
      </c>
      <c r="L1718" s="10" t="str">
        <f aca="false">IF($B1718="","",$J1718+$K1718)</f>
        <v/>
      </c>
      <c r="M1718" s="9"/>
      <c r="N1718" s="10" t="str">
        <f aca="false">IF($B1718="","",$L1718-$M1718)</f>
        <v/>
      </c>
      <c r="O1718" s="10" t="str">
        <f aca="false">IF($B1718="","",IFERROR(INDEX(Drinks!$E$4:$E$53,MATCH($B1718,Drinks!$A$4:$A$53,0)),0))</f>
        <v/>
      </c>
      <c r="P1718" s="10" t="str">
        <f aca="false">IF($B1718="","",$N1718*$O1718)</f>
        <v/>
      </c>
      <c r="Q1718" s="10" t="str">
        <f aca="false">IF($B1718="","",$N1718*IFERROR(INDEX(Drinks!$D$4:$D$53,MATCH($B1718,Drinks!$A$4:$A$53,0)),0))</f>
        <v/>
      </c>
      <c r="R1718" s="10" t="str">
        <f aca="false">IF($B1718="","",$P1718-$Q1718)</f>
        <v/>
      </c>
      <c r="S1718" s="23" t="str">
        <f aca="false">IF($B1718="","",IF(COUNTIFS($A$4:$A$2003,$A1718-1,$B$4:$B$2003,$B1718)=0,"first day",IF(SUMIFS($M$4:$M$2003,$A$4:$A$2003,$A1718-1,$B$4:$B$2003,$B1718)=$J1718,"OK","CHECK")))</f>
        <v/>
      </c>
      <c r="T1718" s="10" t="str">
        <f aca="false">IF($B1718="","",IFERROR(INDEX(Drinks!$D$4:$D$53,MATCH($B1718,Drinks!$A$4:$A$53,0)),0))</f>
        <v/>
      </c>
    </row>
    <row r="1719" customFormat="false" ht="15" hidden="false" customHeight="false" outlineLevel="0" collapsed="false">
      <c r="A1719" s="22"/>
      <c r="B1719" s="9"/>
      <c r="C1719" s="9"/>
      <c r="D1719" s="9"/>
      <c r="E1719" s="9"/>
      <c r="F1719" s="10" t="str">
        <f aca="false">IF($B1719="","",$C1719+$D1719-$E1719)</f>
        <v/>
      </c>
      <c r="G1719" s="10" t="str">
        <f aca="false">IF($B1719="","",IFERROR(INDEX(Drinks!$C$4:$C$53,MATCH($B1719,Drinks!$A$4:$A$53,0)),0))</f>
        <v/>
      </c>
      <c r="H1719" s="10" t="str">
        <f aca="false">IF($B1719="","",$D1719*$G1719)</f>
        <v/>
      </c>
      <c r="I1719" s="10" t="str">
        <f aca="false">IF($B1719="","",$F1719*$G1719)</f>
        <v/>
      </c>
      <c r="J1719" s="9"/>
      <c r="K1719" s="10" t="str">
        <f aca="false">IF($B1719="","",$E1719*IFERROR(INDEX(Drinks!$B$4:$B$53,MATCH($B1719,Drinks!$A$4:$A$53,0)),0))</f>
        <v/>
      </c>
      <c r="L1719" s="10" t="str">
        <f aca="false">IF($B1719="","",$J1719+$K1719)</f>
        <v/>
      </c>
      <c r="M1719" s="9"/>
      <c r="N1719" s="10" t="str">
        <f aca="false">IF($B1719="","",$L1719-$M1719)</f>
        <v/>
      </c>
      <c r="O1719" s="10" t="str">
        <f aca="false">IF($B1719="","",IFERROR(INDEX(Drinks!$E$4:$E$53,MATCH($B1719,Drinks!$A$4:$A$53,0)),0))</f>
        <v/>
      </c>
      <c r="P1719" s="10" t="str">
        <f aca="false">IF($B1719="","",$N1719*$O1719)</f>
        <v/>
      </c>
      <c r="Q1719" s="10" t="str">
        <f aca="false">IF($B1719="","",$N1719*IFERROR(INDEX(Drinks!$D$4:$D$53,MATCH($B1719,Drinks!$A$4:$A$53,0)),0))</f>
        <v/>
      </c>
      <c r="R1719" s="10" t="str">
        <f aca="false">IF($B1719="","",$P1719-$Q1719)</f>
        <v/>
      </c>
      <c r="S1719" s="23" t="str">
        <f aca="false">IF($B1719="","",IF(COUNTIFS($A$4:$A$2003,$A1719-1,$B$4:$B$2003,$B1719)=0,"first day",IF(SUMIFS($M$4:$M$2003,$A$4:$A$2003,$A1719-1,$B$4:$B$2003,$B1719)=$J1719,"OK","CHECK")))</f>
        <v/>
      </c>
      <c r="T1719" s="10" t="str">
        <f aca="false">IF($B1719="","",IFERROR(INDEX(Drinks!$D$4:$D$53,MATCH($B1719,Drinks!$A$4:$A$53,0)),0))</f>
        <v/>
      </c>
    </row>
    <row r="1720" customFormat="false" ht="15" hidden="false" customHeight="false" outlineLevel="0" collapsed="false">
      <c r="A1720" s="22"/>
      <c r="B1720" s="9"/>
      <c r="C1720" s="9"/>
      <c r="D1720" s="9"/>
      <c r="E1720" s="9"/>
      <c r="F1720" s="10" t="str">
        <f aca="false">IF($B1720="","",$C1720+$D1720-$E1720)</f>
        <v/>
      </c>
      <c r="G1720" s="10" t="str">
        <f aca="false">IF($B1720="","",IFERROR(INDEX(Drinks!$C$4:$C$53,MATCH($B1720,Drinks!$A$4:$A$53,0)),0))</f>
        <v/>
      </c>
      <c r="H1720" s="10" t="str">
        <f aca="false">IF($B1720="","",$D1720*$G1720)</f>
        <v/>
      </c>
      <c r="I1720" s="10" t="str">
        <f aca="false">IF($B1720="","",$F1720*$G1720)</f>
        <v/>
      </c>
      <c r="J1720" s="9"/>
      <c r="K1720" s="10" t="str">
        <f aca="false">IF($B1720="","",$E1720*IFERROR(INDEX(Drinks!$B$4:$B$53,MATCH($B1720,Drinks!$A$4:$A$53,0)),0))</f>
        <v/>
      </c>
      <c r="L1720" s="10" t="str">
        <f aca="false">IF($B1720="","",$J1720+$K1720)</f>
        <v/>
      </c>
      <c r="M1720" s="9"/>
      <c r="N1720" s="10" t="str">
        <f aca="false">IF($B1720="","",$L1720-$M1720)</f>
        <v/>
      </c>
      <c r="O1720" s="10" t="str">
        <f aca="false">IF($B1720="","",IFERROR(INDEX(Drinks!$E$4:$E$53,MATCH($B1720,Drinks!$A$4:$A$53,0)),0))</f>
        <v/>
      </c>
      <c r="P1720" s="10" t="str">
        <f aca="false">IF($B1720="","",$N1720*$O1720)</f>
        <v/>
      </c>
      <c r="Q1720" s="10" t="str">
        <f aca="false">IF($B1720="","",$N1720*IFERROR(INDEX(Drinks!$D$4:$D$53,MATCH($B1720,Drinks!$A$4:$A$53,0)),0))</f>
        <v/>
      </c>
      <c r="R1720" s="10" t="str">
        <f aca="false">IF($B1720="","",$P1720-$Q1720)</f>
        <v/>
      </c>
      <c r="S1720" s="23" t="str">
        <f aca="false">IF($B1720="","",IF(COUNTIFS($A$4:$A$2003,$A1720-1,$B$4:$B$2003,$B1720)=0,"first day",IF(SUMIFS($M$4:$M$2003,$A$4:$A$2003,$A1720-1,$B$4:$B$2003,$B1720)=$J1720,"OK","CHECK")))</f>
        <v/>
      </c>
      <c r="T1720" s="10" t="str">
        <f aca="false">IF($B1720="","",IFERROR(INDEX(Drinks!$D$4:$D$53,MATCH($B1720,Drinks!$A$4:$A$53,0)),0))</f>
        <v/>
      </c>
    </row>
    <row r="1721" customFormat="false" ht="15" hidden="false" customHeight="false" outlineLevel="0" collapsed="false">
      <c r="A1721" s="22"/>
      <c r="B1721" s="9"/>
      <c r="C1721" s="9"/>
      <c r="D1721" s="9"/>
      <c r="E1721" s="9"/>
      <c r="F1721" s="10" t="str">
        <f aca="false">IF($B1721="","",$C1721+$D1721-$E1721)</f>
        <v/>
      </c>
      <c r="G1721" s="10" t="str">
        <f aca="false">IF($B1721="","",IFERROR(INDEX(Drinks!$C$4:$C$53,MATCH($B1721,Drinks!$A$4:$A$53,0)),0))</f>
        <v/>
      </c>
      <c r="H1721" s="10" t="str">
        <f aca="false">IF($B1721="","",$D1721*$G1721)</f>
        <v/>
      </c>
      <c r="I1721" s="10" t="str">
        <f aca="false">IF($B1721="","",$F1721*$G1721)</f>
        <v/>
      </c>
      <c r="J1721" s="9"/>
      <c r="K1721" s="10" t="str">
        <f aca="false">IF($B1721="","",$E1721*IFERROR(INDEX(Drinks!$B$4:$B$53,MATCH($B1721,Drinks!$A$4:$A$53,0)),0))</f>
        <v/>
      </c>
      <c r="L1721" s="10" t="str">
        <f aca="false">IF($B1721="","",$J1721+$K1721)</f>
        <v/>
      </c>
      <c r="M1721" s="9"/>
      <c r="N1721" s="10" t="str">
        <f aca="false">IF($B1721="","",$L1721-$M1721)</f>
        <v/>
      </c>
      <c r="O1721" s="10" t="str">
        <f aca="false">IF($B1721="","",IFERROR(INDEX(Drinks!$E$4:$E$53,MATCH($B1721,Drinks!$A$4:$A$53,0)),0))</f>
        <v/>
      </c>
      <c r="P1721" s="10" t="str">
        <f aca="false">IF($B1721="","",$N1721*$O1721)</f>
        <v/>
      </c>
      <c r="Q1721" s="10" t="str">
        <f aca="false">IF($B1721="","",$N1721*IFERROR(INDEX(Drinks!$D$4:$D$53,MATCH($B1721,Drinks!$A$4:$A$53,0)),0))</f>
        <v/>
      </c>
      <c r="R1721" s="10" t="str">
        <f aca="false">IF($B1721="","",$P1721-$Q1721)</f>
        <v/>
      </c>
      <c r="S1721" s="23" t="str">
        <f aca="false">IF($B1721="","",IF(COUNTIFS($A$4:$A$2003,$A1721-1,$B$4:$B$2003,$B1721)=0,"first day",IF(SUMIFS($M$4:$M$2003,$A$4:$A$2003,$A1721-1,$B$4:$B$2003,$B1721)=$J1721,"OK","CHECK")))</f>
        <v/>
      </c>
      <c r="T1721" s="10" t="str">
        <f aca="false">IF($B1721="","",IFERROR(INDEX(Drinks!$D$4:$D$53,MATCH($B1721,Drinks!$A$4:$A$53,0)),0))</f>
        <v/>
      </c>
    </row>
    <row r="1722" customFormat="false" ht="15" hidden="false" customHeight="false" outlineLevel="0" collapsed="false">
      <c r="A1722" s="22"/>
      <c r="B1722" s="9"/>
      <c r="C1722" s="9"/>
      <c r="D1722" s="9"/>
      <c r="E1722" s="9"/>
      <c r="F1722" s="10" t="str">
        <f aca="false">IF($B1722="","",$C1722+$D1722-$E1722)</f>
        <v/>
      </c>
      <c r="G1722" s="10" t="str">
        <f aca="false">IF($B1722="","",IFERROR(INDEX(Drinks!$C$4:$C$53,MATCH($B1722,Drinks!$A$4:$A$53,0)),0))</f>
        <v/>
      </c>
      <c r="H1722" s="10" t="str">
        <f aca="false">IF($B1722="","",$D1722*$G1722)</f>
        <v/>
      </c>
      <c r="I1722" s="10" t="str">
        <f aca="false">IF($B1722="","",$F1722*$G1722)</f>
        <v/>
      </c>
      <c r="J1722" s="9"/>
      <c r="K1722" s="10" t="str">
        <f aca="false">IF($B1722="","",$E1722*IFERROR(INDEX(Drinks!$B$4:$B$53,MATCH($B1722,Drinks!$A$4:$A$53,0)),0))</f>
        <v/>
      </c>
      <c r="L1722" s="10" t="str">
        <f aca="false">IF($B1722="","",$J1722+$K1722)</f>
        <v/>
      </c>
      <c r="M1722" s="9"/>
      <c r="N1722" s="10" t="str">
        <f aca="false">IF($B1722="","",$L1722-$M1722)</f>
        <v/>
      </c>
      <c r="O1722" s="10" t="str">
        <f aca="false">IF($B1722="","",IFERROR(INDEX(Drinks!$E$4:$E$53,MATCH($B1722,Drinks!$A$4:$A$53,0)),0))</f>
        <v/>
      </c>
      <c r="P1722" s="10" t="str">
        <f aca="false">IF($B1722="","",$N1722*$O1722)</f>
        <v/>
      </c>
      <c r="Q1722" s="10" t="str">
        <f aca="false">IF($B1722="","",$N1722*IFERROR(INDEX(Drinks!$D$4:$D$53,MATCH($B1722,Drinks!$A$4:$A$53,0)),0))</f>
        <v/>
      </c>
      <c r="R1722" s="10" t="str">
        <f aca="false">IF($B1722="","",$P1722-$Q1722)</f>
        <v/>
      </c>
      <c r="S1722" s="23" t="str">
        <f aca="false">IF($B1722="","",IF(COUNTIFS($A$4:$A$2003,$A1722-1,$B$4:$B$2003,$B1722)=0,"first day",IF(SUMIFS($M$4:$M$2003,$A$4:$A$2003,$A1722-1,$B$4:$B$2003,$B1722)=$J1722,"OK","CHECK")))</f>
        <v/>
      </c>
      <c r="T1722" s="10" t="str">
        <f aca="false">IF($B1722="","",IFERROR(INDEX(Drinks!$D$4:$D$53,MATCH($B1722,Drinks!$A$4:$A$53,0)),0))</f>
        <v/>
      </c>
    </row>
    <row r="1723" customFormat="false" ht="15" hidden="false" customHeight="false" outlineLevel="0" collapsed="false">
      <c r="A1723" s="22"/>
      <c r="B1723" s="9"/>
      <c r="C1723" s="9"/>
      <c r="D1723" s="9"/>
      <c r="E1723" s="9"/>
      <c r="F1723" s="10" t="str">
        <f aca="false">IF($B1723="","",$C1723+$D1723-$E1723)</f>
        <v/>
      </c>
      <c r="G1723" s="10" t="str">
        <f aca="false">IF($B1723="","",IFERROR(INDEX(Drinks!$C$4:$C$53,MATCH($B1723,Drinks!$A$4:$A$53,0)),0))</f>
        <v/>
      </c>
      <c r="H1723" s="10" t="str">
        <f aca="false">IF($B1723="","",$D1723*$G1723)</f>
        <v/>
      </c>
      <c r="I1723" s="10" t="str">
        <f aca="false">IF($B1723="","",$F1723*$G1723)</f>
        <v/>
      </c>
      <c r="J1723" s="9"/>
      <c r="K1723" s="10" t="str">
        <f aca="false">IF($B1723="","",$E1723*IFERROR(INDEX(Drinks!$B$4:$B$53,MATCH($B1723,Drinks!$A$4:$A$53,0)),0))</f>
        <v/>
      </c>
      <c r="L1723" s="10" t="str">
        <f aca="false">IF($B1723="","",$J1723+$K1723)</f>
        <v/>
      </c>
      <c r="M1723" s="9"/>
      <c r="N1723" s="10" t="str">
        <f aca="false">IF($B1723="","",$L1723-$M1723)</f>
        <v/>
      </c>
      <c r="O1723" s="10" t="str">
        <f aca="false">IF($B1723="","",IFERROR(INDEX(Drinks!$E$4:$E$53,MATCH($B1723,Drinks!$A$4:$A$53,0)),0))</f>
        <v/>
      </c>
      <c r="P1723" s="10" t="str">
        <f aca="false">IF($B1723="","",$N1723*$O1723)</f>
        <v/>
      </c>
      <c r="Q1723" s="10" t="str">
        <f aca="false">IF($B1723="","",$N1723*IFERROR(INDEX(Drinks!$D$4:$D$53,MATCH($B1723,Drinks!$A$4:$A$53,0)),0))</f>
        <v/>
      </c>
      <c r="R1723" s="10" t="str">
        <f aca="false">IF($B1723="","",$P1723-$Q1723)</f>
        <v/>
      </c>
      <c r="S1723" s="23" t="str">
        <f aca="false">IF($B1723="","",IF(COUNTIFS($A$4:$A$2003,$A1723-1,$B$4:$B$2003,$B1723)=0,"first day",IF(SUMIFS($M$4:$M$2003,$A$4:$A$2003,$A1723-1,$B$4:$B$2003,$B1723)=$J1723,"OK","CHECK")))</f>
        <v/>
      </c>
      <c r="T1723" s="10" t="str">
        <f aca="false">IF($B1723="","",IFERROR(INDEX(Drinks!$D$4:$D$53,MATCH($B1723,Drinks!$A$4:$A$53,0)),0))</f>
        <v/>
      </c>
    </row>
    <row r="1724" customFormat="false" ht="15" hidden="false" customHeight="false" outlineLevel="0" collapsed="false">
      <c r="A1724" s="22"/>
      <c r="B1724" s="9"/>
      <c r="C1724" s="9"/>
      <c r="D1724" s="9"/>
      <c r="E1724" s="9"/>
      <c r="F1724" s="10" t="str">
        <f aca="false">IF($B1724="","",$C1724+$D1724-$E1724)</f>
        <v/>
      </c>
      <c r="G1724" s="10" t="str">
        <f aca="false">IF($B1724="","",IFERROR(INDEX(Drinks!$C$4:$C$53,MATCH($B1724,Drinks!$A$4:$A$53,0)),0))</f>
        <v/>
      </c>
      <c r="H1724" s="10" t="str">
        <f aca="false">IF($B1724="","",$D1724*$G1724)</f>
        <v/>
      </c>
      <c r="I1724" s="10" t="str">
        <f aca="false">IF($B1724="","",$F1724*$G1724)</f>
        <v/>
      </c>
      <c r="J1724" s="9"/>
      <c r="K1724" s="10" t="str">
        <f aca="false">IF($B1724="","",$E1724*IFERROR(INDEX(Drinks!$B$4:$B$53,MATCH($B1724,Drinks!$A$4:$A$53,0)),0))</f>
        <v/>
      </c>
      <c r="L1724" s="10" t="str">
        <f aca="false">IF($B1724="","",$J1724+$K1724)</f>
        <v/>
      </c>
      <c r="M1724" s="9"/>
      <c r="N1724" s="10" t="str">
        <f aca="false">IF($B1724="","",$L1724-$M1724)</f>
        <v/>
      </c>
      <c r="O1724" s="10" t="str">
        <f aca="false">IF($B1724="","",IFERROR(INDEX(Drinks!$E$4:$E$53,MATCH($B1724,Drinks!$A$4:$A$53,0)),0))</f>
        <v/>
      </c>
      <c r="P1724" s="10" t="str">
        <f aca="false">IF($B1724="","",$N1724*$O1724)</f>
        <v/>
      </c>
      <c r="Q1724" s="10" t="str">
        <f aca="false">IF($B1724="","",$N1724*IFERROR(INDEX(Drinks!$D$4:$D$53,MATCH($B1724,Drinks!$A$4:$A$53,0)),0))</f>
        <v/>
      </c>
      <c r="R1724" s="10" t="str">
        <f aca="false">IF($B1724="","",$P1724-$Q1724)</f>
        <v/>
      </c>
      <c r="S1724" s="23" t="str">
        <f aca="false">IF($B1724="","",IF(COUNTIFS($A$4:$A$2003,$A1724-1,$B$4:$B$2003,$B1724)=0,"first day",IF(SUMIFS($M$4:$M$2003,$A$4:$A$2003,$A1724-1,$B$4:$B$2003,$B1724)=$J1724,"OK","CHECK")))</f>
        <v/>
      </c>
      <c r="T1724" s="10" t="str">
        <f aca="false">IF($B1724="","",IFERROR(INDEX(Drinks!$D$4:$D$53,MATCH($B1724,Drinks!$A$4:$A$53,0)),0))</f>
        <v/>
      </c>
    </row>
    <row r="1725" customFormat="false" ht="15" hidden="false" customHeight="false" outlineLevel="0" collapsed="false">
      <c r="A1725" s="22"/>
      <c r="B1725" s="9"/>
      <c r="C1725" s="9"/>
      <c r="D1725" s="9"/>
      <c r="E1725" s="9"/>
      <c r="F1725" s="10" t="str">
        <f aca="false">IF($B1725="","",$C1725+$D1725-$E1725)</f>
        <v/>
      </c>
      <c r="G1725" s="10" t="str">
        <f aca="false">IF($B1725="","",IFERROR(INDEX(Drinks!$C$4:$C$53,MATCH($B1725,Drinks!$A$4:$A$53,0)),0))</f>
        <v/>
      </c>
      <c r="H1725" s="10" t="str">
        <f aca="false">IF($B1725="","",$D1725*$G1725)</f>
        <v/>
      </c>
      <c r="I1725" s="10" t="str">
        <f aca="false">IF($B1725="","",$F1725*$G1725)</f>
        <v/>
      </c>
      <c r="J1725" s="9"/>
      <c r="K1725" s="10" t="str">
        <f aca="false">IF($B1725="","",$E1725*IFERROR(INDEX(Drinks!$B$4:$B$53,MATCH($B1725,Drinks!$A$4:$A$53,0)),0))</f>
        <v/>
      </c>
      <c r="L1725" s="10" t="str">
        <f aca="false">IF($B1725="","",$J1725+$K1725)</f>
        <v/>
      </c>
      <c r="M1725" s="9"/>
      <c r="N1725" s="10" t="str">
        <f aca="false">IF($B1725="","",$L1725-$M1725)</f>
        <v/>
      </c>
      <c r="O1725" s="10" t="str">
        <f aca="false">IF($B1725="","",IFERROR(INDEX(Drinks!$E$4:$E$53,MATCH($B1725,Drinks!$A$4:$A$53,0)),0))</f>
        <v/>
      </c>
      <c r="P1725" s="10" t="str">
        <f aca="false">IF($B1725="","",$N1725*$O1725)</f>
        <v/>
      </c>
      <c r="Q1725" s="10" t="str">
        <f aca="false">IF($B1725="","",$N1725*IFERROR(INDEX(Drinks!$D$4:$D$53,MATCH($B1725,Drinks!$A$4:$A$53,0)),0))</f>
        <v/>
      </c>
      <c r="R1725" s="10" t="str">
        <f aca="false">IF($B1725="","",$P1725-$Q1725)</f>
        <v/>
      </c>
      <c r="S1725" s="23" t="str">
        <f aca="false">IF($B1725="","",IF(COUNTIFS($A$4:$A$2003,$A1725-1,$B$4:$B$2003,$B1725)=0,"first day",IF(SUMIFS($M$4:$M$2003,$A$4:$A$2003,$A1725-1,$B$4:$B$2003,$B1725)=$J1725,"OK","CHECK")))</f>
        <v/>
      </c>
      <c r="T1725" s="10" t="str">
        <f aca="false">IF($B1725="","",IFERROR(INDEX(Drinks!$D$4:$D$53,MATCH($B1725,Drinks!$A$4:$A$53,0)),0))</f>
        <v/>
      </c>
    </row>
    <row r="1726" customFormat="false" ht="15" hidden="false" customHeight="false" outlineLevel="0" collapsed="false">
      <c r="A1726" s="22"/>
      <c r="B1726" s="9"/>
      <c r="C1726" s="9"/>
      <c r="D1726" s="9"/>
      <c r="E1726" s="9"/>
      <c r="F1726" s="10" t="str">
        <f aca="false">IF($B1726="","",$C1726+$D1726-$E1726)</f>
        <v/>
      </c>
      <c r="G1726" s="10" t="str">
        <f aca="false">IF($B1726="","",IFERROR(INDEX(Drinks!$C$4:$C$53,MATCH($B1726,Drinks!$A$4:$A$53,0)),0))</f>
        <v/>
      </c>
      <c r="H1726" s="10" t="str">
        <f aca="false">IF($B1726="","",$D1726*$G1726)</f>
        <v/>
      </c>
      <c r="I1726" s="10" t="str">
        <f aca="false">IF($B1726="","",$F1726*$G1726)</f>
        <v/>
      </c>
      <c r="J1726" s="9"/>
      <c r="K1726" s="10" t="str">
        <f aca="false">IF($B1726="","",$E1726*IFERROR(INDEX(Drinks!$B$4:$B$53,MATCH($B1726,Drinks!$A$4:$A$53,0)),0))</f>
        <v/>
      </c>
      <c r="L1726" s="10" t="str">
        <f aca="false">IF($B1726="","",$J1726+$K1726)</f>
        <v/>
      </c>
      <c r="M1726" s="9"/>
      <c r="N1726" s="10" t="str">
        <f aca="false">IF($B1726="","",$L1726-$M1726)</f>
        <v/>
      </c>
      <c r="O1726" s="10" t="str">
        <f aca="false">IF($B1726="","",IFERROR(INDEX(Drinks!$E$4:$E$53,MATCH($B1726,Drinks!$A$4:$A$53,0)),0))</f>
        <v/>
      </c>
      <c r="P1726" s="10" t="str">
        <f aca="false">IF($B1726="","",$N1726*$O1726)</f>
        <v/>
      </c>
      <c r="Q1726" s="10" t="str">
        <f aca="false">IF($B1726="","",$N1726*IFERROR(INDEX(Drinks!$D$4:$D$53,MATCH($B1726,Drinks!$A$4:$A$53,0)),0))</f>
        <v/>
      </c>
      <c r="R1726" s="10" t="str">
        <f aca="false">IF($B1726="","",$P1726-$Q1726)</f>
        <v/>
      </c>
      <c r="S1726" s="23" t="str">
        <f aca="false">IF($B1726="","",IF(COUNTIFS($A$4:$A$2003,$A1726-1,$B$4:$B$2003,$B1726)=0,"first day",IF(SUMIFS($M$4:$M$2003,$A$4:$A$2003,$A1726-1,$B$4:$B$2003,$B1726)=$J1726,"OK","CHECK")))</f>
        <v/>
      </c>
      <c r="T1726" s="10" t="str">
        <f aca="false">IF($B1726="","",IFERROR(INDEX(Drinks!$D$4:$D$53,MATCH($B1726,Drinks!$A$4:$A$53,0)),0))</f>
        <v/>
      </c>
    </row>
    <row r="1727" customFormat="false" ht="15" hidden="false" customHeight="false" outlineLevel="0" collapsed="false">
      <c r="A1727" s="22"/>
      <c r="B1727" s="9"/>
      <c r="C1727" s="9"/>
      <c r="D1727" s="9"/>
      <c r="E1727" s="9"/>
      <c r="F1727" s="10" t="str">
        <f aca="false">IF($B1727="","",$C1727+$D1727-$E1727)</f>
        <v/>
      </c>
      <c r="G1727" s="10" t="str">
        <f aca="false">IF($B1727="","",IFERROR(INDEX(Drinks!$C$4:$C$53,MATCH($B1727,Drinks!$A$4:$A$53,0)),0))</f>
        <v/>
      </c>
      <c r="H1727" s="10" t="str">
        <f aca="false">IF($B1727="","",$D1727*$G1727)</f>
        <v/>
      </c>
      <c r="I1727" s="10" t="str">
        <f aca="false">IF($B1727="","",$F1727*$G1727)</f>
        <v/>
      </c>
      <c r="J1727" s="9"/>
      <c r="K1727" s="10" t="str">
        <f aca="false">IF($B1727="","",$E1727*IFERROR(INDEX(Drinks!$B$4:$B$53,MATCH($B1727,Drinks!$A$4:$A$53,0)),0))</f>
        <v/>
      </c>
      <c r="L1727" s="10" t="str">
        <f aca="false">IF($B1727="","",$J1727+$K1727)</f>
        <v/>
      </c>
      <c r="M1727" s="9"/>
      <c r="N1727" s="10" t="str">
        <f aca="false">IF($B1727="","",$L1727-$M1727)</f>
        <v/>
      </c>
      <c r="O1727" s="10" t="str">
        <f aca="false">IF($B1727="","",IFERROR(INDEX(Drinks!$E$4:$E$53,MATCH($B1727,Drinks!$A$4:$A$53,0)),0))</f>
        <v/>
      </c>
      <c r="P1727" s="10" t="str">
        <f aca="false">IF($B1727="","",$N1727*$O1727)</f>
        <v/>
      </c>
      <c r="Q1727" s="10" t="str">
        <f aca="false">IF($B1727="","",$N1727*IFERROR(INDEX(Drinks!$D$4:$D$53,MATCH($B1727,Drinks!$A$4:$A$53,0)),0))</f>
        <v/>
      </c>
      <c r="R1727" s="10" t="str">
        <f aca="false">IF($B1727="","",$P1727-$Q1727)</f>
        <v/>
      </c>
      <c r="S1727" s="23" t="str">
        <f aca="false">IF($B1727="","",IF(COUNTIFS($A$4:$A$2003,$A1727-1,$B$4:$B$2003,$B1727)=0,"first day",IF(SUMIFS($M$4:$M$2003,$A$4:$A$2003,$A1727-1,$B$4:$B$2003,$B1727)=$J1727,"OK","CHECK")))</f>
        <v/>
      </c>
      <c r="T1727" s="10" t="str">
        <f aca="false">IF($B1727="","",IFERROR(INDEX(Drinks!$D$4:$D$53,MATCH($B1727,Drinks!$A$4:$A$53,0)),0))</f>
        <v/>
      </c>
    </row>
    <row r="1728" customFormat="false" ht="15" hidden="false" customHeight="false" outlineLevel="0" collapsed="false">
      <c r="A1728" s="22"/>
      <c r="B1728" s="9"/>
      <c r="C1728" s="9"/>
      <c r="D1728" s="9"/>
      <c r="E1728" s="9"/>
      <c r="F1728" s="10" t="str">
        <f aca="false">IF($B1728="","",$C1728+$D1728-$E1728)</f>
        <v/>
      </c>
      <c r="G1728" s="10" t="str">
        <f aca="false">IF($B1728="","",IFERROR(INDEX(Drinks!$C$4:$C$53,MATCH($B1728,Drinks!$A$4:$A$53,0)),0))</f>
        <v/>
      </c>
      <c r="H1728" s="10" t="str">
        <f aca="false">IF($B1728="","",$D1728*$G1728)</f>
        <v/>
      </c>
      <c r="I1728" s="10" t="str">
        <f aca="false">IF($B1728="","",$F1728*$G1728)</f>
        <v/>
      </c>
      <c r="J1728" s="9"/>
      <c r="K1728" s="10" t="str">
        <f aca="false">IF($B1728="","",$E1728*IFERROR(INDEX(Drinks!$B$4:$B$53,MATCH($B1728,Drinks!$A$4:$A$53,0)),0))</f>
        <v/>
      </c>
      <c r="L1728" s="10" t="str">
        <f aca="false">IF($B1728="","",$J1728+$K1728)</f>
        <v/>
      </c>
      <c r="M1728" s="9"/>
      <c r="N1728" s="10" t="str">
        <f aca="false">IF($B1728="","",$L1728-$M1728)</f>
        <v/>
      </c>
      <c r="O1728" s="10" t="str">
        <f aca="false">IF($B1728="","",IFERROR(INDEX(Drinks!$E$4:$E$53,MATCH($B1728,Drinks!$A$4:$A$53,0)),0))</f>
        <v/>
      </c>
      <c r="P1728" s="10" t="str">
        <f aca="false">IF($B1728="","",$N1728*$O1728)</f>
        <v/>
      </c>
      <c r="Q1728" s="10" t="str">
        <f aca="false">IF($B1728="","",$N1728*IFERROR(INDEX(Drinks!$D$4:$D$53,MATCH($B1728,Drinks!$A$4:$A$53,0)),0))</f>
        <v/>
      </c>
      <c r="R1728" s="10" t="str">
        <f aca="false">IF($B1728="","",$P1728-$Q1728)</f>
        <v/>
      </c>
      <c r="S1728" s="23" t="str">
        <f aca="false">IF($B1728="","",IF(COUNTIFS($A$4:$A$2003,$A1728-1,$B$4:$B$2003,$B1728)=0,"first day",IF(SUMIFS($M$4:$M$2003,$A$4:$A$2003,$A1728-1,$B$4:$B$2003,$B1728)=$J1728,"OK","CHECK")))</f>
        <v/>
      </c>
      <c r="T1728" s="10" t="str">
        <f aca="false">IF($B1728="","",IFERROR(INDEX(Drinks!$D$4:$D$53,MATCH($B1728,Drinks!$A$4:$A$53,0)),0))</f>
        <v/>
      </c>
    </row>
    <row r="1729" customFormat="false" ht="15" hidden="false" customHeight="false" outlineLevel="0" collapsed="false">
      <c r="A1729" s="22"/>
      <c r="B1729" s="9"/>
      <c r="C1729" s="9"/>
      <c r="D1729" s="9"/>
      <c r="E1729" s="9"/>
      <c r="F1729" s="10" t="str">
        <f aca="false">IF($B1729="","",$C1729+$D1729-$E1729)</f>
        <v/>
      </c>
      <c r="G1729" s="10" t="str">
        <f aca="false">IF($B1729="","",IFERROR(INDEX(Drinks!$C$4:$C$53,MATCH($B1729,Drinks!$A$4:$A$53,0)),0))</f>
        <v/>
      </c>
      <c r="H1729" s="10" t="str">
        <f aca="false">IF($B1729="","",$D1729*$G1729)</f>
        <v/>
      </c>
      <c r="I1729" s="10" t="str">
        <f aca="false">IF($B1729="","",$F1729*$G1729)</f>
        <v/>
      </c>
      <c r="J1729" s="9"/>
      <c r="K1729" s="10" t="str">
        <f aca="false">IF($B1729="","",$E1729*IFERROR(INDEX(Drinks!$B$4:$B$53,MATCH($B1729,Drinks!$A$4:$A$53,0)),0))</f>
        <v/>
      </c>
      <c r="L1729" s="10" t="str">
        <f aca="false">IF($B1729="","",$J1729+$K1729)</f>
        <v/>
      </c>
      <c r="M1729" s="9"/>
      <c r="N1729" s="10" t="str">
        <f aca="false">IF($B1729="","",$L1729-$M1729)</f>
        <v/>
      </c>
      <c r="O1729" s="10" t="str">
        <f aca="false">IF($B1729="","",IFERROR(INDEX(Drinks!$E$4:$E$53,MATCH($B1729,Drinks!$A$4:$A$53,0)),0))</f>
        <v/>
      </c>
      <c r="P1729" s="10" t="str">
        <f aca="false">IF($B1729="","",$N1729*$O1729)</f>
        <v/>
      </c>
      <c r="Q1729" s="10" t="str">
        <f aca="false">IF($B1729="","",$N1729*IFERROR(INDEX(Drinks!$D$4:$D$53,MATCH($B1729,Drinks!$A$4:$A$53,0)),0))</f>
        <v/>
      </c>
      <c r="R1729" s="10" t="str">
        <f aca="false">IF($B1729="","",$P1729-$Q1729)</f>
        <v/>
      </c>
      <c r="S1729" s="23" t="str">
        <f aca="false">IF($B1729="","",IF(COUNTIFS($A$4:$A$2003,$A1729-1,$B$4:$B$2003,$B1729)=0,"first day",IF(SUMIFS($M$4:$M$2003,$A$4:$A$2003,$A1729-1,$B$4:$B$2003,$B1729)=$J1729,"OK","CHECK")))</f>
        <v/>
      </c>
      <c r="T1729" s="10" t="str">
        <f aca="false">IF($B1729="","",IFERROR(INDEX(Drinks!$D$4:$D$53,MATCH($B1729,Drinks!$A$4:$A$53,0)),0))</f>
        <v/>
      </c>
    </row>
    <row r="1730" customFormat="false" ht="15" hidden="false" customHeight="false" outlineLevel="0" collapsed="false">
      <c r="A1730" s="22"/>
      <c r="B1730" s="9"/>
      <c r="C1730" s="9"/>
      <c r="D1730" s="9"/>
      <c r="E1730" s="9"/>
      <c r="F1730" s="10" t="str">
        <f aca="false">IF($B1730="","",$C1730+$D1730-$E1730)</f>
        <v/>
      </c>
      <c r="G1730" s="10" t="str">
        <f aca="false">IF($B1730="","",IFERROR(INDEX(Drinks!$C$4:$C$53,MATCH($B1730,Drinks!$A$4:$A$53,0)),0))</f>
        <v/>
      </c>
      <c r="H1730" s="10" t="str">
        <f aca="false">IF($B1730="","",$D1730*$G1730)</f>
        <v/>
      </c>
      <c r="I1730" s="10" t="str">
        <f aca="false">IF($B1730="","",$F1730*$G1730)</f>
        <v/>
      </c>
      <c r="J1730" s="9"/>
      <c r="K1730" s="10" t="str">
        <f aca="false">IF($B1730="","",$E1730*IFERROR(INDEX(Drinks!$B$4:$B$53,MATCH($B1730,Drinks!$A$4:$A$53,0)),0))</f>
        <v/>
      </c>
      <c r="L1730" s="10" t="str">
        <f aca="false">IF($B1730="","",$J1730+$K1730)</f>
        <v/>
      </c>
      <c r="M1730" s="9"/>
      <c r="N1730" s="10" t="str">
        <f aca="false">IF($B1730="","",$L1730-$M1730)</f>
        <v/>
      </c>
      <c r="O1730" s="10" t="str">
        <f aca="false">IF($B1730="","",IFERROR(INDEX(Drinks!$E$4:$E$53,MATCH($B1730,Drinks!$A$4:$A$53,0)),0))</f>
        <v/>
      </c>
      <c r="P1730" s="10" t="str">
        <f aca="false">IF($B1730="","",$N1730*$O1730)</f>
        <v/>
      </c>
      <c r="Q1730" s="10" t="str">
        <f aca="false">IF($B1730="","",$N1730*IFERROR(INDEX(Drinks!$D$4:$D$53,MATCH($B1730,Drinks!$A$4:$A$53,0)),0))</f>
        <v/>
      </c>
      <c r="R1730" s="10" t="str">
        <f aca="false">IF($B1730="","",$P1730-$Q1730)</f>
        <v/>
      </c>
      <c r="S1730" s="23" t="str">
        <f aca="false">IF($B1730="","",IF(COUNTIFS($A$4:$A$2003,$A1730-1,$B$4:$B$2003,$B1730)=0,"first day",IF(SUMIFS($M$4:$M$2003,$A$4:$A$2003,$A1730-1,$B$4:$B$2003,$B1730)=$J1730,"OK","CHECK")))</f>
        <v/>
      </c>
      <c r="T1730" s="10" t="str">
        <f aca="false">IF($B1730="","",IFERROR(INDEX(Drinks!$D$4:$D$53,MATCH($B1730,Drinks!$A$4:$A$53,0)),0))</f>
        <v/>
      </c>
    </row>
    <row r="1731" customFormat="false" ht="15" hidden="false" customHeight="false" outlineLevel="0" collapsed="false">
      <c r="A1731" s="22"/>
      <c r="B1731" s="9"/>
      <c r="C1731" s="9"/>
      <c r="D1731" s="9"/>
      <c r="E1731" s="9"/>
      <c r="F1731" s="10" t="str">
        <f aca="false">IF($B1731="","",$C1731+$D1731-$E1731)</f>
        <v/>
      </c>
      <c r="G1731" s="10" t="str">
        <f aca="false">IF($B1731="","",IFERROR(INDEX(Drinks!$C$4:$C$53,MATCH($B1731,Drinks!$A$4:$A$53,0)),0))</f>
        <v/>
      </c>
      <c r="H1731" s="10" t="str">
        <f aca="false">IF($B1731="","",$D1731*$G1731)</f>
        <v/>
      </c>
      <c r="I1731" s="10" t="str">
        <f aca="false">IF($B1731="","",$F1731*$G1731)</f>
        <v/>
      </c>
      <c r="J1731" s="9"/>
      <c r="K1731" s="10" t="str">
        <f aca="false">IF($B1731="","",$E1731*IFERROR(INDEX(Drinks!$B$4:$B$53,MATCH($B1731,Drinks!$A$4:$A$53,0)),0))</f>
        <v/>
      </c>
      <c r="L1731" s="10" t="str">
        <f aca="false">IF($B1731="","",$J1731+$K1731)</f>
        <v/>
      </c>
      <c r="M1731" s="9"/>
      <c r="N1731" s="10" t="str">
        <f aca="false">IF($B1731="","",$L1731-$M1731)</f>
        <v/>
      </c>
      <c r="O1731" s="10" t="str">
        <f aca="false">IF($B1731="","",IFERROR(INDEX(Drinks!$E$4:$E$53,MATCH($B1731,Drinks!$A$4:$A$53,0)),0))</f>
        <v/>
      </c>
      <c r="P1731" s="10" t="str">
        <f aca="false">IF($B1731="","",$N1731*$O1731)</f>
        <v/>
      </c>
      <c r="Q1731" s="10" t="str">
        <f aca="false">IF($B1731="","",$N1731*IFERROR(INDEX(Drinks!$D$4:$D$53,MATCH($B1731,Drinks!$A$4:$A$53,0)),0))</f>
        <v/>
      </c>
      <c r="R1731" s="10" t="str">
        <f aca="false">IF($B1731="","",$P1731-$Q1731)</f>
        <v/>
      </c>
      <c r="S1731" s="23" t="str">
        <f aca="false">IF($B1731="","",IF(COUNTIFS($A$4:$A$2003,$A1731-1,$B$4:$B$2003,$B1731)=0,"first day",IF(SUMIFS($M$4:$M$2003,$A$4:$A$2003,$A1731-1,$B$4:$B$2003,$B1731)=$J1731,"OK","CHECK")))</f>
        <v/>
      </c>
      <c r="T1731" s="10" t="str">
        <f aca="false">IF($B1731="","",IFERROR(INDEX(Drinks!$D$4:$D$53,MATCH($B1731,Drinks!$A$4:$A$53,0)),0))</f>
        <v/>
      </c>
    </row>
    <row r="1732" customFormat="false" ht="15" hidden="false" customHeight="false" outlineLevel="0" collapsed="false">
      <c r="A1732" s="22"/>
      <c r="B1732" s="9"/>
      <c r="C1732" s="9"/>
      <c r="D1732" s="9"/>
      <c r="E1732" s="9"/>
      <c r="F1732" s="10" t="str">
        <f aca="false">IF($B1732="","",$C1732+$D1732-$E1732)</f>
        <v/>
      </c>
      <c r="G1732" s="10" t="str">
        <f aca="false">IF($B1732="","",IFERROR(INDEX(Drinks!$C$4:$C$53,MATCH($B1732,Drinks!$A$4:$A$53,0)),0))</f>
        <v/>
      </c>
      <c r="H1732" s="10" t="str">
        <f aca="false">IF($B1732="","",$D1732*$G1732)</f>
        <v/>
      </c>
      <c r="I1732" s="10" t="str">
        <f aca="false">IF($B1732="","",$F1732*$G1732)</f>
        <v/>
      </c>
      <c r="J1732" s="9"/>
      <c r="K1732" s="10" t="str">
        <f aca="false">IF($B1732="","",$E1732*IFERROR(INDEX(Drinks!$B$4:$B$53,MATCH($B1732,Drinks!$A$4:$A$53,0)),0))</f>
        <v/>
      </c>
      <c r="L1732" s="10" t="str">
        <f aca="false">IF($B1732="","",$J1732+$K1732)</f>
        <v/>
      </c>
      <c r="M1732" s="9"/>
      <c r="N1732" s="10" t="str">
        <f aca="false">IF($B1732="","",$L1732-$M1732)</f>
        <v/>
      </c>
      <c r="O1732" s="10" t="str">
        <f aca="false">IF($B1732="","",IFERROR(INDEX(Drinks!$E$4:$E$53,MATCH($B1732,Drinks!$A$4:$A$53,0)),0))</f>
        <v/>
      </c>
      <c r="P1732" s="10" t="str">
        <f aca="false">IF($B1732="","",$N1732*$O1732)</f>
        <v/>
      </c>
      <c r="Q1732" s="10" t="str">
        <f aca="false">IF($B1732="","",$N1732*IFERROR(INDEX(Drinks!$D$4:$D$53,MATCH($B1732,Drinks!$A$4:$A$53,0)),0))</f>
        <v/>
      </c>
      <c r="R1732" s="10" t="str">
        <f aca="false">IF($B1732="","",$P1732-$Q1732)</f>
        <v/>
      </c>
      <c r="S1732" s="23" t="str">
        <f aca="false">IF($B1732="","",IF(COUNTIFS($A$4:$A$2003,$A1732-1,$B$4:$B$2003,$B1732)=0,"first day",IF(SUMIFS($M$4:$M$2003,$A$4:$A$2003,$A1732-1,$B$4:$B$2003,$B1732)=$J1732,"OK","CHECK")))</f>
        <v/>
      </c>
      <c r="T1732" s="10" t="str">
        <f aca="false">IF($B1732="","",IFERROR(INDEX(Drinks!$D$4:$D$53,MATCH($B1732,Drinks!$A$4:$A$53,0)),0))</f>
        <v/>
      </c>
    </row>
    <row r="1733" customFormat="false" ht="15" hidden="false" customHeight="false" outlineLevel="0" collapsed="false">
      <c r="A1733" s="22"/>
      <c r="B1733" s="9"/>
      <c r="C1733" s="9"/>
      <c r="D1733" s="9"/>
      <c r="E1733" s="9"/>
      <c r="F1733" s="10" t="str">
        <f aca="false">IF($B1733="","",$C1733+$D1733-$E1733)</f>
        <v/>
      </c>
      <c r="G1733" s="10" t="str">
        <f aca="false">IF($B1733="","",IFERROR(INDEX(Drinks!$C$4:$C$53,MATCH($B1733,Drinks!$A$4:$A$53,0)),0))</f>
        <v/>
      </c>
      <c r="H1733" s="10" t="str">
        <f aca="false">IF($B1733="","",$D1733*$G1733)</f>
        <v/>
      </c>
      <c r="I1733" s="10" t="str">
        <f aca="false">IF($B1733="","",$F1733*$G1733)</f>
        <v/>
      </c>
      <c r="J1733" s="9"/>
      <c r="K1733" s="10" t="str">
        <f aca="false">IF($B1733="","",$E1733*IFERROR(INDEX(Drinks!$B$4:$B$53,MATCH($B1733,Drinks!$A$4:$A$53,0)),0))</f>
        <v/>
      </c>
      <c r="L1733" s="10" t="str">
        <f aca="false">IF($B1733="","",$J1733+$K1733)</f>
        <v/>
      </c>
      <c r="M1733" s="9"/>
      <c r="N1733" s="10" t="str">
        <f aca="false">IF($B1733="","",$L1733-$M1733)</f>
        <v/>
      </c>
      <c r="O1733" s="10" t="str">
        <f aca="false">IF($B1733="","",IFERROR(INDEX(Drinks!$E$4:$E$53,MATCH($B1733,Drinks!$A$4:$A$53,0)),0))</f>
        <v/>
      </c>
      <c r="P1733" s="10" t="str">
        <f aca="false">IF($B1733="","",$N1733*$O1733)</f>
        <v/>
      </c>
      <c r="Q1733" s="10" t="str">
        <f aca="false">IF($B1733="","",$N1733*IFERROR(INDEX(Drinks!$D$4:$D$53,MATCH($B1733,Drinks!$A$4:$A$53,0)),0))</f>
        <v/>
      </c>
      <c r="R1733" s="10" t="str">
        <f aca="false">IF($B1733="","",$P1733-$Q1733)</f>
        <v/>
      </c>
      <c r="S1733" s="23" t="str">
        <f aca="false">IF($B1733="","",IF(COUNTIFS($A$4:$A$2003,$A1733-1,$B$4:$B$2003,$B1733)=0,"first day",IF(SUMIFS($M$4:$M$2003,$A$4:$A$2003,$A1733-1,$B$4:$B$2003,$B1733)=$J1733,"OK","CHECK")))</f>
        <v/>
      </c>
      <c r="T1733" s="10" t="str">
        <f aca="false">IF($B1733="","",IFERROR(INDEX(Drinks!$D$4:$D$53,MATCH($B1733,Drinks!$A$4:$A$53,0)),0))</f>
        <v/>
      </c>
    </row>
    <row r="1734" customFormat="false" ht="15" hidden="false" customHeight="false" outlineLevel="0" collapsed="false">
      <c r="A1734" s="22"/>
      <c r="B1734" s="9"/>
      <c r="C1734" s="9"/>
      <c r="D1734" s="9"/>
      <c r="E1734" s="9"/>
      <c r="F1734" s="10" t="str">
        <f aca="false">IF($B1734="","",$C1734+$D1734-$E1734)</f>
        <v/>
      </c>
      <c r="G1734" s="10" t="str">
        <f aca="false">IF($B1734="","",IFERROR(INDEX(Drinks!$C$4:$C$53,MATCH($B1734,Drinks!$A$4:$A$53,0)),0))</f>
        <v/>
      </c>
      <c r="H1734" s="10" t="str">
        <f aca="false">IF($B1734="","",$D1734*$G1734)</f>
        <v/>
      </c>
      <c r="I1734" s="10" t="str">
        <f aca="false">IF($B1734="","",$F1734*$G1734)</f>
        <v/>
      </c>
      <c r="J1734" s="9"/>
      <c r="K1734" s="10" t="str">
        <f aca="false">IF($B1734="","",$E1734*IFERROR(INDEX(Drinks!$B$4:$B$53,MATCH($B1734,Drinks!$A$4:$A$53,0)),0))</f>
        <v/>
      </c>
      <c r="L1734" s="10" t="str">
        <f aca="false">IF($B1734="","",$J1734+$K1734)</f>
        <v/>
      </c>
      <c r="M1734" s="9"/>
      <c r="N1734" s="10" t="str">
        <f aca="false">IF($B1734="","",$L1734-$M1734)</f>
        <v/>
      </c>
      <c r="O1734" s="10" t="str">
        <f aca="false">IF($B1734="","",IFERROR(INDEX(Drinks!$E$4:$E$53,MATCH($B1734,Drinks!$A$4:$A$53,0)),0))</f>
        <v/>
      </c>
      <c r="P1734" s="10" t="str">
        <f aca="false">IF($B1734="","",$N1734*$O1734)</f>
        <v/>
      </c>
      <c r="Q1734" s="10" t="str">
        <f aca="false">IF($B1734="","",$N1734*IFERROR(INDEX(Drinks!$D$4:$D$53,MATCH($B1734,Drinks!$A$4:$A$53,0)),0))</f>
        <v/>
      </c>
      <c r="R1734" s="10" t="str">
        <f aca="false">IF($B1734="","",$P1734-$Q1734)</f>
        <v/>
      </c>
      <c r="S1734" s="23" t="str">
        <f aca="false">IF($B1734="","",IF(COUNTIFS($A$4:$A$2003,$A1734-1,$B$4:$B$2003,$B1734)=0,"first day",IF(SUMIFS($M$4:$M$2003,$A$4:$A$2003,$A1734-1,$B$4:$B$2003,$B1734)=$J1734,"OK","CHECK")))</f>
        <v/>
      </c>
      <c r="T1734" s="10" t="str">
        <f aca="false">IF($B1734="","",IFERROR(INDEX(Drinks!$D$4:$D$53,MATCH($B1734,Drinks!$A$4:$A$53,0)),0))</f>
        <v/>
      </c>
    </row>
    <row r="1735" customFormat="false" ht="15" hidden="false" customHeight="false" outlineLevel="0" collapsed="false">
      <c r="A1735" s="22"/>
      <c r="B1735" s="9"/>
      <c r="C1735" s="9"/>
      <c r="D1735" s="9"/>
      <c r="E1735" s="9"/>
      <c r="F1735" s="10" t="str">
        <f aca="false">IF($B1735="","",$C1735+$D1735-$E1735)</f>
        <v/>
      </c>
      <c r="G1735" s="10" t="str">
        <f aca="false">IF($B1735="","",IFERROR(INDEX(Drinks!$C$4:$C$53,MATCH($B1735,Drinks!$A$4:$A$53,0)),0))</f>
        <v/>
      </c>
      <c r="H1735" s="10" t="str">
        <f aca="false">IF($B1735="","",$D1735*$G1735)</f>
        <v/>
      </c>
      <c r="I1735" s="10" t="str">
        <f aca="false">IF($B1735="","",$F1735*$G1735)</f>
        <v/>
      </c>
      <c r="J1735" s="9"/>
      <c r="K1735" s="10" t="str">
        <f aca="false">IF($B1735="","",$E1735*IFERROR(INDEX(Drinks!$B$4:$B$53,MATCH($B1735,Drinks!$A$4:$A$53,0)),0))</f>
        <v/>
      </c>
      <c r="L1735" s="10" t="str">
        <f aca="false">IF($B1735="","",$J1735+$K1735)</f>
        <v/>
      </c>
      <c r="M1735" s="9"/>
      <c r="N1735" s="10" t="str">
        <f aca="false">IF($B1735="","",$L1735-$M1735)</f>
        <v/>
      </c>
      <c r="O1735" s="10" t="str">
        <f aca="false">IF($B1735="","",IFERROR(INDEX(Drinks!$E$4:$E$53,MATCH($B1735,Drinks!$A$4:$A$53,0)),0))</f>
        <v/>
      </c>
      <c r="P1735" s="10" t="str">
        <f aca="false">IF($B1735="","",$N1735*$O1735)</f>
        <v/>
      </c>
      <c r="Q1735" s="10" t="str">
        <f aca="false">IF($B1735="","",$N1735*IFERROR(INDEX(Drinks!$D$4:$D$53,MATCH($B1735,Drinks!$A$4:$A$53,0)),0))</f>
        <v/>
      </c>
      <c r="R1735" s="10" t="str">
        <f aca="false">IF($B1735="","",$P1735-$Q1735)</f>
        <v/>
      </c>
      <c r="S1735" s="23" t="str">
        <f aca="false">IF($B1735="","",IF(COUNTIFS($A$4:$A$2003,$A1735-1,$B$4:$B$2003,$B1735)=0,"first day",IF(SUMIFS($M$4:$M$2003,$A$4:$A$2003,$A1735-1,$B$4:$B$2003,$B1735)=$J1735,"OK","CHECK")))</f>
        <v/>
      </c>
      <c r="T1735" s="10" t="str">
        <f aca="false">IF($B1735="","",IFERROR(INDEX(Drinks!$D$4:$D$53,MATCH($B1735,Drinks!$A$4:$A$53,0)),0))</f>
        <v/>
      </c>
    </row>
    <row r="1736" customFormat="false" ht="15" hidden="false" customHeight="false" outlineLevel="0" collapsed="false">
      <c r="A1736" s="22"/>
      <c r="B1736" s="9"/>
      <c r="C1736" s="9"/>
      <c r="D1736" s="9"/>
      <c r="E1736" s="9"/>
      <c r="F1736" s="10" t="str">
        <f aca="false">IF($B1736="","",$C1736+$D1736-$E1736)</f>
        <v/>
      </c>
      <c r="G1736" s="10" t="str">
        <f aca="false">IF($B1736="","",IFERROR(INDEX(Drinks!$C$4:$C$53,MATCH($B1736,Drinks!$A$4:$A$53,0)),0))</f>
        <v/>
      </c>
      <c r="H1736" s="10" t="str">
        <f aca="false">IF($B1736="","",$D1736*$G1736)</f>
        <v/>
      </c>
      <c r="I1736" s="10" t="str">
        <f aca="false">IF($B1736="","",$F1736*$G1736)</f>
        <v/>
      </c>
      <c r="J1736" s="9"/>
      <c r="K1736" s="10" t="str">
        <f aca="false">IF($B1736="","",$E1736*IFERROR(INDEX(Drinks!$B$4:$B$53,MATCH($B1736,Drinks!$A$4:$A$53,0)),0))</f>
        <v/>
      </c>
      <c r="L1736" s="10" t="str">
        <f aca="false">IF($B1736="","",$J1736+$K1736)</f>
        <v/>
      </c>
      <c r="M1736" s="9"/>
      <c r="N1736" s="10" t="str">
        <f aca="false">IF($B1736="","",$L1736-$M1736)</f>
        <v/>
      </c>
      <c r="O1736" s="10" t="str">
        <f aca="false">IF($B1736="","",IFERROR(INDEX(Drinks!$E$4:$E$53,MATCH($B1736,Drinks!$A$4:$A$53,0)),0))</f>
        <v/>
      </c>
      <c r="P1736" s="10" t="str">
        <f aca="false">IF($B1736="","",$N1736*$O1736)</f>
        <v/>
      </c>
      <c r="Q1736" s="10" t="str">
        <f aca="false">IF($B1736="","",$N1736*IFERROR(INDEX(Drinks!$D$4:$D$53,MATCH($B1736,Drinks!$A$4:$A$53,0)),0))</f>
        <v/>
      </c>
      <c r="R1736" s="10" t="str">
        <f aca="false">IF($B1736="","",$P1736-$Q1736)</f>
        <v/>
      </c>
      <c r="S1736" s="23" t="str">
        <f aca="false">IF($B1736="","",IF(COUNTIFS($A$4:$A$2003,$A1736-1,$B$4:$B$2003,$B1736)=0,"first day",IF(SUMIFS($M$4:$M$2003,$A$4:$A$2003,$A1736-1,$B$4:$B$2003,$B1736)=$J1736,"OK","CHECK")))</f>
        <v/>
      </c>
      <c r="T1736" s="10" t="str">
        <f aca="false">IF($B1736="","",IFERROR(INDEX(Drinks!$D$4:$D$53,MATCH($B1736,Drinks!$A$4:$A$53,0)),0))</f>
        <v/>
      </c>
    </row>
    <row r="1737" customFormat="false" ht="15" hidden="false" customHeight="false" outlineLevel="0" collapsed="false">
      <c r="A1737" s="22"/>
      <c r="B1737" s="9"/>
      <c r="C1737" s="9"/>
      <c r="D1737" s="9"/>
      <c r="E1737" s="9"/>
      <c r="F1737" s="10" t="str">
        <f aca="false">IF($B1737="","",$C1737+$D1737-$E1737)</f>
        <v/>
      </c>
      <c r="G1737" s="10" t="str">
        <f aca="false">IF($B1737="","",IFERROR(INDEX(Drinks!$C$4:$C$53,MATCH($B1737,Drinks!$A$4:$A$53,0)),0))</f>
        <v/>
      </c>
      <c r="H1737" s="10" t="str">
        <f aca="false">IF($B1737="","",$D1737*$G1737)</f>
        <v/>
      </c>
      <c r="I1737" s="10" t="str">
        <f aca="false">IF($B1737="","",$F1737*$G1737)</f>
        <v/>
      </c>
      <c r="J1737" s="9"/>
      <c r="K1737" s="10" t="str">
        <f aca="false">IF($B1737="","",$E1737*IFERROR(INDEX(Drinks!$B$4:$B$53,MATCH($B1737,Drinks!$A$4:$A$53,0)),0))</f>
        <v/>
      </c>
      <c r="L1737" s="10" t="str">
        <f aca="false">IF($B1737="","",$J1737+$K1737)</f>
        <v/>
      </c>
      <c r="M1737" s="9"/>
      <c r="N1737" s="10" t="str">
        <f aca="false">IF($B1737="","",$L1737-$M1737)</f>
        <v/>
      </c>
      <c r="O1737" s="10" t="str">
        <f aca="false">IF($B1737="","",IFERROR(INDEX(Drinks!$E$4:$E$53,MATCH($B1737,Drinks!$A$4:$A$53,0)),0))</f>
        <v/>
      </c>
      <c r="P1737" s="10" t="str">
        <f aca="false">IF($B1737="","",$N1737*$O1737)</f>
        <v/>
      </c>
      <c r="Q1737" s="10" t="str">
        <f aca="false">IF($B1737="","",$N1737*IFERROR(INDEX(Drinks!$D$4:$D$53,MATCH($B1737,Drinks!$A$4:$A$53,0)),0))</f>
        <v/>
      </c>
      <c r="R1737" s="10" t="str">
        <f aca="false">IF($B1737="","",$P1737-$Q1737)</f>
        <v/>
      </c>
      <c r="S1737" s="23" t="str">
        <f aca="false">IF($B1737="","",IF(COUNTIFS($A$4:$A$2003,$A1737-1,$B$4:$B$2003,$B1737)=0,"first day",IF(SUMIFS($M$4:$M$2003,$A$4:$A$2003,$A1737-1,$B$4:$B$2003,$B1737)=$J1737,"OK","CHECK")))</f>
        <v/>
      </c>
      <c r="T1737" s="10" t="str">
        <f aca="false">IF($B1737="","",IFERROR(INDEX(Drinks!$D$4:$D$53,MATCH($B1737,Drinks!$A$4:$A$53,0)),0))</f>
        <v/>
      </c>
    </row>
    <row r="1738" customFormat="false" ht="15" hidden="false" customHeight="false" outlineLevel="0" collapsed="false">
      <c r="A1738" s="22"/>
      <c r="B1738" s="9"/>
      <c r="C1738" s="9"/>
      <c r="D1738" s="9"/>
      <c r="E1738" s="9"/>
      <c r="F1738" s="10" t="str">
        <f aca="false">IF($B1738="","",$C1738+$D1738-$E1738)</f>
        <v/>
      </c>
      <c r="G1738" s="10" t="str">
        <f aca="false">IF($B1738="","",IFERROR(INDEX(Drinks!$C$4:$C$53,MATCH($B1738,Drinks!$A$4:$A$53,0)),0))</f>
        <v/>
      </c>
      <c r="H1738" s="10" t="str">
        <f aca="false">IF($B1738="","",$D1738*$G1738)</f>
        <v/>
      </c>
      <c r="I1738" s="10" t="str">
        <f aca="false">IF($B1738="","",$F1738*$G1738)</f>
        <v/>
      </c>
      <c r="J1738" s="9"/>
      <c r="K1738" s="10" t="str">
        <f aca="false">IF($B1738="","",$E1738*IFERROR(INDEX(Drinks!$B$4:$B$53,MATCH($B1738,Drinks!$A$4:$A$53,0)),0))</f>
        <v/>
      </c>
      <c r="L1738" s="10" t="str">
        <f aca="false">IF($B1738="","",$J1738+$K1738)</f>
        <v/>
      </c>
      <c r="M1738" s="9"/>
      <c r="N1738" s="10" t="str">
        <f aca="false">IF($B1738="","",$L1738-$M1738)</f>
        <v/>
      </c>
      <c r="O1738" s="10" t="str">
        <f aca="false">IF($B1738="","",IFERROR(INDEX(Drinks!$E$4:$E$53,MATCH($B1738,Drinks!$A$4:$A$53,0)),0))</f>
        <v/>
      </c>
      <c r="P1738" s="10" t="str">
        <f aca="false">IF($B1738="","",$N1738*$O1738)</f>
        <v/>
      </c>
      <c r="Q1738" s="10" t="str">
        <f aca="false">IF($B1738="","",$N1738*IFERROR(INDEX(Drinks!$D$4:$D$53,MATCH($B1738,Drinks!$A$4:$A$53,0)),0))</f>
        <v/>
      </c>
      <c r="R1738" s="10" t="str">
        <f aca="false">IF($B1738="","",$P1738-$Q1738)</f>
        <v/>
      </c>
      <c r="S1738" s="23" t="str">
        <f aca="false">IF($B1738="","",IF(COUNTIFS($A$4:$A$2003,$A1738-1,$B$4:$B$2003,$B1738)=0,"first day",IF(SUMIFS($M$4:$M$2003,$A$4:$A$2003,$A1738-1,$B$4:$B$2003,$B1738)=$J1738,"OK","CHECK")))</f>
        <v/>
      </c>
      <c r="T1738" s="10" t="str">
        <f aca="false">IF($B1738="","",IFERROR(INDEX(Drinks!$D$4:$D$53,MATCH($B1738,Drinks!$A$4:$A$53,0)),0))</f>
        <v/>
      </c>
    </row>
    <row r="1739" customFormat="false" ht="15" hidden="false" customHeight="false" outlineLevel="0" collapsed="false">
      <c r="A1739" s="22"/>
      <c r="B1739" s="9"/>
      <c r="C1739" s="9"/>
      <c r="D1739" s="9"/>
      <c r="E1739" s="9"/>
      <c r="F1739" s="10" t="str">
        <f aca="false">IF($B1739="","",$C1739+$D1739-$E1739)</f>
        <v/>
      </c>
      <c r="G1739" s="10" t="str">
        <f aca="false">IF($B1739="","",IFERROR(INDEX(Drinks!$C$4:$C$53,MATCH($B1739,Drinks!$A$4:$A$53,0)),0))</f>
        <v/>
      </c>
      <c r="H1739" s="10" t="str">
        <f aca="false">IF($B1739="","",$D1739*$G1739)</f>
        <v/>
      </c>
      <c r="I1739" s="10" t="str">
        <f aca="false">IF($B1739="","",$F1739*$G1739)</f>
        <v/>
      </c>
      <c r="J1739" s="9"/>
      <c r="K1739" s="10" t="str">
        <f aca="false">IF($B1739="","",$E1739*IFERROR(INDEX(Drinks!$B$4:$B$53,MATCH($B1739,Drinks!$A$4:$A$53,0)),0))</f>
        <v/>
      </c>
      <c r="L1739" s="10" t="str">
        <f aca="false">IF($B1739="","",$J1739+$K1739)</f>
        <v/>
      </c>
      <c r="M1739" s="9"/>
      <c r="N1739" s="10" t="str">
        <f aca="false">IF($B1739="","",$L1739-$M1739)</f>
        <v/>
      </c>
      <c r="O1739" s="10" t="str">
        <f aca="false">IF($B1739="","",IFERROR(INDEX(Drinks!$E$4:$E$53,MATCH($B1739,Drinks!$A$4:$A$53,0)),0))</f>
        <v/>
      </c>
      <c r="P1739" s="10" t="str">
        <f aca="false">IF($B1739="","",$N1739*$O1739)</f>
        <v/>
      </c>
      <c r="Q1739" s="10" t="str">
        <f aca="false">IF($B1739="","",$N1739*IFERROR(INDEX(Drinks!$D$4:$D$53,MATCH($B1739,Drinks!$A$4:$A$53,0)),0))</f>
        <v/>
      </c>
      <c r="R1739" s="10" t="str">
        <f aca="false">IF($B1739="","",$P1739-$Q1739)</f>
        <v/>
      </c>
      <c r="S1739" s="23" t="str">
        <f aca="false">IF($B1739="","",IF(COUNTIFS($A$4:$A$2003,$A1739-1,$B$4:$B$2003,$B1739)=0,"first day",IF(SUMIFS($M$4:$M$2003,$A$4:$A$2003,$A1739-1,$B$4:$B$2003,$B1739)=$J1739,"OK","CHECK")))</f>
        <v/>
      </c>
      <c r="T1739" s="10" t="str">
        <f aca="false">IF($B1739="","",IFERROR(INDEX(Drinks!$D$4:$D$53,MATCH($B1739,Drinks!$A$4:$A$53,0)),0))</f>
        <v/>
      </c>
    </row>
    <row r="1740" customFormat="false" ht="15" hidden="false" customHeight="false" outlineLevel="0" collapsed="false">
      <c r="A1740" s="22"/>
      <c r="B1740" s="9"/>
      <c r="C1740" s="9"/>
      <c r="D1740" s="9"/>
      <c r="E1740" s="9"/>
      <c r="F1740" s="10" t="str">
        <f aca="false">IF($B1740="","",$C1740+$D1740-$E1740)</f>
        <v/>
      </c>
      <c r="G1740" s="10" t="str">
        <f aca="false">IF($B1740="","",IFERROR(INDEX(Drinks!$C$4:$C$53,MATCH($B1740,Drinks!$A$4:$A$53,0)),0))</f>
        <v/>
      </c>
      <c r="H1740" s="10" t="str">
        <f aca="false">IF($B1740="","",$D1740*$G1740)</f>
        <v/>
      </c>
      <c r="I1740" s="10" t="str">
        <f aca="false">IF($B1740="","",$F1740*$G1740)</f>
        <v/>
      </c>
      <c r="J1740" s="9"/>
      <c r="K1740" s="10" t="str">
        <f aca="false">IF($B1740="","",$E1740*IFERROR(INDEX(Drinks!$B$4:$B$53,MATCH($B1740,Drinks!$A$4:$A$53,0)),0))</f>
        <v/>
      </c>
      <c r="L1740" s="10" t="str">
        <f aca="false">IF($B1740="","",$J1740+$K1740)</f>
        <v/>
      </c>
      <c r="M1740" s="9"/>
      <c r="N1740" s="10" t="str">
        <f aca="false">IF($B1740="","",$L1740-$M1740)</f>
        <v/>
      </c>
      <c r="O1740" s="10" t="str">
        <f aca="false">IF($B1740="","",IFERROR(INDEX(Drinks!$E$4:$E$53,MATCH($B1740,Drinks!$A$4:$A$53,0)),0))</f>
        <v/>
      </c>
      <c r="P1740" s="10" t="str">
        <f aca="false">IF($B1740="","",$N1740*$O1740)</f>
        <v/>
      </c>
      <c r="Q1740" s="10" t="str">
        <f aca="false">IF($B1740="","",$N1740*IFERROR(INDEX(Drinks!$D$4:$D$53,MATCH($B1740,Drinks!$A$4:$A$53,0)),0))</f>
        <v/>
      </c>
      <c r="R1740" s="10" t="str">
        <f aca="false">IF($B1740="","",$P1740-$Q1740)</f>
        <v/>
      </c>
      <c r="S1740" s="23" t="str">
        <f aca="false">IF($B1740="","",IF(COUNTIFS($A$4:$A$2003,$A1740-1,$B$4:$B$2003,$B1740)=0,"first day",IF(SUMIFS($M$4:$M$2003,$A$4:$A$2003,$A1740-1,$B$4:$B$2003,$B1740)=$J1740,"OK","CHECK")))</f>
        <v/>
      </c>
      <c r="T1740" s="10" t="str">
        <f aca="false">IF($B1740="","",IFERROR(INDEX(Drinks!$D$4:$D$53,MATCH($B1740,Drinks!$A$4:$A$53,0)),0))</f>
        <v/>
      </c>
    </row>
    <row r="1741" customFormat="false" ht="15" hidden="false" customHeight="false" outlineLevel="0" collapsed="false">
      <c r="A1741" s="22"/>
      <c r="B1741" s="9"/>
      <c r="C1741" s="9"/>
      <c r="D1741" s="9"/>
      <c r="E1741" s="9"/>
      <c r="F1741" s="10" t="str">
        <f aca="false">IF($B1741="","",$C1741+$D1741-$E1741)</f>
        <v/>
      </c>
      <c r="G1741" s="10" t="str">
        <f aca="false">IF($B1741="","",IFERROR(INDEX(Drinks!$C$4:$C$53,MATCH($B1741,Drinks!$A$4:$A$53,0)),0))</f>
        <v/>
      </c>
      <c r="H1741" s="10" t="str">
        <f aca="false">IF($B1741="","",$D1741*$G1741)</f>
        <v/>
      </c>
      <c r="I1741" s="10" t="str">
        <f aca="false">IF($B1741="","",$F1741*$G1741)</f>
        <v/>
      </c>
      <c r="J1741" s="9"/>
      <c r="K1741" s="10" t="str">
        <f aca="false">IF($B1741="","",$E1741*IFERROR(INDEX(Drinks!$B$4:$B$53,MATCH($B1741,Drinks!$A$4:$A$53,0)),0))</f>
        <v/>
      </c>
      <c r="L1741" s="10" t="str">
        <f aca="false">IF($B1741="","",$J1741+$K1741)</f>
        <v/>
      </c>
      <c r="M1741" s="9"/>
      <c r="N1741" s="10" t="str">
        <f aca="false">IF($B1741="","",$L1741-$M1741)</f>
        <v/>
      </c>
      <c r="O1741" s="10" t="str">
        <f aca="false">IF($B1741="","",IFERROR(INDEX(Drinks!$E$4:$E$53,MATCH($B1741,Drinks!$A$4:$A$53,0)),0))</f>
        <v/>
      </c>
      <c r="P1741" s="10" t="str">
        <f aca="false">IF($B1741="","",$N1741*$O1741)</f>
        <v/>
      </c>
      <c r="Q1741" s="10" t="str">
        <f aca="false">IF($B1741="","",$N1741*IFERROR(INDEX(Drinks!$D$4:$D$53,MATCH($B1741,Drinks!$A$4:$A$53,0)),0))</f>
        <v/>
      </c>
      <c r="R1741" s="10" t="str">
        <f aca="false">IF($B1741="","",$P1741-$Q1741)</f>
        <v/>
      </c>
      <c r="S1741" s="23" t="str">
        <f aca="false">IF($B1741="","",IF(COUNTIFS($A$4:$A$2003,$A1741-1,$B$4:$B$2003,$B1741)=0,"first day",IF(SUMIFS($M$4:$M$2003,$A$4:$A$2003,$A1741-1,$B$4:$B$2003,$B1741)=$J1741,"OK","CHECK")))</f>
        <v/>
      </c>
      <c r="T1741" s="10" t="str">
        <f aca="false">IF($B1741="","",IFERROR(INDEX(Drinks!$D$4:$D$53,MATCH($B1741,Drinks!$A$4:$A$53,0)),0))</f>
        <v/>
      </c>
    </row>
    <row r="1742" customFormat="false" ht="15" hidden="false" customHeight="false" outlineLevel="0" collapsed="false">
      <c r="A1742" s="22"/>
      <c r="B1742" s="9"/>
      <c r="C1742" s="9"/>
      <c r="D1742" s="9"/>
      <c r="E1742" s="9"/>
      <c r="F1742" s="10" t="str">
        <f aca="false">IF($B1742="","",$C1742+$D1742-$E1742)</f>
        <v/>
      </c>
      <c r="G1742" s="10" t="str">
        <f aca="false">IF($B1742="","",IFERROR(INDEX(Drinks!$C$4:$C$53,MATCH($B1742,Drinks!$A$4:$A$53,0)),0))</f>
        <v/>
      </c>
      <c r="H1742" s="10" t="str">
        <f aca="false">IF($B1742="","",$D1742*$G1742)</f>
        <v/>
      </c>
      <c r="I1742" s="10" t="str">
        <f aca="false">IF($B1742="","",$F1742*$G1742)</f>
        <v/>
      </c>
      <c r="J1742" s="9"/>
      <c r="K1742" s="10" t="str">
        <f aca="false">IF($B1742="","",$E1742*IFERROR(INDEX(Drinks!$B$4:$B$53,MATCH($B1742,Drinks!$A$4:$A$53,0)),0))</f>
        <v/>
      </c>
      <c r="L1742" s="10" t="str">
        <f aca="false">IF($B1742="","",$J1742+$K1742)</f>
        <v/>
      </c>
      <c r="M1742" s="9"/>
      <c r="N1742" s="10" t="str">
        <f aca="false">IF($B1742="","",$L1742-$M1742)</f>
        <v/>
      </c>
      <c r="O1742" s="10" t="str">
        <f aca="false">IF($B1742="","",IFERROR(INDEX(Drinks!$E$4:$E$53,MATCH($B1742,Drinks!$A$4:$A$53,0)),0))</f>
        <v/>
      </c>
      <c r="P1742" s="10" t="str">
        <f aca="false">IF($B1742="","",$N1742*$O1742)</f>
        <v/>
      </c>
      <c r="Q1742" s="10" t="str">
        <f aca="false">IF($B1742="","",$N1742*IFERROR(INDEX(Drinks!$D$4:$D$53,MATCH($B1742,Drinks!$A$4:$A$53,0)),0))</f>
        <v/>
      </c>
      <c r="R1742" s="10" t="str">
        <f aca="false">IF($B1742="","",$P1742-$Q1742)</f>
        <v/>
      </c>
      <c r="S1742" s="23" t="str">
        <f aca="false">IF($B1742="","",IF(COUNTIFS($A$4:$A$2003,$A1742-1,$B$4:$B$2003,$B1742)=0,"first day",IF(SUMIFS($M$4:$M$2003,$A$4:$A$2003,$A1742-1,$B$4:$B$2003,$B1742)=$J1742,"OK","CHECK")))</f>
        <v/>
      </c>
      <c r="T1742" s="10" t="str">
        <f aca="false">IF($B1742="","",IFERROR(INDEX(Drinks!$D$4:$D$53,MATCH($B1742,Drinks!$A$4:$A$53,0)),0))</f>
        <v/>
      </c>
    </row>
    <row r="1743" customFormat="false" ht="15" hidden="false" customHeight="false" outlineLevel="0" collapsed="false">
      <c r="A1743" s="22"/>
      <c r="B1743" s="9"/>
      <c r="C1743" s="9"/>
      <c r="D1743" s="9"/>
      <c r="E1743" s="9"/>
      <c r="F1743" s="10" t="str">
        <f aca="false">IF($B1743="","",$C1743+$D1743-$E1743)</f>
        <v/>
      </c>
      <c r="G1743" s="10" t="str">
        <f aca="false">IF($B1743="","",IFERROR(INDEX(Drinks!$C$4:$C$53,MATCH($B1743,Drinks!$A$4:$A$53,0)),0))</f>
        <v/>
      </c>
      <c r="H1743" s="10" t="str">
        <f aca="false">IF($B1743="","",$D1743*$G1743)</f>
        <v/>
      </c>
      <c r="I1743" s="10" t="str">
        <f aca="false">IF($B1743="","",$F1743*$G1743)</f>
        <v/>
      </c>
      <c r="J1743" s="9"/>
      <c r="K1743" s="10" t="str">
        <f aca="false">IF($B1743="","",$E1743*IFERROR(INDEX(Drinks!$B$4:$B$53,MATCH($B1743,Drinks!$A$4:$A$53,0)),0))</f>
        <v/>
      </c>
      <c r="L1743" s="10" t="str">
        <f aca="false">IF($B1743="","",$J1743+$K1743)</f>
        <v/>
      </c>
      <c r="M1743" s="9"/>
      <c r="N1743" s="10" t="str">
        <f aca="false">IF($B1743="","",$L1743-$M1743)</f>
        <v/>
      </c>
      <c r="O1743" s="10" t="str">
        <f aca="false">IF($B1743="","",IFERROR(INDEX(Drinks!$E$4:$E$53,MATCH($B1743,Drinks!$A$4:$A$53,0)),0))</f>
        <v/>
      </c>
      <c r="P1743" s="10" t="str">
        <f aca="false">IF($B1743="","",$N1743*$O1743)</f>
        <v/>
      </c>
      <c r="Q1743" s="10" t="str">
        <f aca="false">IF($B1743="","",$N1743*IFERROR(INDEX(Drinks!$D$4:$D$53,MATCH($B1743,Drinks!$A$4:$A$53,0)),0))</f>
        <v/>
      </c>
      <c r="R1743" s="10" t="str">
        <f aca="false">IF($B1743="","",$P1743-$Q1743)</f>
        <v/>
      </c>
      <c r="S1743" s="23" t="str">
        <f aca="false">IF($B1743="","",IF(COUNTIFS($A$4:$A$2003,$A1743-1,$B$4:$B$2003,$B1743)=0,"first day",IF(SUMIFS($M$4:$M$2003,$A$4:$A$2003,$A1743-1,$B$4:$B$2003,$B1743)=$J1743,"OK","CHECK")))</f>
        <v/>
      </c>
      <c r="T1743" s="10" t="str">
        <f aca="false">IF($B1743="","",IFERROR(INDEX(Drinks!$D$4:$D$53,MATCH($B1743,Drinks!$A$4:$A$53,0)),0))</f>
        <v/>
      </c>
    </row>
    <row r="1744" customFormat="false" ht="15" hidden="false" customHeight="false" outlineLevel="0" collapsed="false">
      <c r="A1744" s="22"/>
      <c r="B1744" s="9"/>
      <c r="C1744" s="9"/>
      <c r="D1744" s="9"/>
      <c r="E1744" s="9"/>
      <c r="F1744" s="10" t="str">
        <f aca="false">IF($B1744="","",$C1744+$D1744-$E1744)</f>
        <v/>
      </c>
      <c r="G1744" s="10" t="str">
        <f aca="false">IF($B1744="","",IFERROR(INDEX(Drinks!$C$4:$C$53,MATCH($B1744,Drinks!$A$4:$A$53,0)),0))</f>
        <v/>
      </c>
      <c r="H1744" s="10" t="str">
        <f aca="false">IF($B1744="","",$D1744*$G1744)</f>
        <v/>
      </c>
      <c r="I1744" s="10" t="str">
        <f aca="false">IF($B1744="","",$F1744*$G1744)</f>
        <v/>
      </c>
      <c r="J1744" s="9"/>
      <c r="K1744" s="10" t="str">
        <f aca="false">IF($B1744="","",$E1744*IFERROR(INDEX(Drinks!$B$4:$B$53,MATCH($B1744,Drinks!$A$4:$A$53,0)),0))</f>
        <v/>
      </c>
      <c r="L1744" s="10" t="str">
        <f aca="false">IF($B1744="","",$J1744+$K1744)</f>
        <v/>
      </c>
      <c r="M1744" s="9"/>
      <c r="N1744" s="10" t="str">
        <f aca="false">IF($B1744="","",$L1744-$M1744)</f>
        <v/>
      </c>
      <c r="O1744" s="10" t="str">
        <f aca="false">IF($B1744="","",IFERROR(INDEX(Drinks!$E$4:$E$53,MATCH($B1744,Drinks!$A$4:$A$53,0)),0))</f>
        <v/>
      </c>
      <c r="P1744" s="10" t="str">
        <f aca="false">IF($B1744="","",$N1744*$O1744)</f>
        <v/>
      </c>
      <c r="Q1744" s="10" t="str">
        <f aca="false">IF($B1744="","",$N1744*IFERROR(INDEX(Drinks!$D$4:$D$53,MATCH($B1744,Drinks!$A$4:$A$53,0)),0))</f>
        <v/>
      </c>
      <c r="R1744" s="10" t="str">
        <f aca="false">IF($B1744="","",$P1744-$Q1744)</f>
        <v/>
      </c>
      <c r="S1744" s="23" t="str">
        <f aca="false">IF($B1744="","",IF(COUNTIFS($A$4:$A$2003,$A1744-1,$B$4:$B$2003,$B1744)=0,"first day",IF(SUMIFS($M$4:$M$2003,$A$4:$A$2003,$A1744-1,$B$4:$B$2003,$B1744)=$J1744,"OK","CHECK")))</f>
        <v/>
      </c>
      <c r="T1744" s="10" t="str">
        <f aca="false">IF($B1744="","",IFERROR(INDEX(Drinks!$D$4:$D$53,MATCH($B1744,Drinks!$A$4:$A$53,0)),0))</f>
        <v/>
      </c>
    </row>
    <row r="1745" customFormat="false" ht="15" hidden="false" customHeight="false" outlineLevel="0" collapsed="false">
      <c r="A1745" s="22"/>
      <c r="B1745" s="9"/>
      <c r="C1745" s="9"/>
      <c r="D1745" s="9"/>
      <c r="E1745" s="9"/>
      <c r="F1745" s="10" t="str">
        <f aca="false">IF($B1745="","",$C1745+$D1745-$E1745)</f>
        <v/>
      </c>
      <c r="G1745" s="10" t="str">
        <f aca="false">IF($B1745="","",IFERROR(INDEX(Drinks!$C$4:$C$53,MATCH($B1745,Drinks!$A$4:$A$53,0)),0))</f>
        <v/>
      </c>
      <c r="H1745" s="10" t="str">
        <f aca="false">IF($B1745="","",$D1745*$G1745)</f>
        <v/>
      </c>
      <c r="I1745" s="10" t="str">
        <f aca="false">IF($B1745="","",$F1745*$G1745)</f>
        <v/>
      </c>
      <c r="J1745" s="9"/>
      <c r="K1745" s="10" t="str">
        <f aca="false">IF($B1745="","",$E1745*IFERROR(INDEX(Drinks!$B$4:$B$53,MATCH($B1745,Drinks!$A$4:$A$53,0)),0))</f>
        <v/>
      </c>
      <c r="L1745" s="10" t="str">
        <f aca="false">IF($B1745="","",$J1745+$K1745)</f>
        <v/>
      </c>
      <c r="M1745" s="9"/>
      <c r="N1745" s="10" t="str">
        <f aca="false">IF($B1745="","",$L1745-$M1745)</f>
        <v/>
      </c>
      <c r="O1745" s="10" t="str">
        <f aca="false">IF($B1745="","",IFERROR(INDEX(Drinks!$E$4:$E$53,MATCH($B1745,Drinks!$A$4:$A$53,0)),0))</f>
        <v/>
      </c>
      <c r="P1745" s="10" t="str">
        <f aca="false">IF($B1745="","",$N1745*$O1745)</f>
        <v/>
      </c>
      <c r="Q1745" s="10" t="str">
        <f aca="false">IF($B1745="","",$N1745*IFERROR(INDEX(Drinks!$D$4:$D$53,MATCH($B1745,Drinks!$A$4:$A$53,0)),0))</f>
        <v/>
      </c>
      <c r="R1745" s="10" t="str">
        <f aca="false">IF($B1745="","",$P1745-$Q1745)</f>
        <v/>
      </c>
      <c r="S1745" s="23" t="str">
        <f aca="false">IF($B1745="","",IF(COUNTIFS($A$4:$A$2003,$A1745-1,$B$4:$B$2003,$B1745)=0,"first day",IF(SUMIFS($M$4:$M$2003,$A$4:$A$2003,$A1745-1,$B$4:$B$2003,$B1745)=$J1745,"OK","CHECK")))</f>
        <v/>
      </c>
      <c r="T1745" s="10" t="str">
        <f aca="false">IF($B1745="","",IFERROR(INDEX(Drinks!$D$4:$D$53,MATCH($B1745,Drinks!$A$4:$A$53,0)),0))</f>
        <v/>
      </c>
    </row>
    <row r="1746" customFormat="false" ht="15" hidden="false" customHeight="false" outlineLevel="0" collapsed="false">
      <c r="A1746" s="22"/>
      <c r="B1746" s="9"/>
      <c r="C1746" s="9"/>
      <c r="D1746" s="9"/>
      <c r="E1746" s="9"/>
      <c r="F1746" s="10" t="str">
        <f aca="false">IF($B1746="","",$C1746+$D1746-$E1746)</f>
        <v/>
      </c>
      <c r="G1746" s="10" t="str">
        <f aca="false">IF($B1746="","",IFERROR(INDEX(Drinks!$C$4:$C$53,MATCH($B1746,Drinks!$A$4:$A$53,0)),0))</f>
        <v/>
      </c>
      <c r="H1746" s="10" t="str">
        <f aca="false">IF($B1746="","",$D1746*$G1746)</f>
        <v/>
      </c>
      <c r="I1746" s="10" t="str">
        <f aca="false">IF($B1746="","",$F1746*$G1746)</f>
        <v/>
      </c>
      <c r="J1746" s="9"/>
      <c r="K1746" s="10" t="str">
        <f aca="false">IF($B1746="","",$E1746*IFERROR(INDEX(Drinks!$B$4:$B$53,MATCH($B1746,Drinks!$A$4:$A$53,0)),0))</f>
        <v/>
      </c>
      <c r="L1746" s="10" t="str">
        <f aca="false">IF($B1746="","",$J1746+$K1746)</f>
        <v/>
      </c>
      <c r="M1746" s="9"/>
      <c r="N1746" s="10" t="str">
        <f aca="false">IF($B1746="","",$L1746-$M1746)</f>
        <v/>
      </c>
      <c r="O1746" s="10" t="str">
        <f aca="false">IF($B1746="","",IFERROR(INDEX(Drinks!$E$4:$E$53,MATCH($B1746,Drinks!$A$4:$A$53,0)),0))</f>
        <v/>
      </c>
      <c r="P1746" s="10" t="str">
        <f aca="false">IF($B1746="","",$N1746*$O1746)</f>
        <v/>
      </c>
      <c r="Q1746" s="10" t="str">
        <f aca="false">IF($B1746="","",$N1746*IFERROR(INDEX(Drinks!$D$4:$D$53,MATCH($B1746,Drinks!$A$4:$A$53,0)),0))</f>
        <v/>
      </c>
      <c r="R1746" s="10" t="str">
        <f aca="false">IF($B1746="","",$P1746-$Q1746)</f>
        <v/>
      </c>
      <c r="S1746" s="23" t="str">
        <f aca="false">IF($B1746="","",IF(COUNTIFS($A$4:$A$2003,$A1746-1,$B$4:$B$2003,$B1746)=0,"first day",IF(SUMIFS($M$4:$M$2003,$A$4:$A$2003,$A1746-1,$B$4:$B$2003,$B1746)=$J1746,"OK","CHECK")))</f>
        <v/>
      </c>
      <c r="T1746" s="10" t="str">
        <f aca="false">IF($B1746="","",IFERROR(INDEX(Drinks!$D$4:$D$53,MATCH($B1746,Drinks!$A$4:$A$53,0)),0))</f>
        <v/>
      </c>
    </row>
    <row r="1747" customFormat="false" ht="15" hidden="false" customHeight="false" outlineLevel="0" collapsed="false">
      <c r="A1747" s="22"/>
      <c r="B1747" s="9"/>
      <c r="C1747" s="9"/>
      <c r="D1747" s="9"/>
      <c r="E1747" s="9"/>
      <c r="F1747" s="10" t="str">
        <f aca="false">IF($B1747="","",$C1747+$D1747-$E1747)</f>
        <v/>
      </c>
      <c r="G1747" s="10" t="str">
        <f aca="false">IF($B1747="","",IFERROR(INDEX(Drinks!$C$4:$C$53,MATCH($B1747,Drinks!$A$4:$A$53,0)),0))</f>
        <v/>
      </c>
      <c r="H1747" s="10" t="str">
        <f aca="false">IF($B1747="","",$D1747*$G1747)</f>
        <v/>
      </c>
      <c r="I1747" s="10" t="str">
        <f aca="false">IF($B1747="","",$F1747*$G1747)</f>
        <v/>
      </c>
      <c r="J1747" s="9"/>
      <c r="K1747" s="10" t="str">
        <f aca="false">IF($B1747="","",$E1747*IFERROR(INDEX(Drinks!$B$4:$B$53,MATCH($B1747,Drinks!$A$4:$A$53,0)),0))</f>
        <v/>
      </c>
      <c r="L1747" s="10" t="str">
        <f aca="false">IF($B1747="","",$J1747+$K1747)</f>
        <v/>
      </c>
      <c r="M1747" s="9"/>
      <c r="N1747" s="10" t="str">
        <f aca="false">IF($B1747="","",$L1747-$M1747)</f>
        <v/>
      </c>
      <c r="O1747" s="10" t="str">
        <f aca="false">IF($B1747="","",IFERROR(INDEX(Drinks!$E$4:$E$53,MATCH($B1747,Drinks!$A$4:$A$53,0)),0))</f>
        <v/>
      </c>
      <c r="P1747" s="10" t="str">
        <f aca="false">IF($B1747="","",$N1747*$O1747)</f>
        <v/>
      </c>
      <c r="Q1747" s="10" t="str">
        <f aca="false">IF($B1747="","",$N1747*IFERROR(INDEX(Drinks!$D$4:$D$53,MATCH($B1747,Drinks!$A$4:$A$53,0)),0))</f>
        <v/>
      </c>
      <c r="R1747" s="10" t="str">
        <f aca="false">IF($B1747="","",$P1747-$Q1747)</f>
        <v/>
      </c>
      <c r="S1747" s="23" t="str">
        <f aca="false">IF($B1747="","",IF(COUNTIFS($A$4:$A$2003,$A1747-1,$B$4:$B$2003,$B1747)=0,"first day",IF(SUMIFS($M$4:$M$2003,$A$4:$A$2003,$A1747-1,$B$4:$B$2003,$B1747)=$J1747,"OK","CHECK")))</f>
        <v/>
      </c>
      <c r="T1747" s="10" t="str">
        <f aca="false">IF($B1747="","",IFERROR(INDEX(Drinks!$D$4:$D$53,MATCH($B1747,Drinks!$A$4:$A$53,0)),0))</f>
        <v/>
      </c>
    </row>
    <row r="1748" customFormat="false" ht="15" hidden="false" customHeight="false" outlineLevel="0" collapsed="false">
      <c r="A1748" s="22"/>
      <c r="B1748" s="9"/>
      <c r="C1748" s="9"/>
      <c r="D1748" s="9"/>
      <c r="E1748" s="9"/>
      <c r="F1748" s="10" t="str">
        <f aca="false">IF($B1748="","",$C1748+$D1748-$E1748)</f>
        <v/>
      </c>
      <c r="G1748" s="10" t="str">
        <f aca="false">IF($B1748="","",IFERROR(INDEX(Drinks!$C$4:$C$53,MATCH($B1748,Drinks!$A$4:$A$53,0)),0))</f>
        <v/>
      </c>
      <c r="H1748" s="10" t="str">
        <f aca="false">IF($B1748="","",$D1748*$G1748)</f>
        <v/>
      </c>
      <c r="I1748" s="10" t="str">
        <f aca="false">IF($B1748="","",$F1748*$G1748)</f>
        <v/>
      </c>
      <c r="J1748" s="9"/>
      <c r="K1748" s="10" t="str">
        <f aca="false">IF($B1748="","",$E1748*IFERROR(INDEX(Drinks!$B$4:$B$53,MATCH($B1748,Drinks!$A$4:$A$53,0)),0))</f>
        <v/>
      </c>
      <c r="L1748" s="10" t="str">
        <f aca="false">IF($B1748="","",$J1748+$K1748)</f>
        <v/>
      </c>
      <c r="M1748" s="9"/>
      <c r="N1748" s="10" t="str">
        <f aca="false">IF($B1748="","",$L1748-$M1748)</f>
        <v/>
      </c>
      <c r="O1748" s="10" t="str">
        <f aca="false">IF($B1748="","",IFERROR(INDEX(Drinks!$E$4:$E$53,MATCH($B1748,Drinks!$A$4:$A$53,0)),0))</f>
        <v/>
      </c>
      <c r="P1748" s="10" t="str">
        <f aca="false">IF($B1748="","",$N1748*$O1748)</f>
        <v/>
      </c>
      <c r="Q1748" s="10" t="str">
        <f aca="false">IF($B1748="","",$N1748*IFERROR(INDEX(Drinks!$D$4:$D$53,MATCH($B1748,Drinks!$A$4:$A$53,0)),0))</f>
        <v/>
      </c>
      <c r="R1748" s="10" t="str">
        <f aca="false">IF($B1748="","",$P1748-$Q1748)</f>
        <v/>
      </c>
      <c r="S1748" s="23" t="str">
        <f aca="false">IF($B1748="","",IF(COUNTIFS($A$4:$A$2003,$A1748-1,$B$4:$B$2003,$B1748)=0,"first day",IF(SUMIFS($M$4:$M$2003,$A$4:$A$2003,$A1748-1,$B$4:$B$2003,$B1748)=$J1748,"OK","CHECK")))</f>
        <v/>
      </c>
      <c r="T1748" s="10" t="str">
        <f aca="false">IF($B1748="","",IFERROR(INDEX(Drinks!$D$4:$D$53,MATCH($B1748,Drinks!$A$4:$A$53,0)),0))</f>
        <v/>
      </c>
    </row>
    <row r="1749" customFormat="false" ht="15" hidden="false" customHeight="false" outlineLevel="0" collapsed="false">
      <c r="A1749" s="22"/>
      <c r="B1749" s="9"/>
      <c r="C1749" s="9"/>
      <c r="D1749" s="9"/>
      <c r="E1749" s="9"/>
      <c r="F1749" s="10" t="str">
        <f aca="false">IF($B1749="","",$C1749+$D1749-$E1749)</f>
        <v/>
      </c>
      <c r="G1749" s="10" t="str">
        <f aca="false">IF($B1749="","",IFERROR(INDEX(Drinks!$C$4:$C$53,MATCH($B1749,Drinks!$A$4:$A$53,0)),0))</f>
        <v/>
      </c>
      <c r="H1749" s="10" t="str">
        <f aca="false">IF($B1749="","",$D1749*$G1749)</f>
        <v/>
      </c>
      <c r="I1749" s="10" t="str">
        <f aca="false">IF($B1749="","",$F1749*$G1749)</f>
        <v/>
      </c>
      <c r="J1749" s="9"/>
      <c r="K1749" s="10" t="str">
        <f aca="false">IF($B1749="","",$E1749*IFERROR(INDEX(Drinks!$B$4:$B$53,MATCH($B1749,Drinks!$A$4:$A$53,0)),0))</f>
        <v/>
      </c>
      <c r="L1749" s="10" t="str">
        <f aca="false">IF($B1749="","",$J1749+$K1749)</f>
        <v/>
      </c>
      <c r="M1749" s="9"/>
      <c r="N1749" s="10" t="str">
        <f aca="false">IF($B1749="","",$L1749-$M1749)</f>
        <v/>
      </c>
      <c r="O1749" s="10" t="str">
        <f aca="false">IF($B1749="","",IFERROR(INDEX(Drinks!$E$4:$E$53,MATCH($B1749,Drinks!$A$4:$A$53,0)),0))</f>
        <v/>
      </c>
      <c r="P1749" s="10" t="str">
        <f aca="false">IF($B1749="","",$N1749*$O1749)</f>
        <v/>
      </c>
      <c r="Q1749" s="10" t="str">
        <f aca="false">IF($B1749="","",$N1749*IFERROR(INDEX(Drinks!$D$4:$D$53,MATCH($B1749,Drinks!$A$4:$A$53,0)),0))</f>
        <v/>
      </c>
      <c r="R1749" s="10" t="str">
        <f aca="false">IF($B1749="","",$P1749-$Q1749)</f>
        <v/>
      </c>
      <c r="S1749" s="23" t="str">
        <f aca="false">IF($B1749="","",IF(COUNTIFS($A$4:$A$2003,$A1749-1,$B$4:$B$2003,$B1749)=0,"first day",IF(SUMIFS($M$4:$M$2003,$A$4:$A$2003,$A1749-1,$B$4:$B$2003,$B1749)=$J1749,"OK","CHECK")))</f>
        <v/>
      </c>
      <c r="T1749" s="10" t="str">
        <f aca="false">IF($B1749="","",IFERROR(INDEX(Drinks!$D$4:$D$53,MATCH($B1749,Drinks!$A$4:$A$53,0)),0))</f>
        <v/>
      </c>
    </row>
    <row r="1750" customFormat="false" ht="15" hidden="false" customHeight="false" outlineLevel="0" collapsed="false">
      <c r="A1750" s="22"/>
      <c r="B1750" s="9"/>
      <c r="C1750" s="9"/>
      <c r="D1750" s="9"/>
      <c r="E1750" s="9"/>
      <c r="F1750" s="10" t="str">
        <f aca="false">IF($B1750="","",$C1750+$D1750-$E1750)</f>
        <v/>
      </c>
      <c r="G1750" s="10" t="str">
        <f aca="false">IF($B1750="","",IFERROR(INDEX(Drinks!$C$4:$C$53,MATCH($B1750,Drinks!$A$4:$A$53,0)),0))</f>
        <v/>
      </c>
      <c r="H1750" s="10" t="str">
        <f aca="false">IF($B1750="","",$D1750*$G1750)</f>
        <v/>
      </c>
      <c r="I1750" s="10" t="str">
        <f aca="false">IF($B1750="","",$F1750*$G1750)</f>
        <v/>
      </c>
      <c r="J1750" s="9"/>
      <c r="K1750" s="10" t="str">
        <f aca="false">IF($B1750="","",$E1750*IFERROR(INDEX(Drinks!$B$4:$B$53,MATCH($B1750,Drinks!$A$4:$A$53,0)),0))</f>
        <v/>
      </c>
      <c r="L1750" s="10" t="str">
        <f aca="false">IF($B1750="","",$J1750+$K1750)</f>
        <v/>
      </c>
      <c r="M1750" s="9"/>
      <c r="N1750" s="10" t="str">
        <f aca="false">IF($B1750="","",$L1750-$M1750)</f>
        <v/>
      </c>
      <c r="O1750" s="10" t="str">
        <f aca="false">IF($B1750="","",IFERROR(INDEX(Drinks!$E$4:$E$53,MATCH($B1750,Drinks!$A$4:$A$53,0)),0))</f>
        <v/>
      </c>
      <c r="P1750" s="10" t="str">
        <f aca="false">IF($B1750="","",$N1750*$O1750)</f>
        <v/>
      </c>
      <c r="Q1750" s="10" t="str">
        <f aca="false">IF($B1750="","",$N1750*IFERROR(INDEX(Drinks!$D$4:$D$53,MATCH($B1750,Drinks!$A$4:$A$53,0)),0))</f>
        <v/>
      </c>
      <c r="R1750" s="10" t="str">
        <f aca="false">IF($B1750="","",$P1750-$Q1750)</f>
        <v/>
      </c>
      <c r="S1750" s="23" t="str">
        <f aca="false">IF($B1750="","",IF(COUNTIFS($A$4:$A$2003,$A1750-1,$B$4:$B$2003,$B1750)=0,"first day",IF(SUMIFS($M$4:$M$2003,$A$4:$A$2003,$A1750-1,$B$4:$B$2003,$B1750)=$J1750,"OK","CHECK")))</f>
        <v/>
      </c>
      <c r="T1750" s="10" t="str">
        <f aca="false">IF($B1750="","",IFERROR(INDEX(Drinks!$D$4:$D$53,MATCH($B1750,Drinks!$A$4:$A$53,0)),0))</f>
        <v/>
      </c>
    </row>
    <row r="1751" customFormat="false" ht="15" hidden="false" customHeight="false" outlineLevel="0" collapsed="false">
      <c r="A1751" s="22"/>
      <c r="B1751" s="9"/>
      <c r="C1751" s="9"/>
      <c r="D1751" s="9"/>
      <c r="E1751" s="9"/>
      <c r="F1751" s="10" t="str">
        <f aca="false">IF($B1751="","",$C1751+$D1751-$E1751)</f>
        <v/>
      </c>
      <c r="G1751" s="10" t="str">
        <f aca="false">IF($B1751="","",IFERROR(INDEX(Drinks!$C$4:$C$53,MATCH($B1751,Drinks!$A$4:$A$53,0)),0))</f>
        <v/>
      </c>
      <c r="H1751" s="10" t="str">
        <f aca="false">IF($B1751="","",$D1751*$G1751)</f>
        <v/>
      </c>
      <c r="I1751" s="10" t="str">
        <f aca="false">IF($B1751="","",$F1751*$G1751)</f>
        <v/>
      </c>
      <c r="J1751" s="9"/>
      <c r="K1751" s="10" t="str">
        <f aca="false">IF($B1751="","",$E1751*IFERROR(INDEX(Drinks!$B$4:$B$53,MATCH($B1751,Drinks!$A$4:$A$53,0)),0))</f>
        <v/>
      </c>
      <c r="L1751" s="10" t="str">
        <f aca="false">IF($B1751="","",$J1751+$K1751)</f>
        <v/>
      </c>
      <c r="M1751" s="9"/>
      <c r="N1751" s="10" t="str">
        <f aca="false">IF($B1751="","",$L1751-$M1751)</f>
        <v/>
      </c>
      <c r="O1751" s="10" t="str">
        <f aca="false">IF($B1751="","",IFERROR(INDEX(Drinks!$E$4:$E$53,MATCH($B1751,Drinks!$A$4:$A$53,0)),0))</f>
        <v/>
      </c>
      <c r="P1751" s="10" t="str">
        <f aca="false">IF($B1751="","",$N1751*$O1751)</f>
        <v/>
      </c>
      <c r="Q1751" s="10" t="str">
        <f aca="false">IF($B1751="","",$N1751*IFERROR(INDEX(Drinks!$D$4:$D$53,MATCH($B1751,Drinks!$A$4:$A$53,0)),0))</f>
        <v/>
      </c>
      <c r="R1751" s="10" t="str">
        <f aca="false">IF($B1751="","",$P1751-$Q1751)</f>
        <v/>
      </c>
      <c r="S1751" s="23" t="str">
        <f aca="false">IF($B1751="","",IF(COUNTIFS($A$4:$A$2003,$A1751-1,$B$4:$B$2003,$B1751)=0,"first day",IF(SUMIFS($M$4:$M$2003,$A$4:$A$2003,$A1751-1,$B$4:$B$2003,$B1751)=$J1751,"OK","CHECK")))</f>
        <v/>
      </c>
      <c r="T1751" s="10" t="str">
        <f aca="false">IF($B1751="","",IFERROR(INDEX(Drinks!$D$4:$D$53,MATCH($B1751,Drinks!$A$4:$A$53,0)),0))</f>
        <v/>
      </c>
    </row>
    <row r="1752" customFormat="false" ht="15" hidden="false" customHeight="false" outlineLevel="0" collapsed="false">
      <c r="A1752" s="22"/>
      <c r="B1752" s="9"/>
      <c r="C1752" s="9"/>
      <c r="D1752" s="9"/>
      <c r="E1752" s="9"/>
      <c r="F1752" s="10" t="str">
        <f aca="false">IF($B1752="","",$C1752+$D1752-$E1752)</f>
        <v/>
      </c>
      <c r="G1752" s="10" t="str">
        <f aca="false">IF($B1752="","",IFERROR(INDEX(Drinks!$C$4:$C$53,MATCH($B1752,Drinks!$A$4:$A$53,0)),0))</f>
        <v/>
      </c>
      <c r="H1752" s="10" t="str">
        <f aca="false">IF($B1752="","",$D1752*$G1752)</f>
        <v/>
      </c>
      <c r="I1752" s="10" t="str">
        <f aca="false">IF($B1752="","",$F1752*$G1752)</f>
        <v/>
      </c>
      <c r="J1752" s="9"/>
      <c r="K1752" s="10" t="str">
        <f aca="false">IF($B1752="","",$E1752*IFERROR(INDEX(Drinks!$B$4:$B$53,MATCH($B1752,Drinks!$A$4:$A$53,0)),0))</f>
        <v/>
      </c>
      <c r="L1752" s="10" t="str">
        <f aca="false">IF($B1752="","",$J1752+$K1752)</f>
        <v/>
      </c>
      <c r="M1752" s="9"/>
      <c r="N1752" s="10" t="str">
        <f aca="false">IF($B1752="","",$L1752-$M1752)</f>
        <v/>
      </c>
      <c r="O1752" s="10" t="str">
        <f aca="false">IF($B1752="","",IFERROR(INDEX(Drinks!$E$4:$E$53,MATCH($B1752,Drinks!$A$4:$A$53,0)),0))</f>
        <v/>
      </c>
      <c r="P1752" s="10" t="str">
        <f aca="false">IF($B1752="","",$N1752*$O1752)</f>
        <v/>
      </c>
      <c r="Q1752" s="10" t="str">
        <f aca="false">IF($B1752="","",$N1752*IFERROR(INDEX(Drinks!$D$4:$D$53,MATCH($B1752,Drinks!$A$4:$A$53,0)),0))</f>
        <v/>
      </c>
      <c r="R1752" s="10" t="str">
        <f aca="false">IF($B1752="","",$P1752-$Q1752)</f>
        <v/>
      </c>
      <c r="S1752" s="23" t="str">
        <f aca="false">IF($B1752="","",IF(COUNTIFS($A$4:$A$2003,$A1752-1,$B$4:$B$2003,$B1752)=0,"first day",IF(SUMIFS($M$4:$M$2003,$A$4:$A$2003,$A1752-1,$B$4:$B$2003,$B1752)=$J1752,"OK","CHECK")))</f>
        <v/>
      </c>
      <c r="T1752" s="10" t="str">
        <f aca="false">IF($B1752="","",IFERROR(INDEX(Drinks!$D$4:$D$53,MATCH($B1752,Drinks!$A$4:$A$53,0)),0))</f>
        <v/>
      </c>
    </row>
    <row r="1753" customFormat="false" ht="15" hidden="false" customHeight="false" outlineLevel="0" collapsed="false">
      <c r="A1753" s="22"/>
      <c r="B1753" s="9"/>
      <c r="C1753" s="9"/>
      <c r="D1753" s="9"/>
      <c r="E1753" s="9"/>
      <c r="F1753" s="10" t="str">
        <f aca="false">IF($B1753="","",$C1753+$D1753-$E1753)</f>
        <v/>
      </c>
      <c r="G1753" s="10" t="str">
        <f aca="false">IF($B1753="","",IFERROR(INDEX(Drinks!$C$4:$C$53,MATCH($B1753,Drinks!$A$4:$A$53,0)),0))</f>
        <v/>
      </c>
      <c r="H1753" s="10" t="str">
        <f aca="false">IF($B1753="","",$D1753*$G1753)</f>
        <v/>
      </c>
      <c r="I1753" s="10" t="str">
        <f aca="false">IF($B1753="","",$F1753*$G1753)</f>
        <v/>
      </c>
      <c r="J1753" s="9"/>
      <c r="K1753" s="10" t="str">
        <f aca="false">IF($B1753="","",$E1753*IFERROR(INDEX(Drinks!$B$4:$B$53,MATCH($B1753,Drinks!$A$4:$A$53,0)),0))</f>
        <v/>
      </c>
      <c r="L1753" s="10" t="str">
        <f aca="false">IF($B1753="","",$J1753+$K1753)</f>
        <v/>
      </c>
      <c r="M1753" s="9"/>
      <c r="N1753" s="10" t="str">
        <f aca="false">IF($B1753="","",$L1753-$M1753)</f>
        <v/>
      </c>
      <c r="O1753" s="10" t="str">
        <f aca="false">IF($B1753="","",IFERROR(INDEX(Drinks!$E$4:$E$53,MATCH($B1753,Drinks!$A$4:$A$53,0)),0))</f>
        <v/>
      </c>
      <c r="P1753" s="10" t="str">
        <f aca="false">IF($B1753="","",$N1753*$O1753)</f>
        <v/>
      </c>
      <c r="Q1753" s="10" t="str">
        <f aca="false">IF($B1753="","",$N1753*IFERROR(INDEX(Drinks!$D$4:$D$53,MATCH($B1753,Drinks!$A$4:$A$53,0)),0))</f>
        <v/>
      </c>
      <c r="R1753" s="10" t="str">
        <f aca="false">IF($B1753="","",$P1753-$Q1753)</f>
        <v/>
      </c>
      <c r="S1753" s="23" t="str">
        <f aca="false">IF($B1753="","",IF(COUNTIFS($A$4:$A$2003,$A1753-1,$B$4:$B$2003,$B1753)=0,"first day",IF(SUMIFS($M$4:$M$2003,$A$4:$A$2003,$A1753-1,$B$4:$B$2003,$B1753)=$J1753,"OK","CHECK")))</f>
        <v/>
      </c>
      <c r="T1753" s="10" t="str">
        <f aca="false">IF($B1753="","",IFERROR(INDEX(Drinks!$D$4:$D$53,MATCH($B1753,Drinks!$A$4:$A$53,0)),0))</f>
        <v/>
      </c>
    </row>
    <row r="1754" customFormat="false" ht="15" hidden="false" customHeight="false" outlineLevel="0" collapsed="false">
      <c r="A1754" s="22"/>
      <c r="B1754" s="9"/>
      <c r="C1754" s="9"/>
      <c r="D1754" s="9"/>
      <c r="E1754" s="9"/>
      <c r="F1754" s="10" t="str">
        <f aca="false">IF($B1754="","",$C1754+$D1754-$E1754)</f>
        <v/>
      </c>
      <c r="G1754" s="10" t="str">
        <f aca="false">IF($B1754="","",IFERROR(INDEX(Drinks!$C$4:$C$53,MATCH($B1754,Drinks!$A$4:$A$53,0)),0))</f>
        <v/>
      </c>
      <c r="H1754" s="10" t="str">
        <f aca="false">IF($B1754="","",$D1754*$G1754)</f>
        <v/>
      </c>
      <c r="I1754" s="10" t="str">
        <f aca="false">IF($B1754="","",$F1754*$G1754)</f>
        <v/>
      </c>
      <c r="J1754" s="9"/>
      <c r="K1754" s="10" t="str">
        <f aca="false">IF($B1754="","",$E1754*IFERROR(INDEX(Drinks!$B$4:$B$53,MATCH($B1754,Drinks!$A$4:$A$53,0)),0))</f>
        <v/>
      </c>
      <c r="L1754" s="10" t="str">
        <f aca="false">IF($B1754="","",$J1754+$K1754)</f>
        <v/>
      </c>
      <c r="M1754" s="9"/>
      <c r="N1754" s="10" t="str">
        <f aca="false">IF($B1754="","",$L1754-$M1754)</f>
        <v/>
      </c>
      <c r="O1754" s="10" t="str">
        <f aca="false">IF($B1754="","",IFERROR(INDEX(Drinks!$E$4:$E$53,MATCH($B1754,Drinks!$A$4:$A$53,0)),0))</f>
        <v/>
      </c>
      <c r="P1754" s="10" t="str">
        <f aca="false">IF($B1754="","",$N1754*$O1754)</f>
        <v/>
      </c>
      <c r="Q1754" s="10" t="str">
        <f aca="false">IF($B1754="","",$N1754*IFERROR(INDEX(Drinks!$D$4:$D$53,MATCH($B1754,Drinks!$A$4:$A$53,0)),0))</f>
        <v/>
      </c>
      <c r="R1754" s="10" t="str">
        <f aca="false">IF($B1754="","",$P1754-$Q1754)</f>
        <v/>
      </c>
      <c r="S1754" s="23" t="str">
        <f aca="false">IF($B1754="","",IF(COUNTIFS($A$4:$A$2003,$A1754-1,$B$4:$B$2003,$B1754)=0,"first day",IF(SUMIFS($M$4:$M$2003,$A$4:$A$2003,$A1754-1,$B$4:$B$2003,$B1754)=$J1754,"OK","CHECK")))</f>
        <v/>
      </c>
      <c r="T1754" s="10" t="str">
        <f aca="false">IF($B1754="","",IFERROR(INDEX(Drinks!$D$4:$D$53,MATCH($B1754,Drinks!$A$4:$A$53,0)),0))</f>
        <v/>
      </c>
    </row>
    <row r="1755" customFormat="false" ht="15" hidden="false" customHeight="false" outlineLevel="0" collapsed="false">
      <c r="A1755" s="22"/>
      <c r="B1755" s="9"/>
      <c r="C1755" s="9"/>
      <c r="D1755" s="9"/>
      <c r="E1755" s="9"/>
      <c r="F1755" s="10" t="str">
        <f aca="false">IF($B1755="","",$C1755+$D1755-$E1755)</f>
        <v/>
      </c>
      <c r="G1755" s="10" t="str">
        <f aca="false">IF($B1755="","",IFERROR(INDEX(Drinks!$C$4:$C$53,MATCH($B1755,Drinks!$A$4:$A$53,0)),0))</f>
        <v/>
      </c>
      <c r="H1755" s="10" t="str">
        <f aca="false">IF($B1755="","",$D1755*$G1755)</f>
        <v/>
      </c>
      <c r="I1755" s="10" t="str">
        <f aca="false">IF($B1755="","",$F1755*$G1755)</f>
        <v/>
      </c>
      <c r="J1755" s="9"/>
      <c r="K1755" s="10" t="str">
        <f aca="false">IF($B1755="","",$E1755*IFERROR(INDEX(Drinks!$B$4:$B$53,MATCH($B1755,Drinks!$A$4:$A$53,0)),0))</f>
        <v/>
      </c>
      <c r="L1755" s="10" t="str">
        <f aca="false">IF($B1755="","",$J1755+$K1755)</f>
        <v/>
      </c>
      <c r="M1755" s="9"/>
      <c r="N1755" s="10" t="str">
        <f aca="false">IF($B1755="","",$L1755-$M1755)</f>
        <v/>
      </c>
      <c r="O1755" s="10" t="str">
        <f aca="false">IF($B1755="","",IFERROR(INDEX(Drinks!$E$4:$E$53,MATCH($B1755,Drinks!$A$4:$A$53,0)),0))</f>
        <v/>
      </c>
      <c r="P1755" s="10" t="str">
        <f aca="false">IF($B1755="","",$N1755*$O1755)</f>
        <v/>
      </c>
      <c r="Q1755" s="10" t="str">
        <f aca="false">IF($B1755="","",$N1755*IFERROR(INDEX(Drinks!$D$4:$D$53,MATCH($B1755,Drinks!$A$4:$A$53,0)),0))</f>
        <v/>
      </c>
      <c r="R1755" s="10" t="str">
        <f aca="false">IF($B1755="","",$P1755-$Q1755)</f>
        <v/>
      </c>
      <c r="S1755" s="23" t="str">
        <f aca="false">IF($B1755="","",IF(COUNTIFS($A$4:$A$2003,$A1755-1,$B$4:$B$2003,$B1755)=0,"first day",IF(SUMIFS($M$4:$M$2003,$A$4:$A$2003,$A1755-1,$B$4:$B$2003,$B1755)=$J1755,"OK","CHECK")))</f>
        <v/>
      </c>
      <c r="T1755" s="10" t="str">
        <f aca="false">IF($B1755="","",IFERROR(INDEX(Drinks!$D$4:$D$53,MATCH($B1755,Drinks!$A$4:$A$53,0)),0))</f>
        <v/>
      </c>
    </row>
    <row r="1756" customFormat="false" ht="15" hidden="false" customHeight="false" outlineLevel="0" collapsed="false">
      <c r="A1756" s="22"/>
      <c r="B1756" s="9"/>
      <c r="C1756" s="9"/>
      <c r="D1756" s="9"/>
      <c r="E1756" s="9"/>
      <c r="F1756" s="10" t="str">
        <f aca="false">IF($B1756="","",$C1756+$D1756-$E1756)</f>
        <v/>
      </c>
      <c r="G1756" s="10" t="str">
        <f aca="false">IF($B1756="","",IFERROR(INDEX(Drinks!$C$4:$C$53,MATCH($B1756,Drinks!$A$4:$A$53,0)),0))</f>
        <v/>
      </c>
      <c r="H1756" s="10" t="str">
        <f aca="false">IF($B1756="","",$D1756*$G1756)</f>
        <v/>
      </c>
      <c r="I1756" s="10" t="str">
        <f aca="false">IF($B1756="","",$F1756*$G1756)</f>
        <v/>
      </c>
      <c r="J1756" s="9"/>
      <c r="K1756" s="10" t="str">
        <f aca="false">IF($B1756="","",$E1756*IFERROR(INDEX(Drinks!$B$4:$B$53,MATCH($B1756,Drinks!$A$4:$A$53,0)),0))</f>
        <v/>
      </c>
      <c r="L1756" s="10" t="str">
        <f aca="false">IF($B1756="","",$J1756+$K1756)</f>
        <v/>
      </c>
      <c r="M1756" s="9"/>
      <c r="N1756" s="10" t="str">
        <f aca="false">IF($B1756="","",$L1756-$M1756)</f>
        <v/>
      </c>
      <c r="O1756" s="10" t="str">
        <f aca="false">IF($B1756="","",IFERROR(INDEX(Drinks!$E$4:$E$53,MATCH($B1756,Drinks!$A$4:$A$53,0)),0))</f>
        <v/>
      </c>
      <c r="P1756" s="10" t="str">
        <f aca="false">IF($B1756="","",$N1756*$O1756)</f>
        <v/>
      </c>
      <c r="Q1756" s="10" t="str">
        <f aca="false">IF($B1756="","",$N1756*IFERROR(INDEX(Drinks!$D$4:$D$53,MATCH($B1756,Drinks!$A$4:$A$53,0)),0))</f>
        <v/>
      </c>
      <c r="R1756" s="10" t="str">
        <f aca="false">IF($B1756="","",$P1756-$Q1756)</f>
        <v/>
      </c>
      <c r="S1756" s="23" t="str">
        <f aca="false">IF($B1756="","",IF(COUNTIFS($A$4:$A$2003,$A1756-1,$B$4:$B$2003,$B1756)=0,"first day",IF(SUMIFS($M$4:$M$2003,$A$4:$A$2003,$A1756-1,$B$4:$B$2003,$B1756)=$J1756,"OK","CHECK")))</f>
        <v/>
      </c>
      <c r="T1756" s="10" t="str">
        <f aca="false">IF($B1756="","",IFERROR(INDEX(Drinks!$D$4:$D$53,MATCH($B1756,Drinks!$A$4:$A$53,0)),0))</f>
        <v/>
      </c>
    </row>
    <row r="1757" customFormat="false" ht="15" hidden="false" customHeight="false" outlineLevel="0" collapsed="false">
      <c r="A1757" s="22"/>
      <c r="B1757" s="9"/>
      <c r="C1757" s="9"/>
      <c r="D1757" s="9"/>
      <c r="E1757" s="9"/>
      <c r="F1757" s="10" t="str">
        <f aca="false">IF($B1757="","",$C1757+$D1757-$E1757)</f>
        <v/>
      </c>
      <c r="G1757" s="10" t="str">
        <f aca="false">IF($B1757="","",IFERROR(INDEX(Drinks!$C$4:$C$53,MATCH($B1757,Drinks!$A$4:$A$53,0)),0))</f>
        <v/>
      </c>
      <c r="H1757" s="10" t="str">
        <f aca="false">IF($B1757="","",$D1757*$G1757)</f>
        <v/>
      </c>
      <c r="I1757" s="10" t="str">
        <f aca="false">IF($B1757="","",$F1757*$G1757)</f>
        <v/>
      </c>
      <c r="J1757" s="9"/>
      <c r="K1757" s="10" t="str">
        <f aca="false">IF($B1757="","",$E1757*IFERROR(INDEX(Drinks!$B$4:$B$53,MATCH($B1757,Drinks!$A$4:$A$53,0)),0))</f>
        <v/>
      </c>
      <c r="L1757" s="10" t="str">
        <f aca="false">IF($B1757="","",$J1757+$K1757)</f>
        <v/>
      </c>
      <c r="M1757" s="9"/>
      <c r="N1757" s="10" t="str">
        <f aca="false">IF($B1757="","",$L1757-$M1757)</f>
        <v/>
      </c>
      <c r="O1757" s="10" t="str">
        <f aca="false">IF($B1757="","",IFERROR(INDEX(Drinks!$E$4:$E$53,MATCH($B1757,Drinks!$A$4:$A$53,0)),0))</f>
        <v/>
      </c>
      <c r="P1757" s="10" t="str">
        <f aca="false">IF($B1757="","",$N1757*$O1757)</f>
        <v/>
      </c>
      <c r="Q1757" s="10" t="str">
        <f aca="false">IF($B1757="","",$N1757*IFERROR(INDEX(Drinks!$D$4:$D$53,MATCH($B1757,Drinks!$A$4:$A$53,0)),0))</f>
        <v/>
      </c>
      <c r="R1757" s="10" t="str">
        <f aca="false">IF($B1757="","",$P1757-$Q1757)</f>
        <v/>
      </c>
      <c r="S1757" s="23" t="str">
        <f aca="false">IF($B1757="","",IF(COUNTIFS($A$4:$A$2003,$A1757-1,$B$4:$B$2003,$B1757)=0,"first day",IF(SUMIFS($M$4:$M$2003,$A$4:$A$2003,$A1757-1,$B$4:$B$2003,$B1757)=$J1757,"OK","CHECK")))</f>
        <v/>
      </c>
      <c r="T1757" s="10" t="str">
        <f aca="false">IF($B1757="","",IFERROR(INDEX(Drinks!$D$4:$D$53,MATCH($B1757,Drinks!$A$4:$A$53,0)),0))</f>
        <v/>
      </c>
    </row>
    <row r="1758" customFormat="false" ht="15" hidden="false" customHeight="false" outlineLevel="0" collapsed="false">
      <c r="A1758" s="22"/>
      <c r="B1758" s="9"/>
      <c r="C1758" s="9"/>
      <c r="D1758" s="9"/>
      <c r="E1758" s="9"/>
      <c r="F1758" s="10" t="str">
        <f aca="false">IF($B1758="","",$C1758+$D1758-$E1758)</f>
        <v/>
      </c>
      <c r="G1758" s="10" t="str">
        <f aca="false">IF($B1758="","",IFERROR(INDEX(Drinks!$C$4:$C$53,MATCH($B1758,Drinks!$A$4:$A$53,0)),0))</f>
        <v/>
      </c>
      <c r="H1758" s="10" t="str">
        <f aca="false">IF($B1758="","",$D1758*$G1758)</f>
        <v/>
      </c>
      <c r="I1758" s="10" t="str">
        <f aca="false">IF($B1758="","",$F1758*$G1758)</f>
        <v/>
      </c>
      <c r="J1758" s="9"/>
      <c r="K1758" s="10" t="str">
        <f aca="false">IF($B1758="","",$E1758*IFERROR(INDEX(Drinks!$B$4:$B$53,MATCH($B1758,Drinks!$A$4:$A$53,0)),0))</f>
        <v/>
      </c>
      <c r="L1758" s="10" t="str">
        <f aca="false">IF($B1758="","",$J1758+$K1758)</f>
        <v/>
      </c>
      <c r="M1758" s="9"/>
      <c r="N1758" s="10" t="str">
        <f aca="false">IF($B1758="","",$L1758-$M1758)</f>
        <v/>
      </c>
      <c r="O1758" s="10" t="str">
        <f aca="false">IF($B1758="","",IFERROR(INDEX(Drinks!$E$4:$E$53,MATCH($B1758,Drinks!$A$4:$A$53,0)),0))</f>
        <v/>
      </c>
      <c r="P1758" s="10" t="str">
        <f aca="false">IF($B1758="","",$N1758*$O1758)</f>
        <v/>
      </c>
      <c r="Q1758" s="10" t="str">
        <f aca="false">IF($B1758="","",$N1758*IFERROR(INDEX(Drinks!$D$4:$D$53,MATCH($B1758,Drinks!$A$4:$A$53,0)),0))</f>
        <v/>
      </c>
      <c r="R1758" s="10" t="str">
        <f aca="false">IF($B1758="","",$P1758-$Q1758)</f>
        <v/>
      </c>
      <c r="S1758" s="23" t="str">
        <f aca="false">IF($B1758="","",IF(COUNTIFS($A$4:$A$2003,$A1758-1,$B$4:$B$2003,$B1758)=0,"first day",IF(SUMIFS($M$4:$M$2003,$A$4:$A$2003,$A1758-1,$B$4:$B$2003,$B1758)=$J1758,"OK","CHECK")))</f>
        <v/>
      </c>
      <c r="T1758" s="10" t="str">
        <f aca="false">IF($B1758="","",IFERROR(INDEX(Drinks!$D$4:$D$53,MATCH($B1758,Drinks!$A$4:$A$53,0)),0))</f>
        <v/>
      </c>
    </row>
    <row r="1759" customFormat="false" ht="15" hidden="false" customHeight="false" outlineLevel="0" collapsed="false">
      <c r="A1759" s="22"/>
      <c r="B1759" s="9"/>
      <c r="C1759" s="9"/>
      <c r="D1759" s="9"/>
      <c r="E1759" s="9"/>
      <c r="F1759" s="10" t="str">
        <f aca="false">IF($B1759="","",$C1759+$D1759-$E1759)</f>
        <v/>
      </c>
      <c r="G1759" s="10" t="str">
        <f aca="false">IF($B1759="","",IFERROR(INDEX(Drinks!$C$4:$C$53,MATCH($B1759,Drinks!$A$4:$A$53,0)),0))</f>
        <v/>
      </c>
      <c r="H1759" s="10" t="str">
        <f aca="false">IF($B1759="","",$D1759*$G1759)</f>
        <v/>
      </c>
      <c r="I1759" s="10" t="str">
        <f aca="false">IF($B1759="","",$F1759*$G1759)</f>
        <v/>
      </c>
      <c r="J1759" s="9"/>
      <c r="K1759" s="10" t="str">
        <f aca="false">IF($B1759="","",$E1759*IFERROR(INDEX(Drinks!$B$4:$B$53,MATCH($B1759,Drinks!$A$4:$A$53,0)),0))</f>
        <v/>
      </c>
      <c r="L1759" s="10" t="str">
        <f aca="false">IF($B1759="","",$J1759+$K1759)</f>
        <v/>
      </c>
      <c r="M1759" s="9"/>
      <c r="N1759" s="10" t="str">
        <f aca="false">IF($B1759="","",$L1759-$M1759)</f>
        <v/>
      </c>
      <c r="O1759" s="10" t="str">
        <f aca="false">IF($B1759="","",IFERROR(INDEX(Drinks!$E$4:$E$53,MATCH($B1759,Drinks!$A$4:$A$53,0)),0))</f>
        <v/>
      </c>
      <c r="P1759" s="10" t="str">
        <f aca="false">IF($B1759="","",$N1759*$O1759)</f>
        <v/>
      </c>
      <c r="Q1759" s="10" t="str">
        <f aca="false">IF($B1759="","",$N1759*IFERROR(INDEX(Drinks!$D$4:$D$53,MATCH($B1759,Drinks!$A$4:$A$53,0)),0))</f>
        <v/>
      </c>
      <c r="R1759" s="10" t="str">
        <f aca="false">IF($B1759="","",$P1759-$Q1759)</f>
        <v/>
      </c>
      <c r="S1759" s="23" t="str">
        <f aca="false">IF($B1759="","",IF(COUNTIFS($A$4:$A$2003,$A1759-1,$B$4:$B$2003,$B1759)=0,"first day",IF(SUMIFS($M$4:$M$2003,$A$4:$A$2003,$A1759-1,$B$4:$B$2003,$B1759)=$J1759,"OK","CHECK")))</f>
        <v/>
      </c>
      <c r="T1759" s="10" t="str">
        <f aca="false">IF($B1759="","",IFERROR(INDEX(Drinks!$D$4:$D$53,MATCH($B1759,Drinks!$A$4:$A$53,0)),0))</f>
        <v/>
      </c>
    </row>
    <row r="1760" customFormat="false" ht="15" hidden="false" customHeight="false" outlineLevel="0" collapsed="false">
      <c r="A1760" s="22"/>
      <c r="B1760" s="9"/>
      <c r="C1760" s="9"/>
      <c r="D1760" s="9"/>
      <c r="E1760" s="9"/>
      <c r="F1760" s="10" t="str">
        <f aca="false">IF($B1760="","",$C1760+$D1760-$E1760)</f>
        <v/>
      </c>
      <c r="G1760" s="10" t="str">
        <f aca="false">IF($B1760="","",IFERROR(INDEX(Drinks!$C$4:$C$53,MATCH($B1760,Drinks!$A$4:$A$53,0)),0))</f>
        <v/>
      </c>
      <c r="H1760" s="10" t="str">
        <f aca="false">IF($B1760="","",$D1760*$G1760)</f>
        <v/>
      </c>
      <c r="I1760" s="10" t="str">
        <f aca="false">IF($B1760="","",$F1760*$G1760)</f>
        <v/>
      </c>
      <c r="J1760" s="9"/>
      <c r="K1760" s="10" t="str">
        <f aca="false">IF($B1760="","",$E1760*IFERROR(INDEX(Drinks!$B$4:$B$53,MATCH($B1760,Drinks!$A$4:$A$53,0)),0))</f>
        <v/>
      </c>
      <c r="L1760" s="10" t="str">
        <f aca="false">IF($B1760="","",$J1760+$K1760)</f>
        <v/>
      </c>
      <c r="M1760" s="9"/>
      <c r="N1760" s="10" t="str">
        <f aca="false">IF($B1760="","",$L1760-$M1760)</f>
        <v/>
      </c>
      <c r="O1760" s="10" t="str">
        <f aca="false">IF($B1760="","",IFERROR(INDEX(Drinks!$E$4:$E$53,MATCH($B1760,Drinks!$A$4:$A$53,0)),0))</f>
        <v/>
      </c>
      <c r="P1760" s="10" t="str">
        <f aca="false">IF($B1760="","",$N1760*$O1760)</f>
        <v/>
      </c>
      <c r="Q1760" s="10" t="str">
        <f aca="false">IF($B1760="","",$N1760*IFERROR(INDEX(Drinks!$D$4:$D$53,MATCH($B1760,Drinks!$A$4:$A$53,0)),0))</f>
        <v/>
      </c>
      <c r="R1760" s="10" t="str">
        <f aca="false">IF($B1760="","",$P1760-$Q1760)</f>
        <v/>
      </c>
      <c r="S1760" s="23" t="str">
        <f aca="false">IF($B1760="","",IF(COUNTIFS($A$4:$A$2003,$A1760-1,$B$4:$B$2003,$B1760)=0,"first day",IF(SUMIFS($M$4:$M$2003,$A$4:$A$2003,$A1760-1,$B$4:$B$2003,$B1760)=$J1760,"OK","CHECK")))</f>
        <v/>
      </c>
      <c r="T1760" s="10" t="str">
        <f aca="false">IF($B1760="","",IFERROR(INDEX(Drinks!$D$4:$D$53,MATCH($B1760,Drinks!$A$4:$A$53,0)),0))</f>
        <v/>
      </c>
    </row>
    <row r="1761" customFormat="false" ht="15" hidden="false" customHeight="false" outlineLevel="0" collapsed="false">
      <c r="A1761" s="22"/>
      <c r="B1761" s="9"/>
      <c r="C1761" s="9"/>
      <c r="D1761" s="9"/>
      <c r="E1761" s="9"/>
      <c r="F1761" s="10" t="str">
        <f aca="false">IF($B1761="","",$C1761+$D1761-$E1761)</f>
        <v/>
      </c>
      <c r="G1761" s="10" t="str">
        <f aca="false">IF($B1761="","",IFERROR(INDEX(Drinks!$C$4:$C$53,MATCH($B1761,Drinks!$A$4:$A$53,0)),0))</f>
        <v/>
      </c>
      <c r="H1761" s="10" t="str">
        <f aca="false">IF($B1761="","",$D1761*$G1761)</f>
        <v/>
      </c>
      <c r="I1761" s="10" t="str">
        <f aca="false">IF($B1761="","",$F1761*$G1761)</f>
        <v/>
      </c>
      <c r="J1761" s="9"/>
      <c r="K1761" s="10" t="str">
        <f aca="false">IF($B1761="","",$E1761*IFERROR(INDEX(Drinks!$B$4:$B$53,MATCH($B1761,Drinks!$A$4:$A$53,0)),0))</f>
        <v/>
      </c>
      <c r="L1761" s="10" t="str">
        <f aca="false">IF($B1761="","",$J1761+$K1761)</f>
        <v/>
      </c>
      <c r="M1761" s="9"/>
      <c r="N1761" s="10" t="str">
        <f aca="false">IF($B1761="","",$L1761-$M1761)</f>
        <v/>
      </c>
      <c r="O1761" s="10" t="str">
        <f aca="false">IF($B1761="","",IFERROR(INDEX(Drinks!$E$4:$E$53,MATCH($B1761,Drinks!$A$4:$A$53,0)),0))</f>
        <v/>
      </c>
      <c r="P1761" s="10" t="str">
        <f aca="false">IF($B1761="","",$N1761*$O1761)</f>
        <v/>
      </c>
      <c r="Q1761" s="10" t="str">
        <f aca="false">IF($B1761="","",$N1761*IFERROR(INDEX(Drinks!$D$4:$D$53,MATCH($B1761,Drinks!$A$4:$A$53,0)),0))</f>
        <v/>
      </c>
      <c r="R1761" s="10" t="str">
        <f aca="false">IF($B1761="","",$P1761-$Q1761)</f>
        <v/>
      </c>
      <c r="S1761" s="23" t="str">
        <f aca="false">IF($B1761="","",IF(COUNTIFS($A$4:$A$2003,$A1761-1,$B$4:$B$2003,$B1761)=0,"first day",IF(SUMIFS($M$4:$M$2003,$A$4:$A$2003,$A1761-1,$B$4:$B$2003,$B1761)=$J1761,"OK","CHECK")))</f>
        <v/>
      </c>
      <c r="T1761" s="10" t="str">
        <f aca="false">IF($B1761="","",IFERROR(INDEX(Drinks!$D$4:$D$53,MATCH($B1761,Drinks!$A$4:$A$53,0)),0))</f>
        <v/>
      </c>
    </row>
    <row r="1762" customFormat="false" ht="15" hidden="false" customHeight="false" outlineLevel="0" collapsed="false">
      <c r="A1762" s="22"/>
      <c r="B1762" s="9"/>
      <c r="C1762" s="9"/>
      <c r="D1762" s="9"/>
      <c r="E1762" s="9"/>
      <c r="F1762" s="10" t="str">
        <f aca="false">IF($B1762="","",$C1762+$D1762-$E1762)</f>
        <v/>
      </c>
      <c r="G1762" s="10" t="str">
        <f aca="false">IF($B1762="","",IFERROR(INDEX(Drinks!$C$4:$C$53,MATCH($B1762,Drinks!$A$4:$A$53,0)),0))</f>
        <v/>
      </c>
      <c r="H1762" s="10" t="str">
        <f aca="false">IF($B1762="","",$D1762*$G1762)</f>
        <v/>
      </c>
      <c r="I1762" s="10" t="str">
        <f aca="false">IF($B1762="","",$F1762*$G1762)</f>
        <v/>
      </c>
      <c r="J1762" s="9"/>
      <c r="K1762" s="10" t="str">
        <f aca="false">IF($B1762="","",$E1762*IFERROR(INDEX(Drinks!$B$4:$B$53,MATCH($B1762,Drinks!$A$4:$A$53,0)),0))</f>
        <v/>
      </c>
      <c r="L1762" s="10" t="str">
        <f aca="false">IF($B1762="","",$J1762+$K1762)</f>
        <v/>
      </c>
      <c r="M1762" s="9"/>
      <c r="N1762" s="10" t="str">
        <f aca="false">IF($B1762="","",$L1762-$M1762)</f>
        <v/>
      </c>
      <c r="O1762" s="10" t="str">
        <f aca="false">IF($B1762="","",IFERROR(INDEX(Drinks!$E$4:$E$53,MATCH($B1762,Drinks!$A$4:$A$53,0)),0))</f>
        <v/>
      </c>
      <c r="P1762" s="10" t="str">
        <f aca="false">IF($B1762="","",$N1762*$O1762)</f>
        <v/>
      </c>
      <c r="Q1762" s="10" t="str">
        <f aca="false">IF($B1762="","",$N1762*IFERROR(INDEX(Drinks!$D$4:$D$53,MATCH($B1762,Drinks!$A$4:$A$53,0)),0))</f>
        <v/>
      </c>
      <c r="R1762" s="10" t="str">
        <f aca="false">IF($B1762="","",$P1762-$Q1762)</f>
        <v/>
      </c>
      <c r="S1762" s="23" t="str">
        <f aca="false">IF($B1762="","",IF(COUNTIFS($A$4:$A$2003,$A1762-1,$B$4:$B$2003,$B1762)=0,"first day",IF(SUMIFS($M$4:$M$2003,$A$4:$A$2003,$A1762-1,$B$4:$B$2003,$B1762)=$J1762,"OK","CHECK")))</f>
        <v/>
      </c>
      <c r="T1762" s="10" t="str">
        <f aca="false">IF($B1762="","",IFERROR(INDEX(Drinks!$D$4:$D$53,MATCH($B1762,Drinks!$A$4:$A$53,0)),0))</f>
        <v/>
      </c>
    </row>
    <row r="1763" customFormat="false" ht="15" hidden="false" customHeight="false" outlineLevel="0" collapsed="false">
      <c r="A1763" s="22"/>
      <c r="B1763" s="9"/>
      <c r="C1763" s="9"/>
      <c r="D1763" s="9"/>
      <c r="E1763" s="9"/>
      <c r="F1763" s="10" t="str">
        <f aca="false">IF($B1763="","",$C1763+$D1763-$E1763)</f>
        <v/>
      </c>
      <c r="G1763" s="10" t="str">
        <f aca="false">IF($B1763="","",IFERROR(INDEX(Drinks!$C$4:$C$53,MATCH($B1763,Drinks!$A$4:$A$53,0)),0))</f>
        <v/>
      </c>
      <c r="H1763" s="10" t="str">
        <f aca="false">IF($B1763="","",$D1763*$G1763)</f>
        <v/>
      </c>
      <c r="I1763" s="10" t="str">
        <f aca="false">IF($B1763="","",$F1763*$G1763)</f>
        <v/>
      </c>
      <c r="J1763" s="9"/>
      <c r="K1763" s="10" t="str">
        <f aca="false">IF($B1763="","",$E1763*IFERROR(INDEX(Drinks!$B$4:$B$53,MATCH($B1763,Drinks!$A$4:$A$53,0)),0))</f>
        <v/>
      </c>
      <c r="L1763" s="10" t="str">
        <f aca="false">IF($B1763="","",$J1763+$K1763)</f>
        <v/>
      </c>
      <c r="M1763" s="9"/>
      <c r="N1763" s="10" t="str">
        <f aca="false">IF($B1763="","",$L1763-$M1763)</f>
        <v/>
      </c>
      <c r="O1763" s="10" t="str">
        <f aca="false">IF($B1763="","",IFERROR(INDEX(Drinks!$E$4:$E$53,MATCH($B1763,Drinks!$A$4:$A$53,0)),0))</f>
        <v/>
      </c>
      <c r="P1763" s="10" t="str">
        <f aca="false">IF($B1763="","",$N1763*$O1763)</f>
        <v/>
      </c>
      <c r="Q1763" s="10" t="str">
        <f aca="false">IF($B1763="","",$N1763*IFERROR(INDEX(Drinks!$D$4:$D$53,MATCH($B1763,Drinks!$A$4:$A$53,0)),0))</f>
        <v/>
      </c>
      <c r="R1763" s="10" t="str">
        <f aca="false">IF($B1763="","",$P1763-$Q1763)</f>
        <v/>
      </c>
      <c r="S1763" s="23" t="str">
        <f aca="false">IF($B1763="","",IF(COUNTIFS($A$4:$A$2003,$A1763-1,$B$4:$B$2003,$B1763)=0,"first day",IF(SUMIFS($M$4:$M$2003,$A$4:$A$2003,$A1763-1,$B$4:$B$2003,$B1763)=$J1763,"OK","CHECK")))</f>
        <v/>
      </c>
      <c r="T1763" s="10" t="str">
        <f aca="false">IF($B1763="","",IFERROR(INDEX(Drinks!$D$4:$D$53,MATCH($B1763,Drinks!$A$4:$A$53,0)),0))</f>
        <v/>
      </c>
    </row>
    <row r="1764" customFormat="false" ht="15" hidden="false" customHeight="false" outlineLevel="0" collapsed="false">
      <c r="A1764" s="22"/>
      <c r="B1764" s="9"/>
      <c r="C1764" s="9"/>
      <c r="D1764" s="9"/>
      <c r="E1764" s="9"/>
      <c r="F1764" s="10" t="str">
        <f aca="false">IF($B1764="","",$C1764+$D1764-$E1764)</f>
        <v/>
      </c>
      <c r="G1764" s="10" t="str">
        <f aca="false">IF($B1764="","",IFERROR(INDEX(Drinks!$C$4:$C$53,MATCH($B1764,Drinks!$A$4:$A$53,0)),0))</f>
        <v/>
      </c>
      <c r="H1764" s="10" t="str">
        <f aca="false">IF($B1764="","",$D1764*$G1764)</f>
        <v/>
      </c>
      <c r="I1764" s="10" t="str">
        <f aca="false">IF($B1764="","",$F1764*$G1764)</f>
        <v/>
      </c>
      <c r="J1764" s="9"/>
      <c r="K1764" s="10" t="str">
        <f aca="false">IF($B1764="","",$E1764*IFERROR(INDEX(Drinks!$B$4:$B$53,MATCH($B1764,Drinks!$A$4:$A$53,0)),0))</f>
        <v/>
      </c>
      <c r="L1764" s="10" t="str">
        <f aca="false">IF($B1764="","",$J1764+$K1764)</f>
        <v/>
      </c>
      <c r="M1764" s="9"/>
      <c r="N1764" s="10" t="str">
        <f aca="false">IF($B1764="","",$L1764-$M1764)</f>
        <v/>
      </c>
      <c r="O1764" s="10" t="str">
        <f aca="false">IF($B1764="","",IFERROR(INDEX(Drinks!$E$4:$E$53,MATCH($B1764,Drinks!$A$4:$A$53,0)),0))</f>
        <v/>
      </c>
      <c r="P1764" s="10" t="str">
        <f aca="false">IF($B1764="","",$N1764*$O1764)</f>
        <v/>
      </c>
      <c r="Q1764" s="10" t="str">
        <f aca="false">IF($B1764="","",$N1764*IFERROR(INDEX(Drinks!$D$4:$D$53,MATCH($B1764,Drinks!$A$4:$A$53,0)),0))</f>
        <v/>
      </c>
      <c r="R1764" s="10" t="str">
        <f aca="false">IF($B1764="","",$P1764-$Q1764)</f>
        <v/>
      </c>
      <c r="S1764" s="23" t="str">
        <f aca="false">IF($B1764="","",IF(COUNTIFS($A$4:$A$2003,$A1764-1,$B$4:$B$2003,$B1764)=0,"first day",IF(SUMIFS($M$4:$M$2003,$A$4:$A$2003,$A1764-1,$B$4:$B$2003,$B1764)=$J1764,"OK","CHECK")))</f>
        <v/>
      </c>
      <c r="T1764" s="10" t="str">
        <f aca="false">IF($B1764="","",IFERROR(INDEX(Drinks!$D$4:$D$53,MATCH($B1764,Drinks!$A$4:$A$53,0)),0))</f>
        <v/>
      </c>
    </row>
    <row r="1765" customFormat="false" ht="15" hidden="false" customHeight="false" outlineLevel="0" collapsed="false">
      <c r="A1765" s="22"/>
      <c r="B1765" s="9"/>
      <c r="C1765" s="9"/>
      <c r="D1765" s="9"/>
      <c r="E1765" s="9"/>
      <c r="F1765" s="10" t="str">
        <f aca="false">IF($B1765="","",$C1765+$D1765-$E1765)</f>
        <v/>
      </c>
      <c r="G1765" s="10" t="str">
        <f aca="false">IF($B1765="","",IFERROR(INDEX(Drinks!$C$4:$C$53,MATCH($B1765,Drinks!$A$4:$A$53,0)),0))</f>
        <v/>
      </c>
      <c r="H1765" s="10" t="str">
        <f aca="false">IF($B1765="","",$D1765*$G1765)</f>
        <v/>
      </c>
      <c r="I1765" s="10" t="str">
        <f aca="false">IF($B1765="","",$F1765*$G1765)</f>
        <v/>
      </c>
      <c r="J1765" s="9"/>
      <c r="K1765" s="10" t="str">
        <f aca="false">IF($B1765="","",$E1765*IFERROR(INDEX(Drinks!$B$4:$B$53,MATCH($B1765,Drinks!$A$4:$A$53,0)),0))</f>
        <v/>
      </c>
      <c r="L1765" s="10" t="str">
        <f aca="false">IF($B1765="","",$J1765+$K1765)</f>
        <v/>
      </c>
      <c r="M1765" s="9"/>
      <c r="N1765" s="10" t="str">
        <f aca="false">IF($B1765="","",$L1765-$M1765)</f>
        <v/>
      </c>
      <c r="O1765" s="10" t="str">
        <f aca="false">IF($B1765="","",IFERROR(INDEX(Drinks!$E$4:$E$53,MATCH($B1765,Drinks!$A$4:$A$53,0)),0))</f>
        <v/>
      </c>
      <c r="P1765" s="10" t="str">
        <f aca="false">IF($B1765="","",$N1765*$O1765)</f>
        <v/>
      </c>
      <c r="Q1765" s="10" t="str">
        <f aca="false">IF($B1765="","",$N1765*IFERROR(INDEX(Drinks!$D$4:$D$53,MATCH($B1765,Drinks!$A$4:$A$53,0)),0))</f>
        <v/>
      </c>
      <c r="R1765" s="10" t="str">
        <f aca="false">IF($B1765="","",$P1765-$Q1765)</f>
        <v/>
      </c>
      <c r="S1765" s="23" t="str">
        <f aca="false">IF($B1765="","",IF(COUNTIFS($A$4:$A$2003,$A1765-1,$B$4:$B$2003,$B1765)=0,"first day",IF(SUMIFS($M$4:$M$2003,$A$4:$A$2003,$A1765-1,$B$4:$B$2003,$B1765)=$J1765,"OK","CHECK")))</f>
        <v/>
      </c>
      <c r="T1765" s="10" t="str">
        <f aca="false">IF($B1765="","",IFERROR(INDEX(Drinks!$D$4:$D$53,MATCH($B1765,Drinks!$A$4:$A$53,0)),0))</f>
        <v/>
      </c>
    </row>
    <row r="1766" customFormat="false" ht="15" hidden="false" customHeight="false" outlineLevel="0" collapsed="false">
      <c r="A1766" s="22"/>
      <c r="B1766" s="9"/>
      <c r="C1766" s="9"/>
      <c r="D1766" s="9"/>
      <c r="E1766" s="9"/>
      <c r="F1766" s="10" t="str">
        <f aca="false">IF($B1766="","",$C1766+$D1766-$E1766)</f>
        <v/>
      </c>
      <c r="G1766" s="10" t="str">
        <f aca="false">IF($B1766="","",IFERROR(INDEX(Drinks!$C$4:$C$53,MATCH($B1766,Drinks!$A$4:$A$53,0)),0))</f>
        <v/>
      </c>
      <c r="H1766" s="10" t="str">
        <f aca="false">IF($B1766="","",$D1766*$G1766)</f>
        <v/>
      </c>
      <c r="I1766" s="10" t="str">
        <f aca="false">IF($B1766="","",$F1766*$G1766)</f>
        <v/>
      </c>
      <c r="J1766" s="9"/>
      <c r="K1766" s="10" t="str">
        <f aca="false">IF($B1766="","",$E1766*IFERROR(INDEX(Drinks!$B$4:$B$53,MATCH($B1766,Drinks!$A$4:$A$53,0)),0))</f>
        <v/>
      </c>
      <c r="L1766" s="10" t="str">
        <f aca="false">IF($B1766="","",$J1766+$K1766)</f>
        <v/>
      </c>
      <c r="M1766" s="9"/>
      <c r="N1766" s="10" t="str">
        <f aca="false">IF($B1766="","",$L1766-$M1766)</f>
        <v/>
      </c>
      <c r="O1766" s="10" t="str">
        <f aca="false">IF($B1766="","",IFERROR(INDEX(Drinks!$E$4:$E$53,MATCH($B1766,Drinks!$A$4:$A$53,0)),0))</f>
        <v/>
      </c>
      <c r="P1766" s="10" t="str">
        <f aca="false">IF($B1766="","",$N1766*$O1766)</f>
        <v/>
      </c>
      <c r="Q1766" s="10" t="str">
        <f aca="false">IF($B1766="","",$N1766*IFERROR(INDEX(Drinks!$D$4:$D$53,MATCH($B1766,Drinks!$A$4:$A$53,0)),0))</f>
        <v/>
      </c>
      <c r="R1766" s="10" t="str">
        <f aca="false">IF($B1766="","",$P1766-$Q1766)</f>
        <v/>
      </c>
      <c r="S1766" s="23" t="str">
        <f aca="false">IF($B1766="","",IF(COUNTIFS($A$4:$A$2003,$A1766-1,$B$4:$B$2003,$B1766)=0,"first day",IF(SUMIFS($M$4:$M$2003,$A$4:$A$2003,$A1766-1,$B$4:$B$2003,$B1766)=$J1766,"OK","CHECK")))</f>
        <v/>
      </c>
      <c r="T1766" s="10" t="str">
        <f aca="false">IF($B1766="","",IFERROR(INDEX(Drinks!$D$4:$D$53,MATCH($B1766,Drinks!$A$4:$A$53,0)),0))</f>
        <v/>
      </c>
    </row>
    <row r="1767" customFormat="false" ht="15" hidden="false" customHeight="false" outlineLevel="0" collapsed="false">
      <c r="A1767" s="22"/>
      <c r="B1767" s="9"/>
      <c r="C1767" s="9"/>
      <c r="D1767" s="9"/>
      <c r="E1767" s="9"/>
      <c r="F1767" s="10" t="str">
        <f aca="false">IF($B1767="","",$C1767+$D1767-$E1767)</f>
        <v/>
      </c>
      <c r="G1767" s="10" t="str">
        <f aca="false">IF($B1767="","",IFERROR(INDEX(Drinks!$C$4:$C$53,MATCH($B1767,Drinks!$A$4:$A$53,0)),0))</f>
        <v/>
      </c>
      <c r="H1767" s="10" t="str">
        <f aca="false">IF($B1767="","",$D1767*$G1767)</f>
        <v/>
      </c>
      <c r="I1767" s="10" t="str">
        <f aca="false">IF($B1767="","",$F1767*$G1767)</f>
        <v/>
      </c>
      <c r="J1767" s="9"/>
      <c r="K1767" s="10" t="str">
        <f aca="false">IF($B1767="","",$E1767*IFERROR(INDEX(Drinks!$B$4:$B$53,MATCH($B1767,Drinks!$A$4:$A$53,0)),0))</f>
        <v/>
      </c>
      <c r="L1767" s="10" t="str">
        <f aca="false">IF($B1767="","",$J1767+$K1767)</f>
        <v/>
      </c>
      <c r="M1767" s="9"/>
      <c r="N1767" s="10" t="str">
        <f aca="false">IF($B1767="","",$L1767-$M1767)</f>
        <v/>
      </c>
      <c r="O1767" s="10" t="str">
        <f aca="false">IF($B1767="","",IFERROR(INDEX(Drinks!$E$4:$E$53,MATCH($B1767,Drinks!$A$4:$A$53,0)),0))</f>
        <v/>
      </c>
      <c r="P1767" s="10" t="str">
        <f aca="false">IF($B1767="","",$N1767*$O1767)</f>
        <v/>
      </c>
      <c r="Q1767" s="10" t="str">
        <f aca="false">IF($B1767="","",$N1767*IFERROR(INDEX(Drinks!$D$4:$D$53,MATCH($B1767,Drinks!$A$4:$A$53,0)),0))</f>
        <v/>
      </c>
      <c r="R1767" s="10" t="str">
        <f aca="false">IF($B1767="","",$P1767-$Q1767)</f>
        <v/>
      </c>
      <c r="S1767" s="23" t="str">
        <f aca="false">IF($B1767="","",IF(COUNTIFS($A$4:$A$2003,$A1767-1,$B$4:$B$2003,$B1767)=0,"first day",IF(SUMIFS($M$4:$M$2003,$A$4:$A$2003,$A1767-1,$B$4:$B$2003,$B1767)=$J1767,"OK","CHECK")))</f>
        <v/>
      </c>
      <c r="T1767" s="10" t="str">
        <f aca="false">IF($B1767="","",IFERROR(INDEX(Drinks!$D$4:$D$53,MATCH($B1767,Drinks!$A$4:$A$53,0)),0))</f>
        <v/>
      </c>
    </row>
    <row r="1768" customFormat="false" ht="15" hidden="false" customHeight="false" outlineLevel="0" collapsed="false">
      <c r="A1768" s="22"/>
      <c r="B1768" s="9"/>
      <c r="C1768" s="9"/>
      <c r="D1768" s="9"/>
      <c r="E1768" s="9"/>
      <c r="F1768" s="10" t="str">
        <f aca="false">IF($B1768="","",$C1768+$D1768-$E1768)</f>
        <v/>
      </c>
      <c r="G1768" s="10" t="str">
        <f aca="false">IF($B1768="","",IFERROR(INDEX(Drinks!$C$4:$C$53,MATCH($B1768,Drinks!$A$4:$A$53,0)),0))</f>
        <v/>
      </c>
      <c r="H1768" s="10" t="str">
        <f aca="false">IF($B1768="","",$D1768*$G1768)</f>
        <v/>
      </c>
      <c r="I1768" s="10" t="str">
        <f aca="false">IF($B1768="","",$F1768*$G1768)</f>
        <v/>
      </c>
      <c r="J1768" s="9"/>
      <c r="K1768" s="10" t="str">
        <f aca="false">IF($B1768="","",$E1768*IFERROR(INDEX(Drinks!$B$4:$B$53,MATCH($B1768,Drinks!$A$4:$A$53,0)),0))</f>
        <v/>
      </c>
      <c r="L1768" s="10" t="str">
        <f aca="false">IF($B1768="","",$J1768+$K1768)</f>
        <v/>
      </c>
      <c r="M1768" s="9"/>
      <c r="N1768" s="10" t="str">
        <f aca="false">IF($B1768="","",$L1768-$M1768)</f>
        <v/>
      </c>
      <c r="O1768" s="10" t="str">
        <f aca="false">IF($B1768="","",IFERROR(INDEX(Drinks!$E$4:$E$53,MATCH($B1768,Drinks!$A$4:$A$53,0)),0))</f>
        <v/>
      </c>
      <c r="P1768" s="10" t="str">
        <f aca="false">IF($B1768="","",$N1768*$O1768)</f>
        <v/>
      </c>
      <c r="Q1768" s="10" t="str">
        <f aca="false">IF($B1768="","",$N1768*IFERROR(INDEX(Drinks!$D$4:$D$53,MATCH($B1768,Drinks!$A$4:$A$53,0)),0))</f>
        <v/>
      </c>
      <c r="R1768" s="10" t="str">
        <f aca="false">IF($B1768="","",$P1768-$Q1768)</f>
        <v/>
      </c>
      <c r="S1768" s="23" t="str">
        <f aca="false">IF($B1768="","",IF(COUNTIFS($A$4:$A$2003,$A1768-1,$B$4:$B$2003,$B1768)=0,"first day",IF(SUMIFS($M$4:$M$2003,$A$4:$A$2003,$A1768-1,$B$4:$B$2003,$B1768)=$J1768,"OK","CHECK")))</f>
        <v/>
      </c>
      <c r="T1768" s="10" t="str">
        <f aca="false">IF($B1768="","",IFERROR(INDEX(Drinks!$D$4:$D$53,MATCH($B1768,Drinks!$A$4:$A$53,0)),0))</f>
        <v/>
      </c>
    </row>
    <row r="1769" customFormat="false" ht="15" hidden="false" customHeight="false" outlineLevel="0" collapsed="false">
      <c r="A1769" s="22"/>
      <c r="B1769" s="9"/>
      <c r="C1769" s="9"/>
      <c r="D1769" s="9"/>
      <c r="E1769" s="9"/>
      <c r="F1769" s="10" t="str">
        <f aca="false">IF($B1769="","",$C1769+$D1769-$E1769)</f>
        <v/>
      </c>
      <c r="G1769" s="10" t="str">
        <f aca="false">IF($B1769="","",IFERROR(INDEX(Drinks!$C$4:$C$53,MATCH($B1769,Drinks!$A$4:$A$53,0)),0))</f>
        <v/>
      </c>
      <c r="H1769" s="10" t="str">
        <f aca="false">IF($B1769="","",$D1769*$G1769)</f>
        <v/>
      </c>
      <c r="I1769" s="10" t="str">
        <f aca="false">IF($B1769="","",$F1769*$G1769)</f>
        <v/>
      </c>
      <c r="J1769" s="9"/>
      <c r="K1769" s="10" t="str">
        <f aca="false">IF($B1769="","",$E1769*IFERROR(INDEX(Drinks!$B$4:$B$53,MATCH($B1769,Drinks!$A$4:$A$53,0)),0))</f>
        <v/>
      </c>
      <c r="L1769" s="10" t="str">
        <f aca="false">IF($B1769="","",$J1769+$K1769)</f>
        <v/>
      </c>
      <c r="M1769" s="9"/>
      <c r="N1769" s="10" t="str">
        <f aca="false">IF($B1769="","",$L1769-$M1769)</f>
        <v/>
      </c>
      <c r="O1769" s="10" t="str">
        <f aca="false">IF($B1769="","",IFERROR(INDEX(Drinks!$E$4:$E$53,MATCH($B1769,Drinks!$A$4:$A$53,0)),0))</f>
        <v/>
      </c>
      <c r="P1769" s="10" t="str">
        <f aca="false">IF($B1769="","",$N1769*$O1769)</f>
        <v/>
      </c>
      <c r="Q1769" s="10" t="str">
        <f aca="false">IF($B1769="","",$N1769*IFERROR(INDEX(Drinks!$D$4:$D$53,MATCH($B1769,Drinks!$A$4:$A$53,0)),0))</f>
        <v/>
      </c>
      <c r="R1769" s="10" t="str">
        <f aca="false">IF($B1769="","",$P1769-$Q1769)</f>
        <v/>
      </c>
      <c r="S1769" s="23" t="str">
        <f aca="false">IF($B1769="","",IF(COUNTIFS($A$4:$A$2003,$A1769-1,$B$4:$B$2003,$B1769)=0,"first day",IF(SUMIFS($M$4:$M$2003,$A$4:$A$2003,$A1769-1,$B$4:$B$2003,$B1769)=$J1769,"OK","CHECK")))</f>
        <v/>
      </c>
      <c r="T1769" s="10" t="str">
        <f aca="false">IF($B1769="","",IFERROR(INDEX(Drinks!$D$4:$D$53,MATCH($B1769,Drinks!$A$4:$A$53,0)),0))</f>
        <v/>
      </c>
    </row>
    <row r="1770" customFormat="false" ht="15" hidden="false" customHeight="false" outlineLevel="0" collapsed="false">
      <c r="A1770" s="22"/>
      <c r="B1770" s="9"/>
      <c r="C1770" s="9"/>
      <c r="D1770" s="9"/>
      <c r="E1770" s="9"/>
      <c r="F1770" s="10" t="str">
        <f aca="false">IF($B1770="","",$C1770+$D1770-$E1770)</f>
        <v/>
      </c>
      <c r="G1770" s="10" t="str">
        <f aca="false">IF($B1770="","",IFERROR(INDEX(Drinks!$C$4:$C$53,MATCH($B1770,Drinks!$A$4:$A$53,0)),0))</f>
        <v/>
      </c>
      <c r="H1770" s="10" t="str">
        <f aca="false">IF($B1770="","",$D1770*$G1770)</f>
        <v/>
      </c>
      <c r="I1770" s="10" t="str">
        <f aca="false">IF($B1770="","",$F1770*$G1770)</f>
        <v/>
      </c>
      <c r="J1770" s="9"/>
      <c r="K1770" s="10" t="str">
        <f aca="false">IF($B1770="","",$E1770*IFERROR(INDEX(Drinks!$B$4:$B$53,MATCH($B1770,Drinks!$A$4:$A$53,0)),0))</f>
        <v/>
      </c>
      <c r="L1770" s="10" t="str">
        <f aca="false">IF($B1770="","",$J1770+$K1770)</f>
        <v/>
      </c>
      <c r="M1770" s="9"/>
      <c r="N1770" s="10" t="str">
        <f aca="false">IF($B1770="","",$L1770-$M1770)</f>
        <v/>
      </c>
      <c r="O1770" s="10" t="str">
        <f aca="false">IF($B1770="","",IFERROR(INDEX(Drinks!$E$4:$E$53,MATCH($B1770,Drinks!$A$4:$A$53,0)),0))</f>
        <v/>
      </c>
      <c r="P1770" s="10" t="str">
        <f aca="false">IF($B1770="","",$N1770*$O1770)</f>
        <v/>
      </c>
      <c r="Q1770" s="10" t="str">
        <f aca="false">IF($B1770="","",$N1770*IFERROR(INDEX(Drinks!$D$4:$D$53,MATCH($B1770,Drinks!$A$4:$A$53,0)),0))</f>
        <v/>
      </c>
      <c r="R1770" s="10" t="str">
        <f aca="false">IF($B1770="","",$P1770-$Q1770)</f>
        <v/>
      </c>
      <c r="S1770" s="23" t="str">
        <f aca="false">IF($B1770="","",IF(COUNTIFS($A$4:$A$2003,$A1770-1,$B$4:$B$2003,$B1770)=0,"first day",IF(SUMIFS($M$4:$M$2003,$A$4:$A$2003,$A1770-1,$B$4:$B$2003,$B1770)=$J1770,"OK","CHECK")))</f>
        <v/>
      </c>
      <c r="T1770" s="10" t="str">
        <f aca="false">IF($B1770="","",IFERROR(INDEX(Drinks!$D$4:$D$53,MATCH($B1770,Drinks!$A$4:$A$53,0)),0))</f>
        <v/>
      </c>
    </row>
    <row r="1771" customFormat="false" ht="15" hidden="false" customHeight="false" outlineLevel="0" collapsed="false">
      <c r="A1771" s="22"/>
      <c r="B1771" s="9"/>
      <c r="C1771" s="9"/>
      <c r="D1771" s="9"/>
      <c r="E1771" s="9"/>
      <c r="F1771" s="10" t="str">
        <f aca="false">IF($B1771="","",$C1771+$D1771-$E1771)</f>
        <v/>
      </c>
      <c r="G1771" s="10" t="str">
        <f aca="false">IF($B1771="","",IFERROR(INDEX(Drinks!$C$4:$C$53,MATCH($B1771,Drinks!$A$4:$A$53,0)),0))</f>
        <v/>
      </c>
      <c r="H1771" s="10" t="str">
        <f aca="false">IF($B1771="","",$D1771*$G1771)</f>
        <v/>
      </c>
      <c r="I1771" s="10" t="str">
        <f aca="false">IF($B1771="","",$F1771*$G1771)</f>
        <v/>
      </c>
      <c r="J1771" s="9"/>
      <c r="K1771" s="10" t="str">
        <f aca="false">IF($B1771="","",$E1771*IFERROR(INDEX(Drinks!$B$4:$B$53,MATCH($B1771,Drinks!$A$4:$A$53,0)),0))</f>
        <v/>
      </c>
      <c r="L1771" s="10" t="str">
        <f aca="false">IF($B1771="","",$J1771+$K1771)</f>
        <v/>
      </c>
      <c r="M1771" s="9"/>
      <c r="N1771" s="10" t="str">
        <f aca="false">IF($B1771="","",$L1771-$M1771)</f>
        <v/>
      </c>
      <c r="O1771" s="10" t="str">
        <f aca="false">IF($B1771="","",IFERROR(INDEX(Drinks!$E$4:$E$53,MATCH($B1771,Drinks!$A$4:$A$53,0)),0))</f>
        <v/>
      </c>
      <c r="P1771" s="10" t="str">
        <f aca="false">IF($B1771="","",$N1771*$O1771)</f>
        <v/>
      </c>
      <c r="Q1771" s="10" t="str">
        <f aca="false">IF($B1771="","",$N1771*IFERROR(INDEX(Drinks!$D$4:$D$53,MATCH($B1771,Drinks!$A$4:$A$53,0)),0))</f>
        <v/>
      </c>
      <c r="R1771" s="10" t="str">
        <f aca="false">IF($B1771="","",$P1771-$Q1771)</f>
        <v/>
      </c>
      <c r="S1771" s="23" t="str">
        <f aca="false">IF($B1771="","",IF(COUNTIFS($A$4:$A$2003,$A1771-1,$B$4:$B$2003,$B1771)=0,"first day",IF(SUMIFS($M$4:$M$2003,$A$4:$A$2003,$A1771-1,$B$4:$B$2003,$B1771)=$J1771,"OK","CHECK")))</f>
        <v/>
      </c>
      <c r="T1771" s="10" t="str">
        <f aca="false">IF($B1771="","",IFERROR(INDEX(Drinks!$D$4:$D$53,MATCH($B1771,Drinks!$A$4:$A$53,0)),0))</f>
        <v/>
      </c>
    </row>
    <row r="1772" customFormat="false" ht="15" hidden="false" customHeight="false" outlineLevel="0" collapsed="false">
      <c r="A1772" s="22"/>
      <c r="B1772" s="9"/>
      <c r="C1772" s="9"/>
      <c r="D1772" s="9"/>
      <c r="E1772" s="9"/>
      <c r="F1772" s="10" t="str">
        <f aca="false">IF($B1772="","",$C1772+$D1772-$E1772)</f>
        <v/>
      </c>
      <c r="G1772" s="10" t="str">
        <f aca="false">IF($B1772="","",IFERROR(INDEX(Drinks!$C$4:$C$53,MATCH($B1772,Drinks!$A$4:$A$53,0)),0))</f>
        <v/>
      </c>
      <c r="H1772" s="10" t="str">
        <f aca="false">IF($B1772="","",$D1772*$G1772)</f>
        <v/>
      </c>
      <c r="I1772" s="10" t="str">
        <f aca="false">IF($B1772="","",$F1772*$G1772)</f>
        <v/>
      </c>
      <c r="J1772" s="9"/>
      <c r="K1772" s="10" t="str">
        <f aca="false">IF($B1772="","",$E1772*IFERROR(INDEX(Drinks!$B$4:$B$53,MATCH($B1772,Drinks!$A$4:$A$53,0)),0))</f>
        <v/>
      </c>
      <c r="L1772" s="10" t="str">
        <f aca="false">IF($B1772="","",$J1772+$K1772)</f>
        <v/>
      </c>
      <c r="M1772" s="9"/>
      <c r="N1772" s="10" t="str">
        <f aca="false">IF($B1772="","",$L1772-$M1772)</f>
        <v/>
      </c>
      <c r="O1772" s="10" t="str">
        <f aca="false">IF($B1772="","",IFERROR(INDEX(Drinks!$E$4:$E$53,MATCH($B1772,Drinks!$A$4:$A$53,0)),0))</f>
        <v/>
      </c>
      <c r="P1772" s="10" t="str">
        <f aca="false">IF($B1772="","",$N1772*$O1772)</f>
        <v/>
      </c>
      <c r="Q1772" s="10" t="str">
        <f aca="false">IF($B1772="","",$N1772*IFERROR(INDEX(Drinks!$D$4:$D$53,MATCH($B1772,Drinks!$A$4:$A$53,0)),0))</f>
        <v/>
      </c>
      <c r="R1772" s="10" t="str">
        <f aca="false">IF($B1772="","",$P1772-$Q1772)</f>
        <v/>
      </c>
      <c r="S1772" s="23" t="str">
        <f aca="false">IF($B1772="","",IF(COUNTIFS($A$4:$A$2003,$A1772-1,$B$4:$B$2003,$B1772)=0,"first day",IF(SUMIFS($M$4:$M$2003,$A$4:$A$2003,$A1772-1,$B$4:$B$2003,$B1772)=$J1772,"OK","CHECK")))</f>
        <v/>
      </c>
      <c r="T1772" s="10" t="str">
        <f aca="false">IF($B1772="","",IFERROR(INDEX(Drinks!$D$4:$D$53,MATCH($B1772,Drinks!$A$4:$A$53,0)),0))</f>
        <v/>
      </c>
    </row>
    <row r="1773" customFormat="false" ht="15" hidden="false" customHeight="false" outlineLevel="0" collapsed="false">
      <c r="A1773" s="22"/>
      <c r="B1773" s="9"/>
      <c r="C1773" s="9"/>
      <c r="D1773" s="9"/>
      <c r="E1773" s="9"/>
      <c r="F1773" s="10" t="str">
        <f aca="false">IF($B1773="","",$C1773+$D1773-$E1773)</f>
        <v/>
      </c>
      <c r="G1773" s="10" t="str">
        <f aca="false">IF($B1773="","",IFERROR(INDEX(Drinks!$C$4:$C$53,MATCH($B1773,Drinks!$A$4:$A$53,0)),0))</f>
        <v/>
      </c>
      <c r="H1773" s="10" t="str">
        <f aca="false">IF($B1773="","",$D1773*$G1773)</f>
        <v/>
      </c>
      <c r="I1773" s="10" t="str">
        <f aca="false">IF($B1773="","",$F1773*$G1773)</f>
        <v/>
      </c>
      <c r="J1773" s="9"/>
      <c r="K1773" s="10" t="str">
        <f aca="false">IF($B1773="","",$E1773*IFERROR(INDEX(Drinks!$B$4:$B$53,MATCH($B1773,Drinks!$A$4:$A$53,0)),0))</f>
        <v/>
      </c>
      <c r="L1773" s="10" t="str">
        <f aca="false">IF($B1773="","",$J1773+$K1773)</f>
        <v/>
      </c>
      <c r="M1773" s="9"/>
      <c r="N1773" s="10" t="str">
        <f aca="false">IF($B1773="","",$L1773-$M1773)</f>
        <v/>
      </c>
      <c r="O1773" s="10" t="str">
        <f aca="false">IF($B1773="","",IFERROR(INDEX(Drinks!$E$4:$E$53,MATCH($B1773,Drinks!$A$4:$A$53,0)),0))</f>
        <v/>
      </c>
      <c r="P1773" s="10" t="str">
        <f aca="false">IF($B1773="","",$N1773*$O1773)</f>
        <v/>
      </c>
      <c r="Q1773" s="10" t="str">
        <f aca="false">IF($B1773="","",$N1773*IFERROR(INDEX(Drinks!$D$4:$D$53,MATCH($B1773,Drinks!$A$4:$A$53,0)),0))</f>
        <v/>
      </c>
      <c r="R1773" s="10" t="str">
        <f aca="false">IF($B1773="","",$P1773-$Q1773)</f>
        <v/>
      </c>
      <c r="S1773" s="23" t="str">
        <f aca="false">IF($B1773="","",IF(COUNTIFS($A$4:$A$2003,$A1773-1,$B$4:$B$2003,$B1773)=0,"first day",IF(SUMIFS($M$4:$M$2003,$A$4:$A$2003,$A1773-1,$B$4:$B$2003,$B1773)=$J1773,"OK","CHECK")))</f>
        <v/>
      </c>
      <c r="T1773" s="10" t="str">
        <f aca="false">IF($B1773="","",IFERROR(INDEX(Drinks!$D$4:$D$53,MATCH($B1773,Drinks!$A$4:$A$53,0)),0))</f>
        <v/>
      </c>
    </row>
    <row r="1774" customFormat="false" ht="15" hidden="false" customHeight="false" outlineLevel="0" collapsed="false">
      <c r="A1774" s="22"/>
      <c r="B1774" s="9"/>
      <c r="C1774" s="9"/>
      <c r="D1774" s="9"/>
      <c r="E1774" s="9"/>
      <c r="F1774" s="10" t="str">
        <f aca="false">IF($B1774="","",$C1774+$D1774-$E1774)</f>
        <v/>
      </c>
      <c r="G1774" s="10" t="str">
        <f aca="false">IF($B1774="","",IFERROR(INDEX(Drinks!$C$4:$C$53,MATCH($B1774,Drinks!$A$4:$A$53,0)),0))</f>
        <v/>
      </c>
      <c r="H1774" s="10" t="str">
        <f aca="false">IF($B1774="","",$D1774*$G1774)</f>
        <v/>
      </c>
      <c r="I1774" s="10" t="str">
        <f aca="false">IF($B1774="","",$F1774*$G1774)</f>
        <v/>
      </c>
      <c r="J1774" s="9"/>
      <c r="K1774" s="10" t="str">
        <f aca="false">IF($B1774="","",$E1774*IFERROR(INDEX(Drinks!$B$4:$B$53,MATCH($B1774,Drinks!$A$4:$A$53,0)),0))</f>
        <v/>
      </c>
      <c r="L1774" s="10" t="str">
        <f aca="false">IF($B1774="","",$J1774+$K1774)</f>
        <v/>
      </c>
      <c r="M1774" s="9"/>
      <c r="N1774" s="10" t="str">
        <f aca="false">IF($B1774="","",$L1774-$M1774)</f>
        <v/>
      </c>
      <c r="O1774" s="10" t="str">
        <f aca="false">IF($B1774="","",IFERROR(INDEX(Drinks!$E$4:$E$53,MATCH($B1774,Drinks!$A$4:$A$53,0)),0))</f>
        <v/>
      </c>
      <c r="P1774" s="10" t="str">
        <f aca="false">IF($B1774="","",$N1774*$O1774)</f>
        <v/>
      </c>
      <c r="Q1774" s="10" t="str">
        <f aca="false">IF($B1774="","",$N1774*IFERROR(INDEX(Drinks!$D$4:$D$53,MATCH($B1774,Drinks!$A$4:$A$53,0)),0))</f>
        <v/>
      </c>
      <c r="R1774" s="10" t="str">
        <f aca="false">IF($B1774="","",$P1774-$Q1774)</f>
        <v/>
      </c>
      <c r="S1774" s="23" t="str">
        <f aca="false">IF($B1774="","",IF(COUNTIFS($A$4:$A$2003,$A1774-1,$B$4:$B$2003,$B1774)=0,"first day",IF(SUMIFS($M$4:$M$2003,$A$4:$A$2003,$A1774-1,$B$4:$B$2003,$B1774)=$J1774,"OK","CHECK")))</f>
        <v/>
      </c>
      <c r="T1774" s="10" t="str">
        <f aca="false">IF($B1774="","",IFERROR(INDEX(Drinks!$D$4:$D$53,MATCH($B1774,Drinks!$A$4:$A$53,0)),0))</f>
        <v/>
      </c>
    </row>
    <row r="1775" customFormat="false" ht="15" hidden="false" customHeight="false" outlineLevel="0" collapsed="false">
      <c r="A1775" s="22"/>
      <c r="B1775" s="9"/>
      <c r="C1775" s="9"/>
      <c r="D1775" s="9"/>
      <c r="E1775" s="9"/>
      <c r="F1775" s="10" t="str">
        <f aca="false">IF($B1775="","",$C1775+$D1775-$E1775)</f>
        <v/>
      </c>
      <c r="G1775" s="10" t="str">
        <f aca="false">IF($B1775="","",IFERROR(INDEX(Drinks!$C$4:$C$53,MATCH($B1775,Drinks!$A$4:$A$53,0)),0))</f>
        <v/>
      </c>
      <c r="H1775" s="10" t="str">
        <f aca="false">IF($B1775="","",$D1775*$G1775)</f>
        <v/>
      </c>
      <c r="I1775" s="10" t="str">
        <f aca="false">IF($B1775="","",$F1775*$G1775)</f>
        <v/>
      </c>
      <c r="J1775" s="9"/>
      <c r="K1775" s="10" t="str">
        <f aca="false">IF($B1775="","",$E1775*IFERROR(INDEX(Drinks!$B$4:$B$53,MATCH($B1775,Drinks!$A$4:$A$53,0)),0))</f>
        <v/>
      </c>
      <c r="L1775" s="10" t="str">
        <f aca="false">IF($B1775="","",$J1775+$K1775)</f>
        <v/>
      </c>
      <c r="M1775" s="9"/>
      <c r="N1775" s="10" t="str">
        <f aca="false">IF($B1775="","",$L1775-$M1775)</f>
        <v/>
      </c>
      <c r="O1775" s="10" t="str">
        <f aca="false">IF($B1775="","",IFERROR(INDEX(Drinks!$E$4:$E$53,MATCH($B1775,Drinks!$A$4:$A$53,0)),0))</f>
        <v/>
      </c>
      <c r="P1775" s="10" t="str">
        <f aca="false">IF($B1775="","",$N1775*$O1775)</f>
        <v/>
      </c>
      <c r="Q1775" s="10" t="str">
        <f aca="false">IF($B1775="","",$N1775*IFERROR(INDEX(Drinks!$D$4:$D$53,MATCH($B1775,Drinks!$A$4:$A$53,0)),0))</f>
        <v/>
      </c>
      <c r="R1775" s="10" t="str">
        <f aca="false">IF($B1775="","",$P1775-$Q1775)</f>
        <v/>
      </c>
      <c r="S1775" s="23" t="str">
        <f aca="false">IF($B1775="","",IF(COUNTIFS($A$4:$A$2003,$A1775-1,$B$4:$B$2003,$B1775)=0,"first day",IF(SUMIFS($M$4:$M$2003,$A$4:$A$2003,$A1775-1,$B$4:$B$2003,$B1775)=$J1775,"OK","CHECK")))</f>
        <v/>
      </c>
      <c r="T1775" s="10" t="str">
        <f aca="false">IF($B1775="","",IFERROR(INDEX(Drinks!$D$4:$D$53,MATCH($B1775,Drinks!$A$4:$A$53,0)),0))</f>
        <v/>
      </c>
    </row>
    <row r="1776" customFormat="false" ht="15" hidden="false" customHeight="false" outlineLevel="0" collapsed="false">
      <c r="A1776" s="22"/>
      <c r="B1776" s="9"/>
      <c r="C1776" s="9"/>
      <c r="D1776" s="9"/>
      <c r="E1776" s="9"/>
      <c r="F1776" s="10" t="str">
        <f aca="false">IF($B1776="","",$C1776+$D1776-$E1776)</f>
        <v/>
      </c>
      <c r="G1776" s="10" t="str">
        <f aca="false">IF($B1776="","",IFERROR(INDEX(Drinks!$C$4:$C$53,MATCH($B1776,Drinks!$A$4:$A$53,0)),0))</f>
        <v/>
      </c>
      <c r="H1776" s="10" t="str">
        <f aca="false">IF($B1776="","",$D1776*$G1776)</f>
        <v/>
      </c>
      <c r="I1776" s="10" t="str">
        <f aca="false">IF($B1776="","",$F1776*$G1776)</f>
        <v/>
      </c>
      <c r="J1776" s="9"/>
      <c r="K1776" s="10" t="str">
        <f aca="false">IF($B1776="","",$E1776*IFERROR(INDEX(Drinks!$B$4:$B$53,MATCH($B1776,Drinks!$A$4:$A$53,0)),0))</f>
        <v/>
      </c>
      <c r="L1776" s="10" t="str">
        <f aca="false">IF($B1776="","",$J1776+$K1776)</f>
        <v/>
      </c>
      <c r="M1776" s="9"/>
      <c r="N1776" s="10" t="str">
        <f aca="false">IF($B1776="","",$L1776-$M1776)</f>
        <v/>
      </c>
      <c r="O1776" s="10" t="str">
        <f aca="false">IF($B1776="","",IFERROR(INDEX(Drinks!$E$4:$E$53,MATCH($B1776,Drinks!$A$4:$A$53,0)),0))</f>
        <v/>
      </c>
      <c r="P1776" s="10" t="str">
        <f aca="false">IF($B1776="","",$N1776*$O1776)</f>
        <v/>
      </c>
      <c r="Q1776" s="10" t="str">
        <f aca="false">IF($B1776="","",$N1776*IFERROR(INDEX(Drinks!$D$4:$D$53,MATCH($B1776,Drinks!$A$4:$A$53,0)),0))</f>
        <v/>
      </c>
      <c r="R1776" s="10" t="str">
        <f aca="false">IF($B1776="","",$P1776-$Q1776)</f>
        <v/>
      </c>
      <c r="S1776" s="23" t="str">
        <f aca="false">IF($B1776="","",IF(COUNTIFS($A$4:$A$2003,$A1776-1,$B$4:$B$2003,$B1776)=0,"first day",IF(SUMIFS($M$4:$M$2003,$A$4:$A$2003,$A1776-1,$B$4:$B$2003,$B1776)=$J1776,"OK","CHECK")))</f>
        <v/>
      </c>
      <c r="T1776" s="10" t="str">
        <f aca="false">IF($B1776="","",IFERROR(INDEX(Drinks!$D$4:$D$53,MATCH($B1776,Drinks!$A$4:$A$53,0)),0))</f>
        <v/>
      </c>
    </row>
    <row r="1777" customFormat="false" ht="15" hidden="false" customHeight="false" outlineLevel="0" collapsed="false">
      <c r="A1777" s="22"/>
      <c r="B1777" s="9"/>
      <c r="C1777" s="9"/>
      <c r="D1777" s="9"/>
      <c r="E1777" s="9"/>
      <c r="F1777" s="10" t="str">
        <f aca="false">IF($B1777="","",$C1777+$D1777-$E1777)</f>
        <v/>
      </c>
      <c r="G1777" s="10" t="str">
        <f aca="false">IF($B1777="","",IFERROR(INDEX(Drinks!$C$4:$C$53,MATCH($B1777,Drinks!$A$4:$A$53,0)),0))</f>
        <v/>
      </c>
      <c r="H1777" s="10" t="str">
        <f aca="false">IF($B1777="","",$D1777*$G1777)</f>
        <v/>
      </c>
      <c r="I1777" s="10" t="str">
        <f aca="false">IF($B1777="","",$F1777*$G1777)</f>
        <v/>
      </c>
      <c r="J1777" s="9"/>
      <c r="K1777" s="10" t="str">
        <f aca="false">IF($B1777="","",$E1777*IFERROR(INDEX(Drinks!$B$4:$B$53,MATCH($B1777,Drinks!$A$4:$A$53,0)),0))</f>
        <v/>
      </c>
      <c r="L1777" s="10" t="str">
        <f aca="false">IF($B1777="","",$J1777+$K1777)</f>
        <v/>
      </c>
      <c r="M1777" s="9"/>
      <c r="N1777" s="10" t="str">
        <f aca="false">IF($B1777="","",$L1777-$M1777)</f>
        <v/>
      </c>
      <c r="O1777" s="10" t="str">
        <f aca="false">IF($B1777="","",IFERROR(INDEX(Drinks!$E$4:$E$53,MATCH($B1777,Drinks!$A$4:$A$53,0)),0))</f>
        <v/>
      </c>
      <c r="P1777" s="10" t="str">
        <f aca="false">IF($B1777="","",$N1777*$O1777)</f>
        <v/>
      </c>
      <c r="Q1777" s="10" t="str">
        <f aca="false">IF($B1777="","",$N1777*IFERROR(INDEX(Drinks!$D$4:$D$53,MATCH($B1777,Drinks!$A$4:$A$53,0)),0))</f>
        <v/>
      </c>
      <c r="R1777" s="10" t="str">
        <f aca="false">IF($B1777="","",$P1777-$Q1777)</f>
        <v/>
      </c>
      <c r="S1777" s="23" t="str">
        <f aca="false">IF($B1777="","",IF(COUNTIFS($A$4:$A$2003,$A1777-1,$B$4:$B$2003,$B1777)=0,"first day",IF(SUMIFS($M$4:$M$2003,$A$4:$A$2003,$A1777-1,$B$4:$B$2003,$B1777)=$J1777,"OK","CHECK")))</f>
        <v/>
      </c>
      <c r="T1777" s="10" t="str">
        <f aca="false">IF($B1777="","",IFERROR(INDEX(Drinks!$D$4:$D$53,MATCH($B1777,Drinks!$A$4:$A$53,0)),0))</f>
        <v/>
      </c>
    </row>
    <row r="1778" customFormat="false" ht="15" hidden="false" customHeight="false" outlineLevel="0" collapsed="false">
      <c r="A1778" s="22"/>
      <c r="B1778" s="9"/>
      <c r="C1778" s="9"/>
      <c r="D1778" s="9"/>
      <c r="E1778" s="9"/>
      <c r="F1778" s="10" t="str">
        <f aca="false">IF($B1778="","",$C1778+$D1778-$E1778)</f>
        <v/>
      </c>
      <c r="G1778" s="10" t="str">
        <f aca="false">IF($B1778="","",IFERROR(INDEX(Drinks!$C$4:$C$53,MATCH($B1778,Drinks!$A$4:$A$53,0)),0))</f>
        <v/>
      </c>
      <c r="H1778" s="10" t="str">
        <f aca="false">IF($B1778="","",$D1778*$G1778)</f>
        <v/>
      </c>
      <c r="I1778" s="10" t="str">
        <f aca="false">IF($B1778="","",$F1778*$G1778)</f>
        <v/>
      </c>
      <c r="J1778" s="9"/>
      <c r="K1778" s="10" t="str">
        <f aca="false">IF($B1778="","",$E1778*IFERROR(INDEX(Drinks!$B$4:$B$53,MATCH($B1778,Drinks!$A$4:$A$53,0)),0))</f>
        <v/>
      </c>
      <c r="L1778" s="10" t="str">
        <f aca="false">IF($B1778="","",$J1778+$K1778)</f>
        <v/>
      </c>
      <c r="M1778" s="9"/>
      <c r="N1778" s="10" t="str">
        <f aca="false">IF($B1778="","",$L1778-$M1778)</f>
        <v/>
      </c>
      <c r="O1778" s="10" t="str">
        <f aca="false">IF($B1778="","",IFERROR(INDEX(Drinks!$E$4:$E$53,MATCH($B1778,Drinks!$A$4:$A$53,0)),0))</f>
        <v/>
      </c>
      <c r="P1778" s="10" t="str">
        <f aca="false">IF($B1778="","",$N1778*$O1778)</f>
        <v/>
      </c>
      <c r="Q1778" s="10" t="str">
        <f aca="false">IF($B1778="","",$N1778*IFERROR(INDEX(Drinks!$D$4:$D$53,MATCH($B1778,Drinks!$A$4:$A$53,0)),0))</f>
        <v/>
      </c>
      <c r="R1778" s="10" t="str">
        <f aca="false">IF($B1778="","",$P1778-$Q1778)</f>
        <v/>
      </c>
      <c r="S1778" s="23" t="str">
        <f aca="false">IF($B1778="","",IF(COUNTIFS($A$4:$A$2003,$A1778-1,$B$4:$B$2003,$B1778)=0,"first day",IF(SUMIFS($M$4:$M$2003,$A$4:$A$2003,$A1778-1,$B$4:$B$2003,$B1778)=$J1778,"OK","CHECK")))</f>
        <v/>
      </c>
      <c r="T1778" s="10" t="str">
        <f aca="false">IF($B1778="","",IFERROR(INDEX(Drinks!$D$4:$D$53,MATCH($B1778,Drinks!$A$4:$A$53,0)),0))</f>
        <v/>
      </c>
    </row>
    <row r="1779" customFormat="false" ht="15" hidden="false" customHeight="false" outlineLevel="0" collapsed="false">
      <c r="A1779" s="22"/>
      <c r="B1779" s="9"/>
      <c r="C1779" s="9"/>
      <c r="D1779" s="9"/>
      <c r="E1779" s="9"/>
      <c r="F1779" s="10" t="str">
        <f aca="false">IF($B1779="","",$C1779+$D1779-$E1779)</f>
        <v/>
      </c>
      <c r="G1779" s="10" t="str">
        <f aca="false">IF($B1779="","",IFERROR(INDEX(Drinks!$C$4:$C$53,MATCH($B1779,Drinks!$A$4:$A$53,0)),0))</f>
        <v/>
      </c>
      <c r="H1779" s="10" t="str">
        <f aca="false">IF($B1779="","",$D1779*$G1779)</f>
        <v/>
      </c>
      <c r="I1779" s="10" t="str">
        <f aca="false">IF($B1779="","",$F1779*$G1779)</f>
        <v/>
      </c>
      <c r="J1779" s="9"/>
      <c r="K1779" s="10" t="str">
        <f aca="false">IF($B1779="","",$E1779*IFERROR(INDEX(Drinks!$B$4:$B$53,MATCH($B1779,Drinks!$A$4:$A$53,0)),0))</f>
        <v/>
      </c>
      <c r="L1779" s="10" t="str">
        <f aca="false">IF($B1779="","",$J1779+$K1779)</f>
        <v/>
      </c>
      <c r="M1779" s="9"/>
      <c r="N1779" s="10" t="str">
        <f aca="false">IF($B1779="","",$L1779-$M1779)</f>
        <v/>
      </c>
      <c r="O1779" s="10" t="str">
        <f aca="false">IF($B1779="","",IFERROR(INDEX(Drinks!$E$4:$E$53,MATCH($B1779,Drinks!$A$4:$A$53,0)),0))</f>
        <v/>
      </c>
      <c r="P1779" s="10" t="str">
        <f aca="false">IF($B1779="","",$N1779*$O1779)</f>
        <v/>
      </c>
      <c r="Q1779" s="10" t="str">
        <f aca="false">IF($B1779="","",$N1779*IFERROR(INDEX(Drinks!$D$4:$D$53,MATCH($B1779,Drinks!$A$4:$A$53,0)),0))</f>
        <v/>
      </c>
      <c r="R1779" s="10" t="str">
        <f aca="false">IF($B1779="","",$P1779-$Q1779)</f>
        <v/>
      </c>
      <c r="S1779" s="23" t="str">
        <f aca="false">IF($B1779="","",IF(COUNTIFS($A$4:$A$2003,$A1779-1,$B$4:$B$2003,$B1779)=0,"first day",IF(SUMIFS($M$4:$M$2003,$A$4:$A$2003,$A1779-1,$B$4:$B$2003,$B1779)=$J1779,"OK","CHECK")))</f>
        <v/>
      </c>
      <c r="T1779" s="10" t="str">
        <f aca="false">IF($B1779="","",IFERROR(INDEX(Drinks!$D$4:$D$53,MATCH($B1779,Drinks!$A$4:$A$53,0)),0))</f>
        <v/>
      </c>
    </row>
    <row r="1780" customFormat="false" ht="15" hidden="false" customHeight="false" outlineLevel="0" collapsed="false">
      <c r="A1780" s="22"/>
      <c r="B1780" s="9"/>
      <c r="C1780" s="9"/>
      <c r="D1780" s="9"/>
      <c r="E1780" s="9"/>
      <c r="F1780" s="10" t="str">
        <f aca="false">IF($B1780="","",$C1780+$D1780-$E1780)</f>
        <v/>
      </c>
      <c r="G1780" s="10" t="str">
        <f aca="false">IF($B1780="","",IFERROR(INDEX(Drinks!$C$4:$C$53,MATCH($B1780,Drinks!$A$4:$A$53,0)),0))</f>
        <v/>
      </c>
      <c r="H1780" s="10" t="str">
        <f aca="false">IF($B1780="","",$D1780*$G1780)</f>
        <v/>
      </c>
      <c r="I1780" s="10" t="str">
        <f aca="false">IF($B1780="","",$F1780*$G1780)</f>
        <v/>
      </c>
      <c r="J1780" s="9"/>
      <c r="K1780" s="10" t="str">
        <f aca="false">IF($B1780="","",$E1780*IFERROR(INDEX(Drinks!$B$4:$B$53,MATCH($B1780,Drinks!$A$4:$A$53,0)),0))</f>
        <v/>
      </c>
      <c r="L1780" s="10" t="str">
        <f aca="false">IF($B1780="","",$J1780+$K1780)</f>
        <v/>
      </c>
      <c r="M1780" s="9"/>
      <c r="N1780" s="10" t="str">
        <f aca="false">IF($B1780="","",$L1780-$M1780)</f>
        <v/>
      </c>
      <c r="O1780" s="10" t="str">
        <f aca="false">IF($B1780="","",IFERROR(INDEX(Drinks!$E$4:$E$53,MATCH($B1780,Drinks!$A$4:$A$53,0)),0))</f>
        <v/>
      </c>
      <c r="P1780" s="10" t="str">
        <f aca="false">IF($B1780="","",$N1780*$O1780)</f>
        <v/>
      </c>
      <c r="Q1780" s="10" t="str">
        <f aca="false">IF($B1780="","",$N1780*IFERROR(INDEX(Drinks!$D$4:$D$53,MATCH($B1780,Drinks!$A$4:$A$53,0)),0))</f>
        <v/>
      </c>
      <c r="R1780" s="10" t="str">
        <f aca="false">IF($B1780="","",$P1780-$Q1780)</f>
        <v/>
      </c>
      <c r="S1780" s="23" t="str">
        <f aca="false">IF($B1780="","",IF(COUNTIFS($A$4:$A$2003,$A1780-1,$B$4:$B$2003,$B1780)=0,"first day",IF(SUMIFS($M$4:$M$2003,$A$4:$A$2003,$A1780-1,$B$4:$B$2003,$B1780)=$J1780,"OK","CHECK")))</f>
        <v/>
      </c>
      <c r="T1780" s="10" t="str">
        <f aca="false">IF($B1780="","",IFERROR(INDEX(Drinks!$D$4:$D$53,MATCH($B1780,Drinks!$A$4:$A$53,0)),0))</f>
        <v/>
      </c>
    </row>
    <row r="1781" customFormat="false" ht="15" hidden="false" customHeight="false" outlineLevel="0" collapsed="false">
      <c r="A1781" s="22"/>
      <c r="B1781" s="9"/>
      <c r="C1781" s="9"/>
      <c r="D1781" s="9"/>
      <c r="E1781" s="9"/>
      <c r="F1781" s="10" t="str">
        <f aca="false">IF($B1781="","",$C1781+$D1781-$E1781)</f>
        <v/>
      </c>
      <c r="G1781" s="10" t="str">
        <f aca="false">IF($B1781="","",IFERROR(INDEX(Drinks!$C$4:$C$53,MATCH($B1781,Drinks!$A$4:$A$53,0)),0))</f>
        <v/>
      </c>
      <c r="H1781" s="10" t="str">
        <f aca="false">IF($B1781="","",$D1781*$G1781)</f>
        <v/>
      </c>
      <c r="I1781" s="10" t="str">
        <f aca="false">IF($B1781="","",$F1781*$G1781)</f>
        <v/>
      </c>
      <c r="J1781" s="9"/>
      <c r="K1781" s="10" t="str">
        <f aca="false">IF($B1781="","",$E1781*IFERROR(INDEX(Drinks!$B$4:$B$53,MATCH($B1781,Drinks!$A$4:$A$53,0)),0))</f>
        <v/>
      </c>
      <c r="L1781" s="10" t="str">
        <f aca="false">IF($B1781="","",$J1781+$K1781)</f>
        <v/>
      </c>
      <c r="M1781" s="9"/>
      <c r="N1781" s="10" t="str">
        <f aca="false">IF($B1781="","",$L1781-$M1781)</f>
        <v/>
      </c>
      <c r="O1781" s="10" t="str">
        <f aca="false">IF($B1781="","",IFERROR(INDEX(Drinks!$E$4:$E$53,MATCH($B1781,Drinks!$A$4:$A$53,0)),0))</f>
        <v/>
      </c>
      <c r="P1781" s="10" t="str">
        <f aca="false">IF($B1781="","",$N1781*$O1781)</f>
        <v/>
      </c>
      <c r="Q1781" s="10" t="str">
        <f aca="false">IF($B1781="","",$N1781*IFERROR(INDEX(Drinks!$D$4:$D$53,MATCH($B1781,Drinks!$A$4:$A$53,0)),0))</f>
        <v/>
      </c>
      <c r="R1781" s="10" t="str">
        <f aca="false">IF($B1781="","",$P1781-$Q1781)</f>
        <v/>
      </c>
      <c r="S1781" s="23" t="str">
        <f aca="false">IF($B1781="","",IF(COUNTIFS($A$4:$A$2003,$A1781-1,$B$4:$B$2003,$B1781)=0,"first day",IF(SUMIFS($M$4:$M$2003,$A$4:$A$2003,$A1781-1,$B$4:$B$2003,$B1781)=$J1781,"OK","CHECK")))</f>
        <v/>
      </c>
      <c r="T1781" s="10" t="str">
        <f aca="false">IF($B1781="","",IFERROR(INDEX(Drinks!$D$4:$D$53,MATCH($B1781,Drinks!$A$4:$A$53,0)),0))</f>
        <v/>
      </c>
    </row>
    <row r="1782" customFormat="false" ht="15" hidden="false" customHeight="false" outlineLevel="0" collapsed="false">
      <c r="A1782" s="22"/>
      <c r="B1782" s="9"/>
      <c r="C1782" s="9"/>
      <c r="D1782" s="9"/>
      <c r="E1782" s="9"/>
      <c r="F1782" s="10" t="str">
        <f aca="false">IF($B1782="","",$C1782+$D1782-$E1782)</f>
        <v/>
      </c>
      <c r="G1782" s="10" t="str">
        <f aca="false">IF($B1782="","",IFERROR(INDEX(Drinks!$C$4:$C$53,MATCH($B1782,Drinks!$A$4:$A$53,0)),0))</f>
        <v/>
      </c>
      <c r="H1782" s="10" t="str">
        <f aca="false">IF($B1782="","",$D1782*$G1782)</f>
        <v/>
      </c>
      <c r="I1782" s="10" t="str">
        <f aca="false">IF($B1782="","",$F1782*$G1782)</f>
        <v/>
      </c>
      <c r="J1782" s="9"/>
      <c r="K1782" s="10" t="str">
        <f aca="false">IF($B1782="","",$E1782*IFERROR(INDEX(Drinks!$B$4:$B$53,MATCH($B1782,Drinks!$A$4:$A$53,0)),0))</f>
        <v/>
      </c>
      <c r="L1782" s="10" t="str">
        <f aca="false">IF($B1782="","",$J1782+$K1782)</f>
        <v/>
      </c>
      <c r="M1782" s="9"/>
      <c r="N1782" s="10" t="str">
        <f aca="false">IF($B1782="","",$L1782-$M1782)</f>
        <v/>
      </c>
      <c r="O1782" s="10" t="str">
        <f aca="false">IF($B1782="","",IFERROR(INDEX(Drinks!$E$4:$E$53,MATCH($B1782,Drinks!$A$4:$A$53,0)),0))</f>
        <v/>
      </c>
      <c r="P1782" s="10" t="str">
        <f aca="false">IF($B1782="","",$N1782*$O1782)</f>
        <v/>
      </c>
      <c r="Q1782" s="10" t="str">
        <f aca="false">IF($B1782="","",$N1782*IFERROR(INDEX(Drinks!$D$4:$D$53,MATCH($B1782,Drinks!$A$4:$A$53,0)),0))</f>
        <v/>
      </c>
      <c r="R1782" s="10" t="str">
        <f aca="false">IF($B1782="","",$P1782-$Q1782)</f>
        <v/>
      </c>
      <c r="S1782" s="23" t="str">
        <f aca="false">IF($B1782="","",IF(COUNTIFS($A$4:$A$2003,$A1782-1,$B$4:$B$2003,$B1782)=0,"first day",IF(SUMIFS($M$4:$M$2003,$A$4:$A$2003,$A1782-1,$B$4:$B$2003,$B1782)=$J1782,"OK","CHECK")))</f>
        <v/>
      </c>
      <c r="T1782" s="10" t="str">
        <f aca="false">IF($B1782="","",IFERROR(INDEX(Drinks!$D$4:$D$53,MATCH($B1782,Drinks!$A$4:$A$53,0)),0))</f>
        <v/>
      </c>
    </row>
    <row r="1783" customFormat="false" ht="15" hidden="false" customHeight="false" outlineLevel="0" collapsed="false">
      <c r="A1783" s="22"/>
      <c r="B1783" s="9"/>
      <c r="C1783" s="9"/>
      <c r="D1783" s="9"/>
      <c r="E1783" s="9"/>
      <c r="F1783" s="10" t="str">
        <f aca="false">IF($B1783="","",$C1783+$D1783-$E1783)</f>
        <v/>
      </c>
      <c r="G1783" s="10" t="str">
        <f aca="false">IF($B1783="","",IFERROR(INDEX(Drinks!$C$4:$C$53,MATCH($B1783,Drinks!$A$4:$A$53,0)),0))</f>
        <v/>
      </c>
      <c r="H1783" s="10" t="str">
        <f aca="false">IF($B1783="","",$D1783*$G1783)</f>
        <v/>
      </c>
      <c r="I1783" s="10" t="str">
        <f aca="false">IF($B1783="","",$F1783*$G1783)</f>
        <v/>
      </c>
      <c r="J1783" s="9"/>
      <c r="K1783" s="10" t="str">
        <f aca="false">IF($B1783="","",$E1783*IFERROR(INDEX(Drinks!$B$4:$B$53,MATCH($B1783,Drinks!$A$4:$A$53,0)),0))</f>
        <v/>
      </c>
      <c r="L1783" s="10" t="str">
        <f aca="false">IF($B1783="","",$J1783+$K1783)</f>
        <v/>
      </c>
      <c r="M1783" s="9"/>
      <c r="N1783" s="10" t="str">
        <f aca="false">IF($B1783="","",$L1783-$M1783)</f>
        <v/>
      </c>
      <c r="O1783" s="10" t="str">
        <f aca="false">IF($B1783="","",IFERROR(INDEX(Drinks!$E$4:$E$53,MATCH($B1783,Drinks!$A$4:$A$53,0)),0))</f>
        <v/>
      </c>
      <c r="P1783" s="10" t="str">
        <f aca="false">IF($B1783="","",$N1783*$O1783)</f>
        <v/>
      </c>
      <c r="Q1783" s="10" t="str">
        <f aca="false">IF($B1783="","",$N1783*IFERROR(INDEX(Drinks!$D$4:$D$53,MATCH($B1783,Drinks!$A$4:$A$53,0)),0))</f>
        <v/>
      </c>
      <c r="R1783" s="10" t="str">
        <f aca="false">IF($B1783="","",$P1783-$Q1783)</f>
        <v/>
      </c>
      <c r="S1783" s="23" t="str">
        <f aca="false">IF($B1783="","",IF(COUNTIFS($A$4:$A$2003,$A1783-1,$B$4:$B$2003,$B1783)=0,"first day",IF(SUMIFS($M$4:$M$2003,$A$4:$A$2003,$A1783-1,$B$4:$B$2003,$B1783)=$J1783,"OK","CHECK")))</f>
        <v/>
      </c>
      <c r="T1783" s="10" t="str">
        <f aca="false">IF($B1783="","",IFERROR(INDEX(Drinks!$D$4:$D$53,MATCH($B1783,Drinks!$A$4:$A$53,0)),0))</f>
        <v/>
      </c>
    </row>
    <row r="1784" customFormat="false" ht="15" hidden="false" customHeight="false" outlineLevel="0" collapsed="false">
      <c r="A1784" s="22"/>
      <c r="B1784" s="9"/>
      <c r="C1784" s="9"/>
      <c r="D1784" s="9"/>
      <c r="E1784" s="9"/>
      <c r="F1784" s="10" t="str">
        <f aca="false">IF($B1784="","",$C1784+$D1784-$E1784)</f>
        <v/>
      </c>
      <c r="G1784" s="10" t="str">
        <f aca="false">IF($B1784="","",IFERROR(INDEX(Drinks!$C$4:$C$53,MATCH($B1784,Drinks!$A$4:$A$53,0)),0))</f>
        <v/>
      </c>
      <c r="H1784" s="10" t="str">
        <f aca="false">IF($B1784="","",$D1784*$G1784)</f>
        <v/>
      </c>
      <c r="I1784" s="10" t="str">
        <f aca="false">IF($B1784="","",$F1784*$G1784)</f>
        <v/>
      </c>
      <c r="J1784" s="9"/>
      <c r="K1784" s="10" t="str">
        <f aca="false">IF($B1784="","",$E1784*IFERROR(INDEX(Drinks!$B$4:$B$53,MATCH($B1784,Drinks!$A$4:$A$53,0)),0))</f>
        <v/>
      </c>
      <c r="L1784" s="10" t="str">
        <f aca="false">IF($B1784="","",$J1784+$K1784)</f>
        <v/>
      </c>
      <c r="M1784" s="9"/>
      <c r="N1784" s="10" t="str">
        <f aca="false">IF($B1784="","",$L1784-$M1784)</f>
        <v/>
      </c>
      <c r="O1784" s="10" t="str">
        <f aca="false">IF($B1784="","",IFERROR(INDEX(Drinks!$E$4:$E$53,MATCH($B1784,Drinks!$A$4:$A$53,0)),0))</f>
        <v/>
      </c>
      <c r="P1784" s="10" t="str">
        <f aca="false">IF($B1784="","",$N1784*$O1784)</f>
        <v/>
      </c>
      <c r="Q1784" s="10" t="str">
        <f aca="false">IF($B1784="","",$N1784*IFERROR(INDEX(Drinks!$D$4:$D$53,MATCH($B1784,Drinks!$A$4:$A$53,0)),0))</f>
        <v/>
      </c>
      <c r="R1784" s="10" t="str">
        <f aca="false">IF($B1784="","",$P1784-$Q1784)</f>
        <v/>
      </c>
      <c r="S1784" s="23" t="str">
        <f aca="false">IF($B1784="","",IF(COUNTIFS($A$4:$A$2003,$A1784-1,$B$4:$B$2003,$B1784)=0,"first day",IF(SUMIFS($M$4:$M$2003,$A$4:$A$2003,$A1784-1,$B$4:$B$2003,$B1784)=$J1784,"OK","CHECK")))</f>
        <v/>
      </c>
      <c r="T1784" s="10" t="str">
        <f aca="false">IF($B1784="","",IFERROR(INDEX(Drinks!$D$4:$D$53,MATCH($B1784,Drinks!$A$4:$A$53,0)),0))</f>
        <v/>
      </c>
    </row>
    <row r="1785" customFormat="false" ht="15" hidden="false" customHeight="false" outlineLevel="0" collapsed="false">
      <c r="A1785" s="22"/>
      <c r="B1785" s="9"/>
      <c r="C1785" s="9"/>
      <c r="D1785" s="9"/>
      <c r="E1785" s="9"/>
      <c r="F1785" s="10" t="str">
        <f aca="false">IF($B1785="","",$C1785+$D1785-$E1785)</f>
        <v/>
      </c>
      <c r="G1785" s="10" t="str">
        <f aca="false">IF($B1785="","",IFERROR(INDEX(Drinks!$C$4:$C$53,MATCH($B1785,Drinks!$A$4:$A$53,0)),0))</f>
        <v/>
      </c>
      <c r="H1785" s="10" t="str">
        <f aca="false">IF($B1785="","",$D1785*$G1785)</f>
        <v/>
      </c>
      <c r="I1785" s="10" t="str">
        <f aca="false">IF($B1785="","",$F1785*$G1785)</f>
        <v/>
      </c>
      <c r="J1785" s="9"/>
      <c r="K1785" s="10" t="str">
        <f aca="false">IF($B1785="","",$E1785*IFERROR(INDEX(Drinks!$B$4:$B$53,MATCH($B1785,Drinks!$A$4:$A$53,0)),0))</f>
        <v/>
      </c>
      <c r="L1785" s="10" t="str">
        <f aca="false">IF($B1785="","",$J1785+$K1785)</f>
        <v/>
      </c>
      <c r="M1785" s="9"/>
      <c r="N1785" s="10" t="str">
        <f aca="false">IF($B1785="","",$L1785-$M1785)</f>
        <v/>
      </c>
      <c r="O1785" s="10" t="str">
        <f aca="false">IF($B1785="","",IFERROR(INDEX(Drinks!$E$4:$E$53,MATCH($B1785,Drinks!$A$4:$A$53,0)),0))</f>
        <v/>
      </c>
      <c r="P1785" s="10" t="str">
        <f aca="false">IF($B1785="","",$N1785*$O1785)</f>
        <v/>
      </c>
      <c r="Q1785" s="10" t="str">
        <f aca="false">IF($B1785="","",$N1785*IFERROR(INDEX(Drinks!$D$4:$D$53,MATCH($B1785,Drinks!$A$4:$A$53,0)),0))</f>
        <v/>
      </c>
      <c r="R1785" s="10" t="str">
        <f aca="false">IF($B1785="","",$P1785-$Q1785)</f>
        <v/>
      </c>
      <c r="S1785" s="23" t="str">
        <f aca="false">IF($B1785="","",IF(COUNTIFS($A$4:$A$2003,$A1785-1,$B$4:$B$2003,$B1785)=0,"first day",IF(SUMIFS($M$4:$M$2003,$A$4:$A$2003,$A1785-1,$B$4:$B$2003,$B1785)=$J1785,"OK","CHECK")))</f>
        <v/>
      </c>
      <c r="T1785" s="10" t="str">
        <f aca="false">IF($B1785="","",IFERROR(INDEX(Drinks!$D$4:$D$53,MATCH($B1785,Drinks!$A$4:$A$53,0)),0))</f>
        <v/>
      </c>
    </row>
    <row r="1786" customFormat="false" ht="15" hidden="false" customHeight="false" outlineLevel="0" collapsed="false">
      <c r="A1786" s="22"/>
      <c r="B1786" s="9"/>
      <c r="C1786" s="9"/>
      <c r="D1786" s="9"/>
      <c r="E1786" s="9"/>
      <c r="F1786" s="10" t="str">
        <f aca="false">IF($B1786="","",$C1786+$D1786-$E1786)</f>
        <v/>
      </c>
      <c r="G1786" s="10" t="str">
        <f aca="false">IF($B1786="","",IFERROR(INDEX(Drinks!$C$4:$C$53,MATCH($B1786,Drinks!$A$4:$A$53,0)),0))</f>
        <v/>
      </c>
      <c r="H1786" s="10" t="str">
        <f aca="false">IF($B1786="","",$D1786*$G1786)</f>
        <v/>
      </c>
      <c r="I1786" s="10" t="str">
        <f aca="false">IF($B1786="","",$F1786*$G1786)</f>
        <v/>
      </c>
      <c r="J1786" s="9"/>
      <c r="K1786" s="10" t="str">
        <f aca="false">IF($B1786="","",$E1786*IFERROR(INDEX(Drinks!$B$4:$B$53,MATCH($B1786,Drinks!$A$4:$A$53,0)),0))</f>
        <v/>
      </c>
      <c r="L1786" s="10" t="str">
        <f aca="false">IF($B1786="","",$J1786+$K1786)</f>
        <v/>
      </c>
      <c r="M1786" s="9"/>
      <c r="N1786" s="10" t="str">
        <f aca="false">IF($B1786="","",$L1786-$M1786)</f>
        <v/>
      </c>
      <c r="O1786" s="10" t="str">
        <f aca="false">IF($B1786="","",IFERROR(INDEX(Drinks!$E$4:$E$53,MATCH($B1786,Drinks!$A$4:$A$53,0)),0))</f>
        <v/>
      </c>
      <c r="P1786" s="10" t="str">
        <f aca="false">IF($B1786="","",$N1786*$O1786)</f>
        <v/>
      </c>
      <c r="Q1786" s="10" t="str">
        <f aca="false">IF($B1786="","",$N1786*IFERROR(INDEX(Drinks!$D$4:$D$53,MATCH($B1786,Drinks!$A$4:$A$53,0)),0))</f>
        <v/>
      </c>
      <c r="R1786" s="10" t="str">
        <f aca="false">IF($B1786="","",$P1786-$Q1786)</f>
        <v/>
      </c>
      <c r="S1786" s="23" t="str">
        <f aca="false">IF($B1786="","",IF(COUNTIFS($A$4:$A$2003,$A1786-1,$B$4:$B$2003,$B1786)=0,"first day",IF(SUMIFS($M$4:$M$2003,$A$4:$A$2003,$A1786-1,$B$4:$B$2003,$B1786)=$J1786,"OK","CHECK")))</f>
        <v/>
      </c>
      <c r="T1786" s="10" t="str">
        <f aca="false">IF($B1786="","",IFERROR(INDEX(Drinks!$D$4:$D$53,MATCH($B1786,Drinks!$A$4:$A$53,0)),0))</f>
        <v/>
      </c>
    </row>
    <row r="1787" customFormat="false" ht="15" hidden="false" customHeight="false" outlineLevel="0" collapsed="false">
      <c r="A1787" s="22"/>
      <c r="B1787" s="9"/>
      <c r="C1787" s="9"/>
      <c r="D1787" s="9"/>
      <c r="E1787" s="9"/>
      <c r="F1787" s="10" t="str">
        <f aca="false">IF($B1787="","",$C1787+$D1787-$E1787)</f>
        <v/>
      </c>
      <c r="G1787" s="10" t="str">
        <f aca="false">IF($B1787="","",IFERROR(INDEX(Drinks!$C$4:$C$53,MATCH($B1787,Drinks!$A$4:$A$53,0)),0))</f>
        <v/>
      </c>
      <c r="H1787" s="10" t="str">
        <f aca="false">IF($B1787="","",$D1787*$G1787)</f>
        <v/>
      </c>
      <c r="I1787" s="10" t="str">
        <f aca="false">IF($B1787="","",$F1787*$G1787)</f>
        <v/>
      </c>
      <c r="J1787" s="9"/>
      <c r="K1787" s="10" t="str">
        <f aca="false">IF($B1787="","",$E1787*IFERROR(INDEX(Drinks!$B$4:$B$53,MATCH($B1787,Drinks!$A$4:$A$53,0)),0))</f>
        <v/>
      </c>
      <c r="L1787" s="10" t="str">
        <f aca="false">IF($B1787="","",$J1787+$K1787)</f>
        <v/>
      </c>
      <c r="M1787" s="9"/>
      <c r="N1787" s="10" t="str">
        <f aca="false">IF($B1787="","",$L1787-$M1787)</f>
        <v/>
      </c>
      <c r="O1787" s="10" t="str">
        <f aca="false">IF($B1787="","",IFERROR(INDEX(Drinks!$E$4:$E$53,MATCH($B1787,Drinks!$A$4:$A$53,0)),0))</f>
        <v/>
      </c>
      <c r="P1787" s="10" t="str">
        <f aca="false">IF($B1787="","",$N1787*$O1787)</f>
        <v/>
      </c>
      <c r="Q1787" s="10" t="str">
        <f aca="false">IF($B1787="","",$N1787*IFERROR(INDEX(Drinks!$D$4:$D$53,MATCH($B1787,Drinks!$A$4:$A$53,0)),0))</f>
        <v/>
      </c>
      <c r="R1787" s="10" t="str">
        <f aca="false">IF($B1787="","",$P1787-$Q1787)</f>
        <v/>
      </c>
      <c r="S1787" s="23" t="str">
        <f aca="false">IF($B1787="","",IF(COUNTIFS($A$4:$A$2003,$A1787-1,$B$4:$B$2003,$B1787)=0,"first day",IF(SUMIFS($M$4:$M$2003,$A$4:$A$2003,$A1787-1,$B$4:$B$2003,$B1787)=$J1787,"OK","CHECK")))</f>
        <v/>
      </c>
      <c r="T1787" s="10" t="str">
        <f aca="false">IF($B1787="","",IFERROR(INDEX(Drinks!$D$4:$D$53,MATCH($B1787,Drinks!$A$4:$A$53,0)),0))</f>
        <v/>
      </c>
    </row>
    <row r="1788" customFormat="false" ht="15" hidden="false" customHeight="false" outlineLevel="0" collapsed="false">
      <c r="A1788" s="22"/>
      <c r="B1788" s="9"/>
      <c r="C1788" s="9"/>
      <c r="D1788" s="9"/>
      <c r="E1788" s="9"/>
      <c r="F1788" s="10" t="str">
        <f aca="false">IF($B1788="","",$C1788+$D1788-$E1788)</f>
        <v/>
      </c>
      <c r="G1788" s="10" t="str">
        <f aca="false">IF($B1788="","",IFERROR(INDEX(Drinks!$C$4:$C$53,MATCH($B1788,Drinks!$A$4:$A$53,0)),0))</f>
        <v/>
      </c>
      <c r="H1788" s="10" t="str">
        <f aca="false">IF($B1788="","",$D1788*$G1788)</f>
        <v/>
      </c>
      <c r="I1788" s="10" t="str">
        <f aca="false">IF($B1788="","",$F1788*$G1788)</f>
        <v/>
      </c>
      <c r="J1788" s="9"/>
      <c r="K1788" s="10" t="str">
        <f aca="false">IF($B1788="","",$E1788*IFERROR(INDEX(Drinks!$B$4:$B$53,MATCH($B1788,Drinks!$A$4:$A$53,0)),0))</f>
        <v/>
      </c>
      <c r="L1788" s="10" t="str">
        <f aca="false">IF($B1788="","",$J1788+$K1788)</f>
        <v/>
      </c>
      <c r="M1788" s="9"/>
      <c r="N1788" s="10" t="str">
        <f aca="false">IF($B1788="","",$L1788-$M1788)</f>
        <v/>
      </c>
      <c r="O1788" s="10" t="str">
        <f aca="false">IF($B1788="","",IFERROR(INDEX(Drinks!$E$4:$E$53,MATCH($B1788,Drinks!$A$4:$A$53,0)),0))</f>
        <v/>
      </c>
      <c r="P1788" s="10" t="str">
        <f aca="false">IF($B1788="","",$N1788*$O1788)</f>
        <v/>
      </c>
      <c r="Q1788" s="10" t="str">
        <f aca="false">IF($B1788="","",$N1788*IFERROR(INDEX(Drinks!$D$4:$D$53,MATCH($B1788,Drinks!$A$4:$A$53,0)),0))</f>
        <v/>
      </c>
      <c r="R1788" s="10" t="str">
        <f aca="false">IF($B1788="","",$P1788-$Q1788)</f>
        <v/>
      </c>
      <c r="S1788" s="23" t="str">
        <f aca="false">IF($B1788="","",IF(COUNTIFS($A$4:$A$2003,$A1788-1,$B$4:$B$2003,$B1788)=0,"first day",IF(SUMIFS($M$4:$M$2003,$A$4:$A$2003,$A1788-1,$B$4:$B$2003,$B1788)=$J1788,"OK","CHECK")))</f>
        <v/>
      </c>
      <c r="T1788" s="10" t="str">
        <f aca="false">IF($B1788="","",IFERROR(INDEX(Drinks!$D$4:$D$53,MATCH($B1788,Drinks!$A$4:$A$53,0)),0))</f>
        <v/>
      </c>
    </row>
    <row r="1789" customFormat="false" ht="15" hidden="false" customHeight="false" outlineLevel="0" collapsed="false">
      <c r="A1789" s="22"/>
      <c r="B1789" s="9"/>
      <c r="C1789" s="9"/>
      <c r="D1789" s="9"/>
      <c r="E1789" s="9"/>
      <c r="F1789" s="10" t="str">
        <f aca="false">IF($B1789="","",$C1789+$D1789-$E1789)</f>
        <v/>
      </c>
      <c r="G1789" s="10" t="str">
        <f aca="false">IF($B1789="","",IFERROR(INDEX(Drinks!$C$4:$C$53,MATCH($B1789,Drinks!$A$4:$A$53,0)),0))</f>
        <v/>
      </c>
      <c r="H1789" s="10" t="str">
        <f aca="false">IF($B1789="","",$D1789*$G1789)</f>
        <v/>
      </c>
      <c r="I1789" s="10" t="str">
        <f aca="false">IF($B1789="","",$F1789*$G1789)</f>
        <v/>
      </c>
      <c r="J1789" s="9"/>
      <c r="K1789" s="10" t="str">
        <f aca="false">IF($B1789="","",$E1789*IFERROR(INDEX(Drinks!$B$4:$B$53,MATCH($B1789,Drinks!$A$4:$A$53,0)),0))</f>
        <v/>
      </c>
      <c r="L1789" s="10" t="str">
        <f aca="false">IF($B1789="","",$J1789+$K1789)</f>
        <v/>
      </c>
      <c r="M1789" s="9"/>
      <c r="N1789" s="10" t="str">
        <f aca="false">IF($B1789="","",$L1789-$M1789)</f>
        <v/>
      </c>
      <c r="O1789" s="10" t="str">
        <f aca="false">IF($B1789="","",IFERROR(INDEX(Drinks!$E$4:$E$53,MATCH($B1789,Drinks!$A$4:$A$53,0)),0))</f>
        <v/>
      </c>
      <c r="P1789" s="10" t="str">
        <f aca="false">IF($B1789="","",$N1789*$O1789)</f>
        <v/>
      </c>
      <c r="Q1789" s="10" t="str">
        <f aca="false">IF($B1789="","",$N1789*IFERROR(INDEX(Drinks!$D$4:$D$53,MATCH($B1789,Drinks!$A$4:$A$53,0)),0))</f>
        <v/>
      </c>
      <c r="R1789" s="10" t="str">
        <f aca="false">IF($B1789="","",$P1789-$Q1789)</f>
        <v/>
      </c>
      <c r="S1789" s="23" t="str">
        <f aca="false">IF($B1789="","",IF(COUNTIFS($A$4:$A$2003,$A1789-1,$B$4:$B$2003,$B1789)=0,"first day",IF(SUMIFS($M$4:$M$2003,$A$4:$A$2003,$A1789-1,$B$4:$B$2003,$B1789)=$J1789,"OK","CHECK")))</f>
        <v/>
      </c>
      <c r="T1789" s="10" t="str">
        <f aca="false">IF($B1789="","",IFERROR(INDEX(Drinks!$D$4:$D$53,MATCH($B1789,Drinks!$A$4:$A$53,0)),0))</f>
        <v/>
      </c>
    </row>
    <row r="1790" customFormat="false" ht="15" hidden="false" customHeight="false" outlineLevel="0" collapsed="false">
      <c r="A1790" s="22"/>
      <c r="B1790" s="9"/>
      <c r="C1790" s="9"/>
      <c r="D1790" s="9"/>
      <c r="E1790" s="9"/>
      <c r="F1790" s="10" t="str">
        <f aca="false">IF($B1790="","",$C1790+$D1790-$E1790)</f>
        <v/>
      </c>
      <c r="G1790" s="10" t="str">
        <f aca="false">IF($B1790="","",IFERROR(INDEX(Drinks!$C$4:$C$53,MATCH($B1790,Drinks!$A$4:$A$53,0)),0))</f>
        <v/>
      </c>
      <c r="H1790" s="10" t="str">
        <f aca="false">IF($B1790="","",$D1790*$G1790)</f>
        <v/>
      </c>
      <c r="I1790" s="10" t="str">
        <f aca="false">IF($B1790="","",$F1790*$G1790)</f>
        <v/>
      </c>
      <c r="J1790" s="9"/>
      <c r="K1790" s="10" t="str">
        <f aca="false">IF($B1790="","",$E1790*IFERROR(INDEX(Drinks!$B$4:$B$53,MATCH($B1790,Drinks!$A$4:$A$53,0)),0))</f>
        <v/>
      </c>
      <c r="L1790" s="10" t="str">
        <f aca="false">IF($B1790="","",$J1790+$K1790)</f>
        <v/>
      </c>
      <c r="M1790" s="9"/>
      <c r="N1790" s="10" t="str">
        <f aca="false">IF($B1790="","",$L1790-$M1790)</f>
        <v/>
      </c>
      <c r="O1790" s="10" t="str">
        <f aca="false">IF($B1790="","",IFERROR(INDEX(Drinks!$E$4:$E$53,MATCH($B1790,Drinks!$A$4:$A$53,0)),0))</f>
        <v/>
      </c>
      <c r="P1790" s="10" t="str">
        <f aca="false">IF($B1790="","",$N1790*$O1790)</f>
        <v/>
      </c>
      <c r="Q1790" s="10" t="str">
        <f aca="false">IF($B1790="","",$N1790*IFERROR(INDEX(Drinks!$D$4:$D$53,MATCH($B1790,Drinks!$A$4:$A$53,0)),0))</f>
        <v/>
      </c>
      <c r="R1790" s="10" t="str">
        <f aca="false">IF($B1790="","",$P1790-$Q1790)</f>
        <v/>
      </c>
      <c r="S1790" s="23" t="str">
        <f aca="false">IF($B1790="","",IF(COUNTIFS($A$4:$A$2003,$A1790-1,$B$4:$B$2003,$B1790)=0,"first day",IF(SUMIFS($M$4:$M$2003,$A$4:$A$2003,$A1790-1,$B$4:$B$2003,$B1790)=$J1790,"OK","CHECK")))</f>
        <v/>
      </c>
      <c r="T1790" s="10" t="str">
        <f aca="false">IF($B1790="","",IFERROR(INDEX(Drinks!$D$4:$D$53,MATCH($B1790,Drinks!$A$4:$A$53,0)),0))</f>
        <v/>
      </c>
    </row>
    <row r="1791" customFormat="false" ht="15" hidden="false" customHeight="false" outlineLevel="0" collapsed="false">
      <c r="A1791" s="22"/>
      <c r="B1791" s="9"/>
      <c r="C1791" s="9"/>
      <c r="D1791" s="9"/>
      <c r="E1791" s="9"/>
      <c r="F1791" s="10" t="str">
        <f aca="false">IF($B1791="","",$C1791+$D1791-$E1791)</f>
        <v/>
      </c>
      <c r="G1791" s="10" t="str">
        <f aca="false">IF($B1791="","",IFERROR(INDEX(Drinks!$C$4:$C$53,MATCH($B1791,Drinks!$A$4:$A$53,0)),0))</f>
        <v/>
      </c>
      <c r="H1791" s="10" t="str">
        <f aca="false">IF($B1791="","",$D1791*$G1791)</f>
        <v/>
      </c>
      <c r="I1791" s="10" t="str">
        <f aca="false">IF($B1791="","",$F1791*$G1791)</f>
        <v/>
      </c>
      <c r="J1791" s="9"/>
      <c r="K1791" s="10" t="str">
        <f aca="false">IF($B1791="","",$E1791*IFERROR(INDEX(Drinks!$B$4:$B$53,MATCH($B1791,Drinks!$A$4:$A$53,0)),0))</f>
        <v/>
      </c>
      <c r="L1791" s="10" t="str">
        <f aca="false">IF($B1791="","",$J1791+$K1791)</f>
        <v/>
      </c>
      <c r="M1791" s="9"/>
      <c r="N1791" s="10" t="str">
        <f aca="false">IF($B1791="","",$L1791-$M1791)</f>
        <v/>
      </c>
      <c r="O1791" s="10" t="str">
        <f aca="false">IF($B1791="","",IFERROR(INDEX(Drinks!$E$4:$E$53,MATCH($B1791,Drinks!$A$4:$A$53,0)),0))</f>
        <v/>
      </c>
      <c r="P1791" s="10" t="str">
        <f aca="false">IF($B1791="","",$N1791*$O1791)</f>
        <v/>
      </c>
      <c r="Q1791" s="10" t="str">
        <f aca="false">IF($B1791="","",$N1791*IFERROR(INDEX(Drinks!$D$4:$D$53,MATCH($B1791,Drinks!$A$4:$A$53,0)),0))</f>
        <v/>
      </c>
      <c r="R1791" s="10" t="str">
        <f aca="false">IF($B1791="","",$P1791-$Q1791)</f>
        <v/>
      </c>
      <c r="S1791" s="23" t="str">
        <f aca="false">IF($B1791="","",IF(COUNTIFS($A$4:$A$2003,$A1791-1,$B$4:$B$2003,$B1791)=0,"first day",IF(SUMIFS($M$4:$M$2003,$A$4:$A$2003,$A1791-1,$B$4:$B$2003,$B1791)=$J1791,"OK","CHECK")))</f>
        <v/>
      </c>
      <c r="T1791" s="10" t="str">
        <f aca="false">IF($B1791="","",IFERROR(INDEX(Drinks!$D$4:$D$53,MATCH($B1791,Drinks!$A$4:$A$53,0)),0))</f>
        <v/>
      </c>
    </row>
    <row r="1792" customFormat="false" ht="15" hidden="false" customHeight="false" outlineLevel="0" collapsed="false">
      <c r="A1792" s="22"/>
      <c r="B1792" s="9"/>
      <c r="C1792" s="9"/>
      <c r="D1792" s="9"/>
      <c r="E1792" s="9"/>
      <c r="F1792" s="10" t="str">
        <f aca="false">IF($B1792="","",$C1792+$D1792-$E1792)</f>
        <v/>
      </c>
      <c r="G1792" s="10" t="str">
        <f aca="false">IF($B1792="","",IFERROR(INDEX(Drinks!$C$4:$C$53,MATCH($B1792,Drinks!$A$4:$A$53,0)),0))</f>
        <v/>
      </c>
      <c r="H1792" s="10" t="str">
        <f aca="false">IF($B1792="","",$D1792*$G1792)</f>
        <v/>
      </c>
      <c r="I1792" s="10" t="str">
        <f aca="false">IF($B1792="","",$F1792*$G1792)</f>
        <v/>
      </c>
      <c r="J1792" s="9"/>
      <c r="K1792" s="10" t="str">
        <f aca="false">IF($B1792="","",$E1792*IFERROR(INDEX(Drinks!$B$4:$B$53,MATCH($B1792,Drinks!$A$4:$A$53,0)),0))</f>
        <v/>
      </c>
      <c r="L1792" s="10" t="str">
        <f aca="false">IF($B1792="","",$J1792+$K1792)</f>
        <v/>
      </c>
      <c r="M1792" s="9"/>
      <c r="N1792" s="10" t="str">
        <f aca="false">IF($B1792="","",$L1792-$M1792)</f>
        <v/>
      </c>
      <c r="O1792" s="10" t="str">
        <f aca="false">IF($B1792="","",IFERROR(INDEX(Drinks!$E$4:$E$53,MATCH($B1792,Drinks!$A$4:$A$53,0)),0))</f>
        <v/>
      </c>
      <c r="P1792" s="10" t="str">
        <f aca="false">IF($B1792="","",$N1792*$O1792)</f>
        <v/>
      </c>
      <c r="Q1792" s="10" t="str">
        <f aca="false">IF($B1792="","",$N1792*IFERROR(INDEX(Drinks!$D$4:$D$53,MATCH($B1792,Drinks!$A$4:$A$53,0)),0))</f>
        <v/>
      </c>
      <c r="R1792" s="10" t="str">
        <f aca="false">IF($B1792="","",$P1792-$Q1792)</f>
        <v/>
      </c>
      <c r="S1792" s="23" t="str">
        <f aca="false">IF($B1792="","",IF(COUNTIFS($A$4:$A$2003,$A1792-1,$B$4:$B$2003,$B1792)=0,"first day",IF(SUMIFS($M$4:$M$2003,$A$4:$A$2003,$A1792-1,$B$4:$B$2003,$B1792)=$J1792,"OK","CHECK")))</f>
        <v/>
      </c>
      <c r="T1792" s="10" t="str">
        <f aca="false">IF($B1792="","",IFERROR(INDEX(Drinks!$D$4:$D$53,MATCH($B1792,Drinks!$A$4:$A$53,0)),0))</f>
        <v/>
      </c>
    </row>
    <row r="1793" customFormat="false" ht="15" hidden="false" customHeight="false" outlineLevel="0" collapsed="false">
      <c r="A1793" s="22"/>
      <c r="B1793" s="9"/>
      <c r="C1793" s="9"/>
      <c r="D1793" s="9"/>
      <c r="E1793" s="9"/>
      <c r="F1793" s="10" t="str">
        <f aca="false">IF($B1793="","",$C1793+$D1793-$E1793)</f>
        <v/>
      </c>
      <c r="G1793" s="10" t="str">
        <f aca="false">IF($B1793="","",IFERROR(INDEX(Drinks!$C$4:$C$53,MATCH($B1793,Drinks!$A$4:$A$53,0)),0))</f>
        <v/>
      </c>
      <c r="H1793" s="10" t="str">
        <f aca="false">IF($B1793="","",$D1793*$G1793)</f>
        <v/>
      </c>
      <c r="I1793" s="10" t="str">
        <f aca="false">IF($B1793="","",$F1793*$G1793)</f>
        <v/>
      </c>
      <c r="J1793" s="9"/>
      <c r="K1793" s="10" t="str">
        <f aca="false">IF($B1793="","",$E1793*IFERROR(INDEX(Drinks!$B$4:$B$53,MATCH($B1793,Drinks!$A$4:$A$53,0)),0))</f>
        <v/>
      </c>
      <c r="L1793" s="10" t="str">
        <f aca="false">IF($B1793="","",$J1793+$K1793)</f>
        <v/>
      </c>
      <c r="M1793" s="9"/>
      <c r="N1793" s="10" t="str">
        <f aca="false">IF($B1793="","",$L1793-$M1793)</f>
        <v/>
      </c>
      <c r="O1793" s="10" t="str">
        <f aca="false">IF($B1793="","",IFERROR(INDEX(Drinks!$E$4:$E$53,MATCH($B1793,Drinks!$A$4:$A$53,0)),0))</f>
        <v/>
      </c>
      <c r="P1793" s="10" t="str">
        <f aca="false">IF($B1793="","",$N1793*$O1793)</f>
        <v/>
      </c>
      <c r="Q1793" s="10" t="str">
        <f aca="false">IF($B1793="","",$N1793*IFERROR(INDEX(Drinks!$D$4:$D$53,MATCH($B1793,Drinks!$A$4:$A$53,0)),0))</f>
        <v/>
      </c>
      <c r="R1793" s="10" t="str">
        <f aca="false">IF($B1793="","",$P1793-$Q1793)</f>
        <v/>
      </c>
      <c r="S1793" s="23" t="str">
        <f aca="false">IF($B1793="","",IF(COUNTIFS($A$4:$A$2003,$A1793-1,$B$4:$B$2003,$B1793)=0,"first day",IF(SUMIFS($M$4:$M$2003,$A$4:$A$2003,$A1793-1,$B$4:$B$2003,$B1793)=$J1793,"OK","CHECK")))</f>
        <v/>
      </c>
      <c r="T1793" s="10" t="str">
        <f aca="false">IF($B1793="","",IFERROR(INDEX(Drinks!$D$4:$D$53,MATCH($B1793,Drinks!$A$4:$A$53,0)),0))</f>
        <v/>
      </c>
    </row>
    <row r="1794" customFormat="false" ht="15" hidden="false" customHeight="false" outlineLevel="0" collapsed="false">
      <c r="A1794" s="22"/>
      <c r="B1794" s="9"/>
      <c r="C1794" s="9"/>
      <c r="D1794" s="9"/>
      <c r="E1794" s="9"/>
      <c r="F1794" s="10" t="str">
        <f aca="false">IF($B1794="","",$C1794+$D1794-$E1794)</f>
        <v/>
      </c>
      <c r="G1794" s="10" t="str">
        <f aca="false">IF($B1794="","",IFERROR(INDEX(Drinks!$C$4:$C$53,MATCH($B1794,Drinks!$A$4:$A$53,0)),0))</f>
        <v/>
      </c>
      <c r="H1794" s="10" t="str">
        <f aca="false">IF($B1794="","",$D1794*$G1794)</f>
        <v/>
      </c>
      <c r="I1794" s="10" t="str">
        <f aca="false">IF($B1794="","",$F1794*$G1794)</f>
        <v/>
      </c>
      <c r="J1794" s="9"/>
      <c r="K1794" s="10" t="str">
        <f aca="false">IF($B1794="","",$E1794*IFERROR(INDEX(Drinks!$B$4:$B$53,MATCH($B1794,Drinks!$A$4:$A$53,0)),0))</f>
        <v/>
      </c>
      <c r="L1794" s="10" t="str">
        <f aca="false">IF($B1794="","",$J1794+$K1794)</f>
        <v/>
      </c>
      <c r="M1794" s="9"/>
      <c r="N1794" s="10" t="str">
        <f aca="false">IF($B1794="","",$L1794-$M1794)</f>
        <v/>
      </c>
      <c r="O1794" s="10" t="str">
        <f aca="false">IF($B1794="","",IFERROR(INDEX(Drinks!$E$4:$E$53,MATCH($B1794,Drinks!$A$4:$A$53,0)),0))</f>
        <v/>
      </c>
      <c r="P1794" s="10" t="str">
        <f aca="false">IF($B1794="","",$N1794*$O1794)</f>
        <v/>
      </c>
      <c r="Q1794" s="10" t="str">
        <f aca="false">IF($B1794="","",$N1794*IFERROR(INDEX(Drinks!$D$4:$D$53,MATCH($B1794,Drinks!$A$4:$A$53,0)),0))</f>
        <v/>
      </c>
      <c r="R1794" s="10" t="str">
        <f aca="false">IF($B1794="","",$P1794-$Q1794)</f>
        <v/>
      </c>
      <c r="S1794" s="23" t="str">
        <f aca="false">IF($B1794="","",IF(COUNTIFS($A$4:$A$2003,$A1794-1,$B$4:$B$2003,$B1794)=0,"first day",IF(SUMIFS($M$4:$M$2003,$A$4:$A$2003,$A1794-1,$B$4:$B$2003,$B1794)=$J1794,"OK","CHECK")))</f>
        <v/>
      </c>
      <c r="T1794" s="10" t="str">
        <f aca="false">IF($B1794="","",IFERROR(INDEX(Drinks!$D$4:$D$53,MATCH($B1794,Drinks!$A$4:$A$53,0)),0))</f>
        <v/>
      </c>
    </row>
    <row r="1795" customFormat="false" ht="15" hidden="false" customHeight="false" outlineLevel="0" collapsed="false">
      <c r="A1795" s="22"/>
      <c r="B1795" s="9"/>
      <c r="C1795" s="9"/>
      <c r="D1795" s="9"/>
      <c r="E1795" s="9"/>
      <c r="F1795" s="10" t="str">
        <f aca="false">IF($B1795="","",$C1795+$D1795-$E1795)</f>
        <v/>
      </c>
      <c r="G1795" s="10" t="str">
        <f aca="false">IF($B1795="","",IFERROR(INDEX(Drinks!$C$4:$C$53,MATCH($B1795,Drinks!$A$4:$A$53,0)),0))</f>
        <v/>
      </c>
      <c r="H1795" s="10" t="str">
        <f aca="false">IF($B1795="","",$D1795*$G1795)</f>
        <v/>
      </c>
      <c r="I1795" s="10" t="str">
        <f aca="false">IF($B1795="","",$F1795*$G1795)</f>
        <v/>
      </c>
      <c r="J1795" s="9"/>
      <c r="K1795" s="10" t="str">
        <f aca="false">IF($B1795="","",$E1795*IFERROR(INDEX(Drinks!$B$4:$B$53,MATCH($B1795,Drinks!$A$4:$A$53,0)),0))</f>
        <v/>
      </c>
      <c r="L1795" s="10" t="str">
        <f aca="false">IF($B1795="","",$J1795+$K1795)</f>
        <v/>
      </c>
      <c r="M1795" s="9"/>
      <c r="N1795" s="10" t="str">
        <f aca="false">IF($B1795="","",$L1795-$M1795)</f>
        <v/>
      </c>
      <c r="O1795" s="10" t="str">
        <f aca="false">IF($B1795="","",IFERROR(INDEX(Drinks!$E$4:$E$53,MATCH($B1795,Drinks!$A$4:$A$53,0)),0))</f>
        <v/>
      </c>
      <c r="P1795" s="10" t="str">
        <f aca="false">IF($B1795="","",$N1795*$O1795)</f>
        <v/>
      </c>
      <c r="Q1795" s="10" t="str">
        <f aca="false">IF($B1795="","",$N1795*IFERROR(INDEX(Drinks!$D$4:$D$53,MATCH($B1795,Drinks!$A$4:$A$53,0)),0))</f>
        <v/>
      </c>
      <c r="R1795" s="10" t="str">
        <f aca="false">IF($B1795="","",$P1795-$Q1795)</f>
        <v/>
      </c>
      <c r="S1795" s="23" t="str">
        <f aca="false">IF($B1795="","",IF(COUNTIFS($A$4:$A$2003,$A1795-1,$B$4:$B$2003,$B1795)=0,"first day",IF(SUMIFS($M$4:$M$2003,$A$4:$A$2003,$A1795-1,$B$4:$B$2003,$B1795)=$J1795,"OK","CHECK")))</f>
        <v/>
      </c>
      <c r="T1795" s="10" t="str">
        <f aca="false">IF($B1795="","",IFERROR(INDEX(Drinks!$D$4:$D$53,MATCH($B1795,Drinks!$A$4:$A$53,0)),0))</f>
        <v/>
      </c>
    </row>
    <row r="1796" customFormat="false" ht="15" hidden="false" customHeight="false" outlineLevel="0" collapsed="false">
      <c r="A1796" s="22"/>
      <c r="B1796" s="9"/>
      <c r="C1796" s="9"/>
      <c r="D1796" s="9"/>
      <c r="E1796" s="9"/>
      <c r="F1796" s="10" t="str">
        <f aca="false">IF($B1796="","",$C1796+$D1796-$E1796)</f>
        <v/>
      </c>
      <c r="G1796" s="10" t="str">
        <f aca="false">IF($B1796="","",IFERROR(INDEX(Drinks!$C$4:$C$53,MATCH($B1796,Drinks!$A$4:$A$53,0)),0))</f>
        <v/>
      </c>
      <c r="H1796" s="10" t="str">
        <f aca="false">IF($B1796="","",$D1796*$G1796)</f>
        <v/>
      </c>
      <c r="I1796" s="10" t="str">
        <f aca="false">IF($B1796="","",$F1796*$G1796)</f>
        <v/>
      </c>
      <c r="J1796" s="9"/>
      <c r="K1796" s="10" t="str">
        <f aca="false">IF($B1796="","",$E1796*IFERROR(INDEX(Drinks!$B$4:$B$53,MATCH($B1796,Drinks!$A$4:$A$53,0)),0))</f>
        <v/>
      </c>
      <c r="L1796" s="10" t="str">
        <f aca="false">IF($B1796="","",$J1796+$K1796)</f>
        <v/>
      </c>
      <c r="M1796" s="9"/>
      <c r="N1796" s="10" t="str">
        <f aca="false">IF($B1796="","",$L1796-$M1796)</f>
        <v/>
      </c>
      <c r="O1796" s="10" t="str">
        <f aca="false">IF($B1796="","",IFERROR(INDEX(Drinks!$E$4:$E$53,MATCH($B1796,Drinks!$A$4:$A$53,0)),0))</f>
        <v/>
      </c>
      <c r="P1796" s="10" t="str">
        <f aca="false">IF($B1796="","",$N1796*$O1796)</f>
        <v/>
      </c>
      <c r="Q1796" s="10" t="str">
        <f aca="false">IF($B1796="","",$N1796*IFERROR(INDEX(Drinks!$D$4:$D$53,MATCH($B1796,Drinks!$A$4:$A$53,0)),0))</f>
        <v/>
      </c>
      <c r="R1796" s="10" t="str">
        <f aca="false">IF($B1796="","",$P1796-$Q1796)</f>
        <v/>
      </c>
      <c r="S1796" s="23" t="str">
        <f aca="false">IF($B1796="","",IF(COUNTIFS($A$4:$A$2003,$A1796-1,$B$4:$B$2003,$B1796)=0,"first day",IF(SUMIFS($M$4:$M$2003,$A$4:$A$2003,$A1796-1,$B$4:$B$2003,$B1796)=$J1796,"OK","CHECK")))</f>
        <v/>
      </c>
      <c r="T1796" s="10" t="str">
        <f aca="false">IF($B1796="","",IFERROR(INDEX(Drinks!$D$4:$D$53,MATCH($B1796,Drinks!$A$4:$A$53,0)),0))</f>
        <v/>
      </c>
    </row>
    <row r="1797" customFormat="false" ht="15" hidden="false" customHeight="false" outlineLevel="0" collapsed="false">
      <c r="A1797" s="22"/>
      <c r="B1797" s="9"/>
      <c r="C1797" s="9"/>
      <c r="D1797" s="9"/>
      <c r="E1797" s="9"/>
      <c r="F1797" s="10" t="str">
        <f aca="false">IF($B1797="","",$C1797+$D1797-$E1797)</f>
        <v/>
      </c>
      <c r="G1797" s="10" t="str">
        <f aca="false">IF($B1797="","",IFERROR(INDEX(Drinks!$C$4:$C$53,MATCH($B1797,Drinks!$A$4:$A$53,0)),0))</f>
        <v/>
      </c>
      <c r="H1797" s="10" t="str">
        <f aca="false">IF($B1797="","",$D1797*$G1797)</f>
        <v/>
      </c>
      <c r="I1797" s="10" t="str">
        <f aca="false">IF($B1797="","",$F1797*$G1797)</f>
        <v/>
      </c>
      <c r="J1797" s="9"/>
      <c r="K1797" s="10" t="str">
        <f aca="false">IF($B1797="","",$E1797*IFERROR(INDEX(Drinks!$B$4:$B$53,MATCH($B1797,Drinks!$A$4:$A$53,0)),0))</f>
        <v/>
      </c>
      <c r="L1797" s="10" t="str">
        <f aca="false">IF($B1797="","",$J1797+$K1797)</f>
        <v/>
      </c>
      <c r="M1797" s="9"/>
      <c r="N1797" s="10" t="str">
        <f aca="false">IF($B1797="","",$L1797-$M1797)</f>
        <v/>
      </c>
      <c r="O1797" s="10" t="str">
        <f aca="false">IF($B1797="","",IFERROR(INDEX(Drinks!$E$4:$E$53,MATCH($B1797,Drinks!$A$4:$A$53,0)),0))</f>
        <v/>
      </c>
      <c r="P1797" s="10" t="str">
        <f aca="false">IF($B1797="","",$N1797*$O1797)</f>
        <v/>
      </c>
      <c r="Q1797" s="10" t="str">
        <f aca="false">IF($B1797="","",$N1797*IFERROR(INDEX(Drinks!$D$4:$D$53,MATCH($B1797,Drinks!$A$4:$A$53,0)),0))</f>
        <v/>
      </c>
      <c r="R1797" s="10" t="str">
        <f aca="false">IF($B1797="","",$P1797-$Q1797)</f>
        <v/>
      </c>
      <c r="S1797" s="23" t="str">
        <f aca="false">IF($B1797="","",IF(COUNTIFS($A$4:$A$2003,$A1797-1,$B$4:$B$2003,$B1797)=0,"first day",IF(SUMIFS($M$4:$M$2003,$A$4:$A$2003,$A1797-1,$B$4:$B$2003,$B1797)=$J1797,"OK","CHECK")))</f>
        <v/>
      </c>
      <c r="T1797" s="10" t="str">
        <f aca="false">IF($B1797="","",IFERROR(INDEX(Drinks!$D$4:$D$53,MATCH($B1797,Drinks!$A$4:$A$53,0)),0))</f>
        <v/>
      </c>
    </row>
    <row r="1798" customFormat="false" ht="15" hidden="false" customHeight="false" outlineLevel="0" collapsed="false">
      <c r="A1798" s="22"/>
      <c r="B1798" s="9"/>
      <c r="C1798" s="9"/>
      <c r="D1798" s="9"/>
      <c r="E1798" s="9"/>
      <c r="F1798" s="10" t="str">
        <f aca="false">IF($B1798="","",$C1798+$D1798-$E1798)</f>
        <v/>
      </c>
      <c r="G1798" s="10" t="str">
        <f aca="false">IF($B1798="","",IFERROR(INDEX(Drinks!$C$4:$C$53,MATCH($B1798,Drinks!$A$4:$A$53,0)),0))</f>
        <v/>
      </c>
      <c r="H1798" s="10" t="str">
        <f aca="false">IF($B1798="","",$D1798*$G1798)</f>
        <v/>
      </c>
      <c r="I1798" s="10" t="str">
        <f aca="false">IF($B1798="","",$F1798*$G1798)</f>
        <v/>
      </c>
      <c r="J1798" s="9"/>
      <c r="K1798" s="10" t="str">
        <f aca="false">IF($B1798="","",$E1798*IFERROR(INDEX(Drinks!$B$4:$B$53,MATCH($B1798,Drinks!$A$4:$A$53,0)),0))</f>
        <v/>
      </c>
      <c r="L1798" s="10" t="str">
        <f aca="false">IF($B1798="","",$J1798+$K1798)</f>
        <v/>
      </c>
      <c r="M1798" s="9"/>
      <c r="N1798" s="10" t="str">
        <f aca="false">IF($B1798="","",$L1798-$M1798)</f>
        <v/>
      </c>
      <c r="O1798" s="10" t="str">
        <f aca="false">IF($B1798="","",IFERROR(INDEX(Drinks!$E$4:$E$53,MATCH($B1798,Drinks!$A$4:$A$53,0)),0))</f>
        <v/>
      </c>
      <c r="P1798" s="10" t="str">
        <f aca="false">IF($B1798="","",$N1798*$O1798)</f>
        <v/>
      </c>
      <c r="Q1798" s="10" t="str">
        <f aca="false">IF($B1798="","",$N1798*IFERROR(INDEX(Drinks!$D$4:$D$53,MATCH($B1798,Drinks!$A$4:$A$53,0)),0))</f>
        <v/>
      </c>
      <c r="R1798" s="10" t="str">
        <f aca="false">IF($B1798="","",$P1798-$Q1798)</f>
        <v/>
      </c>
      <c r="S1798" s="23" t="str">
        <f aca="false">IF($B1798="","",IF(COUNTIFS($A$4:$A$2003,$A1798-1,$B$4:$B$2003,$B1798)=0,"first day",IF(SUMIFS($M$4:$M$2003,$A$4:$A$2003,$A1798-1,$B$4:$B$2003,$B1798)=$J1798,"OK","CHECK")))</f>
        <v/>
      </c>
      <c r="T1798" s="10" t="str">
        <f aca="false">IF($B1798="","",IFERROR(INDEX(Drinks!$D$4:$D$53,MATCH($B1798,Drinks!$A$4:$A$53,0)),0))</f>
        <v/>
      </c>
    </row>
    <row r="1799" customFormat="false" ht="15" hidden="false" customHeight="false" outlineLevel="0" collapsed="false">
      <c r="A1799" s="22"/>
      <c r="B1799" s="9"/>
      <c r="C1799" s="9"/>
      <c r="D1799" s="9"/>
      <c r="E1799" s="9"/>
      <c r="F1799" s="10" t="str">
        <f aca="false">IF($B1799="","",$C1799+$D1799-$E1799)</f>
        <v/>
      </c>
      <c r="G1799" s="10" t="str">
        <f aca="false">IF($B1799="","",IFERROR(INDEX(Drinks!$C$4:$C$53,MATCH($B1799,Drinks!$A$4:$A$53,0)),0))</f>
        <v/>
      </c>
      <c r="H1799" s="10" t="str">
        <f aca="false">IF($B1799="","",$D1799*$G1799)</f>
        <v/>
      </c>
      <c r="I1799" s="10" t="str">
        <f aca="false">IF($B1799="","",$F1799*$G1799)</f>
        <v/>
      </c>
      <c r="J1799" s="9"/>
      <c r="K1799" s="10" t="str">
        <f aca="false">IF($B1799="","",$E1799*IFERROR(INDEX(Drinks!$B$4:$B$53,MATCH($B1799,Drinks!$A$4:$A$53,0)),0))</f>
        <v/>
      </c>
      <c r="L1799" s="10" t="str">
        <f aca="false">IF($B1799="","",$J1799+$K1799)</f>
        <v/>
      </c>
      <c r="M1799" s="9"/>
      <c r="N1799" s="10" t="str">
        <f aca="false">IF($B1799="","",$L1799-$M1799)</f>
        <v/>
      </c>
      <c r="O1799" s="10" t="str">
        <f aca="false">IF($B1799="","",IFERROR(INDEX(Drinks!$E$4:$E$53,MATCH($B1799,Drinks!$A$4:$A$53,0)),0))</f>
        <v/>
      </c>
      <c r="P1799" s="10" t="str">
        <f aca="false">IF($B1799="","",$N1799*$O1799)</f>
        <v/>
      </c>
      <c r="Q1799" s="10" t="str">
        <f aca="false">IF($B1799="","",$N1799*IFERROR(INDEX(Drinks!$D$4:$D$53,MATCH($B1799,Drinks!$A$4:$A$53,0)),0))</f>
        <v/>
      </c>
      <c r="R1799" s="10" t="str">
        <f aca="false">IF($B1799="","",$P1799-$Q1799)</f>
        <v/>
      </c>
      <c r="S1799" s="23" t="str">
        <f aca="false">IF($B1799="","",IF(COUNTIFS($A$4:$A$2003,$A1799-1,$B$4:$B$2003,$B1799)=0,"first day",IF(SUMIFS($M$4:$M$2003,$A$4:$A$2003,$A1799-1,$B$4:$B$2003,$B1799)=$J1799,"OK","CHECK")))</f>
        <v/>
      </c>
      <c r="T1799" s="10" t="str">
        <f aca="false">IF($B1799="","",IFERROR(INDEX(Drinks!$D$4:$D$53,MATCH($B1799,Drinks!$A$4:$A$53,0)),0))</f>
        <v/>
      </c>
    </row>
    <row r="1800" customFormat="false" ht="15" hidden="false" customHeight="false" outlineLevel="0" collapsed="false">
      <c r="A1800" s="22"/>
      <c r="B1800" s="9"/>
      <c r="C1800" s="9"/>
      <c r="D1800" s="9"/>
      <c r="E1800" s="9"/>
      <c r="F1800" s="10" t="str">
        <f aca="false">IF($B1800="","",$C1800+$D1800-$E1800)</f>
        <v/>
      </c>
      <c r="G1800" s="10" t="str">
        <f aca="false">IF($B1800="","",IFERROR(INDEX(Drinks!$C$4:$C$53,MATCH($B1800,Drinks!$A$4:$A$53,0)),0))</f>
        <v/>
      </c>
      <c r="H1800" s="10" t="str">
        <f aca="false">IF($B1800="","",$D1800*$G1800)</f>
        <v/>
      </c>
      <c r="I1800" s="10" t="str">
        <f aca="false">IF($B1800="","",$F1800*$G1800)</f>
        <v/>
      </c>
      <c r="J1800" s="9"/>
      <c r="K1800" s="10" t="str">
        <f aca="false">IF($B1800="","",$E1800*IFERROR(INDEX(Drinks!$B$4:$B$53,MATCH($B1800,Drinks!$A$4:$A$53,0)),0))</f>
        <v/>
      </c>
      <c r="L1800" s="10" t="str">
        <f aca="false">IF($B1800="","",$J1800+$K1800)</f>
        <v/>
      </c>
      <c r="M1800" s="9"/>
      <c r="N1800" s="10" t="str">
        <f aca="false">IF($B1800="","",$L1800-$M1800)</f>
        <v/>
      </c>
      <c r="O1800" s="10" t="str">
        <f aca="false">IF($B1800="","",IFERROR(INDEX(Drinks!$E$4:$E$53,MATCH($B1800,Drinks!$A$4:$A$53,0)),0))</f>
        <v/>
      </c>
      <c r="P1800" s="10" t="str">
        <f aca="false">IF($B1800="","",$N1800*$O1800)</f>
        <v/>
      </c>
      <c r="Q1800" s="10" t="str">
        <f aca="false">IF($B1800="","",$N1800*IFERROR(INDEX(Drinks!$D$4:$D$53,MATCH($B1800,Drinks!$A$4:$A$53,0)),0))</f>
        <v/>
      </c>
      <c r="R1800" s="10" t="str">
        <f aca="false">IF($B1800="","",$P1800-$Q1800)</f>
        <v/>
      </c>
      <c r="S1800" s="23" t="str">
        <f aca="false">IF($B1800="","",IF(COUNTIFS($A$4:$A$2003,$A1800-1,$B$4:$B$2003,$B1800)=0,"first day",IF(SUMIFS($M$4:$M$2003,$A$4:$A$2003,$A1800-1,$B$4:$B$2003,$B1800)=$J1800,"OK","CHECK")))</f>
        <v/>
      </c>
      <c r="T1800" s="10" t="str">
        <f aca="false">IF($B1800="","",IFERROR(INDEX(Drinks!$D$4:$D$53,MATCH($B1800,Drinks!$A$4:$A$53,0)),0))</f>
        <v/>
      </c>
    </row>
    <row r="1801" customFormat="false" ht="15" hidden="false" customHeight="false" outlineLevel="0" collapsed="false">
      <c r="A1801" s="22"/>
      <c r="B1801" s="9"/>
      <c r="C1801" s="9"/>
      <c r="D1801" s="9"/>
      <c r="E1801" s="9"/>
      <c r="F1801" s="10" t="str">
        <f aca="false">IF($B1801="","",$C1801+$D1801-$E1801)</f>
        <v/>
      </c>
      <c r="G1801" s="10" t="str">
        <f aca="false">IF($B1801="","",IFERROR(INDEX(Drinks!$C$4:$C$53,MATCH($B1801,Drinks!$A$4:$A$53,0)),0))</f>
        <v/>
      </c>
      <c r="H1801" s="10" t="str">
        <f aca="false">IF($B1801="","",$D1801*$G1801)</f>
        <v/>
      </c>
      <c r="I1801" s="10" t="str">
        <f aca="false">IF($B1801="","",$F1801*$G1801)</f>
        <v/>
      </c>
      <c r="J1801" s="9"/>
      <c r="K1801" s="10" t="str">
        <f aca="false">IF($B1801="","",$E1801*IFERROR(INDEX(Drinks!$B$4:$B$53,MATCH($B1801,Drinks!$A$4:$A$53,0)),0))</f>
        <v/>
      </c>
      <c r="L1801" s="10" t="str">
        <f aca="false">IF($B1801="","",$J1801+$K1801)</f>
        <v/>
      </c>
      <c r="M1801" s="9"/>
      <c r="N1801" s="10" t="str">
        <f aca="false">IF($B1801="","",$L1801-$M1801)</f>
        <v/>
      </c>
      <c r="O1801" s="10" t="str">
        <f aca="false">IF($B1801="","",IFERROR(INDEX(Drinks!$E$4:$E$53,MATCH($B1801,Drinks!$A$4:$A$53,0)),0))</f>
        <v/>
      </c>
      <c r="P1801" s="10" t="str">
        <f aca="false">IF($B1801="","",$N1801*$O1801)</f>
        <v/>
      </c>
      <c r="Q1801" s="10" t="str">
        <f aca="false">IF($B1801="","",$N1801*IFERROR(INDEX(Drinks!$D$4:$D$53,MATCH($B1801,Drinks!$A$4:$A$53,0)),0))</f>
        <v/>
      </c>
      <c r="R1801" s="10" t="str">
        <f aca="false">IF($B1801="","",$P1801-$Q1801)</f>
        <v/>
      </c>
      <c r="S1801" s="23" t="str">
        <f aca="false">IF($B1801="","",IF(COUNTIFS($A$4:$A$2003,$A1801-1,$B$4:$B$2003,$B1801)=0,"first day",IF(SUMIFS($M$4:$M$2003,$A$4:$A$2003,$A1801-1,$B$4:$B$2003,$B1801)=$J1801,"OK","CHECK")))</f>
        <v/>
      </c>
      <c r="T1801" s="10" t="str">
        <f aca="false">IF($B1801="","",IFERROR(INDEX(Drinks!$D$4:$D$53,MATCH($B1801,Drinks!$A$4:$A$53,0)),0))</f>
        <v/>
      </c>
    </row>
    <row r="1802" customFormat="false" ht="15" hidden="false" customHeight="false" outlineLevel="0" collapsed="false">
      <c r="A1802" s="22"/>
      <c r="B1802" s="9"/>
      <c r="C1802" s="9"/>
      <c r="D1802" s="9"/>
      <c r="E1802" s="9"/>
      <c r="F1802" s="10" t="str">
        <f aca="false">IF($B1802="","",$C1802+$D1802-$E1802)</f>
        <v/>
      </c>
      <c r="G1802" s="10" t="str">
        <f aca="false">IF($B1802="","",IFERROR(INDEX(Drinks!$C$4:$C$53,MATCH($B1802,Drinks!$A$4:$A$53,0)),0))</f>
        <v/>
      </c>
      <c r="H1802" s="10" t="str">
        <f aca="false">IF($B1802="","",$D1802*$G1802)</f>
        <v/>
      </c>
      <c r="I1802" s="10" t="str">
        <f aca="false">IF($B1802="","",$F1802*$G1802)</f>
        <v/>
      </c>
      <c r="J1802" s="9"/>
      <c r="K1802" s="10" t="str">
        <f aca="false">IF($B1802="","",$E1802*IFERROR(INDEX(Drinks!$B$4:$B$53,MATCH($B1802,Drinks!$A$4:$A$53,0)),0))</f>
        <v/>
      </c>
      <c r="L1802" s="10" t="str">
        <f aca="false">IF($B1802="","",$J1802+$K1802)</f>
        <v/>
      </c>
      <c r="M1802" s="9"/>
      <c r="N1802" s="10" t="str">
        <f aca="false">IF($B1802="","",$L1802-$M1802)</f>
        <v/>
      </c>
      <c r="O1802" s="10" t="str">
        <f aca="false">IF($B1802="","",IFERROR(INDEX(Drinks!$E$4:$E$53,MATCH($B1802,Drinks!$A$4:$A$53,0)),0))</f>
        <v/>
      </c>
      <c r="P1802" s="10" t="str">
        <f aca="false">IF($B1802="","",$N1802*$O1802)</f>
        <v/>
      </c>
      <c r="Q1802" s="10" t="str">
        <f aca="false">IF($B1802="","",$N1802*IFERROR(INDEX(Drinks!$D$4:$D$53,MATCH($B1802,Drinks!$A$4:$A$53,0)),0))</f>
        <v/>
      </c>
      <c r="R1802" s="10" t="str">
        <f aca="false">IF($B1802="","",$P1802-$Q1802)</f>
        <v/>
      </c>
      <c r="S1802" s="23" t="str">
        <f aca="false">IF($B1802="","",IF(COUNTIFS($A$4:$A$2003,$A1802-1,$B$4:$B$2003,$B1802)=0,"first day",IF(SUMIFS($M$4:$M$2003,$A$4:$A$2003,$A1802-1,$B$4:$B$2003,$B1802)=$J1802,"OK","CHECK")))</f>
        <v/>
      </c>
      <c r="T1802" s="10" t="str">
        <f aca="false">IF($B1802="","",IFERROR(INDEX(Drinks!$D$4:$D$53,MATCH($B1802,Drinks!$A$4:$A$53,0)),0))</f>
        <v/>
      </c>
    </row>
    <row r="1803" customFormat="false" ht="15" hidden="false" customHeight="false" outlineLevel="0" collapsed="false">
      <c r="A1803" s="22"/>
      <c r="B1803" s="9"/>
      <c r="C1803" s="9"/>
      <c r="D1803" s="9"/>
      <c r="E1803" s="9"/>
      <c r="F1803" s="10" t="str">
        <f aca="false">IF($B1803="","",$C1803+$D1803-$E1803)</f>
        <v/>
      </c>
      <c r="G1803" s="10" t="str">
        <f aca="false">IF($B1803="","",IFERROR(INDEX(Drinks!$C$4:$C$53,MATCH($B1803,Drinks!$A$4:$A$53,0)),0))</f>
        <v/>
      </c>
      <c r="H1803" s="10" t="str">
        <f aca="false">IF($B1803="","",$D1803*$G1803)</f>
        <v/>
      </c>
      <c r="I1803" s="10" t="str">
        <f aca="false">IF($B1803="","",$F1803*$G1803)</f>
        <v/>
      </c>
      <c r="J1803" s="9"/>
      <c r="K1803" s="10" t="str">
        <f aca="false">IF($B1803="","",$E1803*IFERROR(INDEX(Drinks!$B$4:$B$53,MATCH($B1803,Drinks!$A$4:$A$53,0)),0))</f>
        <v/>
      </c>
      <c r="L1803" s="10" t="str">
        <f aca="false">IF($B1803="","",$J1803+$K1803)</f>
        <v/>
      </c>
      <c r="M1803" s="9"/>
      <c r="N1803" s="10" t="str">
        <f aca="false">IF($B1803="","",$L1803-$M1803)</f>
        <v/>
      </c>
      <c r="O1803" s="10" t="str">
        <f aca="false">IF($B1803="","",IFERROR(INDEX(Drinks!$E$4:$E$53,MATCH($B1803,Drinks!$A$4:$A$53,0)),0))</f>
        <v/>
      </c>
      <c r="P1803" s="10" t="str">
        <f aca="false">IF($B1803="","",$N1803*$O1803)</f>
        <v/>
      </c>
      <c r="Q1803" s="10" t="str">
        <f aca="false">IF($B1803="","",$N1803*IFERROR(INDEX(Drinks!$D$4:$D$53,MATCH($B1803,Drinks!$A$4:$A$53,0)),0))</f>
        <v/>
      </c>
      <c r="R1803" s="10" t="str">
        <f aca="false">IF($B1803="","",$P1803-$Q1803)</f>
        <v/>
      </c>
      <c r="S1803" s="23" t="str">
        <f aca="false">IF($B1803="","",IF(COUNTIFS($A$4:$A$2003,$A1803-1,$B$4:$B$2003,$B1803)=0,"first day",IF(SUMIFS($M$4:$M$2003,$A$4:$A$2003,$A1803-1,$B$4:$B$2003,$B1803)=$J1803,"OK","CHECK")))</f>
        <v/>
      </c>
      <c r="T1803" s="10" t="str">
        <f aca="false">IF($B1803="","",IFERROR(INDEX(Drinks!$D$4:$D$53,MATCH($B1803,Drinks!$A$4:$A$53,0)),0))</f>
        <v/>
      </c>
    </row>
    <row r="1804" customFormat="false" ht="15" hidden="false" customHeight="false" outlineLevel="0" collapsed="false">
      <c r="A1804" s="22"/>
      <c r="B1804" s="9"/>
      <c r="C1804" s="9"/>
      <c r="D1804" s="9"/>
      <c r="E1804" s="9"/>
      <c r="F1804" s="10" t="str">
        <f aca="false">IF($B1804="","",$C1804+$D1804-$E1804)</f>
        <v/>
      </c>
      <c r="G1804" s="10" t="str">
        <f aca="false">IF($B1804="","",IFERROR(INDEX(Drinks!$C$4:$C$53,MATCH($B1804,Drinks!$A$4:$A$53,0)),0))</f>
        <v/>
      </c>
      <c r="H1804" s="10" t="str">
        <f aca="false">IF($B1804="","",$D1804*$G1804)</f>
        <v/>
      </c>
      <c r="I1804" s="10" t="str">
        <f aca="false">IF($B1804="","",$F1804*$G1804)</f>
        <v/>
      </c>
      <c r="J1804" s="9"/>
      <c r="K1804" s="10" t="str">
        <f aca="false">IF($B1804="","",$E1804*IFERROR(INDEX(Drinks!$B$4:$B$53,MATCH($B1804,Drinks!$A$4:$A$53,0)),0))</f>
        <v/>
      </c>
      <c r="L1804" s="10" t="str">
        <f aca="false">IF($B1804="","",$J1804+$K1804)</f>
        <v/>
      </c>
      <c r="M1804" s="9"/>
      <c r="N1804" s="10" t="str">
        <f aca="false">IF($B1804="","",$L1804-$M1804)</f>
        <v/>
      </c>
      <c r="O1804" s="10" t="str">
        <f aca="false">IF($B1804="","",IFERROR(INDEX(Drinks!$E$4:$E$53,MATCH($B1804,Drinks!$A$4:$A$53,0)),0))</f>
        <v/>
      </c>
      <c r="P1804" s="10" t="str">
        <f aca="false">IF($B1804="","",$N1804*$O1804)</f>
        <v/>
      </c>
      <c r="Q1804" s="10" t="str">
        <f aca="false">IF($B1804="","",$N1804*IFERROR(INDEX(Drinks!$D$4:$D$53,MATCH($B1804,Drinks!$A$4:$A$53,0)),0))</f>
        <v/>
      </c>
      <c r="R1804" s="10" t="str">
        <f aca="false">IF($B1804="","",$P1804-$Q1804)</f>
        <v/>
      </c>
      <c r="S1804" s="23" t="str">
        <f aca="false">IF($B1804="","",IF(COUNTIFS($A$4:$A$2003,$A1804-1,$B$4:$B$2003,$B1804)=0,"first day",IF(SUMIFS($M$4:$M$2003,$A$4:$A$2003,$A1804-1,$B$4:$B$2003,$B1804)=$J1804,"OK","CHECK")))</f>
        <v/>
      </c>
      <c r="T1804" s="10" t="str">
        <f aca="false">IF($B1804="","",IFERROR(INDEX(Drinks!$D$4:$D$53,MATCH($B1804,Drinks!$A$4:$A$53,0)),0))</f>
        <v/>
      </c>
    </row>
    <row r="1805" customFormat="false" ht="15" hidden="false" customHeight="false" outlineLevel="0" collapsed="false">
      <c r="A1805" s="22"/>
      <c r="B1805" s="9"/>
      <c r="C1805" s="9"/>
      <c r="D1805" s="9"/>
      <c r="E1805" s="9"/>
      <c r="F1805" s="10" t="str">
        <f aca="false">IF($B1805="","",$C1805+$D1805-$E1805)</f>
        <v/>
      </c>
      <c r="G1805" s="10" t="str">
        <f aca="false">IF($B1805="","",IFERROR(INDEX(Drinks!$C$4:$C$53,MATCH($B1805,Drinks!$A$4:$A$53,0)),0))</f>
        <v/>
      </c>
      <c r="H1805" s="10" t="str">
        <f aca="false">IF($B1805="","",$D1805*$G1805)</f>
        <v/>
      </c>
      <c r="I1805" s="10" t="str">
        <f aca="false">IF($B1805="","",$F1805*$G1805)</f>
        <v/>
      </c>
      <c r="J1805" s="9"/>
      <c r="K1805" s="10" t="str">
        <f aca="false">IF($B1805="","",$E1805*IFERROR(INDEX(Drinks!$B$4:$B$53,MATCH($B1805,Drinks!$A$4:$A$53,0)),0))</f>
        <v/>
      </c>
      <c r="L1805" s="10" t="str">
        <f aca="false">IF($B1805="","",$J1805+$K1805)</f>
        <v/>
      </c>
      <c r="M1805" s="9"/>
      <c r="N1805" s="10" t="str">
        <f aca="false">IF($B1805="","",$L1805-$M1805)</f>
        <v/>
      </c>
      <c r="O1805" s="10" t="str">
        <f aca="false">IF($B1805="","",IFERROR(INDEX(Drinks!$E$4:$E$53,MATCH($B1805,Drinks!$A$4:$A$53,0)),0))</f>
        <v/>
      </c>
      <c r="P1805" s="10" t="str">
        <f aca="false">IF($B1805="","",$N1805*$O1805)</f>
        <v/>
      </c>
      <c r="Q1805" s="10" t="str">
        <f aca="false">IF($B1805="","",$N1805*IFERROR(INDEX(Drinks!$D$4:$D$53,MATCH($B1805,Drinks!$A$4:$A$53,0)),0))</f>
        <v/>
      </c>
      <c r="R1805" s="10" t="str">
        <f aca="false">IF($B1805="","",$P1805-$Q1805)</f>
        <v/>
      </c>
      <c r="S1805" s="23" t="str">
        <f aca="false">IF($B1805="","",IF(COUNTIFS($A$4:$A$2003,$A1805-1,$B$4:$B$2003,$B1805)=0,"first day",IF(SUMIFS($M$4:$M$2003,$A$4:$A$2003,$A1805-1,$B$4:$B$2003,$B1805)=$J1805,"OK","CHECK")))</f>
        <v/>
      </c>
      <c r="T1805" s="10" t="str">
        <f aca="false">IF($B1805="","",IFERROR(INDEX(Drinks!$D$4:$D$53,MATCH($B1805,Drinks!$A$4:$A$53,0)),0))</f>
        <v/>
      </c>
    </row>
    <row r="1806" customFormat="false" ht="15" hidden="false" customHeight="false" outlineLevel="0" collapsed="false">
      <c r="A1806" s="22"/>
      <c r="B1806" s="9"/>
      <c r="C1806" s="9"/>
      <c r="D1806" s="9"/>
      <c r="E1806" s="9"/>
      <c r="F1806" s="10" t="str">
        <f aca="false">IF($B1806="","",$C1806+$D1806-$E1806)</f>
        <v/>
      </c>
      <c r="G1806" s="10" t="str">
        <f aca="false">IF($B1806="","",IFERROR(INDEX(Drinks!$C$4:$C$53,MATCH($B1806,Drinks!$A$4:$A$53,0)),0))</f>
        <v/>
      </c>
      <c r="H1806" s="10" t="str">
        <f aca="false">IF($B1806="","",$D1806*$G1806)</f>
        <v/>
      </c>
      <c r="I1806" s="10" t="str">
        <f aca="false">IF($B1806="","",$F1806*$G1806)</f>
        <v/>
      </c>
      <c r="J1806" s="9"/>
      <c r="K1806" s="10" t="str">
        <f aca="false">IF($B1806="","",$E1806*IFERROR(INDEX(Drinks!$B$4:$B$53,MATCH($B1806,Drinks!$A$4:$A$53,0)),0))</f>
        <v/>
      </c>
      <c r="L1806" s="10" t="str">
        <f aca="false">IF($B1806="","",$J1806+$K1806)</f>
        <v/>
      </c>
      <c r="M1806" s="9"/>
      <c r="N1806" s="10" t="str">
        <f aca="false">IF($B1806="","",$L1806-$M1806)</f>
        <v/>
      </c>
      <c r="O1806" s="10" t="str">
        <f aca="false">IF($B1806="","",IFERROR(INDEX(Drinks!$E$4:$E$53,MATCH($B1806,Drinks!$A$4:$A$53,0)),0))</f>
        <v/>
      </c>
      <c r="P1806" s="10" t="str">
        <f aca="false">IF($B1806="","",$N1806*$O1806)</f>
        <v/>
      </c>
      <c r="Q1806" s="10" t="str">
        <f aca="false">IF($B1806="","",$N1806*IFERROR(INDEX(Drinks!$D$4:$D$53,MATCH($B1806,Drinks!$A$4:$A$53,0)),0))</f>
        <v/>
      </c>
      <c r="R1806" s="10" t="str">
        <f aca="false">IF($B1806="","",$P1806-$Q1806)</f>
        <v/>
      </c>
      <c r="S1806" s="23" t="str">
        <f aca="false">IF($B1806="","",IF(COUNTIFS($A$4:$A$2003,$A1806-1,$B$4:$B$2003,$B1806)=0,"first day",IF(SUMIFS($M$4:$M$2003,$A$4:$A$2003,$A1806-1,$B$4:$B$2003,$B1806)=$J1806,"OK","CHECK")))</f>
        <v/>
      </c>
      <c r="T1806" s="10" t="str">
        <f aca="false">IF($B1806="","",IFERROR(INDEX(Drinks!$D$4:$D$53,MATCH($B1806,Drinks!$A$4:$A$53,0)),0))</f>
        <v/>
      </c>
    </row>
    <row r="1807" customFormat="false" ht="15" hidden="false" customHeight="false" outlineLevel="0" collapsed="false">
      <c r="A1807" s="22"/>
      <c r="B1807" s="9"/>
      <c r="C1807" s="9"/>
      <c r="D1807" s="9"/>
      <c r="E1807" s="9"/>
      <c r="F1807" s="10" t="str">
        <f aca="false">IF($B1807="","",$C1807+$D1807-$E1807)</f>
        <v/>
      </c>
      <c r="G1807" s="10" t="str">
        <f aca="false">IF($B1807="","",IFERROR(INDEX(Drinks!$C$4:$C$53,MATCH($B1807,Drinks!$A$4:$A$53,0)),0))</f>
        <v/>
      </c>
      <c r="H1807" s="10" t="str">
        <f aca="false">IF($B1807="","",$D1807*$G1807)</f>
        <v/>
      </c>
      <c r="I1807" s="10" t="str">
        <f aca="false">IF($B1807="","",$F1807*$G1807)</f>
        <v/>
      </c>
      <c r="J1807" s="9"/>
      <c r="K1807" s="10" t="str">
        <f aca="false">IF($B1807="","",$E1807*IFERROR(INDEX(Drinks!$B$4:$B$53,MATCH($B1807,Drinks!$A$4:$A$53,0)),0))</f>
        <v/>
      </c>
      <c r="L1807" s="10" t="str">
        <f aca="false">IF($B1807="","",$J1807+$K1807)</f>
        <v/>
      </c>
      <c r="M1807" s="9"/>
      <c r="N1807" s="10" t="str">
        <f aca="false">IF($B1807="","",$L1807-$M1807)</f>
        <v/>
      </c>
      <c r="O1807" s="10" t="str">
        <f aca="false">IF($B1807="","",IFERROR(INDEX(Drinks!$E$4:$E$53,MATCH($B1807,Drinks!$A$4:$A$53,0)),0))</f>
        <v/>
      </c>
      <c r="P1807" s="10" t="str">
        <f aca="false">IF($B1807="","",$N1807*$O1807)</f>
        <v/>
      </c>
      <c r="Q1807" s="10" t="str">
        <f aca="false">IF($B1807="","",$N1807*IFERROR(INDEX(Drinks!$D$4:$D$53,MATCH($B1807,Drinks!$A$4:$A$53,0)),0))</f>
        <v/>
      </c>
      <c r="R1807" s="10" t="str">
        <f aca="false">IF($B1807="","",$P1807-$Q1807)</f>
        <v/>
      </c>
      <c r="S1807" s="23" t="str">
        <f aca="false">IF($B1807="","",IF(COUNTIFS($A$4:$A$2003,$A1807-1,$B$4:$B$2003,$B1807)=0,"first day",IF(SUMIFS($M$4:$M$2003,$A$4:$A$2003,$A1807-1,$B$4:$B$2003,$B1807)=$J1807,"OK","CHECK")))</f>
        <v/>
      </c>
      <c r="T1807" s="10" t="str">
        <f aca="false">IF($B1807="","",IFERROR(INDEX(Drinks!$D$4:$D$53,MATCH($B1807,Drinks!$A$4:$A$53,0)),0))</f>
        <v/>
      </c>
    </row>
    <row r="1808" customFormat="false" ht="15" hidden="false" customHeight="false" outlineLevel="0" collapsed="false">
      <c r="A1808" s="22"/>
      <c r="B1808" s="9"/>
      <c r="C1808" s="9"/>
      <c r="D1808" s="9"/>
      <c r="E1808" s="9"/>
      <c r="F1808" s="10" t="str">
        <f aca="false">IF($B1808="","",$C1808+$D1808-$E1808)</f>
        <v/>
      </c>
      <c r="G1808" s="10" t="str">
        <f aca="false">IF($B1808="","",IFERROR(INDEX(Drinks!$C$4:$C$53,MATCH($B1808,Drinks!$A$4:$A$53,0)),0))</f>
        <v/>
      </c>
      <c r="H1808" s="10" t="str">
        <f aca="false">IF($B1808="","",$D1808*$G1808)</f>
        <v/>
      </c>
      <c r="I1808" s="10" t="str">
        <f aca="false">IF($B1808="","",$F1808*$G1808)</f>
        <v/>
      </c>
      <c r="J1808" s="9"/>
      <c r="K1808" s="10" t="str">
        <f aca="false">IF($B1808="","",$E1808*IFERROR(INDEX(Drinks!$B$4:$B$53,MATCH($B1808,Drinks!$A$4:$A$53,0)),0))</f>
        <v/>
      </c>
      <c r="L1808" s="10" t="str">
        <f aca="false">IF($B1808="","",$J1808+$K1808)</f>
        <v/>
      </c>
      <c r="M1808" s="9"/>
      <c r="N1808" s="10" t="str">
        <f aca="false">IF($B1808="","",$L1808-$M1808)</f>
        <v/>
      </c>
      <c r="O1808" s="10" t="str">
        <f aca="false">IF($B1808="","",IFERROR(INDEX(Drinks!$E$4:$E$53,MATCH($B1808,Drinks!$A$4:$A$53,0)),0))</f>
        <v/>
      </c>
      <c r="P1808" s="10" t="str">
        <f aca="false">IF($B1808="","",$N1808*$O1808)</f>
        <v/>
      </c>
      <c r="Q1808" s="10" t="str">
        <f aca="false">IF($B1808="","",$N1808*IFERROR(INDEX(Drinks!$D$4:$D$53,MATCH($B1808,Drinks!$A$4:$A$53,0)),0))</f>
        <v/>
      </c>
      <c r="R1808" s="10" t="str">
        <f aca="false">IF($B1808="","",$P1808-$Q1808)</f>
        <v/>
      </c>
      <c r="S1808" s="23" t="str">
        <f aca="false">IF($B1808="","",IF(COUNTIFS($A$4:$A$2003,$A1808-1,$B$4:$B$2003,$B1808)=0,"first day",IF(SUMIFS($M$4:$M$2003,$A$4:$A$2003,$A1808-1,$B$4:$B$2003,$B1808)=$J1808,"OK","CHECK")))</f>
        <v/>
      </c>
      <c r="T1808" s="10" t="str">
        <f aca="false">IF($B1808="","",IFERROR(INDEX(Drinks!$D$4:$D$53,MATCH($B1808,Drinks!$A$4:$A$53,0)),0))</f>
        <v/>
      </c>
    </row>
    <row r="1809" customFormat="false" ht="15" hidden="false" customHeight="false" outlineLevel="0" collapsed="false">
      <c r="A1809" s="22"/>
      <c r="B1809" s="9"/>
      <c r="C1809" s="9"/>
      <c r="D1809" s="9"/>
      <c r="E1809" s="9"/>
      <c r="F1809" s="10" t="str">
        <f aca="false">IF($B1809="","",$C1809+$D1809-$E1809)</f>
        <v/>
      </c>
      <c r="G1809" s="10" t="str">
        <f aca="false">IF($B1809="","",IFERROR(INDEX(Drinks!$C$4:$C$53,MATCH($B1809,Drinks!$A$4:$A$53,0)),0))</f>
        <v/>
      </c>
      <c r="H1809" s="10" t="str">
        <f aca="false">IF($B1809="","",$D1809*$G1809)</f>
        <v/>
      </c>
      <c r="I1809" s="10" t="str">
        <f aca="false">IF($B1809="","",$F1809*$G1809)</f>
        <v/>
      </c>
      <c r="J1809" s="9"/>
      <c r="K1809" s="10" t="str">
        <f aca="false">IF($B1809="","",$E1809*IFERROR(INDEX(Drinks!$B$4:$B$53,MATCH($B1809,Drinks!$A$4:$A$53,0)),0))</f>
        <v/>
      </c>
      <c r="L1809" s="10" t="str">
        <f aca="false">IF($B1809="","",$J1809+$K1809)</f>
        <v/>
      </c>
      <c r="M1809" s="9"/>
      <c r="N1809" s="10" t="str">
        <f aca="false">IF($B1809="","",$L1809-$M1809)</f>
        <v/>
      </c>
      <c r="O1809" s="10" t="str">
        <f aca="false">IF($B1809="","",IFERROR(INDEX(Drinks!$E$4:$E$53,MATCH($B1809,Drinks!$A$4:$A$53,0)),0))</f>
        <v/>
      </c>
      <c r="P1809" s="10" t="str">
        <f aca="false">IF($B1809="","",$N1809*$O1809)</f>
        <v/>
      </c>
      <c r="Q1809" s="10" t="str">
        <f aca="false">IF($B1809="","",$N1809*IFERROR(INDEX(Drinks!$D$4:$D$53,MATCH($B1809,Drinks!$A$4:$A$53,0)),0))</f>
        <v/>
      </c>
      <c r="R1809" s="10" t="str">
        <f aca="false">IF($B1809="","",$P1809-$Q1809)</f>
        <v/>
      </c>
      <c r="S1809" s="23" t="str">
        <f aca="false">IF($B1809="","",IF(COUNTIFS($A$4:$A$2003,$A1809-1,$B$4:$B$2003,$B1809)=0,"first day",IF(SUMIFS($M$4:$M$2003,$A$4:$A$2003,$A1809-1,$B$4:$B$2003,$B1809)=$J1809,"OK","CHECK")))</f>
        <v/>
      </c>
      <c r="T1809" s="10" t="str">
        <f aca="false">IF($B1809="","",IFERROR(INDEX(Drinks!$D$4:$D$53,MATCH($B1809,Drinks!$A$4:$A$53,0)),0))</f>
        <v/>
      </c>
    </row>
    <row r="1810" customFormat="false" ht="15" hidden="false" customHeight="false" outlineLevel="0" collapsed="false">
      <c r="A1810" s="22"/>
      <c r="B1810" s="9"/>
      <c r="C1810" s="9"/>
      <c r="D1810" s="9"/>
      <c r="E1810" s="9"/>
      <c r="F1810" s="10" t="str">
        <f aca="false">IF($B1810="","",$C1810+$D1810-$E1810)</f>
        <v/>
      </c>
      <c r="G1810" s="10" t="str">
        <f aca="false">IF($B1810="","",IFERROR(INDEX(Drinks!$C$4:$C$53,MATCH($B1810,Drinks!$A$4:$A$53,0)),0))</f>
        <v/>
      </c>
      <c r="H1810" s="10" t="str">
        <f aca="false">IF($B1810="","",$D1810*$G1810)</f>
        <v/>
      </c>
      <c r="I1810" s="10" t="str">
        <f aca="false">IF($B1810="","",$F1810*$G1810)</f>
        <v/>
      </c>
      <c r="J1810" s="9"/>
      <c r="K1810" s="10" t="str">
        <f aca="false">IF($B1810="","",$E1810*IFERROR(INDEX(Drinks!$B$4:$B$53,MATCH($B1810,Drinks!$A$4:$A$53,0)),0))</f>
        <v/>
      </c>
      <c r="L1810" s="10" t="str">
        <f aca="false">IF($B1810="","",$J1810+$K1810)</f>
        <v/>
      </c>
      <c r="M1810" s="9"/>
      <c r="N1810" s="10" t="str">
        <f aca="false">IF($B1810="","",$L1810-$M1810)</f>
        <v/>
      </c>
      <c r="O1810" s="10" t="str">
        <f aca="false">IF($B1810="","",IFERROR(INDEX(Drinks!$E$4:$E$53,MATCH($B1810,Drinks!$A$4:$A$53,0)),0))</f>
        <v/>
      </c>
      <c r="P1810" s="10" t="str">
        <f aca="false">IF($B1810="","",$N1810*$O1810)</f>
        <v/>
      </c>
      <c r="Q1810" s="10" t="str">
        <f aca="false">IF($B1810="","",$N1810*IFERROR(INDEX(Drinks!$D$4:$D$53,MATCH($B1810,Drinks!$A$4:$A$53,0)),0))</f>
        <v/>
      </c>
      <c r="R1810" s="10" t="str">
        <f aca="false">IF($B1810="","",$P1810-$Q1810)</f>
        <v/>
      </c>
      <c r="S1810" s="23" t="str">
        <f aca="false">IF($B1810="","",IF(COUNTIFS($A$4:$A$2003,$A1810-1,$B$4:$B$2003,$B1810)=0,"first day",IF(SUMIFS($M$4:$M$2003,$A$4:$A$2003,$A1810-1,$B$4:$B$2003,$B1810)=$J1810,"OK","CHECK")))</f>
        <v/>
      </c>
      <c r="T1810" s="10" t="str">
        <f aca="false">IF($B1810="","",IFERROR(INDEX(Drinks!$D$4:$D$53,MATCH($B1810,Drinks!$A$4:$A$53,0)),0))</f>
        <v/>
      </c>
    </row>
    <row r="1811" customFormat="false" ht="15" hidden="false" customHeight="false" outlineLevel="0" collapsed="false">
      <c r="A1811" s="22"/>
      <c r="B1811" s="9"/>
      <c r="C1811" s="9"/>
      <c r="D1811" s="9"/>
      <c r="E1811" s="9"/>
      <c r="F1811" s="10" t="str">
        <f aca="false">IF($B1811="","",$C1811+$D1811-$E1811)</f>
        <v/>
      </c>
      <c r="G1811" s="10" t="str">
        <f aca="false">IF($B1811="","",IFERROR(INDEX(Drinks!$C$4:$C$53,MATCH($B1811,Drinks!$A$4:$A$53,0)),0))</f>
        <v/>
      </c>
      <c r="H1811" s="10" t="str">
        <f aca="false">IF($B1811="","",$D1811*$G1811)</f>
        <v/>
      </c>
      <c r="I1811" s="10" t="str">
        <f aca="false">IF($B1811="","",$F1811*$G1811)</f>
        <v/>
      </c>
      <c r="J1811" s="9"/>
      <c r="K1811" s="10" t="str">
        <f aca="false">IF($B1811="","",$E1811*IFERROR(INDEX(Drinks!$B$4:$B$53,MATCH($B1811,Drinks!$A$4:$A$53,0)),0))</f>
        <v/>
      </c>
      <c r="L1811" s="10" t="str">
        <f aca="false">IF($B1811="","",$J1811+$K1811)</f>
        <v/>
      </c>
      <c r="M1811" s="9"/>
      <c r="N1811" s="10" t="str">
        <f aca="false">IF($B1811="","",$L1811-$M1811)</f>
        <v/>
      </c>
      <c r="O1811" s="10" t="str">
        <f aca="false">IF($B1811="","",IFERROR(INDEX(Drinks!$E$4:$E$53,MATCH($B1811,Drinks!$A$4:$A$53,0)),0))</f>
        <v/>
      </c>
      <c r="P1811" s="10" t="str">
        <f aca="false">IF($B1811="","",$N1811*$O1811)</f>
        <v/>
      </c>
      <c r="Q1811" s="10" t="str">
        <f aca="false">IF($B1811="","",$N1811*IFERROR(INDEX(Drinks!$D$4:$D$53,MATCH($B1811,Drinks!$A$4:$A$53,0)),0))</f>
        <v/>
      </c>
      <c r="R1811" s="10" t="str">
        <f aca="false">IF($B1811="","",$P1811-$Q1811)</f>
        <v/>
      </c>
      <c r="S1811" s="23" t="str">
        <f aca="false">IF($B1811="","",IF(COUNTIFS($A$4:$A$2003,$A1811-1,$B$4:$B$2003,$B1811)=0,"first day",IF(SUMIFS($M$4:$M$2003,$A$4:$A$2003,$A1811-1,$B$4:$B$2003,$B1811)=$J1811,"OK","CHECK")))</f>
        <v/>
      </c>
      <c r="T1811" s="10" t="str">
        <f aca="false">IF($B1811="","",IFERROR(INDEX(Drinks!$D$4:$D$53,MATCH($B1811,Drinks!$A$4:$A$53,0)),0))</f>
        <v/>
      </c>
    </row>
    <row r="1812" customFormat="false" ht="15" hidden="false" customHeight="false" outlineLevel="0" collapsed="false">
      <c r="A1812" s="22"/>
      <c r="B1812" s="9"/>
      <c r="C1812" s="9"/>
      <c r="D1812" s="9"/>
      <c r="E1812" s="9"/>
      <c r="F1812" s="10" t="str">
        <f aca="false">IF($B1812="","",$C1812+$D1812-$E1812)</f>
        <v/>
      </c>
      <c r="G1812" s="10" t="str">
        <f aca="false">IF($B1812="","",IFERROR(INDEX(Drinks!$C$4:$C$53,MATCH($B1812,Drinks!$A$4:$A$53,0)),0))</f>
        <v/>
      </c>
      <c r="H1812" s="10" t="str">
        <f aca="false">IF($B1812="","",$D1812*$G1812)</f>
        <v/>
      </c>
      <c r="I1812" s="10" t="str">
        <f aca="false">IF($B1812="","",$F1812*$G1812)</f>
        <v/>
      </c>
      <c r="J1812" s="9"/>
      <c r="K1812" s="10" t="str">
        <f aca="false">IF($B1812="","",$E1812*IFERROR(INDEX(Drinks!$B$4:$B$53,MATCH($B1812,Drinks!$A$4:$A$53,0)),0))</f>
        <v/>
      </c>
      <c r="L1812" s="10" t="str">
        <f aca="false">IF($B1812="","",$J1812+$K1812)</f>
        <v/>
      </c>
      <c r="M1812" s="9"/>
      <c r="N1812" s="10" t="str">
        <f aca="false">IF($B1812="","",$L1812-$M1812)</f>
        <v/>
      </c>
      <c r="O1812" s="10" t="str">
        <f aca="false">IF($B1812="","",IFERROR(INDEX(Drinks!$E$4:$E$53,MATCH($B1812,Drinks!$A$4:$A$53,0)),0))</f>
        <v/>
      </c>
      <c r="P1812" s="10" t="str">
        <f aca="false">IF($B1812="","",$N1812*$O1812)</f>
        <v/>
      </c>
      <c r="Q1812" s="10" t="str">
        <f aca="false">IF($B1812="","",$N1812*IFERROR(INDEX(Drinks!$D$4:$D$53,MATCH($B1812,Drinks!$A$4:$A$53,0)),0))</f>
        <v/>
      </c>
      <c r="R1812" s="10" t="str">
        <f aca="false">IF($B1812="","",$P1812-$Q1812)</f>
        <v/>
      </c>
      <c r="S1812" s="23" t="str">
        <f aca="false">IF($B1812="","",IF(COUNTIFS($A$4:$A$2003,$A1812-1,$B$4:$B$2003,$B1812)=0,"first day",IF(SUMIFS($M$4:$M$2003,$A$4:$A$2003,$A1812-1,$B$4:$B$2003,$B1812)=$J1812,"OK","CHECK")))</f>
        <v/>
      </c>
      <c r="T1812" s="10" t="str">
        <f aca="false">IF($B1812="","",IFERROR(INDEX(Drinks!$D$4:$D$53,MATCH($B1812,Drinks!$A$4:$A$53,0)),0))</f>
        <v/>
      </c>
    </row>
    <row r="1813" customFormat="false" ht="15" hidden="false" customHeight="false" outlineLevel="0" collapsed="false">
      <c r="A1813" s="22"/>
      <c r="B1813" s="9"/>
      <c r="C1813" s="9"/>
      <c r="D1813" s="9"/>
      <c r="E1813" s="9"/>
      <c r="F1813" s="10" t="str">
        <f aca="false">IF($B1813="","",$C1813+$D1813-$E1813)</f>
        <v/>
      </c>
      <c r="G1813" s="10" t="str">
        <f aca="false">IF($B1813="","",IFERROR(INDEX(Drinks!$C$4:$C$53,MATCH($B1813,Drinks!$A$4:$A$53,0)),0))</f>
        <v/>
      </c>
      <c r="H1813" s="10" t="str">
        <f aca="false">IF($B1813="","",$D1813*$G1813)</f>
        <v/>
      </c>
      <c r="I1813" s="10" t="str">
        <f aca="false">IF($B1813="","",$F1813*$G1813)</f>
        <v/>
      </c>
      <c r="J1813" s="9"/>
      <c r="K1813" s="10" t="str">
        <f aca="false">IF($B1813="","",$E1813*IFERROR(INDEX(Drinks!$B$4:$B$53,MATCH($B1813,Drinks!$A$4:$A$53,0)),0))</f>
        <v/>
      </c>
      <c r="L1813" s="10" t="str">
        <f aca="false">IF($B1813="","",$J1813+$K1813)</f>
        <v/>
      </c>
      <c r="M1813" s="9"/>
      <c r="N1813" s="10" t="str">
        <f aca="false">IF($B1813="","",$L1813-$M1813)</f>
        <v/>
      </c>
      <c r="O1813" s="10" t="str">
        <f aca="false">IF($B1813="","",IFERROR(INDEX(Drinks!$E$4:$E$53,MATCH($B1813,Drinks!$A$4:$A$53,0)),0))</f>
        <v/>
      </c>
      <c r="P1813" s="10" t="str">
        <f aca="false">IF($B1813="","",$N1813*$O1813)</f>
        <v/>
      </c>
      <c r="Q1813" s="10" t="str">
        <f aca="false">IF($B1813="","",$N1813*IFERROR(INDEX(Drinks!$D$4:$D$53,MATCH($B1813,Drinks!$A$4:$A$53,0)),0))</f>
        <v/>
      </c>
      <c r="R1813" s="10" t="str">
        <f aca="false">IF($B1813="","",$P1813-$Q1813)</f>
        <v/>
      </c>
      <c r="S1813" s="23" t="str">
        <f aca="false">IF($B1813="","",IF(COUNTIFS($A$4:$A$2003,$A1813-1,$B$4:$B$2003,$B1813)=0,"first day",IF(SUMIFS($M$4:$M$2003,$A$4:$A$2003,$A1813-1,$B$4:$B$2003,$B1813)=$J1813,"OK","CHECK")))</f>
        <v/>
      </c>
      <c r="T1813" s="10" t="str">
        <f aca="false">IF($B1813="","",IFERROR(INDEX(Drinks!$D$4:$D$53,MATCH($B1813,Drinks!$A$4:$A$53,0)),0))</f>
        <v/>
      </c>
    </row>
    <row r="1814" customFormat="false" ht="15" hidden="false" customHeight="false" outlineLevel="0" collapsed="false">
      <c r="A1814" s="22"/>
      <c r="B1814" s="9"/>
      <c r="C1814" s="9"/>
      <c r="D1814" s="9"/>
      <c r="E1814" s="9"/>
      <c r="F1814" s="10" t="str">
        <f aca="false">IF($B1814="","",$C1814+$D1814-$E1814)</f>
        <v/>
      </c>
      <c r="G1814" s="10" t="str">
        <f aca="false">IF($B1814="","",IFERROR(INDEX(Drinks!$C$4:$C$53,MATCH($B1814,Drinks!$A$4:$A$53,0)),0))</f>
        <v/>
      </c>
      <c r="H1814" s="10" t="str">
        <f aca="false">IF($B1814="","",$D1814*$G1814)</f>
        <v/>
      </c>
      <c r="I1814" s="10" t="str">
        <f aca="false">IF($B1814="","",$F1814*$G1814)</f>
        <v/>
      </c>
      <c r="J1814" s="9"/>
      <c r="K1814" s="10" t="str">
        <f aca="false">IF($B1814="","",$E1814*IFERROR(INDEX(Drinks!$B$4:$B$53,MATCH($B1814,Drinks!$A$4:$A$53,0)),0))</f>
        <v/>
      </c>
      <c r="L1814" s="10" t="str">
        <f aca="false">IF($B1814="","",$J1814+$K1814)</f>
        <v/>
      </c>
      <c r="M1814" s="9"/>
      <c r="N1814" s="10" t="str">
        <f aca="false">IF($B1814="","",$L1814-$M1814)</f>
        <v/>
      </c>
      <c r="O1814" s="10" t="str">
        <f aca="false">IF($B1814="","",IFERROR(INDEX(Drinks!$E$4:$E$53,MATCH($B1814,Drinks!$A$4:$A$53,0)),0))</f>
        <v/>
      </c>
      <c r="P1814" s="10" t="str">
        <f aca="false">IF($B1814="","",$N1814*$O1814)</f>
        <v/>
      </c>
      <c r="Q1814" s="10" t="str">
        <f aca="false">IF($B1814="","",$N1814*IFERROR(INDEX(Drinks!$D$4:$D$53,MATCH($B1814,Drinks!$A$4:$A$53,0)),0))</f>
        <v/>
      </c>
      <c r="R1814" s="10" t="str">
        <f aca="false">IF($B1814="","",$P1814-$Q1814)</f>
        <v/>
      </c>
      <c r="S1814" s="23" t="str">
        <f aca="false">IF($B1814="","",IF(COUNTIFS($A$4:$A$2003,$A1814-1,$B$4:$B$2003,$B1814)=0,"first day",IF(SUMIFS($M$4:$M$2003,$A$4:$A$2003,$A1814-1,$B$4:$B$2003,$B1814)=$J1814,"OK","CHECK")))</f>
        <v/>
      </c>
      <c r="T1814" s="10" t="str">
        <f aca="false">IF($B1814="","",IFERROR(INDEX(Drinks!$D$4:$D$53,MATCH($B1814,Drinks!$A$4:$A$53,0)),0))</f>
        <v/>
      </c>
    </row>
    <row r="1815" customFormat="false" ht="15" hidden="false" customHeight="false" outlineLevel="0" collapsed="false">
      <c r="A1815" s="22"/>
      <c r="B1815" s="9"/>
      <c r="C1815" s="9"/>
      <c r="D1815" s="9"/>
      <c r="E1815" s="9"/>
      <c r="F1815" s="10" t="str">
        <f aca="false">IF($B1815="","",$C1815+$D1815-$E1815)</f>
        <v/>
      </c>
      <c r="G1815" s="10" t="str">
        <f aca="false">IF($B1815="","",IFERROR(INDEX(Drinks!$C$4:$C$53,MATCH($B1815,Drinks!$A$4:$A$53,0)),0))</f>
        <v/>
      </c>
      <c r="H1815" s="10" t="str">
        <f aca="false">IF($B1815="","",$D1815*$G1815)</f>
        <v/>
      </c>
      <c r="I1815" s="10" t="str">
        <f aca="false">IF($B1815="","",$F1815*$G1815)</f>
        <v/>
      </c>
      <c r="J1815" s="9"/>
      <c r="K1815" s="10" t="str">
        <f aca="false">IF($B1815="","",$E1815*IFERROR(INDEX(Drinks!$B$4:$B$53,MATCH($B1815,Drinks!$A$4:$A$53,0)),0))</f>
        <v/>
      </c>
      <c r="L1815" s="10" t="str">
        <f aca="false">IF($B1815="","",$J1815+$K1815)</f>
        <v/>
      </c>
      <c r="M1815" s="9"/>
      <c r="N1815" s="10" t="str">
        <f aca="false">IF($B1815="","",$L1815-$M1815)</f>
        <v/>
      </c>
      <c r="O1815" s="10" t="str">
        <f aca="false">IF($B1815="","",IFERROR(INDEX(Drinks!$E$4:$E$53,MATCH($B1815,Drinks!$A$4:$A$53,0)),0))</f>
        <v/>
      </c>
      <c r="P1815" s="10" t="str">
        <f aca="false">IF($B1815="","",$N1815*$O1815)</f>
        <v/>
      </c>
      <c r="Q1815" s="10" t="str">
        <f aca="false">IF($B1815="","",$N1815*IFERROR(INDEX(Drinks!$D$4:$D$53,MATCH($B1815,Drinks!$A$4:$A$53,0)),0))</f>
        <v/>
      </c>
      <c r="R1815" s="10" t="str">
        <f aca="false">IF($B1815="","",$P1815-$Q1815)</f>
        <v/>
      </c>
      <c r="S1815" s="23" t="str">
        <f aca="false">IF($B1815="","",IF(COUNTIFS($A$4:$A$2003,$A1815-1,$B$4:$B$2003,$B1815)=0,"first day",IF(SUMIFS($M$4:$M$2003,$A$4:$A$2003,$A1815-1,$B$4:$B$2003,$B1815)=$J1815,"OK","CHECK")))</f>
        <v/>
      </c>
      <c r="T1815" s="10" t="str">
        <f aca="false">IF($B1815="","",IFERROR(INDEX(Drinks!$D$4:$D$53,MATCH($B1815,Drinks!$A$4:$A$53,0)),0))</f>
        <v/>
      </c>
    </row>
    <row r="1816" customFormat="false" ht="15" hidden="false" customHeight="false" outlineLevel="0" collapsed="false">
      <c r="A1816" s="22"/>
      <c r="B1816" s="9"/>
      <c r="C1816" s="9"/>
      <c r="D1816" s="9"/>
      <c r="E1816" s="9"/>
      <c r="F1816" s="10" t="str">
        <f aca="false">IF($B1816="","",$C1816+$D1816-$E1816)</f>
        <v/>
      </c>
      <c r="G1816" s="10" t="str">
        <f aca="false">IF($B1816="","",IFERROR(INDEX(Drinks!$C$4:$C$53,MATCH($B1816,Drinks!$A$4:$A$53,0)),0))</f>
        <v/>
      </c>
      <c r="H1816" s="10" t="str">
        <f aca="false">IF($B1816="","",$D1816*$G1816)</f>
        <v/>
      </c>
      <c r="I1816" s="10" t="str">
        <f aca="false">IF($B1816="","",$F1816*$G1816)</f>
        <v/>
      </c>
      <c r="J1816" s="9"/>
      <c r="K1816" s="10" t="str">
        <f aca="false">IF($B1816="","",$E1816*IFERROR(INDEX(Drinks!$B$4:$B$53,MATCH($B1816,Drinks!$A$4:$A$53,0)),0))</f>
        <v/>
      </c>
      <c r="L1816" s="10" t="str">
        <f aca="false">IF($B1816="","",$J1816+$K1816)</f>
        <v/>
      </c>
      <c r="M1816" s="9"/>
      <c r="N1816" s="10" t="str">
        <f aca="false">IF($B1816="","",$L1816-$M1816)</f>
        <v/>
      </c>
      <c r="O1816" s="10" t="str">
        <f aca="false">IF($B1816="","",IFERROR(INDEX(Drinks!$E$4:$E$53,MATCH($B1816,Drinks!$A$4:$A$53,0)),0))</f>
        <v/>
      </c>
      <c r="P1816" s="10" t="str">
        <f aca="false">IF($B1816="","",$N1816*$O1816)</f>
        <v/>
      </c>
      <c r="Q1816" s="10" t="str">
        <f aca="false">IF($B1816="","",$N1816*IFERROR(INDEX(Drinks!$D$4:$D$53,MATCH($B1816,Drinks!$A$4:$A$53,0)),0))</f>
        <v/>
      </c>
      <c r="R1816" s="10" t="str">
        <f aca="false">IF($B1816="","",$P1816-$Q1816)</f>
        <v/>
      </c>
      <c r="S1816" s="23" t="str">
        <f aca="false">IF($B1816="","",IF(COUNTIFS($A$4:$A$2003,$A1816-1,$B$4:$B$2003,$B1816)=0,"first day",IF(SUMIFS($M$4:$M$2003,$A$4:$A$2003,$A1816-1,$B$4:$B$2003,$B1816)=$J1816,"OK","CHECK")))</f>
        <v/>
      </c>
      <c r="T1816" s="10" t="str">
        <f aca="false">IF($B1816="","",IFERROR(INDEX(Drinks!$D$4:$D$53,MATCH($B1816,Drinks!$A$4:$A$53,0)),0))</f>
        <v/>
      </c>
    </row>
    <row r="1817" customFormat="false" ht="15" hidden="false" customHeight="false" outlineLevel="0" collapsed="false">
      <c r="A1817" s="22"/>
      <c r="B1817" s="9"/>
      <c r="C1817" s="9"/>
      <c r="D1817" s="9"/>
      <c r="E1817" s="9"/>
      <c r="F1817" s="10" t="str">
        <f aca="false">IF($B1817="","",$C1817+$D1817-$E1817)</f>
        <v/>
      </c>
      <c r="G1817" s="10" t="str">
        <f aca="false">IF($B1817="","",IFERROR(INDEX(Drinks!$C$4:$C$53,MATCH($B1817,Drinks!$A$4:$A$53,0)),0))</f>
        <v/>
      </c>
      <c r="H1817" s="10" t="str">
        <f aca="false">IF($B1817="","",$D1817*$G1817)</f>
        <v/>
      </c>
      <c r="I1817" s="10" t="str">
        <f aca="false">IF($B1817="","",$F1817*$G1817)</f>
        <v/>
      </c>
      <c r="J1817" s="9"/>
      <c r="K1817" s="10" t="str">
        <f aca="false">IF($B1817="","",$E1817*IFERROR(INDEX(Drinks!$B$4:$B$53,MATCH($B1817,Drinks!$A$4:$A$53,0)),0))</f>
        <v/>
      </c>
      <c r="L1817" s="10" t="str">
        <f aca="false">IF($B1817="","",$J1817+$K1817)</f>
        <v/>
      </c>
      <c r="M1817" s="9"/>
      <c r="N1817" s="10" t="str">
        <f aca="false">IF($B1817="","",$L1817-$M1817)</f>
        <v/>
      </c>
      <c r="O1817" s="10" t="str">
        <f aca="false">IF($B1817="","",IFERROR(INDEX(Drinks!$E$4:$E$53,MATCH($B1817,Drinks!$A$4:$A$53,0)),0))</f>
        <v/>
      </c>
      <c r="P1817" s="10" t="str">
        <f aca="false">IF($B1817="","",$N1817*$O1817)</f>
        <v/>
      </c>
      <c r="Q1817" s="10" t="str">
        <f aca="false">IF($B1817="","",$N1817*IFERROR(INDEX(Drinks!$D$4:$D$53,MATCH($B1817,Drinks!$A$4:$A$53,0)),0))</f>
        <v/>
      </c>
      <c r="R1817" s="10" t="str">
        <f aca="false">IF($B1817="","",$P1817-$Q1817)</f>
        <v/>
      </c>
      <c r="S1817" s="23" t="str">
        <f aca="false">IF($B1817="","",IF(COUNTIFS($A$4:$A$2003,$A1817-1,$B$4:$B$2003,$B1817)=0,"first day",IF(SUMIFS($M$4:$M$2003,$A$4:$A$2003,$A1817-1,$B$4:$B$2003,$B1817)=$J1817,"OK","CHECK")))</f>
        <v/>
      </c>
      <c r="T1817" s="10" t="str">
        <f aca="false">IF($B1817="","",IFERROR(INDEX(Drinks!$D$4:$D$53,MATCH($B1817,Drinks!$A$4:$A$53,0)),0))</f>
        <v/>
      </c>
    </row>
    <row r="1818" customFormat="false" ht="15" hidden="false" customHeight="false" outlineLevel="0" collapsed="false">
      <c r="A1818" s="22"/>
      <c r="B1818" s="9"/>
      <c r="C1818" s="9"/>
      <c r="D1818" s="9"/>
      <c r="E1818" s="9"/>
      <c r="F1818" s="10" t="str">
        <f aca="false">IF($B1818="","",$C1818+$D1818-$E1818)</f>
        <v/>
      </c>
      <c r="G1818" s="10" t="str">
        <f aca="false">IF($B1818="","",IFERROR(INDEX(Drinks!$C$4:$C$53,MATCH($B1818,Drinks!$A$4:$A$53,0)),0))</f>
        <v/>
      </c>
      <c r="H1818" s="10" t="str">
        <f aca="false">IF($B1818="","",$D1818*$G1818)</f>
        <v/>
      </c>
      <c r="I1818" s="10" t="str">
        <f aca="false">IF($B1818="","",$F1818*$G1818)</f>
        <v/>
      </c>
      <c r="J1818" s="9"/>
      <c r="K1818" s="10" t="str">
        <f aca="false">IF($B1818="","",$E1818*IFERROR(INDEX(Drinks!$B$4:$B$53,MATCH($B1818,Drinks!$A$4:$A$53,0)),0))</f>
        <v/>
      </c>
      <c r="L1818" s="10" t="str">
        <f aca="false">IF($B1818="","",$J1818+$K1818)</f>
        <v/>
      </c>
      <c r="M1818" s="9"/>
      <c r="N1818" s="10" t="str">
        <f aca="false">IF($B1818="","",$L1818-$M1818)</f>
        <v/>
      </c>
      <c r="O1818" s="10" t="str">
        <f aca="false">IF($B1818="","",IFERROR(INDEX(Drinks!$E$4:$E$53,MATCH($B1818,Drinks!$A$4:$A$53,0)),0))</f>
        <v/>
      </c>
      <c r="P1818" s="10" t="str">
        <f aca="false">IF($B1818="","",$N1818*$O1818)</f>
        <v/>
      </c>
      <c r="Q1818" s="10" t="str">
        <f aca="false">IF($B1818="","",$N1818*IFERROR(INDEX(Drinks!$D$4:$D$53,MATCH($B1818,Drinks!$A$4:$A$53,0)),0))</f>
        <v/>
      </c>
      <c r="R1818" s="10" t="str">
        <f aca="false">IF($B1818="","",$P1818-$Q1818)</f>
        <v/>
      </c>
      <c r="S1818" s="23" t="str">
        <f aca="false">IF($B1818="","",IF(COUNTIFS($A$4:$A$2003,$A1818-1,$B$4:$B$2003,$B1818)=0,"first day",IF(SUMIFS($M$4:$M$2003,$A$4:$A$2003,$A1818-1,$B$4:$B$2003,$B1818)=$J1818,"OK","CHECK")))</f>
        <v/>
      </c>
      <c r="T1818" s="10" t="str">
        <f aca="false">IF($B1818="","",IFERROR(INDEX(Drinks!$D$4:$D$53,MATCH($B1818,Drinks!$A$4:$A$53,0)),0))</f>
        <v/>
      </c>
    </row>
    <row r="1819" customFormat="false" ht="15" hidden="false" customHeight="false" outlineLevel="0" collapsed="false">
      <c r="A1819" s="22"/>
      <c r="B1819" s="9"/>
      <c r="C1819" s="9"/>
      <c r="D1819" s="9"/>
      <c r="E1819" s="9"/>
      <c r="F1819" s="10" t="str">
        <f aca="false">IF($B1819="","",$C1819+$D1819-$E1819)</f>
        <v/>
      </c>
      <c r="G1819" s="10" t="str">
        <f aca="false">IF($B1819="","",IFERROR(INDEX(Drinks!$C$4:$C$53,MATCH($B1819,Drinks!$A$4:$A$53,0)),0))</f>
        <v/>
      </c>
      <c r="H1819" s="10" t="str">
        <f aca="false">IF($B1819="","",$D1819*$G1819)</f>
        <v/>
      </c>
      <c r="I1819" s="10" t="str">
        <f aca="false">IF($B1819="","",$F1819*$G1819)</f>
        <v/>
      </c>
      <c r="J1819" s="9"/>
      <c r="K1819" s="10" t="str">
        <f aca="false">IF($B1819="","",$E1819*IFERROR(INDEX(Drinks!$B$4:$B$53,MATCH($B1819,Drinks!$A$4:$A$53,0)),0))</f>
        <v/>
      </c>
      <c r="L1819" s="10" t="str">
        <f aca="false">IF($B1819="","",$J1819+$K1819)</f>
        <v/>
      </c>
      <c r="M1819" s="9"/>
      <c r="N1819" s="10" t="str">
        <f aca="false">IF($B1819="","",$L1819-$M1819)</f>
        <v/>
      </c>
      <c r="O1819" s="10" t="str">
        <f aca="false">IF($B1819="","",IFERROR(INDEX(Drinks!$E$4:$E$53,MATCH($B1819,Drinks!$A$4:$A$53,0)),0))</f>
        <v/>
      </c>
      <c r="P1819" s="10" t="str">
        <f aca="false">IF($B1819="","",$N1819*$O1819)</f>
        <v/>
      </c>
      <c r="Q1819" s="10" t="str">
        <f aca="false">IF($B1819="","",$N1819*IFERROR(INDEX(Drinks!$D$4:$D$53,MATCH($B1819,Drinks!$A$4:$A$53,0)),0))</f>
        <v/>
      </c>
      <c r="R1819" s="10" t="str">
        <f aca="false">IF($B1819="","",$P1819-$Q1819)</f>
        <v/>
      </c>
      <c r="S1819" s="23" t="str">
        <f aca="false">IF($B1819="","",IF(COUNTIFS($A$4:$A$2003,$A1819-1,$B$4:$B$2003,$B1819)=0,"first day",IF(SUMIFS($M$4:$M$2003,$A$4:$A$2003,$A1819-1,$B$4:$B$2003,$B1819)=$J1819,"OK","CHECK")))</f>
        <v/>
      </c>
      <c r="T1819" s="10" t="str">
        <f aca="false">IF($B1819="","",IFERROR(INDEX(Drinks!$D$4:$D$53,MATCH($B1819,Drinks!$A$4:$A$53,0)),0))</f>
        <v/>
      </c>
    </row>
    <row r="1820" customFormat="false" ht="15" hidden="false" customHeight="false" outlineLevel="0" collapsed="false">
      <c r="A1820" s="22"/>
      <c r="B1820" s="9"/>
      <c r="C1820" s="9"/>
      <c r="D1820" s="9"/>
      <c r="E1820" s="9"/>
      <c r="F1820" s="10" t="str">
        <f aca="false">IF($B1820="","",$C1820+$D1820-$E1820)</f>
        <v/>
      </c>
      <c r="G1820" s="10" t="str">
        <f aca="false">IF($B1820="","",IFERROR(INDEX(Drinks!$C$4:$C$53,MATCH($B1820,Drinks!$A$4:$A$53,0)),0))</f>
        <v/>
      </c>
      <c r="H1820" s="10" t="str">
        <f aca="false">IF($B1820="","",$D1820*$G1820)</f>
        <v/>
      </c>
      <c r="I1820" s="10" t="str">
        <f aca="false">IF($B1820="","",$F1820*$G1820)</f>
        <v/>
      </c>
      <c r="J1820" s="9"/>
      <c r="K1820" s="10" t="str">
        <f aca="false">IF($B1820="","",$E1820*IFERROR(INDEX(Drinks!$B$4:$B$53,MATCH($B1820,Drinks!$A$4:$A$53,0)),0))</f>
        <v/>
      </c>
      <c r="L1820" s="10" t="str">
        <f aca="false">IF($B1820="","",$J1820+$K1820)</f>
        <v/>
      </c>
      <c r="M1820" s="9"/>
      <c r="N1820" s="10" t="str">
        <f aca="false">IF($B1820="","",$L1820-$M1820)</f>
        <v/>
      </c>
      <c r="O1820" s="10" t="str">
        <f aca="false">IF($B1820="","",IFERROR(INDEX(Drinks!$E$4:$E$53,MATCH($B1820,Drinks!$A$4:$A$53,0)),0))</f>
        <v/>
      </c>
      <c r="P1820" s="10" t="str">
        <f aca="false">IF($B1820="","",$N1820*$O1820)</f>
        <v/>
      </c>
      <c r="Q1820" s="10" t="str">
        <f aca="false">IF($B1820="","",$N1820*IFERROR(INDEX(Drinks!$D$4:$D$53,MATCH($B1820,Drinks!$A$4:$A$53,0)),0))</f>
        <v/>
      </c>
      <c r="R1820" s="10" t="str">
        <f aca="false">IF($B1820="","",$P1820-$Q1820)</f>
        <v/>
      </c>
      <c r="S1820" s="23" t="str">
        <f aca="false">IF($B1820="","",IF(COUNTIFS($A$4:$A$2003,$A1820-1,$B$4:$B$2003,$B1820)=0,"first day",IF(SUMIFS($M$4:$M$2003,$A$4:$A$2003,$A1820-1,$B$4:$B$2003,$B1820)=$J1820,"OK","CHECK")))</f>
        <v/>
      </c>
      <c r="T1820" s="10" t="str">
        <f aca="false">IF($B1820="","",IFERROR(INDEX(Drinks!$D$4:$D$53,MATCH($B1820,Drinks!$A$4:$A$53,0)),0))</f>
        <v/>
      </c>
    </row>
    <row r="1821" customFormat="false" ht="15" hidden="false" customHeight="false" outlineLevel="0" collapsed="false">
      <c r="A1821" s="22"/>
      <c r="B1821" s="9"/>
      <c r="C1821" s="9"/>
      <c r="D1821" s="9"/>
      <c r="E1821" s="9"/>
      <c r="F1821" s="10" t="str">
        <f aca="false">IF($B1821="","",$C1821+$D1821-$E1821)</f>
        <v/>
      </c>
      <c r="G1821" s="10" t="str">
        <f aca="false">IF($B1821="","",IFERROR(INDEX(Drinks!$C$4:$C$53,MATCH($B1821,Drinks!$A$4:$A$53,0)),0))</f>
        <v/>
      </c>
      <c r="H1821" s="10" t="str">
        <f aca="false">IF($B1821="","",$D1821*$G1821)</f>
        <v/>
      </c>
      <c r="I1821" s="10" t="str">
        <f aca="false">IF($B1821="","",$F1821*$G1821)</f>
        <v/>
      </c>
      <c r="J1821" s="9"/>
      <c r="K1821" s="10" t="str">
        <f aca="false">IF($B1821="","",$E1821*IFERROR(INDEX(Drinks!$B$4:$B$53,MATCH($B1821,Drinks!$A$4:$A$53,0)),0))</f>
        <v/>
      </c>
      <c r="L1821" s="10" t="str">
        <f aca="false">IF($B1821="","",$J1821+$K1821)</f>
        <v/>
      </c>
      <c r="M1821" s="9"/>
      <c r="N1821" s="10" t="str">
        <f aca="false">IF($B1821="","",$L1821-$M1821)</f>
        <v/>
      </c>
      <c r="O1821" s="10" t="str">
        <f aca="false">IF($B1821="","",IFERROR(INDEX(Drinks!$E$4:$E$53,MATCH($B1821,Drinks!$A$4:$A$53,0)),0))</f>
        <v/>
      </c>
      <c r="P1821" s="10" t="str">
        <f aca="false">IF($B1821="","",$N1821*$O1821)</f>
        <v/>
      </c>
      <c r="Q1821" s="10" t="str">
        <f aca="false">IF($B1821="","",$N1821*IFERROR(INDEX(Drinks!$D$4:$D$53,MATCH($B1821,Drinks!$A$4:$A$53,0)),0))</f>
        <v/>
      </c>
      <c r="R1821" s="10" t="str">
        <f aca="false">IF($B1821="","",$P1821-$Q1821)</f>
        <v/>
      </c>
      <c r="S1821" s="23" t="str">
        <f aca="false">IF($B1821="","",IF(COUNTIFS($A$4:$A$2003,$A1821-1,$B$4:$B$2003,$B1821)=0,"first day",IF(SUMIFS($M$4:$M$2003,$A$4:$A$2003,$A1821-1,$B$4:$B$2003,$B1821)=$J1821,"OK","CHECK")))</f>
        <v/>
      </c>
      <c r="T1821" s="10" t="str">
        <f aca="false">IF($B1821="","",IFERROR(INDEX(Drinks!$D$4:$D$53,MATCH($B1821,Drinks!$A$4:$A$53,0)),0))</f>
        <v/>
      </c>
    </row>
    <row r="1822" customFormat="false" ht="15" hidden="false" customHeight="false" outlineLevel="0" collapsed="false">
      <c r="A1822" s="22"/>
      <c r="B1822" s="9"/>
      <c r="C1822" s="9"/>
      <c r="D1822" s="9"/>
      <c r="E1822" s="9"/>
      <c r="F1822" s="10" t="str">
        <f aca="false">IF($B1822="","",$C1822+$D1822-$E1822)</f>
        <v/>
      </c>
      <c r="G1822" s="10" t="str">
        <f aca="false">IF($B1822="","",IFERROR(INDEX(Drinks!$C$4:$C$53,MATCH($B1822,Drinks!$A$4:$A$53,0)),0))</f>
        <v/>
      </c>
      <c r="H1822" s="10" t="str">
        <f aca="false">IF($B1822="","",$D1822*$G1822)</f>
        <v/>
      </c>
      <c r="I1822" s="10" t="str">
        <f aca="false">IF($B1822="","",$F1822*$G1822)</f>
        <v/>
      </c>
      <c r="J1822" s="9"/>
      <c r="K1822" s="10" t="str">
        <f aca="false">IF($B1822="","",$E1822*IFERROR(INDEX(Drinks!$B$4:$B$53,MATCH($B1822,Drinks!$A$4:$A$53,0)),0))</f>
        <v/>
      </c>
      <c r="L1822" s="10" t="str">
        <f aca="false">IF($B1822="","",$J1822+$K1822)</f>
        <v/>
      </c>
      <c r="M1822" s="9"/>
      <c r="N1822" s="10" t="str">
        <f aca="false">IF($B1822="","",$L1822-$M1822)</f>
        <v/>
      </c>
      <c r="O1822" s="10" t="str">
        <f aca="false">IF($B1822="","",IFERROR(INDEX(Drinks!$E$4:$E$53,MATCH($B1822,Drinks!$A$4:$A$53,0)),0))</f>
        <v/>
      </c>
      <c r="P1822" s="10" t="str">
        <f aca="false">IF($B1822="","",$N1822*$O1822)</f>
        <v/>
      </c>
      <c r="Q1822" s="10" t="str">
        <f aca="false">IF($B1822="","",$N1822*IFERROR(INDEX(Drinks!$D$4:$D$53,MATCH($B1822,Drinks!$A$4:$A$53,0)),0))</f>
        <v/>
      </c>
      <c r="R1822" s="10" t="str">
        <f aca="false">IF($B1822="","",$P1822-$Q1822)</f>
        <v/>
      </c>
      <c r="S1822" s="23" t="str">
        <f aca="false">IF($B1822="","",IF(COUNTIFS($A$4:$A$2003,$A1822-1,$B$4:$B$2003,$B1822)=0,"first day",IF(SUMIFS($M$4:$M$2003,$A$4:$A$2003,$A1822-1,$B$4:$B$2003,$B1822)=$J1822,"OK","CHECK")))</f>
        <v/>
      </c>
      <c r="T1822" s="10" t="str">
        <f aca="false">IF($B1822="","",IFERROR(INDEX(Drinks!$D$4:$D$53,MATCH($B1822,Drinks!$A$4:$A$53,0)),0))</f>
        <v/>
      </c>
    </row>
    <row r="1823" customFormat="false" ht="15" hidden="false" customHeight="false" outlineLevel="0" collapsed="false">
      <c r="A1823" s="22"/>
      <c r="B1823" s="9"/>
      <c r="C1823" s="9"/>
      <c r="D1823" s="9"/>
      <c r="E1823" s="9"/>
      <c r="F1823" s="10" t="str">
        <f aca="false">IF($B1823="","",$C1823+$D1823-$E1823)</f>
        <v/>
      </c>
      <c r="G1823" s="10" t="str">
        <f aca="false">IF($B1823="","",IFERROR(INDEX(Drinks!$C$4:$C$53,MATCH($B1823,Drinks!$A$4:$A$53,0)),0))</f>
        <v/>
      </c>
      <c r="H1823" s="10" t="str">
        <f aca="false">IF($B1823="","",$D1823*$G1823)</f>
        <v/>
      </c>
      <c r="I1823" s="10" t="str">
        <f aca="false">IF($B1823="","",$F1823*$G1823)</f>
        <v/>
      </c>
      <c r="J1823" s="9"/>
      <c r="K1823" s="10" t="str">
        <f aca="false">IF($B1823="","",$E1823*IFERROR(INDEX(Drinks!$B$4:$B$53,MATCH($B1823,Drinks!$A$4:$A$53,0)),0))</f>
        <v/>
      </c>
      <c r="L1823" s="10" t="str">
        <f aca="false">IF($B1823="","",$J1823+$K1823)</f>
        <v/>
      </c>
      <c r="M1823" s="9"/>
      <c r="N1823" s="10" t="str">
        <f aca="false">IF($B1823="","",$L1823-$M1823)</f>
        <v/>
      </c>
      <c r="O1823" s="10" t="str">
        <f aca="false">IF($B1823="","",IFERROR(INDEX(Drinks!$E$4:$E$53,MATCH($B1823,Drinks!$A$4:$A$53,0)),0))</f>
        <v/>
      </c>
      <c r="P1823" s="10" t="str">
        <f aca="false">IF($B1823="","",$N1823*$O1823)</f>
        <v/>
      </c>
      <c r="Q1823" s="10" t="str">
        <f aca="false">IF($B1823="","",$N1823*IFERROR(INDEX(Drinks!$D$4:$D$53,MATCH($B1823,Drinks!$A$4:$A$53,0)),0))</f>
        <v/>
      </c>
      <c r="R1823" s="10" t="str">
        <f aca="false">IF($B1823="","",$P1823-$Q1823)</f>
        <v/>
      </c>
      <c r="S1823" s="23" t="str">
        <f aca="false">IF($B1823="","",IF(COUNTIFS($A$4:$A$2003,$A1823-1,$B$4:$B$2003,$B1823)=0,"first day",IF(SUMIFS($M$4:$M$2003,$A$4:$A$2003,$A1823-1,$B$4:$B$2003,$B1823)=$J1823,"OK","CHECK")))</f>
        <v/>
      </c>
      <c r="T1823" s="10" t="str">
        <f aca="false">IF($B1823="","",IFERROR(INDEX(Drinks!$D$4:$D$53,MATCH($B1823,Drinks!$A$4:$A$53,0)),0))</f>
        <v/>
      </c>
    </row>
    <row r="1824" customFormat="false" ht="15" hidden="false" customHeight="false" outlineLevel="0" collapsed="false">
      <c r="A1824" s="22"/>
      <c r="B1824" s="9"/>
      <c r="C1824" s="9"/>
      <c r="D1824" s="9"/>
      <c r="E1824" s="9"/>
      <c r="F1824" s="10" t="str">
        <f aca="false">IF($B1824="","",$C1824+$D1824-$E1824)</f>
        <v/>
      </c>
      <c r="G1824" s="10" t="str">
        <f aca="false">IF($B1824="","",IFERROR(INDEX(Drinks!$C$4:$C$53,MATCH($B1824,Drinks!$A$4:$A$53,0)),0))</f>
        <v/>
      </c>
      <c r="H1824" s="10" t="str">
        <f aca="false">IF($B1824="","",$D1824*$G1824)</f>
        <v/>
      </c>
      <c r="I1824" s="10" t="str">
        <f aca="false">IF($B1824="","",$F1824*$G1824)</f>
        <v/>
      </c>
      <c r="J1824" s="9"/>
      <c r="K1824" s="10" t="str">
        <f aca="false">IF($B1824="","",$E1824*IFERROR(INDEX(Drinks!$B$4:$B$53,MATCH($B1824,Drinks!$A$4:$A$53,0)),0))</f>
        <v/>
      </c>
      <c r="L1824" s="10" t="str">
        <f aca="false">IF($B1824="","",$J1824+$K1824)</f>
        <v/>
      </c>
      <c r="M1824" s="9"/>
      <c r="N1824" s="10" t="str">
        <f aca="false">IF($B1824="","",$L1824-$M1824)</f>
        <v/>
      </c>
      <c r="O1824" s="10" t="str">
        <f aca="false">IF($B1824="","",IFERROR(INDEX(Drinks!$E$4:$E$53,MATCH($B1824,Drinks!$A$4:$A$53,0)),0))</f>
        <v/>
      </c>
      <c r="P1824" s="10" t="str">
        <f aca="false">IF($B1824="","",$N1824*$O1824)</f>
        <v/>
      </c>
      <c r="Q1824" s="10" t="str">
        <f aca="false">IF($B1824="","",$N1824*IFERROR(INDEX(Drinks!$D$4:$D$53,MATCH($B1824,Drinks!$A$4:$A$53,0)),0))</f>
        <v/>
      </c>
      <c r="R1824" s="10" t="str">
        <f aca="false">IF($B1824="","",$P1824-$Q1824)</f>
        <v/>
      </c>
      <c r="S1824" s="23" t="str">
        <f aca="false">IF($B1824="","",IF(COUNTIFS($A$4:$A$2003,$A1824-1,$B$4:$B$2003,$B1824)=0,"first day",IF(SUMIFS($M$4:$M$2003,$A$4:$A$2003,$A1824-1,$B$4:$B$2003,$B1824)=$J1824,"OK","CHECK")))</f>
        <v/>
      </c>
      <c r="T1824" s="10" t="str">
        <f aca="false">IF($B1824="","",IFERROR(INDEX(Drinks!$D$4:$D$53,MATCH($B1824,Drinks!$A$4:$A$53,0)),0))</f>
        <v/>
      </c>
    </row>
    <row r="1825" customFormat="false" ht="15" hidden="false" customHeight="false" outlineLevel="0" collapsed="false">
      <c r="A1825" s="22"/>
      <c r="B1825" s="9"/>
      <c r="C1825" s="9"/>
      <c r="D1825" s="9"/>
      <c r="E1825" s="9"/>
      <c r="F1825" s="10" t="str">
        <f aca="false">IF($B1825="","",$C1825+$D1825-$E1825)</f>
        <v/>
      </c>
      <c r="G1825" s="10" t="str">
        <f aca="false">IF($B1825="","",IFERROR(INDEX(Drinks!$C$4:$C$53,MATCH($B1825,Drinks!$A$4:$A$53,0)),0))</f>
        <v/>
      </c>
      <c r="H1825" s="10" t="str">
        <f aca="false">IF($B1825="","",$D1825*$G1825)</f>
        <v/>
      </c>
      <c r="I1825" s="10" t="str">
        <f aca="false">IF($B1825="","",$F1825*$G1825)</f>
        <v/>
      </c>
      <c r="J1825" s="9"/>
      <c r="K1825" s="10" t="str">
        <f aca="false">IF($B1825="","",$E1825*IFERROR(INDEX(Drinks!$B$4:$B$53,MATCH($B1825,Drinks!$A$4:$A$53,0)),0))</f>
        <v/>
      </c>
      <c r="L1825" s="10" t="str">
        <f aca="false">IF($B1825="","",$J1825+$K1825)</f>
        <v/>
      </c>
      <c r="M1825" s="9"/>
      <c r="N1825" s="10" t="str">
        <f aca="false">IF($B1825="","",$L1825-$M1825)</f>
        <v/>
      </c>
      <c r="O1825" s="10" t="str">
        <f aca="false">IF($B1825="","",IFERROR(INDEX(Drinks!$E$4:$E$53,MATCH($B1825,Drinks!$A$4:$A$53,0)),0))</f>
        <v/>
      </c>
      <c r="P1825" s="10" t="str">
        <f aca="false">IF($B1825="","",$N1825*$O1825)</f>
        <v/>
      </c>
      <c r="Q1825" s="10" t="str">
        <f aca="false">IF($B1825="","",$N1825*IFERROR(INDEX(Drinks!$D$4:$D$53,MATCH($B1825,Drinks!$A$4:$A$53,0)),0))</f>
        <v/>
      </c>
      <c r="R1825" s="10" t="str">
        <f aca="false">IF($B1825="","",$P1825-$Q1825)</f>
        <v/>
      </c>
      <c r="S1825" s="23" t="str">
        <f aca="false">IF($B1825="","",IF(COUNTIFS($A$4:$A$2003,$A1825-1,$B$4:$B$2003,$B1825)=0,"first day",IF(SUMIFS($M$4:$M$2003,$A$4:$A$2003,$A1825-1,$B$4:$B$2003,$B1825)=$J1825,"OK","CHECK")))</f>
        <v/>
      </c>
      <c r="T1825" s="10" t="str">
        <f aca="false">IF($B1825="","",IFERROR(INDEX(Drinks!$D$4:$D$53,MATCH($B1825,Drinks!$A$4:$A$53,0)),0))</f>
        <v/>
      </c>
    </row>
    <row r="1826" customFormat="false" ht="15" hidden="false" customHeight="false" outlineLevel="0" collapsed="false">
      <c r="A1826" s="22"/>
      <c r="B1826" s="9"/>
      <c r="C1826" s="9"/>
      <c r="D1826" s="9"/>
      <c r="E1826" s="9"/>
      <c r="F1826" s="10" t="str">
        <f aca="false">IF($B1826="","",$C1826+$D1826-$E1826)</f>
        <v/>
      </c>
      <c r="G1826" s="10" t="str">
        <f aca="false">IF($B1826="","",IFERROR(INDEX(Drinks!$C$4:$C$53,MATCH($B1826,Drinks!$A$4:$A$53,0)),0))</f>
        <v/>
      </c>
      <c r="H1826" s="10" t="str">
        <f aca="false">IF($B1826="","",$D1826*$G1826)</f>
        <v/>
      </c>
      <c r="I1826" s="10" t="str">
        <f aca="false">IF($B1826="","",$F1826*$G1826)</f>
        <v/>
      </c>
      <c r="J1826" s="9"/>
      <c r="K1826" s="10" t="str">
        <f aca="false">IF($B1826="","",$E1826*IFERROR(INDEX(Drinks!$B$4:$B$53,MATCH($B1826,Drinks!$A$4:$A$53,0)),0))</f>
        <v/>
      </c>
      <c r="L1826" s="10" t="str">
        <f aca="false">IF($B1826="","",$J1826+$K1826)</f>
        <v/>
      </c>
      <c r="M1826" s="9"/>
      <c r="N1826" s="10" t="str">
        <f aca="false">IF($B1826="","",$L1826-$M1826)</f>
        <v/>
      </c>
      <c r="O1826" s="10" t="str">
        <f aca="false">IF($B1826="","",IFERROR(INDEX(Drinks!$E$4:$E$53,MATCH($B1826,Drinks!$A$4:$A$53,0)),0))</f>
        <v/>
      </c>
      <c r="P1826" s="10" t="str">
        <f aca="false">IF($B1826="","",$N1826*$O1826)</f>
        <v/>
      </c>
      <c r="Q1826" s="10" t="str">
        <f aca="false">IF($B1826="","",$N1826*IFERROR(INDEX(Drinks!$D$4:$D$53,MATCH($B1826,Drinks!$A$4:$A$53,0)),0))</f>
        <v/>
      </c>
      <c r="R1826" s="10" t="str">
        <f aca="false">IF($B1826="","",$P1826-$Q1826)</f>
        <v/>
      </c>
      <c r="S1826" s="23" t="str">
        <f aca="false">IF($B1826="","",IF(COUNTIFS($A$4:$A$2003,$A1826-1,$B$4:$B$2003,$B1826)=0,"first day",IF(SUMIFS($M$4:$M$2003,$A$4:$A$2003,$A1826-1,$B$4:$B$2003,$B1826)=$J1826,"OK","CHECK")))</f>
        <v/>
      </c>
      <c r="T1826" s="10" t="str">
        <f aca="false">IF($B1826="","",IFERROR(INDEX(Drinks!$D$4:$D$53,MATCH($B1826,Drinks!$A$4:$A$53,0)),0))</f>
        <v/>
      </c>
    </row>
    <row r="1827" customFormat="false" ht="15" hidden="false" customHeight="false" outlineLevel="0" collapsed="false">
      <c r="A1827" s="22"/>
      <c r="B1827" s="9"/>
      <c r="C1827" s="9"/>
      <c r="D1827" s="9"/>
      <c r="E1827" s="9"/>
      <c r="F1827" s="10" t="str">
        <f aca="false">IF($B1827="","",$C1827+$D1827-$E1827)</f>
        <v/>
      </c>
      <c r="G1827" s="10" t="str">
        <f aca="false">IF($B1827="","",IFERROR(INDEX(Drinks!$C$4:$C$53,MATCH($B1827,Drinks!$A$4:$A$53,0)),0))</f>
        <v/>
      </c>
      <c r="H1827" s="10" t="str">
        <f aca="false">IF($B1827="","",$D1827*$G1827)</f>
        <v/>
      </c>
      <c r="I1827" s="10" t="str">
        <f aca="false">IF($B1827="","",$F1827*$G1827)</f>
        <v/>
      </c>
      <c r="J1827" s="9"/>
      <c r="K1827" s="10" t="str">
        <f aca="false">IF($B1827="","",$E1827*IFERROR(INDEX(Drinks!$B$4:$B$53,MATCH($B1827,Drinks!$A$4:$A$53,0)),0))</f>
        <v/>
      </c>
      <c r="L1827" s="10" t="str">
        <f aca="false">IF($B1827="","",$J1827+$K1827)</f>
        <v/>
      </c>
      <c r="M1827" s="9"/>
      <c r="N1827" s="10" t="str">
        <f aca="false">IF($B1827="","",$L1827-$M1827)</f>
        <v/>
      </c>
      <c r="O1827" s="10" t="str">
        <f aca="false">IF($B1827="","",IFERROR(INDEX(Drinks!$E$4:$E$53,MATCH($B1827,Drinks!$A$4:$A$53,0)),0))</f>
        <v/>
      </c>
      <c r="P1827" s="10" t="str">
        <f aca="false">IF($B1827="","",$N1827*$O1827)</f>
        <v/>
      </c>
      <c r="Q1827" s="10" t="str">
        <f aca="false">IF($B1827="","",$N1827*IFERROR(INDEX(Drinks!$D$4:$D$53,MATCH($B1827,Drinks!$A$4:$A$53,0)),0))</f>
        <v/>
      </c>
      <c r="R1827" s="10" t="str">
        <f aca="false">IF($B1827="","",$P1827-$Q1827)</f>
        <v/>
      </c>
      <c r="S1827" s="23" t="str">
        <f aca="false">IF($B1827="","",IF(COUNTIFS($A$4:$A$2003,$A1827-1,$B$4:$B$2003,$B1827)=0,"first day",IF(SUMIFS($M$4:$M$2003,$A$4:$A$2003,$A1827-1,$B$4:$B$2003,$B1827)=$J1827,"OK","CHECK")))</f>
        <v/>
      </c>
      <c r="T1827" s="10" t="str">
        <f aca="false">IF($B1827="","",IFERROR(INDEX(Drinks!$D$4:$D$53,MATCH($B1827,Drinks!$A$4:$A$53,0)),0))</f>
        <v/>
      </c>
    </row>
    <row r="1828" customFormat="false" ht="15" hidden="false" customHeight="false" outlineLevel="0" collapsed="false">
      <c r="A1828" s="22"/>
      <c r="B1828" s="9"/>
      <c r="C1828" s="9"/>
      <c r="D1828" s="9"/>
      <c r="E1828" s="9"/>
      <c r="F1828" s="10" t="str">
        <f aca="false">IF($B1828="","",$C1828+$D1828-$E1828)</f>
        <v/>
      </c>
      <c r="G1828" s="10" t="str">
        <f aca="false">IF($B1828="","",IFERROR(INDEX(Drinks!$C$4:$C$53,MATCH($B1828,Drinks!$A$4:$A$53,0)),0))</f>
        <v/>
      </c>
      <c r="H1828" s="10" t="str">
        <f aca="false">IF($B1828="","",$D1828*$G1828)</f>
        <v/>
      </c>
      <c r="I1828" s="10" t="str">
        <f aca="false">IF($B1828="","",$F1828*$G1828)</f>
        <v/>
      </c>
      <c r="J1828" s="9"/>
      <c r="K1828" s="10" t="str">
        <f aca="false">IF($B1828="","",$E1828*IFERROR(INDEX(Drinks!$B$4:$B$53,MATCH($B1828,Drinks!$A$4:$A$53,0)),0))</f>
        <v/>
      </c>
      <c r="L1828" s="10" t="str">
        <f aca="false">IF($B1828="","",$J1828+$K1828)</f>
        <v/>
      </c>
      <c r="M1828" s="9"/>
      <c r="N1828" s="10" t="str">
        <f aca="false">IF($B1828="","",$L1828-$M1828)</f>
        <v/>
      </c>
      <c r="O1828" s="10" t="str">
        <f aca="false">IF($B1828="","",IFERROR(INDEX(Drinks!$E$4:$E$53,MATCH($B1828,Drinks!$A$4:$A$53,0)),0))</f>
        <v/>
      </c>
      <c r="P1828" s="10" t="str">
        <f aca="false">IF($B1828="","",$N1828*$O1828)</f>
        <v/>
      </c>
      <c r="Q1828" s="10" t="str">
        <f aca="false">IF($B1828="","",$N1828*IFERROR(INDEX(Drinks!$D$4:$D$53,MATCH($B1828,Drinks!$A$4:$A$53,0)),0))</f>
        <v/>
      </c>
      <c r="R1828" s="10" t="str">
        <f aca="false">IF($B1828="","",$P1828-$Q1828)</f>
        <v/>
      </c>
      <c r="S1828" s="23" t="str">
        <f aca="false">IF($B1828="","",IF(COUNTIFS($A$4:$A$2003,$A1828-1,$B$4:$B$2003,$B1828)=0,"first day",IF(SUMIFS($M$4:$M$2003,$A$4:$A$2003,$A1828-1,$B$4:$B$2003,$B1828)=$J1828,"OK","CHECK")))</f>
        <v/>
      </c>
      <c r="T1828" s="10" t="str">
        <f aca="false">IF($B1828="","",IFERROR(INDEX(Drinks!$D$4:$D$53,MATCH($B1828,Drinks!$A$4:$A$53,0)),0))</f>
        <v/>
      </c>
    </row>
    <row r="1829" customFormat="false" ht="15" hidden="false" customHeight="false" outlineLevel="0" collapsed="false">
      <c r="A1829" s="22"/>
      <c r="B1829" s="9"/>
      <c r="C1829" s="9"/>
      <c r="D1829" s="9"/>
      <c r="E1829" s="9"/>
      <c r="F1829" s="10" t="str">
        <f aca="false">IF($B1829="","",$C1829+$D1829-$E1829)</f>
        <v/>
      </c>
      <c r="G1829" s="10" t="str">
        <f aca="false">IF($B1829="","",IFERROR(INDEX(Drinks!$C$4:$C$53,MATCH($B1829,Drinks!$A$4:$A$53,0)),0))</f>
        <v/>
      </c>
      <c r="H1829" s="10" t="str">
        <f aca="false">IF($B1829="","",$D1829*$G1829)</f>
        <v/>
      </c>
      <c r="I1829" s="10" t="str">
        <f aca="false">IF($B1829="","",$F1829*$G1829)</f>
        <v/>
      </c>
      <c r="J1829" s="9"/>
      <c r="K1829" s="10" t="str">
        <f aca="false">IF($B1829="","",$E1829*IFERROR(INDEX(Drinks!$B$4:$B$53,MATCH($B1829,Drinks!$A$4:$A$53,0)),0))</f>
        <v/>
      </c>
      <c r="L1829" s="10" t="str">
        <f aca="false">IF($B1829="","",$J1829+$K1829)</f>
        <v/>
      </c>
      <c r="M1829" s="9"/>
      <c r="N1829" s="10" t="str">
        <f aca="false">IF($B1829="","",$L1829-$M1829)</f>
        <v/>
      </c>
      <c r="O1829" s="10" t="str">
        <f aca="false">IF($B1829="","",IFERROR(INDEX(Drinks!$E$4:$E$53,MATCH($B1829,Drinks!$A$4:$A$53,0)),0))</f>
        <v/>
      </c>
      <c r="P1829" s="10" t="str">
        <f aca="false">IF($B1829="","",$N1829*$O1829)</f>
        <v/>
      </c>
      <c r="Q1829" s="10" t="str">
        <f aca="false">IF($B1829="","",$N1829*IFERROR(INDEX(Drinks!$D$4:$D$53,MATCH($B1829,Drinks!$A$4:$A$53,0)),0))</f>
        <v/>
      </c>
      <c r="R1829" s="10" t="str">
        <f aca="false">IF($B1829="","",$P1829-$Q1829)</f>
        <v/>
      </c>
      <c r="S1829" s="23" t="str">
        <f aca="false">IF($B1829="","",IF(COUNTIFS($A$4:$A$2003,$A1829-1,$B$4:$B$2003,$B1829)=0,"first day",IF(SUMIFS($M$4:$M$2003,$A$4:$A$2003,$A1829-1,$B$4:$B$2003,$B1829)=$J1829,"OK","CHECK")))</f>
        <v/>
      </c>
      <c r="T1829" s="10" t="str">
        <f aca="false">IF($B1829="","",IFERROR(INDEX(Drinks!$D$4:$D$53,MATCH($B1829,Drinks!$A$4:$A$53,0)),0))</f>
        <v/>
      </c>
    </row>
    <row r="1830" customFormat="false" ht="15" hidden="false" customHeight="false" outlineLevel="0" collapsed="false">
      <c r="A1830" s="22"/>
      <c r="B1830" s="9"/>
      <c r="C1830" s="9"/>
      <c r="D1830" s="9"/>
      <c r="E1830" s="9"/>
      <c r="F1830" s="10" t="str">
        <f aca="false">IF($B1830="","",$C1830+$D1830-$E1830)</f>
        <v/>
      </c>
      <c r="G1830" s="10" t="str">
        <f aca="false">IF($B1830="","",IFERROR(INDEX(Drinks!$C$4:$C$53,MATCH($B1830,Drinks!$A$4:$A$53,0)),0))</f>
        <v/>
      </c>
      <c r="H1830" s="10" t="str">
        <f aca="false">IF($B1830="","",$D1830*$G1830)</f>
        <v/>
      </c>
      <c r="I1830" s="10" t="str">
        <f aca="false">IF($B1830="","",$F1830*$G1830)</f>
        <v/>
      </c>
      <c r="J1830" s="9"/>
      <c r="K1830" s="10" t="str">
        <f aca="false">IF($B1830="","",$E1830*IFERROR(INDEX(Drinks!$B$4:$B$53,MATCH($B1830,Drinks!$A$4:$A$53,0)),0))</f>
        <v/>
      </c>
      <c r="L1830" s="10" t="str">
        <f aca="false">IF($B1830="","",$J1830+$K1830)</f>
        <v/>
      </c>
      <c r="M1830" s="9"/>
      <c r="N1830" s="10" t="str">
        <f aca="false">IF($B1830="","",$L1830-$M1830)</f>
        <v/>
      </c>
      <c r="O1830" s="10" t="str">
        <f aca="false">IF($B1830="","",IFERROR(INDEX(Drinks!$E$4:$E$53,MATCH($B1830,Drinks!$A$4:$A$53,0)),0))</f>
        <v/>
      </c>
      <c r="P1830" s="10" t="str">
        <f aca="false">IF($B1830="","",$N1830*$O1830)</f>
        <v/>
      </c>
      <c r="Q1830" s="10" t="str">
        <f aca="false">IF($B1830="","",$N1830*IFERROR(INDEX(Drinks!$D$4:$D$53,MATCH($B1830,Drinks!$A$4:$A$53,0)),0))</f>
        <v/>
      </c>
      <c r="R1830" s="10" t="str">
        <f aca="false">IF($B1830="","",$P1830-$Q1830)</f>
        <v/>
      </c>
      <c r="S1830" s="23" t="str">
        <f aca="false">IF($B1830="","",IF(COUNTIFS($A$4:$A$2003,$A1830-1,$B$4:$B$2003,$B1830)=0,"first day",IF(SUMIFS($M$4:$M$2003,$A$4:$A$2003,$A1830-1,$B$4:$B$2003,$B1830)=$J1830,"OK","CHECK")))</f>
        <v/>
      </c>
      <c r="T1830" s="10" t="str">
        <f aca="false">IF($B1830="","",IFERROR(INDEX(Drinks!$D$4:$D$53,MATCH($B1830,Drinks!$A$4:$A$53,0)),0))</f>
        <v/>
      </c>
    </row>
    <row r="1831" customFormat="false" ht="15" hidden="false" customHeight="false" outlineLevel="0" collapsed="false">
      <c r="A1831" s="22"/>
      <c r="B1831" s="9"/>
      <c r="C1831" s="9"/>
      <c r="D1831" s="9"/>
      <c r="E1831" s="9"/>
      <c r="F1831" s="10" t="str">
        <f aca="false">IF($B1831="","",$C1831+$D1831-$E1831)</f>
        <v/>
      </c>
      <c r="G1831" s="10" t="str">
        <f aca="false">IF($B1831="","",IFERROR(INDEX(Drinks!$C$4:$C$53,MATCH($B1831,Drinks!$A$4:$A$53,0)),0))</f>
        <v/>
      </c>
      <c r="H1831" s="10" t="str">
        <f aca="false">IF($B1831="","",$D1831*$G1831)</f>
        <v/>
      </c>
      <c r="I1831" s="10" t="str">
        <f aca="false">IF($B1831="","",$F1831*$G1831)</f>
        <v/>
      </c>
      <c r="J1831" s="9"/>
      <c r="K1831" s="10" t="str">
        <f aca="false">IF($B1831="","",$E1831*IFERROR(INDEX(Drinks!$B$4:$B$53,MATCH($B1831,Drinks!$A$4:$A$53,0)),0))</f>
        <v/>
      </c>
      <c r="L1831" s="10" t="str">
        <f aca="false">IF($B1831="","",$J1831+$K1831)</f>
        <v/>
      </c>
      <c r="M1831" s="9"/>
      <c r="N1831" s="10" t="str">
        <f aca="false">IF($B1831="","",$L1831-$M1831)</f>
        <v/>
      </c>
      <c r="O1831" s="10" t="str">
        <f aca="false">IF($B1831="","",IFERROR(INDEX(Drinks!$E$4:$E$53,MATCH($B1831,Drinks!$A$4:$A$53,0)),0))</f>
        <v/>
      </c>
      <c r="P1831" s="10" t="str">
        <f aca="false">IF($B1831="","",$N1831*$O1831)</f>
        <v/>
      </c>
      <c r="Q1831" s="10" t="str">
        <f aca="false">IF($B1831="","",$N1831*IFERROR(INDEX(Drinks!$D$4:$D$53,MATCH($B1831,Drinks!$A$4:$A$53,0)),0))</f>
        <v/>
      </c>
      <c r="R1831" s="10" t="str">
        <f aca="false">IF($B1831="","",$P1831-$Q1831)</f>
        <v/>
      </c>
      <c r="S1831" s="23" t="str">
        <f aca="false">IF($B1831="","",IF(COUNTIFS($A$4:$A$2003,$A1831-1,$B$4:$B$2003,$B1831)=0,"first day",IF(SUMIFS($M$4:$M$2003,$A$4:$A$2003,$A1831-1,$B$4:$B$2003,$B1831)=$J1831,"OK","CHECK")))</f>
        <v/>
      </c>
      <c r="T1831" s="10" t="str">
        <f aca="false">IF($B1831="","",IFERROR(INDEX(Drinks!$D$4:$D$53,MATCH($B1831,Drinks!$A$4:$A$53,0)),0))</f>
        <v/>
      </c>
    </row>
    <row r="1832" customFormat="false" ht="15" hidden="false" customHeight="false" outlineLevel="0" collapsed="false">
      <c r="A1832" s="22"/>
      <c r="B1832" s="9"/>
      <c r="C1832" s="9"/>
      <c r="D1832" s="9"/>
      <c r="E1832" s="9"/>
      <c r="F1832" s="10" t="str">
        <f aca="false">IF($B1832="","",$C1832+$D1832-$E1832)</f>
        <v/>
      </c>
      <c r="G1832" s="10" t="str">
        <f aca="false">IF($B1832="","",IFERROR(INDEX(Drinks!$C$4:$C$53,MATCH($B1832,Drinks!$A$4:$A$53,0)),0))</f>
        <v/>
      </c>
      <c r="H1832" s="10" t="str">
        <f aca="false">IF($B1832="","",$D1832*$G1832)</f>
        <v/>
      </c>
      <c r="I1832" s="10" t="str">
        <f aca="false">IF($B1832="","",$F1832*$G1832)</f>
        <v/>
      </c>
      <c r="J1832" s="9"/>
      <c r="K1832" s="10" t="str">
        <f aca="false">IF($B1832="","",$E1832*IFERROR(INDEX(Drinks!$B$4:$B$53,MATCH($B1832,Drinks!$A$4:$A$53,0)),0))</f>
        <v/>
      </c>
      <c r="L1832" s="10" t="str">
        <f aca="false">IF($B1832="","",$J1832+$K1832)</f>
        <v/>
      </c>
      <c r="M1832" s="9"/>
      <c r="N1832" s="10" t="str">
        <f aca="false">IF($B1832="","",$L1832-$M1832)</f>
        <v/>
      </c>
      <c r="O1832" s="10" t="str">
        <f aca="false">IF($B1832="","",IFERROR(INDEX(Drinks!$E$4:$E$53,MATCH($B1832,Drinks!$A$4:$A$53,0)),0))</f>
        <v/>
      </c>
      <c r="P1832" s="10" t="str">
        <f aca="false">IF($B1832="","",$N1832*$O1832)</f>
        <v/>
      </c>
      <c r="Q1832" s="10" t="str">
        <f aca="false">IF($B1832="","",$N1832*IFERROR(INDEX(Drinks!$D$4:$D$53,MATCH($B1832,Drinks!$A$4:$A$53,0)),0))</f>
        <v/>
      </c>
      <c r="R1832" s="10" t="str">
        <f aca="false">IF($B1832="","",$P1832-$Q1832)</f>
        <v/>
      </c>
      <c r="S1832" s="23" t="str">
        <f aca="false">IF($B1832="","",IF(COUNTIFS($A$4:$A$2003,$A1832-1,$B$4:$B$2003,$B1832)=0,"first day",IF(SUMIFS($M$4:$M$2003,$A$4:$A$2003,$A1832-1,$B$4:$B$2003,$B1832)=$J1832,"OK","CHECK")))</f>
        <v/>
      </c>
      <c r="T1832" s="10" t="str">
        <f aca="false">IF($B1832="","",IFERROR(INDEX(Drinks!$D$4:$D$53,MATCH($B1832,Drinks!$A$4:$A$53,0)),0))</f>
        <v/>
      </c>
    </row>
    <row r="1833" customFormat="false" ht="15" hidden="false" customHeight="false" outlineLevel="0" collapsed="false">
      <c r="A1833" s="22"/>
      <c r="B1833" s="9"/>
      <c r="C1833" s="9"/>
      <c r="D1833" s="9"/>
      <c r="E1833" s="9"/>
      <c r="F1833" s="10" t="str">
        <f aca="false">IF($B1833="","",$C1833+$D1833-$E1833)</f>
        <v/>
      </c>
      <c r="G1833" s="10" t="str">
        <f aca="false">IF($B1833="","",IFERROR(INDEX(Drinks!$C$4:$C$53,MATCH($B1833,Drinks!$A$4:$A$53,0)),0))</f>
        <v/>
      </c>
      <c r="H1833" s="10" t="str">
        <f aca="false">IF($B1833="","",$D1833*$G1833)</f>
        <v/>
      </c>
      <c r="I1833" s="10" t="str">
        <f aca="false">IF($B1833="","",$F1833*$G1833)</f>
        <v/>
      </c>
      <c r="J1833" s="9"/>
      <c r="K1833" s="10" t="str">
        <f aca="false">IF($B1833="","",$E1833*IFERROR(INDEX(Drinks!$B$4:$B$53,MATCH($B1833,Drinks!$A$4:$A$53,0)),0))</f>
        <v/>
      </c>
      <c r="L1833" s="10" t="str">
        <f aca="false">IF($B1833="","",$J1833+$K1833)</f>
        <v/>
      </c>
      <c r="M1833" s="9"/>
      <c r="N1833" s="10" t="str">
        <f aca="false">IF($B1833="","",$L1833-$M1833)</f>
        <v/>
      </c>
      <c r="O1833" s="10" t="str">
        <f aca="false">IF($B1833="","",IFERROR(INDEX(Drinks!$E$4:$E$53,MATCH($B1833,Drinks!$A$4:$A$53,0)),0))</f>
        <v/>
      </c>
      <c r="P1833" s="10" t="str">
        <f aca="false">IF($B1833="","",$N1833*$O1833)</f>
        <v/>
      </c>
      <c r="Q1833" s="10" t="str">
        <f aca="false">IF($B1833="","",$N1833*IFERROR(INDEX(Drinks!$D$4:$D$53,MATCH($B1833,Drinks!$A$4:$A$53,0)),0))</f>
        <v/>
      </c>
      <c r="R1833" s="10" t="str">
        <f aca="false">IF($B1833="","",$P1833-$Q1833)</f>
        <v/>
      </c>
      <c r="S1833" s="23" t="str">
        <f aca="false">IF($B1833="","",IF(COUNTIFS($A$4:$A$2003,$A1833-1,$B$4:$B$2003,$B1833)=0,"first day",IF(SUMIFS($M$4:$M$2003,$A$4:$A$2003,$A1833-1,$B$4:$B$2003,$B1833)=$J1833,"OK","CHECK")))</f>
        <v/>
      </c>
      <c r="T1833" s="10" t="str">
        <f aca="false">IF($B1833="","",IFERROR(INDEX(Drinks!$D$4:$D$53,MATCH($B1833,Drinks!$A$4:$A$53,0)),0))</f>
        <v/>
      </c>
    </row>
    <row r="1834" customFormat="false" ht="15" hidden="false" customHeight="false" outlineLevel="0" collapsed="false">
      <c r="A1834" s="22"/>
      <c r="B1834" s="9"/>
      <c r="C1834" s="9"/>
      <c r="D1834" s="9"/>
      <c r="E1834" s="9"/>
      <c r="F1834" s="10" t="str">
        <f aca="false">IF($B1834="","",$C1834+$D1834-$E1834)</f>
        <v/>
      </c>
      <c r="G1834" s="10" t="str">
        <f aca="false">IF($B1834="","",IFERROR(INDEX(Drinks!$C$4:$C$53,MATCH($B1834,Drinks!$A$4:$A$53,0)),0))</f>
        <v/>
      </c>
      <c r="H1834" s="10" t="str">
        <f aca="false">IF($B1834="","",$D1834*$G1834)</f>
        <v/>
      </c>
      <c r="I1834" s="10" t="str">
        <f aca="false">IF($B1834="","",$F1834*$G1834)</f>
        <v/>
      </c>
      <c r="J1834" s="9"/>
      <c r="K1834" s="10" t="str">
        <f aca="false">IF($B1834="","",$E1834*IFERROR(INDEX(Drinks!$B$4:$B$53,MATCH($B1834,Drinks!$A$4:$A$53,0)),0))</f>
        <v/>
      </c>
      <c r="L1834" s="10" t="str">
        <f aca="false">IF($B1834="","",$J1834+$K1834)</f>
        <v/>
      </c>
      <c r="M1834" s="9"/>
      <c r="N1834" s="10" t="str">
        <f aca="false">IF($B1834="","",$L1834-$M1834)</f>
        <v/>
      </c>
      <c r="O1834" s="10" t="str">
        <f aca="false">IF($B1834="","",IFERROR(INDEX(Drinks!$E$4:$E$53,MATCH($B1834,Drinks!$A$4:$A$53,0)),0))</f>
        <v/>
      </c>
      <c r="P1834" s="10" t="str">
        <f aca="false">IF($B1834="","",$N1834*$O1834)</f>
        <v/>
      </c>
      <c r="Q1834" s="10" t="str">
        <f aca="false">IF($B1834="","",$N1834*IFERROR(INDEX(Drinks!$D$4:$D$53,MATCH($B1834,Drinks!$A$4:$A$53,0)),0))</f>
        <v/>
      </c>
      <c r="R1834" s="10" t="str">
        <f aca="false">IF($B1834="","",$P1834-$Q1834)</f>
        <v/>
      </c>
      <c r="S1834" s="23" t="str">
        <f aca="false">IF($B1834="","",IF(COUNTIFS($A$4:$A$2003,$A1834-1,$B$4:$B$2003,$B1834)=0,"first day",IF(SUMIFS($M$4:$M$2003,$A$4:$A$2003,$A1834-1,$B$4:$B$2003,$B1834)=$J1834,"OK","CHECK")))</f>
        <v/>
      </c>
      <c r="T1834" s="10" t="str">
        <f aca="false">IF($B1834="","",IFERROR(INDEX(Drinks!$D$4:$D$53,MATCH($B1834,Drinks!$A$4:$A$53,0)),0))</f>
        <v/>
      </c>
    </row>
    <row r="1835" customFormat="false" ht="15" hidden="false" customHeight="false" outlineLevel="0" collapsed="false">
      <c r="A1835" s="22"/>
      <c r="B1835" s="9"/>
      <c r="C1835" s="9"/>
      <c r="D1835" s="9"/>
      <c r="E1835" s="9"/>
      <c r="F1835" s="10" t="str">
        <f aca="false">IF($B1835="","",$C1835+$D1835-$E1835)</f>
        <v/>
      </c>
      <c r="G1835" s="10" t="str">
        <f aca="false">IF($B1835="","",IFERROR(INDEX(Drinks!$C$4:$C$53,MATCH($B1835,Drinks!$A$4:$A$53,0)),0))</f>
        <v/>
      </c>
      <c r="H1835" s="10" t="str">
        <f aca="false">IF($B1835="","",$D1835*$G1835)</f>
        <v/>
      </c>
      <c r="I1835" s="10" t="str">
        <f aca="false">IF($B1835="","",$F1835*$G1835)</f>
        <v/>
      </c>
      <c r="J1835" s="9"/>
      <c r="K1835" s="10" t="str">
        <f aca="false">IF($B1835="","",$E1835*IFERROR(INDEX(Drinks!$B$4:$B$53,MATCH($B1835,Drinks!$A$4:$A$53,0)),0))</f>
        <v/>
      </c>
      <c r="L1835" s="10" t="str">
        <f aca="false">IF($B1835="","",$J1835+$K1835)</f>
        <v/>
      </c>
      <c r="M1835" s="9"/>
      <c r="N1835" s="10" t="str">
        <f aca="false">IF($B1835="","",$L1835-$M1835)</f>
        <v/>
      </c>
      <c r="O1835" s="10" t="str">
        <f aca="false">IF($B1835="","",IFERROR(INDEX(Drinks!$E$4:$E$53,MATCH($B1835,Drinks!$A$4:$A$53,0)),0))</f>
        <v/>
      </c>
      <c r="P1835" s="10" t="str">
        <f aca="false">IF($B1835="","",$N1835*$O1835)</f>
        <v/>
      </c>
      <c r="Q1835" s="10" t="str">
        <f aca="false">IF($B1835="","",$N1835*IFERROR(INDEX(Drinks!$D$4:$D$53,MATCH($B1835,Drinks!$A$4:$A$53,0)),0))</f>
        <v/>
      </c>
      <c r="R1835" s="10" t="str">
        <f aca="false">IF($B1835="","",$P1835-$Q1835)</f>
        <v/>
      </c>
      <c r="S1835" s="23" t="str">
        <f aca="false">IF($B1835="","",IF(COUNTIFS($A$4:$A$2003,$A1835-1,$B$4:$B$2003,$B1835)=0,"first day",IF(SUMIFS($M$4:$M$2003,$A$4:$A$2003,$A1835-1,$B$4:$B$2003,$B1835)=$J1835,"OK","CHECK")))</f>
        <v/>
      </c>
      <c r="T1835" s="10" t="str">
        <f aca="false">IF($B1835="","",IFERROR(INDEX(Drinks!$D$4:$D$53,MATCH($B1835,Drinks!$A$4:$A$53,0)),0))</f>
        <v/>
      </c>
    </row>
    <row r="1836" customFormat="false" ht="15" hidden="false" customHeight="false" outlineLevel="0" collapsed="false">
      <c r="A1836" s="22"/>
      <c r="B1836" s="9"/>
      <c r="C1836" s="9"/>
      <c r="D1836" s="9"/>
      <c r="E1836" s="9"/>
      <c r="F1836" s="10" t="str">
        <f aca="false">IF($B1836="","",$C1836+$D1836-$E1836)</f>
        <v/>
      </c>
      <c r="G1836" s="10" t="str">
        <f aca="false">IF($B1836="","",IFERROR(INDEX(Drinks!$C$4:$C$53,MATCH($B1836,Drinks!$A$4:$A$53,0)),0))</f>
        <v/>
      </c>
      <c r="H1836" s="10" t="str">
        <f aca="false">IF($B1836="","",$D1836*$G1836)</f>
        <v/>
      </c>
      <c r="I1836" s="10" t="str">
        <f aca="false">IF($B1836="","",$F1836*$G1836)</f>
        <v/>
      </c>
      <c r="J1836" s="9"/>
      <c r="K1836" s="10" t="str">
        <f aca="false">IF($B1836="","",$E1836*IFERROR(INDEX(Drinks!$B$4:$B$53,MATCH($B1836,Drinks!$A$4:$A$53,0)),0))</f>
        <v/>
      </c>
      <c r="L1836" s="10" t="str">
        <f aca="false">IF($B1836="","",$J1836+$K1836)</f>
        <v/>
      </c>
      <c r="M1836" s="9"/>
      <c r="N1836" s="10" t="str">
        <f aca="false">IF($B1836="","",$L1836-$M1836)</f>
        <v/>
      </c>
      <c r="O1836" s="10" t="str">
        <f aca="false">IF($B1836="","",IFERROR(INDEX(Drinks!$E$4:$E$53,MATCH($B1836,Drinks!$A$4:$A$53,0)),0))</f>
        <v/>
      </c>
      <c r="P1836" s="10" t="str">
        <f aca="false">IF($B1836="","",$N1836*$O1836)</f>
        <v/>
      </c>
      <c r="Q1836" s="10" t="str">
        <f aca="false">IF($B1836="","",$N1836*IFERROR(INDEX(Drinks!$D$4:$D$53,MATCH($B1836,Drinks!$A$4:$A$53,0)),0))</f>
        <v/>
      </c>
      <c r="R1836" s="10" t="str">
        <f aca="false">IF($B1836="","",$P1836-$Q1836)</f>
        <v/>
      </c>
      <c r="S1836" s="23" t="str">
        <f aca="false">IF($B1836="","",IF(COUNTIFS($A$4:$A$2003,$A1836-1,$B$4:$B$2003,$B1836)=0,"first day",IF(SUMIFS($M$4:$M$2003,$A$4:$A$2003,$A1836-1,$B$4:$B$2003,$B1836)=$J1836,"OK","CHECK")))</f>
        <v/>
      </c>
      <c r="T1836" s="10" t="str">
        <f aca="false">IF($B1836="","",IFERROR(INDEX(Drinks!$D$4:$D$53,MATCH($B1836,Drinks!$A$4:$A$53,0)),0))</f>
        <v/>
      </c>
    </row>
    <row r="1837" customFormat="false" ht="15" hidden="false" customHeight="false" outlineLevel="0" collapsed="false">
      <c r="A1837" s="22"/>
      <c r="B1837" s="9"/>
      <c r="C1837" s="9"/>
      <c r="D1837" s="9"/>
      <c r="E1837" s="9"/>
      <c r="F1837" s="10" t="str">
        <f aca="false">IF($B1837="","",$C1837+$D1837-$E1837)</f>
        <v/>
      </c>
      <c r="G1837" s="10" t="str">
        <f aca="false">IF($B1837="","",IFERROR(INDEX(Drinks!$C$4:$C$53,MATCH($B1837,Drinks!$A$4:$A$53,0)),0))</f>
        <v/>
      </c>
      <c r="H1837" s="10" t="str">
        <f aca="false">IF($B1837="","",$D1837*$G1837)</f>
        <v/>
      </c>
      <c r="I1837" s="10" t="str">
        <f aca="false">IF($B1837="","",$F1837*$G1837)</f>
        <v/>
      </c>
      <c r="J1837" s="9"/>
      <c r="K1837" s="10" t="str">
        <f aca="false">IF($B1837="","",$E1837*IFERROR(INDEX(Drinks!$B$4:$B$53,MATCH($B1837,Drinks!$A$4:$A$53,0)),0))</f>
        <v/>
      </c>
      <c r="L1837" s="10" t="str">
        <f aca="false">IF($B1837="","",$J1837+$K1837)</f>
        <v/>
      </c>
      <c r="M1837" s="9"/>
      <c r="N1837" s="10" t="str">
        <f aca="false">IF($B1837="","",$L1837-$M1837)</f>
        <v/>
      </c>
      <c r="O1837" s="10" t="str">
        <f aca="false">IF($B1837="","",IFERROR(INDEX(Drinks!$E$4:$E$53,MATCH($B1837,Drinks!$A$4:$A$53,0)),0))</f>
        <v/>
      </c>
      <c r="P1837" s="10" t="str">
        <f aca="false">IF($B1837="","",$N1837*$O1837)</f>
        <v/>
      </c>
      <c r="Q1837" s="10" t="str">
        <f aca="false">IF($B1837="","",$N1837*IFERROR(INDEX(Drinks!$D$4:$D$53,MATCH($B1837,Drinks!$A$4:$A$53,0)),0))</f>
        <v/>
      </c>
      <c r="R1837" s="10" t="str">
        <f aca="false">IF($B1837="","",$P1837-$Q1837)</f>
        <v/>
      </c>
      <c r="S1837" s="23" t="str">
        <f aca="false">IF($B1837="","",IF(COUNTIFS($A$4:$A$2003,$A1837-1,$B$4:$B$2003,$B1837)=0,"first day",IF(SUMIFS($M$4:$M$2003,$A$4:$A$2003,$A1837-1,$B$4:$B$2003,$B1837)=$J1837,"OK","CHECK")))</f>
        <v/>
      </c>
      <c r="T1837" s="10" t="str">
        <f aca="false">IF($B1837="","",IFERROR(INDEX(Drinks!$D$4:$D$53,MATCH($B1837,Drinks!$A$4:$A$53,0)),0))</f>
        <v/>
      </c>
    </row>
    <row r="1838" customFormat="false" ht="15" hidden="false" customHeight="false" outlineLevel="0" collapsed="false">
      <c r="A1838" s="22"/>
      <c r="B1838" s="9"/>
      <c r="C1838" s="9"/>
      <c r="D1838" s="9"/>
      <c r="E1838" s="9"/>
      <c r="F1838" s="10" t="str">
        <f aca="false">IF($B1838="","",$C1838+$D1838-$E1838)</f>
        <v/>
      </c>
      <c r="G1838" s="10" t="str">
        <f aca="false">IF($B1838="","",IFERROR(INDEX(Drinks!$C$4:$C$53,MATCH($B1838,Drinks!$A$4:$A$53,0)),0))</f>
        <v/>
      </c>
      <c r="H1838" s="10" t="str">
        <f aca="false">IF($B1838="","",$D1838*$G1838)</f>
        <v/>
      </c>
      <c r="I1838" s="10" t="str">
        <f aca="false">IF($B1838="","",$F1838*$G1838)</f>
        <v/>
      </c>
      <c r="J1838" s="9"/>
      <c r="K1838" s="10" t="str">
        <f aca="false">IF($B1838="","",$E1838*IFERROR(INDEX(Drinks!$B$4:$B$53,MATCH($B1838,Drinks!$A$4:$A$53,0)),0))</f>
        <v/>
      </c>
      <c r="L1838" s="10" t="str">
        <f aca="false">IF($B1838="","",$J1838+$K1838)</f>
        <v/>
      </c>
      <c r="M1838" s="9"/>
      <c r="N1838" s="10" t="str">
        <f aca="false">IF($B1838="","",$L1838-$M1838)</f>
        <v/>
      </c>
      <c r="O1838" s="10" t="str">
        <f aca="false">IF($B1838="","",IFERROR(INDEX(Drinks!$E$4:$E$53,MATCH($B1838,Drinks!$A$4:$A$53,0)),0))</f>
        <v/>
      </c>
      <c r="P1838" s="10" t="str">
        <f aca="false">IF($B1838="","",$N1838*$O1838)</f>
        <v/>
      </c>
      <c r="Q1838" s="10" t="str">
        <f aca="false">IF($B1838="","",$N1838*IFERROR(INDEX(Drinks!$D$4:$D$53,MATCH($B1838,Drinks!$A$4:$A$53,0)),0))</f>
        <v/>
      </c>
      <c r="R1838" s="10" t="str">
        <f aca="false">IF($B1838="","",$P1838-$Q1838)</f>
        <v/>
      </c>
      <c r="S1838" s="23" t="str">
        <f aca="false">IF($B1838="","",IF(COUNTIFS($A$4:$A$2003,$A1838-1,$B$4:$B$2003,$B1838)=0,"first day",IF(SUMIFS($M$4:$M$2003,$A$4:$A$2003,$A1838-1,$B$4:$B$2003,$B1838)=$J1838,"OK","CHECK")))</f>
        <v/>
      </c>
      <c r="T1838" s="10" t="str">
        <f aca="false">IF($B1838="","",IFERROR(INDEX(Drinks!$D$4:$D$53,MATCH($B1838,Drinks!$A$4:$A$53,0)),0))</f>
        <v/>
      </c>
    </row>
    <row r="1839" customFormat="false" ht="15" hidden="false" customHeight="false" outlineLevel="0" collapsed="false">
      <c r="A1839" s="22"/>
      <c r="B1839" s="9"/>
      <c r="C1839" s="9"/>
      <c r="D1839" s="9"/>
      <c r="E1839" s="9"/>
      <c r="F1839" s="10" t="str">
        <f aca="false">IF($B1839="","",$C1839+$D1839-$E1839)</f>
        <v/>
      </c>
      <c r="G1839" s="10" t="str">
        <f aca="false">IF($B1839="","",IFERROR(INDEX(Drinks!$C$4:$C$53,MATCH($B1839,Drinks!$A$4:$A$53,0)),0))</f>
        <v/>
      </c>
      <c r="H1839" s="10" t="str">
        <f aca="false">IF($B1839="","",$D1839*$G1839)</f>
        <v/>
      </c>
      <c r="I1839" s="10" t="str">
        <f aca="false">IF($B1839="","",$F1839*$G1839)</f>
        <v/>
      </c>
      <c r="J1839" s="9"/>
      <c r="K1839" s="10" t="str">
        <f aca="false">IF($B1839="","",$E1839*IFERROR(INDEX(Drinks!$B$4:$B$53,MATCH($B1839,Drinks!$A$4:$A$53,0)),0))</f>
        <v/>
      </c>
      <c r="L1839" s="10" t="str">
        <f aca="false">IF($B1839="","",$J1839+$K1839)</f>
        <v/>
      </c>
      <c r="M1839" s="9"/>
      <c r="N1839" s="10" t="str">
        <f aca="false">IF($B1839="","",$L1839-$M1839)</f>
        <v/>
      </c>
      <c r="O1839" s="10" t="str">
        <f aca="false">IF($B1839="","",IFERROR(INDEX(Drinks!$E$4:$E$53,MATCH($B1839,Drinks!$A$4:$A$53,0)),0))</f>
        <v/>
      </c>
      <c r="P1839" s="10" t="str">
        <f aca="false">IF($B1839="","",$N1839*$O1839)</f>
        <v/>
      </c>
      <c r="Q1839" s="10" t="str">
        <f aca="false">IF($B1839="","",$N1839*IFERROR(INDEX(Drinks!$D$4:$D$53,MATCH($B1839,Drinks!$A$4:$A$53,0)),0))</f>
        <v/>
      </c>
      <c r="R1839" s="10" t="str">
        <f aca="false">IF($B1839="","",$P1839-$Q1839)</f>
        <v/>
      </c>
      <c r="S1839" s="23" t="str">
        <f aca="false">IF($B1839="","",IF(COUNTIFS($A$4:$A$2003,$A1839-1,$B$4:$B$2003,$B1839)=0,"first day",IF(SUMIFS($M$4:$M$2003,$A$4:$A$2003,$A1839-1,$B$4:$B$2003,$B1839)=$J1839,"OK","CHECK")))</f>
        <v/>
      </c>
      <c r="T1839" s="10" t="str">
        <f aca="false">IF($B1839="","",IFERROR(INDEX(Drinks!$D$4:$D$53,MATCH($B1839,Drinks!$A$4:$A$53,0)),0))</f>
        <v/>
      </c>
    </row>
    <row r="1840" customFormat="false" ht="15" hidden="false" customHeight="false" outlineLevel="0" collapsed="false">
      <c r="A1840" s="22"/>
      <c r="B1840" s="9"/>
      <c r="C1840" s="9"/>
      <c r="D1840" s="9"/>
      <c r="E1840" s="9"/>
      <c r="F1840" s="10" t="str">
        <f aca="false">IF($B1840="","",$C1840+$D1840-$E1840)</f>
        <v/>
      </c>
      <c r="G1840" s="10" t="str">
        <f aca="false">IF($B1840="","",IFERROR(INDEX(Drinks!$C$4:$C$53,MATCH($B1840,Drinks!$A$4:$A$53,0)),0))</f>
        <v/>
      </c>
      <c r="H1840" s="10" t="str">
        <f aca="false">IF($B1840="","",$D1840*$G1840)</f>
        <v/>
      </c>
      <c r="I1840" s="10" t="str">
        <f aca="false">IF($B1840="","",$F1840*$G1840)</f>
        <v/>
      </c>
      <c r="J1840" s="9"/>
      <c r="K1840" s="10" t="str">
        <f aca="false">IF($B1840="","",$E1840*IFERROR(INDEX(Drinks!$B$4:$B$53,MATCH($B1840,Drinks!$A$4:$A$53,0)),0))</f>
        <v/>
      </c>
      <c r="L1840" s="10" t="str">
        <f aca="false">IF($B1840="","",$J1840+$K1840)</f>
        <v/>
      </c>
      <c r="M1840" s="9"/>
      <c r="N1840" s="10" t="str">
        <f aca="false">IF($B1840="","",$L1840-$M1840)</f>
        <v/>
      </c>
      <c r="O1840" s="10" t="str">
        <f aca="false">IF($B1840="","",IFERROR(INDEX(Drinks!$E$4:$E$53,MATCH($B1840,Drinks!$A$4:$A$53,0)),0))</f>
        <v/>
      </c>
      <c r="P1840" s="10" t="str">
        <f aca="false">IF($B1840="","",$N1840*$O1840)</f>
        <v/>
      </c>
      <c r="Q1840" s="10" t="str">
        <f aca="false">IF($B1840="","",$N1840*IFERROR(INDEX(Drinks!$D$4:$D$53,MATCH($B1840,Drinks!$A$4:$A$53,0)),0))</f>
        <v/>
      </c>
      <c r="R1840" s="10" t="str">
        <f aca="false">IF($B1840="","",$P1840-$Q1840)</f>
        <v/>
      </c>
      <c r="S1840" s="23" t="str">
        <f aca="false">IF($B1840="","",IF(COUNTIFS($A$4:$A$2003,$A1840-1,$B$4:$B$2003,$B1840)=0,"first day",IF(SUMIFS($M$4:$M$2003,$A$4:$A$2003,$A1840-1,$B$4:$B$2003,$B1840)=$J1840,"OK","CHECK")))</f>
        <v/>
      </c>
      <c r="T1840" s="10" t="str">
        <f aca="false">IF($B1840="","",IFERROR(INDEX(Drinks!$D$4:$D$53,MATCH($B1840,Drinks!$A$4:$A$53,0)),0))</f>
        <v/>
      </c>
    </row>
    <row r="1841" customFormat="false" ht="15" hidden="false" customHeight="false" outlineLevel="0" collapsed="false">
      <c r="A1841" s="22"/>
      <c r="B1841" s="9"/>
      <c r="C1841" s="9"/>
      <c r="D1841" s="9"/>
      <c r="E1841" s="9"/>
      <c r="F1841" s="10" t="str">
        <f aca="false">IF($B1841="","",$C1841+$D1841-$E1841)</f>
        <v/>
      </c>
      <c r="G1841" s="10" t="str">
        <f aca="false">IF($B1841="","",IFERROR(INDEX(Drinks!$C$4:$C$53,MATCH($B1841,Drinks!$A$4:$A$53,0)),0))</f>
        <v/>
      </c>
      <c r="H1841" s="10" t="str">
        <f aca="false">IF($B1841="","",$D1841*$G1841)</f>
        <v/>
      </c>
      <c r="I1841" s="10" t="str">
        <f aca="false">IF($B1841="","",$F1841*$G1841)</f>
        <v/>
      </c>
      <c r="J1841" s="9"/>
      <c r="K1841" s="10" t="str">
        <f aca="false">IF($B1841="","",$E1841*IFERROR(INDEX(Drinks!$B$4:$B$53,MATCH($B1841,Drinks!$A$4:$A$53,0)),0))</f>
        <v/>
      </c>
      <c r="L1841" s="10" t="str">
        <f aca="false">IF($B1841="","",$J1841+$K1841)</f>
        <v/>
      </c>
      <c r="M1841" s="9"/>
      <c r="N1841" s="10" t="str">
        <f aca="false">IF($B1841="","",$L1841-$M1841)</f>
        <v/>
      </c>
      <c r="O1841" s="10" t="str">
        <f aca="false">IF($B1841="","",IFERROR(INDEX(Drinks!$E$4:$E$53,MATCH($B1841,Drinks!$A$4:$A$53,0)),0))</f>
        <v/>
      </c>
      <c r="P1841" s="10" t="str">
        <f aca="false">IF($B1841="","",$N1841*$O1841)</f>
        <v/>
      </c>
      <c r="Q1841" s="10" t="str">
        <f aca="false">IF($B1841="","",$N1841*IFERROR(INDEX(Drinks!$D$4:$D$53,MATCH($B1841,Drinks!$A$4:$A$53,0)),0))</f>
        <v/>
      </c>
      <c r="R1841" s="10" t="str">
        <f aca="false">IF($B1841="","",$P1841-$Q1841)</f>
        <v/>
      </c>
      <c r="S1841" s="23" t="str">
        <f aca="false">IF($B1841="","",IF(COUNTIFS($A$4:$A$2003,$A1841-1,$B$4:$B$2003,$B1841)=0,"first day",IF(SUMIFS($M$4:$M$2003,$A$4:$A$2003,$A1841-1,$B$4:$B$2003,$B1841)=$J1841,"OK","CHECK")))</f>
        <v/>
      </c>
      <c r="T1841" s="10" t="str">
        <f aca="false">IF($B1841="","",IFERROR(INDEX(Drinks!$D$4:$D$53,MATCH($B1841,Drinks!$A$4:$A$53,0)),0))</f>
        <v/>
      </c>
    </row>
    <row r="1842" customFormat="false" ht="15" hidden="false" customHeight="false" outlineLevel="0" collapsed="false">
      <c r="A1842" s="22"/>
      <c r="B1842" s="9"/>
      <c r="C1842" s="9"/>
      <c r="D1842" s="9"/>
      <c r="E1842" s="9"/>
      <c r="F1842" s="10" t="str">
        <f aca="false">IF($B1842="","",$C1842+$D1842-$E1842)</f>
        <v/>
      </c>
      <c r="G1842" s="10" t="str">
        <f aca="false">IF($B1842="","",IFERROR(INDEX(Drinks!$C$4:$C$53,MATCH($B1842,Drinks!$A$4:$A$53,0)),0))</f>
        <v/>
      </c>
      <c r="H1842" s="10" t="str">
        <f aca="false">IF($B1842="","",$D1842*$G1842)</f>
        <v/>
      </c>
      <c r="I1842" s="10" t="str">
        <f aca="false">IF($B1842="","",$F1842*$G1842)</f>
        <v/>
      </c>
      <c r="J1842" s="9"/>
      <c r="K1842" s="10" t="str">
        <f aca="false">IF($B1842="","",$E1842*IFERROR(INDEX(Drinks!$B$4:$B$53,MATCH($B1842,Drinks!$A$4:$A$53,0)),0))</f>
        <v/>
      </c>
      <c r="L1842" s="10" t="str">
        <f aca="false">IF($B1842="","",$J1842+$K1842)</f>
        <v/>
      </c>
      <c r="M1842" s="9"/>
      <c r="N1842" s="10" t="str">
        <f aca="false">IF($B1842="","",$L1842-$M1842)</f>
        <v/>
      </c>
      <c r="O1842" s="10" t="str">
        <f aca="false">IF($B1842="","",IFERROR(INDEX(Drinks!$E$4:$E$53,MATCH($B1842,Drinks!$A$4:$A$53,0)),0))</f>
        <v/>
      </c>
      <c r="P1842" s="10" t="str">
        <f aca="false">IF($B1842="","",$N1842*$O1842)</f>
        <v/>
      </c>
      <c r="Q1842" s="10" t="str">
        <f aca="false">IF($B1842="","",$N1842*IFERROR(INDEX(Drinks!$D$4:$D$53,MATCH($B1842,Drinks!$A$4:$A$53,0)),0))</f>
        <v/>
      </c>
      <c r="R1842" s="10" t="str">
        <f aca="false">IF($B1842="","",$P1842-$Q1842)</f>
        <v/>
      </c>
      <c r="S1842" s="23" t="str">
        <f aca="false">IF($B1842="","",IF(COUNTIFS($A$4:$A$2003,$A1842-1,$B$4:$B$2003,$B1842)=0,"first day",IF(SUMIFS($M$4:$M$2003,$A$4:$A$2003,$A1842-1,$B$4:$B$2003,$B1842)=$J1842,"OK","CHECK")))</f>
        <v/>
      </c>
      <c r="T1842" s="10" t="str">
        <f aca="false">IF($B1842="","",IFERROR(INDEX(Drinks!$D$4:$D$53,MATCH($B1842,Drinks!$A$4:$A$53,0)),0))</f>
        <v/>
      </c>
    </row>
    <row r="1843" customFormat="false" ht="15" hidden="false" customHeight="false" outlineLevel="0" collapsed="false">
      <c r="A1843" s="22"/>
      <c r="B1843" s="9"/>
      <c r="C1843" s="9"/>
      <c r="D1843" s="9"/>
      <c r="E1843" s="9"/>
      <c r="F1843" s="10" t="str">
        <f aca="false">IF($B1843="","",$C1843+$D1843-$E1843)</f>
        <v/>
      </c>
      <c r="G1843" s="10" t="str">
        <f aca="false">IF($B1843="","",IFERROR(INDEX(Drinks!$C$4:$C$53,MATCH($B1843,Drinks!$A$4:$A$53,0)),0))</f>
        <v/>
      </c>
      <c r="H1843" s="10" t="str">
        <f aca="false">IF($B1843="","",$D1843*$G1843)</f>
        <v/>
      </c>
      <c r="I1843" s="10" t="str">
        <f aca="false">IF($B1843="","",$F1843*$G1843)</f>
        <v/>
      </c>
      <c r="J1843" s="9"/>
      <c r="K1843" s="10" t="str">
        <f aca="false">IF($B1843="","",$E1843*IFERROR(INDEX(Drinks!$B$4:$B$53,MATCH($B1843,Drinks!$A$4:$A$53,0)),0))</f>
        <v/>
      </c>
      <c r="L1843" s="10" t="str">
        <f aca="false">IF($B1843="","",$J1843+$K1843)</f>
        <v/>
      </c>
      <c r="M1843" s="9"/>
      <c r="N1843" s="10" t="str">
        <f aca="false">IF($B1843="","",$L1843-$M1843)</f>
        <v/>
      </c>
      <c r="O1843" s="10" t="str">
        <f aca="false">IF($B1843="","",IFERROR(INDEX(Drinks!$E$4:$E$53,MATCH($B1843,Drinks!$A$4:$A$53,0)),0))</f>
        <v/>
      </c>
      <c r="P1843" s="10" t="str">
        <f aca="false">IF($B1843="","",$N1843*$O1843)</f>
        <v/>
      </c>
      <c r="Q1843" s="10" t="str">
        <f aca="false">IF($B1843="","",$N1843*IFERROR(INDEX(Drinks!$D$4:$D$53,MATCH($B1843,Drinks!$A$4:$A$53,0)),0))</f>
        <v/>
      </c>
      <c r="R1843" s="10" t="str">
        <f aca="false">IF($B1843="","",$P1843-$Q1843)</f>
        <v/>
      </c>
      <c r="S1843" s="23" t="str">
        <f aca="false">IF($B1843="","",IF(COUNTIFS($A$4:$A$2003,$A1843-1,$B$4:$B$2003,$B1843)=0,"first day",IF(SUMIFS($M$4:$M$2003,$A$4:$A$2003,$A1843-1,$B$4:$B$2003,$B1843)=$J1843,"OK","CHECK")))</f>
        <v/>
      </c>
      <c r="T1843" s="10" t="str">
        <f aca="false">IF($B1843="","",IFERROR(INDEX(Drinks!$D$4:$D$53,MATCH($B1843,Drinks!$A$4:$A$53,0)),0))</f>
        <v/>
      </c>
    </row>
    <row r="1844" customFormat="false" ht="15" hidden="false" customHeight="false" outlineLevel="0" collapsed="false">
      <c r="A1844" s="22"/>
      <c r="B1844" s="9"/>
      <c r="C1844" s="9"/>
      <c r="D1844" s="9"/>
      <c r="E1844" s="9"/>
      <c r="F1844" s="10" t="str">
        <f aca="false">IF($B1844="","",$C1844+$D1844-$E1844)</f>
        <v/>
      </c>
      <c r="G1844" s="10" t="str">
        <f aca="false">IF($B1844="","",IFERROR(INDEX(Drinks!$C$4:$C$53,MATCH($B1844,Drinks!$A$4:$A$53,0)),0))</f>
        <v/>
      </c>
      <c r="H1844" s="10" t="str">
        <f aca="false">IF($B1844="","",$D1844*$G1844)</f>
        <v/>
      </c>
      <c r="I1844" s="10" t="str">
        <f aca="false">IF($B1844="","",$F1844*$G1844)</f>
        <v/>
      </c>
      <c r="J1844" s="9"/>
      <c r="K1844" s="10" t="str">
        <f aca="false">IF($B1844="","",$E1844*IFERROR(INDEX(Drinks!$B$4:$B$53,MATCH($B1844,Drinks!$A$4:$A$53,0)),0))</f>
        <v/>
      </c>
      <c r="L1844" s="10" t="str">
        <f aca="false">IF($B1844="","",$J1844+$K1844)</f>
        <v/>
      </c>
      <c r="M1844" s="9"/>
      <c r="N1844" s="10" t="str">
        <f aca="false">IF($B1844="","",$L1844-$M1844)</f>
        <v/>
      </c>
      <c r="O1844" s="10" t="str">
        <f aca="false">IF($B1844="","",IFERROR(INDEX(Drinks!$E$4:$E$53,MATCH($B1844,Drinks!$A$4:$A$53,0)),0))</f>
        <v/>
      </c>
      <c r="P1844" s="10" t="str">
        <f aca="false">IF($B1844="","",$N1844*$O1844)</f>
        <v/>
      </c>
      <c r="Q1844" s="10" t="str">
        <f aca="false">IF($B1844="","",$N1844*IFERROR(INDEX(Drinks!$D$4:$D$53,MATCH($B1844,Drinks!$A$4:$A$53,0)),0))</f>
        <v/>
      </c>
      <c r="R1844" s="10" t="str">
        <f aca="false">IF($B1844="","",$P1844-$Q1844)</f>
        <v/>
      </c>
      <c r="S1844" s="23" t="str">
        <f aca="false">IF($B1844="","",IF(COUNTIFS($A$4:$A$2003,$A1844-1,$B$4:$B$2003,$B1844)=0,"first day",IF(SUMIFS($M$4:$M$2003,$A$4:$A$2003,$A1844-1,$B$4:$B$2003,$B1844)=$J1844,"OK","CHECK")))</f>
        <v/>
      </c>
      <c r="T1844" s="10" t="str">
        <f aca="false">IF($B1844="","",IFERROR(INDEX(Drinks!$D$4:$D$53,MATCH($B1844,Drinks!$A$4:$A$53,0)),0))</f>
        <v/>
      </c>
    </row>
    <row r="1845" customFormat="false" ht="15" hidden="false" customHeight="false" outlineLevel="0" collapsed="false">
      <c r="A1845" s="22"/>
      <c r="B1845" s="9"/>
      <c r="C1845" s="9"/>
      <c r="D1845" s="9"/>
      <c r="E1845" s="9"/>
      <c r="F1845" s="10" t="str">
        <f aca="false">IF($B1845="","",$C1845+$D1845-$E1845)</f>
        <v/>
      </c>
      <c r="G1845" s="10" t="str">
        <f aca="false">IF($B1845="","",IFERROR(INDEX(Drinks!$C$4:$C$53,MATCH($B1845,Drinks!$A$4:$A$53,0)),0))</f>
        <v/>
      </c>
      <c r="H1845" s="10" t="str">
        <f aca="false">IF($B1845="","",$D1845*$G1845)</f>
        <v/>
      </c>
      <c r="I1845" s="10" t="str">
        <f aca="false">IF($B1845="","",$F1845*$G1845)</f>
        <v/>
      </c>
      <c r="J1845" s="9"/>
      <c r="K1845" s="10" t="str">
        <f aca="false">IF($B1845="","",$E1845*IFERROR(INDEX(Drinks!$B$4:$B$53,MATCH($B1845,Drinks!$A$4:$A$53,0)),0))</f>
        <v/>
      </c>
      <c r="L1845" s="10" t="str">
        <f aca="false">IF($B1845="","",$J1845+$K1845)</f>
        <v/>
      </c>
      <c r="M1845" s="9"/>
      <c r="N1845" s="10" t="str">
        <f aca="false">IF($B1845="","",$L1845-$M1845)</f>
        <v/>
      </c>
      <c r="O1845" s="10" t="str">
        <f aca="false">IF($B1845="","",IFERROR(INDEX(Drinks!$E$4:$E$53,MATCH($B1845,Drinks!$A$4:$A$53,0)),0))</f>
        <v/>
      </c>
      <c r="P1845" s="10" t="str">
        <f aca="false">IF($B1845="","",$N1845*$O1845)</f>
        <v/>
      </c>
      <c r="Q1845" s="10" t="str">
        <f aca="false">IF($B1845="","",$N1845*IFERROR(INDEX(Drinks!$D$4:$D$53,MATCH($B1845,Drinks!$A$4:$A$53,0)),0))</f>
        <v/>
      </c>
      <c r="R1845" s="10" t="str">
        <f aca="false">IF($B1845="","",$P1845-$Q1845)</f>
        <v/>
      </c>
      <c r="S1845" s="23" t="str">
        <f aca="false">IF($B1845="","",IF(COUNTIFS($A$4:$A$2003,$A1845-1,$B$4:$B$2003,$B1845)=0,"first day",IF(SUMIFS($M$4:$M$2003,$A$4:$A$2003,$A1845-1,$B$4:$B$2003,$B1845)=$J1845,"OK","CHECK")))</f>
        <v/>
      </c>
      <c r="T1845" s="10" t="str">
        <f aca="false">IF($B1845="","",IFERROR(INDEX(Drinks!$D$4:$D$53,MATCH($B1845,Drinks!$A$4:$A$53,0)),0))</f>
        <v/>
      </c>
    </row>
    <row r="1846" customFormat="false" ht="15" hidden="false" customHeight="false" outlineLevel="0" collapsed="false">
      <c r="A1846" s="22"/>
      <c r="B1846" s="9"/>
      <c r="C1846" s="9"/>
      <c r="D1846" s="9"/>
      <c r="E1846" s="9"/>
      <c r="F1846" s="10" t="str">
        <f aca="false">IF($B1846="","",$C1846+$D1846-$E1846)</f>
        <v/>
      </c>
      <c r="G1846" s="10" t="str">
        <f aca="false">IF($B1846="","",IFERROR(INDEX(Drinks!$C$4:$C$53,MATCH($B1846,Drinks!$A$4:$A$53,0)),0))</f>
        <v/>
      </c>
      <c r="H1846" s="10" t="str">
        <f aca="false">IF($B1846="","",$D1846*$G1846)</f>
        <v/>
      </c>
      <c r="I1846" s="10" t="str">
        <f aca="false">IF($B1846="","",$F1846*$G1846)</f>
        <v/>
      </c>
      <c r="J1846" s="9"/>
      <c r="K1846" s="10" t="str">
        <f aca="false">IF($B1846="","",$E1846*IFERROR(INDEX(Drinks!$B$4:$B$53,MATCH($B1846,Drinks!$A$4:$A$53,0)),0))</f>
        <v/>
      </c>
      <c r="L1846" s="10" t="str">
        <f aca="false">IF($B1846="","",$J1846+$K1846)</f>
        <v/>
      </c>
      <c r="M1846" s="9"/>
      <c r="N1846" s="10" t="str">
        <f aca="false">IF($B1846="","",$L1846-$M1846)</f>
        <v/>
      </c>
      <c r="O1846" s="10" t="str">
        <f aca="false">IF($B1846="","",IFERROR(INDEX(Drinks!$E$4:$E$53,MATCH($B1846,Drinks!$A$4:$A$53,0)),0))</f>
        <v/>
      </c>
      <c r="P1846" s="10" t="str">
        <f aca="false">IF($B1846="","",$N1846*$O1846)</f>
        <v/>
      </c>
      <c r="Q1846" s="10" t="str">
        <f aca="false">IF($B1846="","",$N1846*IFERROR(INDEX(Drinks!$D$4:$D$53,MATCH($B1846,Drinks!$A$4:$A$53,0)),0))</f>
        <v/>
      </c>
      <c r="R1846" s="10" t="str">
        <f aca="false">IF($B1846="","",$P1846-$Q1846)</f>
        <v/>
      </c>
      <c r="S1846" s="23" t="str">
        <f aca="false">IF($B1846="","",IF(COUNTIFS($A$4:$A$2003,$A1846-1,$B$4:$B$2003,$B1846)=0,"first day",IF(SUMIFS($M$4:$M$2003,$A$4:$A$2003,$A1846-1,$B$4:$B$2003,$B1846)=$J1846,"OK","CHECK")))</f>
        <v/>
      </c>
      <c r="T1846" s="10" t="str">
        <f aca="false">IF($B1846="","",IFERROR(INDEX(Drinks!$D$4:$D$53,MATCH($B1846,Drinks!$A$4:$A$53,0)),0))</f>
        <v/>
      </c>
    </row>
    <row r="1847" customFormat="false" ht="15" hidden="false" customHeight="false" outlineLevel="0" collapsed="false">
      <c r="A1847" s="22"/>
      <c r="B1847" s="9"/>
      <c r="C1847" s="9"/>
      <c r="D1847" s="9"/>
      <c r="E1847" s="9"/>
      <c r="F1847" s="10" t="str">
        <f aca="false">IF($B1847="","",$C1847+$D1847-$E1847)</f>
        <v/>
      </c>
      <c r="G1847" s="10" t="str">
        <f aca="false">IF($B1847="","",IFERROR(INDEX(Drinks!$C$4:$C$53,MATCH($B1847,Drinks!$A$4:$A$53,0)),0))</f>
        <v/>
      </c>
      <c r="H1847" s="10" t="str">
        <f aca="false">IF($B1847="","",$D1847*$G1847)</f>
        <v/>
      </c>
      <c r="I1847" s="10" t="str">
        <f aca="false">IF($B1847="","",$F1847*$G1847)</f>
        <v/>
      </c>
      <c r="J1847" s="9"/>
      <c r="K1847" s="10" t="str">
        <f aca="false">IF($B1847="","",$E1847*IFERROR(INDEX(Drinks!$B$4:$B$53,MATCH($B1847,Drinks!$A$4:$A$53,0)),0))</f>
        <v/>
      </c>
      <c r="L1847" s="10" t="str">
        <f aca="false">IF($B1847="","",$J1847+$K1847)</f>
        <v/>
      </c>
      <c r="M1847" s="9"/>
      <c r="N1847" s="10" t="str">
        <f aca="false">IF($B1847="","",$L1847-$M1847)</f>
        <v/>
      </c>
      <c r="O1847" s="10" t="str">
        <f aca="false">IF($B1847="","",IFERROR(INDEX(Drinks!$E$4:$E$53,MATCH($B1847,Drinks!$A$4:$A$53,0)),0))</f>
        <v/>
      </c>
      <c r="P1847" s="10" t="str">
        <f aca="false">IF($B1847="","",$N1847*$O1847)</f>
        <v/>
      </c>
      <c r="Q1847" s="10" t="str">
        <f aca="false">IF($B1847="","",$N1847*IFERROR(INDEX(Drinks!$D$4:$D$53,MATCH($B1847,Drinks!$A$4:$A$53,0)),0))</f>
        <v/>
      </c>
      <c r="R1847" s="10" t="str">
        <f aca="false">IF($B1847="","",$P1847-$Q1847)</f>
        <v/>
      </c>
      <c r="S1847" s="23" t="str">
        <f aca="false">IF($B1847="","",IF(COUNTIFS($A$4:$A$2003,$A1847-1,$B$4:$B$2003,$B1847)=0,"first day",IF(SUMIFS($M$4:$M$2003,$A$4:$A$2003,$A1847-1,$B$4:$B$2003,$B1847)=$J1847,"OK","CHECK")))</f>
        <v/>
      </c>
      <c r="T1847" s="10" t="str">
        <f aca="false">IF($B1847="","",IFERROR(INDEX(Drinks!$D$4:$D$53,MATCH($B1847,Drinks!$A$4:$A$53,0)),0))</f>
        <v/>
      </c>
    </row>
    <row r="1848" customFormat="false" ht="15" hidden="false" customHeight="false" outlineLevel="0" collapsed="false">
      <c r="A1848" s="22"/>
      <c r="B1848" s="9"/>
      <c r="C1848" s="9"/>
      <c r="D1848" s="9"/>
      <c r="E1848" s="9"/>
      <c r="F1848" s="10" t="str">
        <f aca="false">IF($B1848="","",$C1848+$D1848-$E1848)</f>
        <v/>
      </c>
      <c r="G1848" s="10" t="str">
        <f aca="false">IF($B1848="","",IFERROR(INDEX(Drinks!$C$4:$C$53,MATCH($B1848,Drinks!$A$4:$A$53,0)),0))</f>
        <v/>
      </c>
      <c r="H1848" s="10" t="str">
        <f aca="false">IF($B1848="","",$D1848*$G1848)</f>
        <v/>
      </c>
      <c r="I1848" s="10" t="str">
        <f aca="false">IF($B1848="","",$F1848*$G1848)</f>
        <v/>
      </c>
      <c r="J1848" s="9"/>
      <c r="K1848" s="10" t="str">
        <f aca="false">IF($B1848="","",$E1848*IFERROR(INDEX(Drinks!$B$4:$B$53,MATCH($B1848,Drinks!$A$4:$A$53,0)),0))</f>
        <v/>
      </c>
      <c r="L1848" s="10" t="str">
        <f aca="false">IF($B1848="","",$J1848+$K1848)</f>
        <v/>
      </c>
      <c r="M1848" s="9"/>
      <c r="N1848" s="10" t="str">
        <f aca="false">IF($B1848="","",$L1848-$M1848)</f>
        <v/>
      </c>
      <c r="O1848" s="10" t="str">
        <f aca="false">IF($B1848="","",IFERROR(INDEX(Drinks!$E$4:$E$53,MATCH($B1848,Drinks!$A$4:$A$53,0)),0))</f>
        <v/>
      </c>
      <c r="P1848" s="10" t="str">
        <f aca="false">IF($B1848="","",$N1848*$O1848)</f>
        <v/>
      </c>
      <c r="Q1848" s="10" t="str">
        <f aca="false">IF($B1848="","",$N1848*IFERROR(INDEX(Drinks!$D$4:$D$53,MATCH($B1848,Drinks!$A$4:$A$53,0)),0))</f>
        <v/>
      </c>
      <c r="R1848" s="10" t="str">
        <f aca="false">IF($B1848="","",$P1848-$Q1848)</f>
        <v/>
      </c>
      <c r="S1848" s="23" t="str">
        <f aca="false">IF($B1848="","",IF(COUNTIFS($A$4:$A$2003,$A1848-1,$B$4:$B$2003,$B1848)=0,"first day",IF(SUMIFS($M$4:$M$2003,$A$4:$A$2003,$A1848-1,$B$4:$B$2003,$B1848)=$J1848,"OK","CHECK")))</f>
        <v/>
      </c>
      <c r="T1848" s="10" t="str">
        <f aca="false">IF($B1848="","",IFERROR(INDEX(Drinks!$D$4:$D$53,MATCH($B1848,Drinks!$A$4:$A$53,0)),0))</f>
        <v/>
      </c>
    </row>
    <row r="1849" customFormat="false" ht="15" hidden="false" customHeight="false" outlineLevel="0" collapsed="false">
      <c r="A1849" s="22"/>
      <c r="B1849" s="9"/>
      <c r="C1849" s="9"/>
      <c r="D1849" s="9"/>
      <c r="E1849" s="9"/>
      <c r="F1849" s="10" t="str">
        <f aca="false">IF($B1849="","",$C1849+$D1849-$E1849)</f>
        <v/>
      </c>
      <c r="G1849" s="10" t="str">
        <f aca="false">IF($B1849="","",IFERROR(INDEX(Drinks!$C$4:$C$53,MATCH($B1849,Drinks!$A$4:$A$53,0)),0))</f>
        <v/>
      </c>
      <c r="H1849" s="10" t="str">
        <f aca="false">IF($B1849="","",$D1849*$G1849)</f>
        <v/>
      </c>
      <c r="I1849" s="10" t="str">
        <f aca="false">IF($B1849="","",$F1849*$G1849)</f>
        <v/>
      </c>
      <c r="J1849" s="9"/>
      <c r="K1849" s="10" t="str">
        <f aca="false">IF($B1849="","",$E1849*IFERROR(INDEX(Drinks!$B$4:$B$53,MATCH($B1849,Drinks!$A$4:$A$53,0)),0))</f>
        <v/>
      </c>
      <c r="L1849" s="10" t="str">
        <f aca="false">IF($B1849="","",$J1849+$K1849)</f>
        <v/>
      </c>
      <c r="M1849" s="9"/>
      <c r="N1849" s="10" t="str">
        <f aca="false">IF($B1849="","",$L1849-$M1849)</f>
        <v/>
      </c>
      <c r="O1849" s="10" t="str">
        <f aca="false">IF($B1849="","",IFERROR(INDEX(Drinks!$E$4:$E$53,MATCH($B1849,Drinks!$A$4:$A$53,0)),0))</f>
        <v/>
      </c>
      <c r="P1849" s="10" t="str">
        <f aca="false">IF($B1849="","",$N1849*$O1849)</f>
        <v/>
      </c>
      <c r="Q1849" s="10" t="str">
        <f aca="false">IF($B1849="","",$N1849*IFERROR(INDEX(Drinks!$D$4:$D$53,MATCH($B1849,Drinks!$A$4:$A$53,0)),0))</f>
        <v/>
      </c>
      <c r="R1849" s="10" t="str">
        <f aca="false">IF($B1849="","",$P1849-$Q1849)</f>
        <v/>
      </c>
      <c r="S1849" s="23" t="str">
        <f aca="false">IF($B1849="","",IF(COUNTIFS($A$4:$A$2003,$A1849-1,$B$4:$B$2003,$B1849)=0,"first day",IF(SUMIFS($M$4:$M$2003,$A$4:$A$2003,$A1849-1,$B$4:$B$2003,$B1849)=$J1849,"OK","CHECK")))</f>
        <v/>
      </c>
      <c r="T1849" s="10" t="str">
        <f aca="false">IF($B1849="","",IFERROR(INDEX(Drinks!$D$4:$D$53,MATCH($B1849,Drinks!$A$4:$A$53,0)),0))</f>
        <v/>
      </c>
    </row>
    <row r="1850" customFormat="false" ht="15" hidden="false" customHeight="false" outlineLevel="0" collapsed="false">
      <c r="A1850" s="22"/>
      <c r="B1850" s="9"/>
      <c r="C1850" s="9"/>
      <c r="D1850" s="9"/>
      <c r="E1850" s="9"/>
      <c r="F1850" s="10" t="str">
        <f aca="false">IF($B1850="","",$C1850+$D1850-$E1850)</f>
        <v/>
      </c>
      <c r="G1850" s="10" t="str">
        <f aca="false">IF($B1850="","",IFERROR(INDEX(Drinks!$C$4:$C$53,MATCH($B1850,Drinks!$A$4:$A$53,0)),0))</f>
        <v/>
      </c>
      <c r="H1850" s="10" t="str">
        <f aca="false">IF($B1850="","",$D1850*$G1850)</f>
        <v/>
      </c>
      <c r="I1850" s="10" t="str">
        <f aca="false">IF($B1850="","",$F1850*$G1850)</f>
        <v/>
      </c>
      <c r="J1850" s="9"/>
      <c r="K1850" s="10" t="str">
        <f aca="false">IF($B1850="","",$E1850*IFERROR(INDEX(Drinks!$B$4:$B$53,MATCH($B1850,Drinks!$A$4:$A$53,0)),0))</f>
        <v/>
      </c>
      <c r="L1850" s="10" t="str">
        <f aca="false">IF($B1850="","",$J1850+$K1850)</f>
        <v/>
      </c>
      <c r="M1850" s="9"/>
      <c r="N1850" s="10" t="str">
        <f aca="false">IF($B1850="","",$L1850-$M1850)</f>
        <v/>
      </c>
      <c r="O1850" s="10" t="str">
        <f aca="false">IF($B1850="","",IFERROR(INDEX(Drinks!$E$4:$E$53,MATCH($B1850,Drinks!$A$4:$A$53,0)),0))</f>
        <v/>
      </c>
      <c r="P1850" s="10" t="str">
        <f aca="false">IF($B1850="","",$N1850*$O1850)</f>
        <v/>
      </c>
      <c r="Q1850" s="10" t="str">
        <f aca="false">IF($B1850="","",$N1850*IFERROR(INDEX(Drinks!$D$4:$D$53,MATCH($B1850,Drinks!$A$4:$A$53,0)),0))</f>
        <v/>
      </c>
      <c r="R1850" s="10" t="str">
        <f aca="false">IF($B1850="","",$P1850-$Q1850)</f>
        <v/>
      </c>
      <c r="S1850" s="23" t="str">
        <f aca="false">IF($B1850="","",IF(COUNTIFS($A$4:$A$2003,$A1850-1,$B$4:$B$2003,$B1850)=0,"first day",IF(SUMIFS($M$4:$M$2003,$A$4:$A$2003,$A1850-1,$B$4:$B$2003,$B1850)=$J1850,"OK","CHECK")))</f>
        <v/>
      </c>
      <c r="T1850" s="10" t="str">
        <f aca="false">IF($B1850="","",IFERROR(INDEX(Drinks!$D$4:$D$53,MATCH($B1850,Drinks!$A$4:$A$53,0)),0))</f>
        <v/>
      </c>
    </row>
    <row r="1851" customFormat="false" ht="15" hidden="false" customHeight="false" outlineLevel="0" collapsed="false">
      <c r="A1851" s="22"/>
      <c r="B1851" s="9"/>
      <c r="C1851" s="9"/>
      <c r="D1851" s="9"/>
      <c r="E1851" s="9"/>
      <c r="F1851" s="10" t="str">
        <f aca="false">IF($B1851="","",$C1851+$D1851-$E1851)</f>
        <v/>
      </c>
      <c r="G1851" s="10" t="str">
        <f aca="false">IF($B1851="","",IFERROR(INDEX(Drinks!$C$4:$C$53,MATCH($B1851,Drinks!$A$4:$A$53,0)),0))</f>
        <v/>
      </c>
      <c r="H1851" s="10" t="str">
        <f aca="false">IF($B1851="","",$D1851*$G1851)</f>
        <v/>
      </c>
      <c r="I1851" s="10" t="str">
        <f aca="false">IF($B1851="","",$F1851*$G1851)</f>
        <v/>
      </c>
      <c r="J1851" s="9"/>
      <c r="K1851" s="10" t="str">
        <f aca="false">IF($B1851="","",$E1851*IFERROR(INDEX(Drinks!$B$4:$B$53,MATCH($B1851,Drinks!$A$4:$A$53,0)),0))</f>
        <v/>
      </c>
      <c r="L1851" s="10" t="str">
        <f aca="false">IF($B1851="","",$J1851+$K1851)</f>
        <v/>
      </c>
      <c r="M1851" s="9"/>
      <c r="N1851" s="10" t="str">
        <f aca="false">IF($B1851="","",$L1851-$M1851)</f>
        <v/>
      </c>
      <c r="O1851" s="10" t="str">
        <f aca="false">IF($B1851="","",IFERROR(INDEX(Drinks!$E$4:$E$53,MATCH($B1851,Drinks!$A$4:$A$53,0)),0))</f>
        <v/>
      </c>
      <c r="P1851" s="10" t="str">
        <f aca="false">IF($B1851="","",$N1851*$O1851)</f>
        <v/>
      </c>
      <c r="Q1851" s="10" t="str">
        <f aca="false">IF($B1851="","",$N1851*IFERROR(INDEX(Drinks!$D$4:$D$53,MATCH($B1851,Drinks!$A$4:$A$53,0)),0))</f>
        <v/>
      </c>
      <c r="R1851" s="10" t="str">
        <f aca="false">IF($B1851="","",$P1851-$Q1851)</f>
        <v/>
      </c>
      <c r="S1851" s="23" t="str">
        <f aca="false">IF($B1851="","",IF(COUNTIFS($A$4:$A$2003,$A1851-1,$B$4:$B$2003,$B1851)=0,"first day",IF(SUMIFS($M$4:$M$2003,$A$4:$A$2003,$A1851-1,$B$4:$B$2003,$B1851)=$J1851,"OK","CHECK")))</f>
        <v/>
      </c>
      <c r="T1851" s="10" t="str">
        <f aca="false">IF($B1851="","",IFERROR(INDEX(Drinks!$D$4:$D$53,MATCH($B1851,Drinks!$A$4:$A$53,0)),0))</f>
        <v/>
      </c>
    </row>
    <row r="1852" customFormat="false" ht="15" hidden="false" customHeight="false" outlineLevel="0" collapsed="false">
      <c r="A1852" s="22"/>
      <c r="B1852" s="9"/>
      <c r="C1852" s="9"/>
      <c r="D1852" s="9"/>
      <c r="E1852" s="9"/>
      <c r="F1852" s="10" t="str">
        <f aca="false">IF($B1852="","",$C1852+$D1852-$E1852)</f>
        <v/>
      </c>
      <c r="G1852" s="10" t="str">
        <f aca="false">IF($B1852="","",IFERROR(INDEX(Drinks!$C$4:$C$53,MATCH($B1852,Drinks!$A$4:$A$53,0)),0))</f>
        <v/>
      </c>
      <c r="H1852" s="10" t="str">
        <f aca="false">IF($B1852="","",$D1852*$G1852)</f>
        <v/>
      </c>
      <c r="I1852" s="10" t="str">
        <f aca="false">IF($B1852="","",$F1852*$G1852)</f>
        <v/>
      </c>
      <c r="J1852" s="9"/>
      <c r="K1852" s="10" t="str">
        <f aca="false">IF($B1852="","",$E1852*IFERROR(INDEX(Drinks!$B$4:$B$53,MATCH($B1852,Drinks!$A$4:$A$53,0)),0))</f>
        <v/>
      </c>
      <c r="L1852" s="10" t="str">
        <f aca="false">IF($B1852="","",$J1852+$K1852)</f>
        <v/>
      </c>
      <c r="M1852" s="9"/>
      <c r="N1852" s="10" t="str">
        <f aca="false">IF($B1852="","",$L1852-$M1852)</f>
        <v/>
      </c>
      <c r="O1852" s="10" t="str">
        <f aca="false">IF($B1852="","",IFERROR(INDEX(Drinks!$E$4:$E$53,MATCH($B1852,Drinks!$A$4:$A$53,0)),0))</f>
        <v/>
      </c>
      <c r="P1852" s="10" t="str">
        <f aca="false">IF($B1852="","",$N1852*$O1852)</f>
        <v/>
      </c>
      <c r="Q1852" s="10" t="str">
        <f aca="false">IF($B1852="","",$N1852*IFERROR(INDEX(Drinks!$D$4:$D$53,MATCH($B1852,Drinks!$A$4:$A$53,0)),0))</f>
        <v/>
      </c>
      <c r="R1852" s="10" t="str">
        <f aca="false">IF($B1852="","",$P1852-$Q1852)</f>
        <v/>
      </c>
      <c r="S1852" s="23" t="str">
        <f aca="false">IF($B1852="","",IF(COUNTIFS($A$4:$A$2003,$A1852-1,$B$4:$B$2003,$B1852)=0,"first day",IF(SUMIFS($M$4:$M$2003,$A$4:$A$2003,$A1852-1,$B$4:$B$2003,$B1852)=$J1852,"OK","CHECK")))</f>
        <v/>
      </c>
      <c r="T1852" s="10" t="str">
        <f aca="false">IF($B1852="","",IFERROR(INDEX(Drinks!$D$4:$D$53,MATCH($B1852,Drinks!$A$4:$A$53,0)),0))</f>
        <v/>
      </c>
    </row>
    <row r="1853" customFormat="false" ht="15" hidden="false" customHeight="false" outlineLevel="0" collapsed="false">
      <c r="A1853" s="22"/>
      <c r="B1853" s="9"/>
      <c r="C1853" s="9"/>
      <c r="D1853" s="9"/>
      <c r="E1853" s="9"/>
      <c r="F1853" s="10" t="str">
        <f aca="false">IF($B1853="","",$C1853+$D1853-$E1853)</f>
        <v/>
      </c>
      <c r="G1853" s="10" t="str">
        <f aca="false">IF($B1853="","",IFERROR(INDEX(Drinks!$C$4:$C$53,MATCH($B1853,Drinks!$A$4:$A$53,0)),0))</f>
        <v/>
      </c>
      <c r="H1853" s="10" t="str">
        <f aca="false">IF($B1853="","",$D1853*$G1853)</f>
        <v/>
      </c>
      <c r="I1853" s="10" t="str">
        <f aca="false">IF($B1853="","",$F1853*$G1853)</f>
        <v/>
      </c>
      <c r="J1853" s="9"/>
      <c r="K1853" s="10" t="str">
        <f aca="false">IF($B1853="","",$E1853*IFERROR(INDEX(Drinks!$B$4:$B$53,MATCH($B1853,Drinks!$A$4:$A$53,0)),0))</f>
        <v/>
      </c>
      <c r="L1853" s="10" t="str">
        <f aca="false">IF($B1853="","",$J1853+$K1853)</f>
        <v/>
      </c>
      <c r="M1853" s="9"/>
      <c r="N1853" s="10" t="str">
        <f aca="false">IF($B1853="","",$L1853-$M1853)</f>
        <v/>
      </c>
      <c r="O1853" s="10" t="str">
        <f aca="false">IF($B1853="","",IFERROR(INDEX(Drinks!$E$4:$E$53,MATCH($B1853,Drinks!$A$4:$A$53,0)),0))</f>
        <v/>
      </c>
      <c r="P1853" s="10" t="str">
        <f aca="false">IF($B1853="","",$N1853*$O1853)</f>
        <v/>
      </c>
      <c r="Q1853" s="10" t="str">
        <f aca="false">IF($B1853="","",$N1853*IFERROR(INDEX(Drinks!$D$4:$D$53,MATCH($B1853,Drinks!$A$4:$A$53,0)),0))</f>
        <v/>
      </c>
      <c r="R1853" s="10" t="str">
        <f aca="false">IF($B1853="","",$P1853-$Q1853)</f>
        <v/>
      </c>
      <c r="S1853" s="23" t="str">
        <f aca="false">IF($B1853="","",IF(COUNTIFS($A$4:$A$2003,$A1853-1,$B$4:$B$2003,$B1853)=0,"first day",IF(SUMIFS($M$4:$M$2003,$A$4:$A$2003,$A1853-1,$B$4:$B$2003,$B1853)=$J1853,"OK","CHECK")))</f>
        <v/>
      </c>
      <c r="T1853" s="10" t="str">
        <f aca="false">IF($B1853="","",IFERROR(INDEX(Drinks!$D$4:$D$53,MATCH($B1853,Drinks!$A$4:$A$53,0)),0))</f>
        <v/>
      </c>
    </row>
    <row r="1854" customFormat="false" ht="15" hidden="false" customHeight="false" outlineLevel="0" collapsed="false">
      <c r="A1854" s="22"/>
      <c r="B1854" s="9"/>
      <c r="C1854" s="9"/>
      <c r="D1854" s="9"/>
      <c r="E1854" s="9"/>
      <c r="F1854" s="10" t="str">
        <f aca="false">IF($B1854="","",$C1854+$D1854-$E1854)</f>
        <v/>
      </c>
      <c r="G1854" s="10" t="str">
        <f aca="false">IF($B1854="","",IFERROR(INDEX(Drinks!$C$4:$C$53,MATCH($B1854,Drinks!$A$4:$A$53,0)),0))</f>
        <v/>
      </c>
      <c r="H1854" s="10" t="str">
        <f aca="false">IF($B1854="","",$D1854*$G1854)</f>
        <v/>
      </c>
      <c r="I1854" s="10" t="str">
        <f aca="false">IF($B1854="","",$F1854*$G1854)</f>
        <v/>
      </c>
      <c r="J1854" s="9"/>
      <c r="K1854" s="10" t="str">
        <f aca="false">IF($B1854="","",$E1854*IFERROR(INDEX(Drinks!$B$4:$B$53,MATCH($B1854,Drinks!$A$4:$A$53,0)),0))</f>
        <v/>
      </c>
      <c r="L1854" s="10" t="str">
        <f aca="false">IF($B1854="","",$J1854+$K1854)</f>
        <v/>
      </c>
      <c r="M1854" s="9"/>
      <c r="N1854" s="10" t="str">
        <f aca="false">IF($B1854="","",$L1854-$M1854)</f>
        <v/>
      </c>
      <c r="O1854" s="10" t="str">
        <f aca="false">IF($B1854="","",IFERROR(INDEX(Drinks!$E$4:$E$53,MATCH($B1854,Drinks!$A$4:$A$53,0)),0))</f>
        <v/>
      </c>
      <c r="P1854" s="10" t="str">
        <f aca="false">IF($B1854="","",$N1854*$O1854)</f>
        <v/>
      </c>
      <c r="Q1854" s="10" t="str">
        <f aca="false">IF($B1854="","",$N1854*IFERROR(INDEX(Drinks!$D$4:$D$53,MATCH($B1854,Drinks!$A$4:$A$53,0)),0))</f>
        <v/>
      </c>
      <c r="R1854" s="10" t="str">
        <f aca="false">IF($B1854="","",$P1854-$Q1854)</f>
        <v/>
      </c>
      <c r="S1854" s="23" t="str">
        <f aca="false">IF($B1854="","",IF(COUNTIFS($A$4:$A$2003,$A1854-1,$B$4:$B$2003,$B1854)=0,"first day",IF(SUMIFS($M$4:$M$2003,$A$4:$A$2003,$A1854-1,$B$4:$B$2003,$B1854)=$J1854,"OK","CHECK")))</f>
        <v/>
      </c>
      <c r="T1854" s="10" t="str">
        <f aca="false">IF($B1854="","",IFERROR(INDEX(Drinks!$D$4:$D$53,MATCH($B1854,Drinks!$A$4:$A$53,0)),0))</f>
        <v/>
      </c>
    </row>
    <row r="1855" customFormat="false" ht="15" hidden="false" customHeight="false" outlineLevel="0" collapsed="false">
      <c r="A1855" s="22"/>
      <c r="B1855" s="9"/>
      <c r="C1855" s="9"/>
      <c r="D1855" s="9"/>
      <c r="E1855" s="9"/>
      <c r="F1855" s="10" t="str">
        <f aca="false">IF($B1855="","",$C1855+$D1855-$E1855)</f>
        <v/>
      </c>
      <c r="G1855" s="10" t="str">
        <f aca="false">IF($B1855="","",IFERROR(INDEX(Drinks!$C$4:$C$53,MATCH($B1855,Drinks!$A$4:$A$53,0)),0))</f>
        <v/>
      </c>
      <c r="H1855" s="10" t="str">
        <f aca="false">IF($B1855="","",$D1855*$G1855)</f>
        <v/>
      </c>
      <c r="I1855" s="10" t="str">
        <f aca="false">IF($B1855="","",$F1855*$G1855)</f>
        <v/>
      </c>
      <c r="J1855" s="9"/>
      <c r="K1855" s="10" t="str">
        <f aca="false">IF($B1855="","",$E1855*IFERROR(INDEX(Drinks!$B$4:$B$53,MATCH($B1855,Drinks!$A$4:$A$53,0)),0))</f>
        <v/>
      </c>
      <c r="L1855" s="10" t="str">
        <f aca="false">IF($B1855="","",$J1855+$K1855)</f>
        <v/>
      </c>
      <c r="M1855" s="9"/>
      <c r="N1855" s="10" t="str">
        <f aca="false">IF($B1855="","",$L1855-$M1855)</f>
        <v/>
      </c>
      <c r="O1855" s="10" t="str">
        <f aca="false">IF($B1855="","",IFERROR(INDEX(Drinks!$E$4:$E$53,MATCH($B1855,Drinks!$A$4:$A$53,0)),0))</f>
        <v/>
      </c>
      <c r="P1855" s="10" t="str">
        <f aca="false">IF($B1855="","",$N1855*$O1855)</f>
        <v/>
      </c>
      <c r="Q1855" s="10" t="str">
        <f aca="false">IF($B1855="","",$N1855*IFERROR(INDEX(Drinks!$D$4:$D$53,MATCH($B1855,Drinks!$A$4:$A$53,0)),0))</f>
        <v/>
      </c>
      <c r="R1855" s="10" t="str">
        <f aca="false">IF($B1855="","",$P1855-$Q1855)</f>
        <v/>
      </c>
      <c r="S1855" s="23" t="str">
        <f aca="false">IF($B1855="","",IF(COUNTIFS($A$4:$A$2003,$A1855-1,$B$4:$B$2003,$B1855)=0,"first day",IF(SUMIFS($M$4:$M$2003,$A$4:$A$2003,$A1855-1,$B$4:$B$2003,$B1855)=$J1855,"OK","CHECK")))</f>
        <v/>
      </c>
      <c r="T1855" s="10" t="str">
        <f aca="false">IF($B1855="","",IFERROR(INDEX(Drinks!$D$4:$D$53,MATCH($B1855,Drinks!$A$4:$A$53,0)),0))</f>
        <v/>
      </c>
    </row>
    <row r="1856" customFormat="false" ht="15" hidden="false" customHeight="false" outlineLevel="0" collapsed="false">
      <c r="A1856" s="22"/>
      <c r="B1856" s="9"/>
      <c r="C1856" s="9"/>
      <c r="D1856" s="9"/>
      <c r="E1856" s="9"/>
      <c r="F1856" s="10" t="str">
        <f aca="false">IF($B1856="","",$C1856+$D1856-$E1856)</f>
        <v/>
      </c>
      <c r="G1856" s="10" t="str">
        <f aca="false">IF($B1856="","",IFERROR(INDEX(Drinks!$C$4:$C$53,MATCH($B1856,Drinks!$A$4:$A$53,0)),0))</f>
        <v/>
      </c>
      <c r="H1856" s="10" t="str">
        <f aca="false">IF($B1856="","",$D1856*$G1856)</f>
        <v/>
      </c>
      <c r="I1856" s="10" t="str">
        <f aca="false">IF($B1856="","",$F1856*$G1856)</f>
        <v/>
      </c>
      <c r="J1856" s="9"/>
      <c r="K1856" s="10" t="str">
        <f aca="false">IF($B1856="","",$E1856*IFERROR(INDEX(Drinks!$B$4:$B$53,MATCH($B1856,Drinks!$A$4:$A$53,0)),0))</f>
        <v/>
      </c>
      <c r="L1856" s="10" t="str">
        <f aca="false">IF($B1856="","",$J1856+$K1856)</f>
        <v/>
      </c>
      <c r="M1856" s="9"/>
      <c r="N1856" s="10" t="str">
        <f aca="false">IF($B1856="","",$L1856-$M1856)</f>
        <v/>
      </c>
      <c r="O1856" s="10" t="str">
        <f aca="false">IF($B1856="","",IFERROR(INDEX(Drinks!$E$4:$E$53,MATCH($B1856,Drinks!$A$4:$A$53,0)),0))</f>
        <v/>
      </c>
      <c r="P1856" s="10" t="str">
        <f aca="false">IF($B1856="","",$N1856*$O1856)</f>
        <v/>
      </c>
      <c r="Q1856" s="10" t="str">
        <f aca="false">IF($B1856="","",$N1856*IFERROR(INDEX(Drinks!$D$4:$D$53,MATCH($B1856,Drinks!$A$4:$A$53,0)),0))</f>
        <v/>
      </c>
      <c r="R1856" s="10" t="str">
        <f aca="false">IF($B1856="","",$P1856-$Q1856)</f>
        <v/>
      </c>
      <c r="S1856" s="23" t="str">
        <f aca="false">IF($B1856="","",IF(COUNTIFS($A$4:$A$2003,$A1856-1,$B$4:$B$2003,$B1856)=0,"first day",IF(SUMIFS($M$4:$M$2003,$A$4:$A$2003,$A1856-1,$B$4:$B$2003,$B1856)=$J1856,"OK","CHECK")))</f>
        <v/>
      </c>
      <c r="T1856" s="10" t="str">
        <f aca="false">IF($B1856="","",IFERROR(INDEX(Drinks!$D$4:$D$53,MATCH($B1856,Drinks!$A$4:$A$53,0)),0))</f>
        <v/>
      </c>
    </row>
    <row r="1857" customFormat="false" ht="15" hidden="false" customHeight="false" outlineLevel="0" collapsed="false">
      <c r="A1857" s="22"/>
      <c r="B1857" s="9"/>
      <c r="C1857" s="9"/>
      <c r="D1857" s="9"/>
      <c r="E1857" s="9"/>
      <c r="F1857" s="10" t="str">
        <f aca="false">IF($B1857="","",$C1857+$D1857-$E1857)</f>
        <v/>
      </c>
      <c r="G1857" s="10" t="str">
        <f aca="false">IF($B1857="","",IFERROR(INDEX(Drinks!$C$4:$C$53,MATCH($B1857,Drinks!$A$4:$A$53,0)),0))</f>
        <v/>
      </c>
      <c r="H1857" s="10" t="str">
        <f aca="false">IF($B1857="","",$D1857*$G1857)</f>
        <v/>
      </c>
      <c r="I1857" s="10" t="str">
        <f aca="false">IF($B1857="","",$F1857*$G1857)</f>
        <v/>
      </c>
      <c r="J1857" s="9"/>
      <c r="K1857" s="10" t="str">
        <f aca="false">IF($B1857="","",$E1857*IFERROR(INDEX(Drinks!$B$4:$B$53,MATCH($B1857,Drinks!$A$4:$A$53,0)),0))</f>
        <v/>
      </c>
      <c r="L1857" s="10" t="str">
        <f aca="false">IF($B1857="","",$J1857+$K1857)</f>
        <v/>
      </c>
      <c r="M1857" s="9"/>
      <c r="N1857" s="10" t="str">
        <f aca="false">IF($B1857="","",$L1857-$M1857)</f>
        <v/>
      </c>
      <c r="O1857" s="10" t="str">
        <f aca="false">IF($B1857="","",IFERROR(INDEX(Drinks!$E$4:$E$53,MATCH($B1857,Drinks!$A$4:$A$53,0)),0))</f>
        <v/>
      </c>
      <c r="P1857" s="10" t="str">
        <f aca="false">IF($B1857="","",$N1857*$O1857)</f>
        <v/>
      </c>
      <c r="Q1857" s="10" t="str">
        <f aca="false">IF($B1857="","",$N1857*IFERROR(INDEX(Drinks!$D$4:$D$53,MATCH($B1857,Drinks!$A$4:$A$53,0)),0))</f>
        <v/>
      </c>
      <c r="R1857" s="10" t="str">
        <f aca="false">IF($B1857="","",$P1857-$Q1857)</f>
        <v/>
      </c>
      <c r="S1857" s="23" t="str">
        <f aca="false">IF($B1857="","",IF(COUNTIFS($A$4:$A$2003,$A1857-1,$B$4:$B$2003,$B1857)=0,"first day",IF(SUMIFS($M$4:$M$2003,$A$4:$A$2003,$A1857-1,$B$4:$B$2003,$B1857)=$J1857,"OK","CHECK")))</f>
        <v/>
      </c>
      <c r="T1857" s="10" t="str">
        <f aca="false">IF($B1857="","",IFERROR(INDEX(Drinks!$D$4:$D$53,MATCH($B1857,Drinks!$A$4:$A$53,0)),0))</f>
        <v/>
      </c>
    </row>
    <row r="1858" customFormat="false" ht="15" hidden="false" customHeight="false" outlineLevel="0" collapsed="false">
      <c r="A1858" s="22"/>
      <c r="B1858" s="9"/>
      <c r="C1858" s="9"/>
      <c r="D1858" s="9"/>
      <c r="E1858" s="9"/>
      <c r="F1858" s="10" t="str">
        <f aca="false">IF($B1858="","",$C1858+$D1858-$E1858)</f>
        <v/>
      </c>
      <c r="G1858" s="10" t="str">
        <f aca="false">IF($B1858="","",IFERROR(INDEX(Drinks!$C$4:$C$53,MATCH($B1858,Drinks!$A$4:$A$53,0)),0))</f>
        <v/>
      </c>
      <c r="H1858" s="10" t="str">
        <f aca="false">IF($B1858="","",$D1858*$G1858)</f>
        <v/>
      </c>
      <c r="I1858" s="10" t="str">
        <f aca="false">IF($B1858="","",$F1858*$G1858)</f>
        <v/>
      </c>
      <c r="J1858" s="9"/>
      <c r="K1858" s="10" t="str">
        <f aca="false">IF($B1858="","",$E1858*IFERROR(INDEX(Drinks!$B$4:$B$53,MATCH($B1858,Drinks!$A$4:$A$53,0)),0))</f>
        <v/>
      </c>
      <c r="L1858" s="10" t="str">
        <f aca="false">IF($B1858="","",$J1858+$K1858)</f>
        <v/>
      </c>
      <c r="M1858" s="9"/>
      <c r="N1858" s="10" t="str">
        <f aca="false">IF($B1858="","",$L1858-$M1858)</f>
        <v/>
      </c>
      <c r="O1858" s="10" t="str">
        <f aca="false">IF($B1858="","",IFERROR(INDEX(Drinks!$E$4:$E$53,MATCH($B1858,Drinks!$A$4:$A$53,0)),0))</f>
        <v/>
      </c>
      <c r="P1858" s="10" t="str">
        <f aca="false">IF($B1858="","",$N1858*$O1858)</f>
        <v/>
      </c>
      <c r="Q1858" s="10" t="str">
        <f aca="false">IF($B1858="","",$N1858*IFERROR(INDEX(Drinks!$D$4:$D$53,MATCH($B1858,Drinks!$A$4:$A$53,0)),0))</f>
        <v/>
      </c>
      <c r="R1858" s="10" t="str">
        <f aca="false">IF($B1858="","",$P1858-$Q1858)</f>
        <v/>
      </c>
      <c r="S1858" s="23" t="str">
        <f aca="false">IF($B1858="","",IF(COUNTIFS($A$4:$A$2003,$A1858-1,$B$4:$B$2003,$B1858)=0,"first day",IF(SUMIFS($M$4:$M$2003,$A$4:$A$2003,$A1858-1,$B$4:$B$2003,$B1858)=$J1858,"OK","CHECK")))</f>
        <v/>
      </c>
      <c r="T1858" s="10" t="str">
        <f aca="false">IF($B1858="","",IFERROR(INDEX(Drinks!$D$4:$D$53,MATCH($B1858,Drinks!$A$4:$A$53,0)),0))</f>
        <v/>
      </c>
    </row>
    <row r="1859" customFormat="false" ht="15" hidden="false" customHeight="false" outlineLevel="0" collapsed="false">
      <c r="A1859" s="22"/>
      <c r="B1859" s="9"/>
      <c r="C1859" s="9"/>
      <c r="D1859" s="9"/>
      <c r="E1859" s="9"/>
      <c r="F1859" s="10" t="str">
        <f aca="false">IF($B1859="","",$C1859+$D1859-$E1859)</f>
        <v/>
      </c>
      <c r="G1859" s="10" t="str">
        <f aca="false">IF($B1859="","",IFERROR(INDEX(Drinks!$C$4:$C$53,MATCH($B1859,Drinks!$A$4:$A$53,0)),0))</f>
        <v/>
      </c>
      <c r="H1859" s="10" t="str">
        <f aca="false">IF($B1859="","",$D1859*$G1859)</f>
        <v/>
      </c>
      <c r="I1859" s="10" t="str">
        <f aca="false">IF($B1859="","",$F1859*$G1859)</f>
        <v/>
      </c>
      <c r="J1859" s="9"/>
      <c r="K1859" s="10" t="str">
        <f aca="false">IF($B1859="","",$E1859*IFERROR(INDEX(Drinks!$B$4:$B$53,MATCH($B1859,Drinks!$A$4:$A$53,0)),0))</f>
        <v/>
      </c>
      <c r="L1859" s="10" t="str">
        <f aca="false">IF($B1859="","",$J1859+$K1859)</f>
        <v/>
      </c>
      <c r="M1859" s="9"/>
      <c r="N1859" s="10" t="str">
        <f aca="false">IF($B1859="","",$L1859-$M1859)</f>
        <v/>
      </c>
      <c r="O1859" s="10" t="str">
        <f aca="false">IF($B1859="","",IFERROR(INDEX(Drinks!$E$4:$E$53,MATCH($B1859,Drinks!$A$4:$A$53,0)),0))</f>
        <v/>
      </c>
      <c r="P1859" s="10" t="str">
        <f aca="false">IF($B1859="","",$N1859*$O1859)</f>
        <v/>
      </c>
      <c r="Q1859" s="10" t="str">
        <f aca="false">IF($B1859="","",$N1859*IFERROR(INDEX(Drinks!$D$4:$D$53,MATCH($B1859,Drinks!$A$4:$A$53,0)),0))</f>
        <v/>
      </c>
      <c r="R1859" s="10" t="str">
        <f aca="false">IF($B1859="","",$P1859-$Q1859)</f>
        <v/>
      </c>
      <c r="S1859" s="23" t="str">
        <f aca="false">IF($B1859="","",IF(COUNTIFS($A$4:$A$2003,$A1859-1,$B$4:$B$2003,$B1859)=0,"first day",IF(SUMIFS($M$4:$M$2003,$A$4:$A$2003,$A1859-1,$B$4:$B$2003,$B1859)=$J1859,"OK","CHECK")))</f>
        <v/>
      </c>
      <c r="T1859" s="10" t="str">
        <f aca="false">IF($B1859="","",IFERROR(INDEX(Drinks!$D$4:$D$53,MATCH($B1859,Drinks!$A$4:$A$53,0)),0))</f>
        <v/>
      </c>
    </row>
    <row r="1860" customFormat="false" ht="15" hidden="false" customHeight="false" outlineLevel="0" collapsed="false">
      <c r="A1860" s="22"/>
      <c r="B1860" s="9"/>
      <c r="C1860" s="9"/>
      <c r="D1860" s="9"/>
      <c r="E1860" s="9"/>
      <c r="F1860" s="10" t="str">
        <f aca="false">IF($B1860="","",$C1860+$D1860-$E1860)</f>
        <v/>
      </c>
      <c r="G1860" s="10" t="str">
        <f aca="false">IF($B1860="","",IFERROR(INDEX(Drinks!$C$4:$C$53,MATCH($B1860,Drinks!$A$4:$A$53,0)),0))</f>
        <v/>
      </c>
      <c r="H1860" s="10" t="str">
        <f aca="false">IF($B1860="","",$D1860*$G1860)</f>
        <v/>
      </c>
      <c r="I1860" s="10" t="str">
        <f aca="false">IF($B1860="","",$F1860*$G1860)</f>
        <v/>
      </c>
      <c r="J1860" s="9"/>
      <c r="K1860" s="10" t="str">
        <f aca="false">IF($B1860="","",$E1860*IFERROR(INDEX(Drinks!$B$4:$B$53,MATCH($B1860,Drinks!$A$4:$A$53,0)),0))</f>
        <v/>
      </c>
      <c r="L1860" s="10" t="str">
        <f aca="false">IF($B1860="","",$J1860+$K1860)</f>
        <v/>
      </c>
      <c r="M1860" s="9"/>
      <c r="N1860" s="10" t="str">
        <f aca="false">IF($B1860="","",$L1860-$M1860)</f>
        <v/>
      </c>
      <c r="O1860" s="10" t="str">
        <f aca="false">IF($B1860="","",IFERROR(INDEX(Drinks!$E$4:$E$53,MATCH($B1860,Drinks!$A$4:$A$53,0)),0))</f>
        <v/>
      </c>
      <c r="P1860" s="10" t="str">
        <f aca="false">IF($B1860="","",$N1860*$O1860)</f>
        <v/>
      </c>
      <c r="Q1860" s="10" t="str">
        <f aca="false">IF($B1860="","",$N1860*IFERROR(INDEX(Drinks!$D$4:$D$53,MATCH($B1860,Drinks!$A$4:$A$53,0)),0))</f>
        <v/>
      </c>
      <c r="R1860" s="10" t="str">
        <f aca="false">IF($B1860="","",$P1860-$Q1860)</f>
        <v/>
      </c>
      <c r="S1860" s="23" t="str">
        <f aca="false">IF($B1860="","",IF(COUNTIFS($A$4:$A$2003,$A1860-1,$B$4:$B$2003,$B1860)=0,"first day",IF(SUMIFS($M$4:$M$2003,$A$4:$A$2003,$A1860-1,$B$4:$B$2003,$B1860)=$J1860,"OK","CHECK")))</f>
        <v/>
      </c>
      <c r="T1860" s="10" t="str">
        <f aca="false">IF($B1860="","",IFERROR(INDEX(Drinks!$D$4:$D$53,MATCH($B1860,Drinks!$A$4:$A$53,0)),0))</f>
        <v/>
      </c>
    </row>
    <row r="1861" customFormat="false" ht="15" hidden="false" customHeight="false" outlineLevel="0" collapsed="false">
      <c r="A1861" s="22"/>
      <c r="B1861" s="9"/>
      <c r="C1861" s="9"/>
      <c r="D1861" s="9"/>
      <c r="E1861" s="9"/>
      <c r="F1861" s="10" t="str">
        <f aca="false">IF($B1861="","",$C1861+$D1861-$E1861)</f>
        <v/>
      </c>
      <c r="G1861" s="10" t="str">
        <f aca="false">IF($B1861="","",IFERROR(INDEX(Drinks!$C$4:$C$53,MATCH($B1861,Drinks!$A$4:$A$53,0)),0))</f>
        <v/>
      </c>
      <c r="H1861" s="10" t="str">
        <f aca="false">IF($B1861="","",$D1861*$G1861)</f>
        <v/>
      </c>
      <c r="I1861" s="10" t="str">
        <f aca="false">IF($B1861="","",$F1861*$G1861)</f>
        <v/>
      </c>
      <c r="J1861" s="9"/>
      <c r="K1861" s="10" t="str">
        <f aca="false">IF($B1861="","",$E1861*IFERROR(INDEX(Drinks!$B$4:$B$53,MATCH($B1861,Drinks!$A$4:$A$53,0)),0))</f>
        <v/>
      </c>
      <c r="L1861" s="10" t="str">
        <f aca="false">IF($B1861="","",$J1861+$K1861)</f>
        <v/>
      </c>
      <c r="M1861" s="9"/>
      <c r="N1861" s="10" t="str">
        <f aca="false">IF($B1861="","",$L1861-$M1861)</f>
        <v/>
      </c>
      <c r="O1861" s="10" t="str">
        <f aca="false">IF($B1861="","",IFERROR(INDEX(Drinks!$E$4:$E$53,MATCH($B1861,Drinks!$A$4:$A$53,0)),0))</f>
        <v/>
      </c>
      <c r="P1861" s="10" t="str">
        <f aca="false">IF($B1861="","",$N1861*$O1861)</f>
        <v/>
      </c>
      <c r="Q1861" s="10" t="str">
        <f aca="false">IF($B1861="","",$N1861*IFERROR(INDEX(Drinks!$D$4:$D$53,MATCH($B1861,Drinks!$A$4:$A$53,0)),0))</f>
        <v/>
      </c>
      <c r="R1861" s="10" t="str">
        <f aca="false">IF($B1861="","",$P1861-$Q1861)</f>
        <v/>
      </c>
      <c r="S1861" s="23" t="str">
        <f aca="false">IF($B1861="","",IF(COUNTIFS($A$4:$A$2003,$A1861-1,$B$4:$B$2003,$B1861)=0,"first day",IF(SUMIFS($M$4:$M$2003,$A$4:$A$2003,$A1861-1,$B$4:$B$2003,$B1861)=$J1861,"OK","CHECK")))</f>
        <v/>
      </c>
      <c r="T1861" s="10" t="str">
        <f aca="false">IF($B1861="","",IFERROR(INDEX(Drinks!$D$4:$D$53,MATCH($B1861,Drinks!$A$4:$A$53,0)),0))</f>
        <v/>
      </c>
    </row>
    <row r="1862" customFormat="false" ht="15" hidden="false" customHeight="false" outlineLevel="0" collapsed="false">
      <c r="A1862" s="22"/>
      <c r="B1862" s="9"/>
      <c r="C1862" s="9"/>
      <c r="D1862" s="9"/>
      <c r="E1862" s="9"/>
      <c r="F1862" s="10" t="str">
        <f aca="false">IF($B1862="","",$C1862+$D1862-$E1862)</f>
        <v/>
      </c>
      <c r="G1862" s="10" t="str">
        <f aca="false">IF($B1862="","",IFERROR(INDEX(Drinks!$C$4:$C$53,MATCH($B1862,Drinks!$A$4:$A$53,0)),0))</f>
        <v/>
      </c>
      <c r="H1862" s="10" t="str">
        <f aca="false">IF($B1862="","",$D1862*$G1862)</f>
        <v/>
      </c>
      <c r="I1862" s="10" t="str">
        <f aca="false">IF($B1862="","",$F1862*$G1862)</f>
        <v/>
      </c>
      <c r="J1862" s="9"/>
      <c r="K1862" s="10" t="str">
        <f aca="false">IF($B1862="","",$E1862*IFERROR(INDEX(Drinks!$B$4:$B$53,MATCH($B1862,Drinks!$A$4:$A$53,0)),0))</f>
        <v/>
      </c>
      <c r="L1862" s="10" t="str">
        <f aca="false">IF($B1862="","",$J1862+$K1862)</f>
        <v/>
      </c>
      <c r="M1862" s="9"/>
      <c r="N1862" s="10" t="str">
        <f aca="false">IF($B1862="","",$L1862-$M1862)</f>
        <v/>
      </c>
      <c r="O1862" s="10" t="str">
        <f aca="false">IF($B1862="","",IFERROR(INDEX(Drinks!$E$4:$E$53,MATCH($B1862,Drinks!$A$4:$A$53,0)),0))</f>
        <v/>
      </c>
      <c r="P1862" s="10" t="str">
        <f aca="false">IF($B1862="","",$N1862*$O1862)</f>
        <v/>
      </c>
      <c r="Q1862" s="10" t="str">
        <f aca="false">IF($B1862="","",$N1862*IFERROR(INDEX(Drinks!$D$4:$D$53,MATCH($B1862,Drinks!$A$4:$A$53,0)),0))</f>
        <v/>
      </c>
      <c r="R1862" s="10" t="str">
        <f aca="false">IF($B1862="","",$P1862-$Q1862)</f>
        <v/>
      </c>
      <c r="S1862" s="23" t="str">
        <f aca="false">IF($B1862="","",IF(COUNTIFS($A$4:$A$2003,$A1862-1,$B$4:$B$2003,$B1862)=0,"first day",IF(SUMIFS($M$4:$M$2003,$A$4:$A$2003,$A1862-1,$B$4:$B$2003,$B1862)=$J1862,"OK","CHECK")))</f>
        <v/>
      </c>
      <c r="T1862" s="10" t="str">
        <f aca="false">IF($B1862="","",IFERROR(INDEX(Drinks!$D$4:$D$53,MATCH($B1862,Drinks!$A$4:$A$53,0)),0))</f>
        <v/>
      </c>
    </row>
    <row r="1863" customFormat="false" ht="15" hidden="false" customHeight="false" outlineLevel="0" collapsed="false">
      <c r="A1863" s="22"/>
      <c r="B1863" s="9"/>
      <c r="C1863" s="9"/>
      <c r="D1863" s="9"/>
      <c r="E1863" s="9"/>
      <c r="F1863" s="10" t="str">
        <f aca="false">IF($B1863="","",$C1863+$D1863-$E1863)</f>
        <v/>
      </c>
      <c r="G1863" s="10" t="str">
        <f aca="false">IF($B1863="","",IFERROR(INDEX(Drinks!$C$4:$C$53,MATCH($B1863,Drinks!$A$4:$A$53,0)),0))</f>
        <v/>
      </c>
      <c r="H1863" s="10" t="str">
        <f aca="false">IF($B1863="","",$D1863*$G1863)</f>
        <v/>
      </c>
      <c r="I1863" s="10" t="str">
        <f aca="false">IF($B1863="","",$F1863*$G1863)</f>
        <v/>
      </c>
      <c r="J1863" s="9"/>
      <c r="K1863" s="10" t="str">
        <f aca="false">IF($B1863="","",$E1863*IFERROR(INDEX(Drinks!$B$4:$B$53,MATCH($B1863,Drinks!$A$4:$A$53,0)),0))</f>
        <v/>
      </c>
      <c r="L1863" s="10" t="str">
        <f aca="false">IF($B1863="","",$J1863+$K1863)</f>
        <v/>
      </c>
      <c r="M1863" s="9"/>
      <c r="N1863" s="10" t="str">
        <f aca="false">IF($B1863="","",$L1863-$M1863)</f>
        <v/>
      </c>
      <c r="O1863" s="10" t="str">
        <f aca="false">IF($B1863="","",IFERROR(INDEX(Drinks!$E$4:$E$53,MATCH($B1863,Drinks!$A$4:$A$53,0)),0))</f>
        <v/>
      </c>
      <c r="P1863" s="10" t="str">
        <f aca="false">IF($B1863="","",$N1863*$O1863)</f>
        <v/>
      </c>
      <c r="Q1863" s="10" t="str">
        <f aca="false">IF($B1863="","",$N1863*IFERROR(INDEX(Drinks!$D$4:$D$53,MATCH($B1863,Drinks!$A$4:$A$53,0)),0))</f>
        <v/>
      </c>
      <c r="R1863" s="10" t="str">
        <f aca="false">IF($B1863="","",$P1863-$Q1863)</f>
        <v/>
      </c>
      <c r="S1863" s="23" t="str">
        <f aca="false">IF($B1863="","",IF(COUNTIFS($A$4:$A$2003,$A1863-1,$B$4:$B$2003,$B1863)=0,"first day",IF(SUMIFS($M$4:$M$2003,$A$4:$A$2003,$A1863-1,$B$4:$B$2003,$B1863)=$J1863,"OK","CHECK")))</f>
        <v/>
      </c>
      <c r="T1863" s="10" t="str">
        <f aca="false">IF($B1863="","",IFERROR(INDEX(Drinks!$D$4:$D$53,MATCH($B1863,Drinks!$A$4:$A$53,0)),0))</f>
        <v/>
      </c>
    </row>
    <row r="1864" customFormat="false" ht="15" hidden="false" customHeight="false" outlineLevel="0" collapsed="false">
      <c r="A1864" s="22"/>
      <c r="B1864" s="9"/>
      <c r="C1864" s="9"/>
      <c r="D1864" s="9"/>
      <c r="E1864" s="9"/>
      <c r="F1864" s="10" t="str">
        <f aca="false">IF($B1864="","",$C1864+$D1864-$E1864)</f>
        <v/>
      </c>
      <c r="G1864" s="10" t="str">
        <f aca="false">IF($B1864="","",IFERROR(INDEX(Drinks!$C$4:$C$53,MATCH($B1864,Drinks!$A$4:$A$53,0)),0))</f>
        <v/>
      </c>
      <c r="H1864" s="10" t="str">
        <f aca="false">IF($B1864="","",$D1864*$G1864)</f>
        <v/>
      </c>
      <c r="I1864" s="10" t="str">
        <f aca="false">IF($B1864="","",$F1864*$G1864)</f>
        <v/>
      </c>
      <c r="J1864" s="9"/>
      <c r="K1864" s="10" t="str">
        <f aca="false">IF($B1864="","",$E1864*IFERROR(INDEX(Drinks!$B$4:$B$53,MATCH($B1864,Drinks!$A$4:$A$53,0)),0))</f>
        <v/>
      </c>
      <c r="L1864" s="10" t="str">
        <f aca="false">IF($B1864="","",$J1864+$K1864)</f>
        <v/>
      </c>
      <c r="M1864" s="9"/>
      <c r="N1864" s="10" t="str">
        <f aca="false">IF($B1864="","",$L1864-$M1864)</f>
        <v/>
      </c>
      <c r="O1864" s="10" t="str">
        <f aca="false">IF($B1864="","",IFERROR(INDEX(Drinks!$E$4:$E$53,MATCH($B1864,Drinks!$A$4:$A$53,0)),0))</f>
        <v/>
      </c>
      <c r="P1864" s="10" t="str">
        <f aca="false">IF($B1864="","",$N1864*$O1864)</f>
        <v/>
      </c>
      <c r="Q1864" s="10" t="str">
        <f aca="false">IF($B1864="","",$N1864*IFERROR(INDEX(Drinks!$D$4:$D$53,MATCH($B1864,Drinks!$A$4:$A$53,0)),0))</f>
        <v/>
      </c>
      <c r="R1864" s="10" t="str">
        <f aca="false">IF($B1864="","",$P1864-$Q1864)</f>
        <v/>
      </c>
      <c r="S1864" s="23" t="str">
        <f aca="false">IF($B1864="","",IF(COUNTIFS($A$4:$A$2003,$A1864-1,$B$4:$B$2003,$B1864)=0,"first day",IF(SUMIFS($M$4:$M$2003,$A$4:$A$2003,$A1864-1,$B$4:$B$2003,$B1864)=$J1864,"OK","CHECK")))</f>
        <v/>
      </c>
      <c r="T1864" s="10" t="str">
        <f aca="false">IF($B1864="","",IFERROR(INDEX(Drinks!$D$4:$D$53,MATCH($B1864,Drinks!$A$4:$A$53,0)),0))</f>
        <v/>
      </c>
    </row>
    <row r="1865" customFormat="false" ht="15" hidden="false" customHeight="false" outlineLevel="0" collapsed="false">
      <c r="A1865" s="22"/>
      <c r="B1865" s="9"/>
      <c r="C1865" s="9"/>
      <c r="D1865" s="9"/>
      <c r="E1865" s="9"/>
      <c r="F1865" s="10" t="str">
        <f aca="false">IF($B1865="","",$C1865+$D1865-$E1865)</f>
        <v/>
      </c>
      <c r="G1865" s="10" t="str">
        <f aca="false">IF($B1865="","",IFERROR(INDEX(Drinks!$C$4:$C$53,MATCH($B1865,Drinks!$A$4:$A$53,0)),0))</f>
        <v/>
      </c>
      <c r="H1865" s="10" t="str">
        <f aca="false">IF($B1865="","",$D1865*$G1865)</f>
        <v/>
      </c>
      <c r="I1865" s="10" t="str">
        <f aca="false">IF($B1865="","",$F1865*$G1865)</f>
        <v/>
      </c>
      <c r="J1865" s="9"/>
      <c r="K1865" s="10" t="str">
        <f aca="false">IF($B1865="","",$E1865*IFERROR(INDEX(Drinks!$B$4:$B$53,MATCH($B1865,Drinks!$A$4:$A$53,0)),0))</f>
        <v/>
      </c>
      <c r="L1865" s="10" t="str">
        <f aca="false">IF($B1865="","",$J1865+$K1865)</f>
        <v/>
      </c>
      <c r="M1865" s="9"/>
      <c r="N1865" s="10" t="str">
        <f aca="false">IF($B1865="","",$L1865-$M1865)</f>
        <v/>
      </c>
      <c r="O1865" s="10" t="str">
        <f aca="false">IF($B1865="","",IFERROR(INDEX(Drinks!$E$4:$E$53,MATCH($B1865,Drinks!$A$4:$A$53,0)),0))</f>
        <v/>
      </c>
      <c r="P1865" s="10" t="str">
        <f aca="false">IF($B1865="","",$N1865*$O1865)</f>
        <v/>
      </c>
      <c r="Q1865" s="10" t="str">
        <f aca="false">IF($B1865="","",$N1865*IFERROR(INDEX(Drinks!$D$4:$D$53,MATCH($B1865,Drinks!$A$4:$A$53,0)),0))</f>
        <v/>
      </c>
      <c r="R1865" s="10" t="str">
        <f aca="false">IF($B1865="","",$P1865-$Q1865)</f>
        <v/>
      </c>
      <c r="S1865" s="23" t="str">
        <f aca="false">IF($B1865="","",IF(COUNTIFS($A$4:$A$2003,$A1865-1,$B$4:$B$2003,$B1865)=0,"first day",IF(SUMIFS($M$4:$M$2003,$A$4:$A$2003,$A1865-1,$B$4:$B$2003,$B1865)=$J1865,"OK","CHECK")))</f>
        <v/>
      </c>
      <c r="T1865" s="10" t="str">
        <f aca="false">IF($B1865="","",IFERROR(INDEX(Drinks!$D$4:$D$53,MATCH($B1865,Drinks!$A$4:$A$53,0)),0))</f>
        <v/>
      </c>
    </row>
    <row r="1866" customFormat="false" ht="15" hidden="false" customHeight="false" outlineLevel="0" collapsed="false">
      <c r="A1866" s="22"/>
      <c r="B1866" s="9"/>
      <c r="C1866" s="9"/>
      <c r="D1866" s="9"/>
      <c r="E1866" s="9"/>
      <c r="F1866" s="10" t="str">
        <f aca="false">IF($B1866="","",$C1866+$D1866-$E1866)</f>
        <v/>
      </c>
      <c r="G1866" s="10" t="str">
        <f aca="false">IF($B1866="","",IFERROR(INDEX(Drinks!$C$4:$C$53,MATCH($B1866,Drinks!$A$4:$A$53,0)),0))</f>
        <v/>
      </c>
      <c r="H1866" s="10" t="str">
        <f aca="false">IF($B1866="","",$D1866*$G1866)</f>
        <v/>
      </c>
      <c r="I1866" s="10" t="str">
        <f aca="false">IF($B1866="","",$F1866*$G1866)</f>
        <v/>
      </c>
      <c r="J1866" s="9"/>
      <c r="K1866" s="10" t="str">
        <f aca="false">IF($B1866="","",$E1866*IFERROR(INDEX(Drinks!$B$4:$B$53,MATCH($B1866,Drinks!$A$4:$A$53,0)),0))</f>
        <v/>
      </c>
      <c r="L1866" s="10" t="str">
        <f aca="false">IF($B1866="","",$J1866+$K1866)</f>
        <v/>
      </c>
      <c r="M1866" s="9"/>
      <c r="N1866" s="10" t="str">
        <f aca="false">IF($B1866="","",$L1866-$M1866)</f>
        <v/>
      </c>
      <c r="O1866" s="10" t="str">
        <f aca="false">IF($B1866="","",IFERROR(INDEX(Drinks!$E$4:$E$53,MATCH($B1866,Drinks!$A$4:$A$53,0)),0))</f>
        <v/>
      </c>
      <c r="P1866" s="10" t="str">
        <f aca="false">IF($B1866="","",$N1866*$O1866)</f>
        <v/>
      </c>
      <c r="Q1866" s="10" t="str">
        <f aca="false">IF($B1866="","",$N1866*IFERROR(INDEX(Drinks!$D$4:$D$53,MATCH($B1866,Drinks!$A$4:$A$53,0)),0))</f>
        <v/>
      </c>
      <c r="R1866" s="10" t="str">
        <f aca="false">IF($B1866="","",$P1866-$Q1866)</f>
        <v/>
      </c>
      <c r="S1866" s="23" t="str">
        <f aca="false">IF($B1866="","",IF(COUNTIFS($A$4:$A$2003,$A1866-1,$B$4:$B$2003,$B1866)=0,"first day",IF(SUMIFS($M$4:$M$2003,$A$4:$A$2003,$A1866-1,$B$4:$B$2003,$B1866)=$J1866,"OK","CHECK")))</f>
        <v/>
      </c>
      <c r="T1866" s="10" t="str">
        <f aca="false">IF($B1866="","",IFERROR(INDEX(Drinks!$D$4:$D$53,MATCH($B1866,Drinks!$A$4:$A$53,0)),0))</f>
        <v/>
      </c>
    </row>
    <row r="1867" customFormat="false" ht="15" hidden="false" customHeight="false" outlineLevel="0" collapsed="false">
      <c r="A1867" s="22"/>
      <c r="B1867" s="9"/>
      <c r="C1867" s="9"/>
      <c r="D1867" s="9"/>
      <c r="E1867" s="9"/>
      <c r="F1867" s="10" t="str">
        <f aca="false">IF($B1867="","",$C1867+$D1867-$E1867)</f>
        <v/>
      </c>
      <c r="G1867" s="10" t="str">
        <f aca="false">IF($B1867="","",IFERROR(INDEX(Drinks!$C$4:$C$53,MATCH($B1867,Drinks!$A$4:$A$53,0)),0))</f>
        <v/>
      </c>
      <c r="H1867" s="10" t="str">
        <f aca="false">IF($B1867="","",$D1867*$G1867)</f>
        <v/>
      </c>
      <c r="I1867" s="10" t="str">
        <f aca="false">IF($B1867="","",$F1867*$G1867)</f>
        <v/>
      </c>
      <c r="J1867" s="9"/>
      <c r="K1867" s="10" t="str">
        <f aca="false">IF($B1867="","",$E1867*IFERROR(INDEX(Drinks!$B$4:$B$53,MATCH($B1867,Drinks!$A$4:$A$53,0)),0))</f>
        <v/>
      </c>
      <c r="L1867" s="10" t="str">
        <f aca="false">IF($B1867="","",$J1867+$K1867)</f>
        <v/>
      </c>
      <c r="M1867" s="9"/>
      <c r="N1867" s="10" t="str">
        <f aca="false">IF($B1867="","",$L1867-$M1867)</f>
        <v/>
      </c>
      <c r="O1867" s="10" t="str">
        <f aca="false">IF($B1867="","",IFERROR(INDEX(Drinks!$E$4:$E$53,MATCH($B1867,Drinks!$A$4:$A$53,0)),0))</f>
        <v/>
      </c>
      <c r="P1867" s="10" t="str">
        <f aca="false">IF($B1867="","",$N1867*$O1867)</f>
        <v/>
      </c>
      <c r="Q1867" s="10" t="str">
        <f aca="false">IF($B1867="","",$N1867*IFERROR(INDEX(Drinks!$D$4:$D$53,MATCH($B1867,Drinks!$A$4:$A$53,0)),0))</f>
        <v/>
      </c>
      <c r="R1867" s="10" t="str">
        <f aca="false">IF($B1867="","",$P1867-$Q1867)</f>
        <v/>
      </c>
      <c r="S1867" s="23" t="str">
        <f aca="false">IF($B1867="","",IF(COUNTIFS($A$4:$A$2003,$A1867-1,$B$4:$B$2003,$B1867)=0,"first day",IF(SUMIFS($M$4:$M$2003,$A$4:$A$2003,$A1867-1,$B$4:$B$2003,$B1867)=$J1867,"OK","CHECK")))</f>
        <v/>
      </c>
      <c r="T1867" s="10" t="str">
        <f aca="false">IF($B1867="","",IFERROR(INDEX(Drinks!$D$4:$D$53,MATCH($B1867,Drinks!$A$4:$A$53,0)),0))</f>
        <v/>
      </c>
    </row>
    <row r="1868" customFormat="false" ht="15" hidden="false" customHeight="false" outlineLevel="0" collapsed="false">
      <c r="A1868" s="22"/>
      <c r="B1868" s="9"/>
      <c r="C1868" s="9"/>
      <c r="D1868" s="9"/>
      <c r="E1868" s="9"/>
      <c r="F1868" s="10" t="str">
        <f aca="false">IF($B1868="","",$C1868+$D1868-$E1868)</f>
        <v/>
      </c>
      <c r="G1868" s="10" t="str">
        <f aca="false">IF($B1868="","",IFERROR(INDEX(Drinks!$C$4:$C$53,MATCH($B1868,Drinks!$A$4:$A$53,0)),0))</f>
        <v/>
      </c>
      <c r="H1868" s="10" t="str">
        <f aca="false">IF($B1868="","",$D1868*$G1868)</f>
        <v/>
      </c>
      <c r="I1868" s="10" t="str">
        <f aca="false">IF($B1868="","",$F1868*$G1868)</f>
        <v/>
      </c>
      <c r="J1868" s="9"/>
      <c r="K1868" s="10" t="str">
        <f aca="false">IF($B1868="","",$E1868*IFERROR(INDEX(Drinks!$B$4:$B$53,MATCH($B1868,Drinks!$A$4:$A$53,0)),0))</f>
        <v/>
      </c>
      <c r="L1868" s="10" t="str">
        <f aca="false">IF($B1868="","",$J1868+$K1868)</f>
        <v/>
      </c>
      <c r="M1868" s="9"/>
      <c r="N1868" s="10" t="str">
        <f aca="false">IF($B1868="","",$L1868-$M1868)</f>
        <v/>
      </c>
      <c r="O1868" s="10" t="str">
        <f aca="false">IF($B1868="","",IFERROR(INDEX(Drinks!$E$4:$E$53,MATCH($B1868,Drinks!$A$4:$A$53,0)),0))</f>
        <v/>
      </c>
      <c r="P1868" s="10" t="str">
        <f aca="false">IF($B1868="","",$N1868*$O1868)</f>
        <v/>
      </c>
      <c r="Q1868" s="10" t="str">
        <f aca="false">IF($B1868="","",$N1868*IFERROR(INDEX(Drinks!$D$4:$D$53,MATCH($B1868,Drinks!$A$4:$A$53,0)),0))</f>
        <v/>
      </c>
      <c r="R1868" s="10" t="str">
        <f aca="false">IF($B1868="","",$P1868-$Q1868)</f>
        <v/>
      </c>
      <c r="S1868" s="23" t="str">
        <f aca="false">IF($B1868="","",IF(COUNTIFS($A$4:$A$2003,$A1868-1,$B$4:$B$2003,$B1868)=0,"first day",IF(SUMIFS($M$4:$M$2003,$A$4:$A$2003,$A1868-1,$B$4:$B$2003,$B1868)=$J1868,"OK","CHECK")))</f>
        <v/>
      </c>
      <c r="T1868" s="10" t="str">
        <f aca="false">IF($B1868="","",IFERROR(INDEX(Drinks!$D$4:$D$53,MATCH($B1868,Drinks!$A$4:$A$53,0)),0))</f>
        <v/>
      </c>
    </row>
    <row r="1869" customFormat="false" ht="15" hidden="false" customHeight="false" outlineLevel="0" collapsed="false">
      <c r="A1869" s="22"/>
      <c r="B1869" s="9"/>
      <c r="C1869" s="9"/>
      <c r="D1869" s="9"/>
      <c r="E1869" s="9"/>
      <c r="F1869" s="10" t="str">
        <f aca="false">IF($B1869="","",$C1869+$D1869-$E1869)</f>
        <v/>
      </c>
      <c r="G1869" s="10" t="str">
        <f aca="false">IF($B1869="","",IFERROR(INDEX(Drinks!$C$4:$C$53,MATCH($B1869,Drinks!$A$4:$A$53,0)),0))</f>
        <v/>
      </c>
      <c r="H1869" s="10" t="str">
        <f aca="false">IF($B1869="","",$D1869*$G1869)</f>
        <v/>
      </c>
      <c r="I1869" s="10" t="str">
        <f aca="false">IF($B1869="","",$F1869*$G1869)</f>
        <v/>
      </c>
      <c r="J1869" s="9"/>
      <c r="K1869" s="10" t="str">
        <f aca="false">IF($B1869="","",$E1869*IFERROR(INDEX(Drinks!$B$4:$B$53,MATCH($B1869,Drinks!$A$4:$A$53,0)),0))</f>
        <v/>
      </c>
      <c r="L1869" s="10" t="str">
        <f aca="false">IF($B1869="","",$J1869+$K1869)</f>
        <v/>
      </c>
      <c r="M1869" s="9"/>
      <c r="N1869" s="10" t="str">
        <f aca="false">IF($B1869="","",$L1869-$M1869)</f>
        <v/>
      </c>
      <c r="O1869" s="10" t="str">
        <f aca="false">IF($B1869="","",IFERROR(INDEX(Drinks!$E$4:$E$53,MATCH($B1869,Drinks!$A$4:$A$53,0)),0))</f>
        <v/>
      </c>
      <c r="P1869" s="10" t="str">
        <f aca="false">IF($B1869="","",$N1869*$O1869)</f>
        <v/>
      </c>
      <c r="Q1869" s="10" t="str">
        <f aca="false">IF($B1869="","",$N1869*IFERROR(INDEX(Drinks!$D$4:$D$53,MATCH($B1869,Drinks!$A$4:$A$53,0)),0))</f>
        <v/>
      </c>
      <c r="R1869" s="10" t="str">
        <f aca="false">IF($B1869="","",$P1869-$Q1869)</f>
        <v/>
      </c>
      <c r="S1869" s="23" t="str">
        <f aca="false">IF($B1869="","",IF(COUNTIFS($A$4:$A$2003,$A1869-1,$B$4:$B$2003,$B1869)=0,"first day",IF(SUMIFS($M$4:$M$2003,$A$4:$A$2003,$A1869-1,$B$4:$B$2003,$B1869)=$J1869,"OK","CHECK")))</f>
        <v/>
      </c>
      <c r="T1869" s="10" t="str">
        <f aca="false">IF($B1869="","",IFERROR(INDEX(Drinks!$D$4:$D$53,MATCH($B1869,Drinks!$A$4:$A$53,0)),0))</f>
        <v/>
      </c>
    </row>
    <row r="1870" customFormat="false" ht="15" hidden="false" customHeight="false" outlineLevel="0" collapsed="false">
      <c r="A1870" s="22"/>
      <c r="B1870" s="9"/>
      <c r="C1870" s="9"/>
      <c r="D1870" s="9"/>
      <c r="E1870" s="9"/>
      <c r="F1870" s="10" t="str">
        <f aca="false">IF($B1870="","",$C1870+$D1870-$E1870)</f>
        <v/>
      </c>
      <c r="G1870" s="10" t="str">
        <f aca="false">IF($B1870="","",IFERROR(INDEX(Drinks!$C$4:$C$53,MATCH($B1870,Drinks!$A$4:$A$53,0)),0))</f>
        <v/>
      </c>
      <c r="H1870" s="10" t="str">
        <f aca="false">IF($B1870="","",$D1870*$G1870)</f>
        <v/>
      </c>
      <c r="I1870" s="10" t="str">
        <f aca="false">IF($B1870="","",$F1870*$G1870)</f>
        <v/>
      </c>
      <c r="J1870" s="9"/>
      <c r="K1870" s="10" t="str">
        <f aca="false">IF($B1870="","",$E1870*IFERROR(INDEX(Drinks!$B$4:$B$53,MATCH($B1870,Drinks!$A$4:$A$53,0)),0))</f>
        <v/>
      </c>
      <c r="L1870" s="10" t="str">
        <f aca="false">IF($B1870="","",$J1870+$K1870)</f>
        <v/>
      </c>
      <c r="M1870" s="9"/>
      <c r="N1870" s="10" t="str">
        <f aca="false">IF($B1870="","",$L1870-$M1870)</f>
        <v/>
      </c>
      <c r="O1870" s="10" t="str">
        <f aca="false">IF($B1870="","",IFERROR(INDEX(Drinks!$E$4:$E$53,MATCH($B1870,Drinks!$A$4:$A$53,0)),0))</f>
        <v/>
      </c>
      <c r="P1870" s="10" t="str">
        <f aca="false">IF($B1870="","",$N1870*$O1870)</f>
        <v/>
      </c>
      <c r="Q1870" s="10" t="str">
        <f aca="false">IF($B1870="","",$N1870*IFERROR(INDEX(Drinks!$D$4:$D$53,MATCH($B1870,Drinks!$A$4:$A$53,0)),0))</f>
        <v/>
      </c>
      <c r="R1870" s="10" t="str">
        <f aca="false">IF($B1870="","",$P1870-$Q1870)</f>
        <v/>
      </c>
      <c r="S1870" s="23" t="str">
        <f aca="false">IF($B1870="","",IF(COUNTIFS($A$4:$A$2003,$A1870-1,$B$4:$B$2003,$B1870)=0,"first day",IF(SUMIFS($M$4:$M$2003,$A$4:$A$2003,$A1870-1,$B$4:$B$2003,$B1870)=$J1870,"OK","CHECK")))</f>
        <v/>
      </c>
      <c r="T1870" s="10" t="str">
        <f aca="false">IF($B1870="","",IFERROR(INDEX(Drinks!$D$4:$D$53,MATCH($B1870,Drinks!$A$4:$A$53,0)),0))</f>
        <v/>
      </c>
    </row>
    <row r="1871" customFormat="false" ht="15" hidden="false" customHeight="false" outlineLevel="0" collapsed="false">
      <c r="A1871" s="22"/>
      <c r="B1871" s="9"/>
      <c r="C1871" s="9"/>
      <c r="D1871" s="9"/>
      <c r="E1871" s="9"/>
      <c r="F1871" s="10" t="str">
        <f aca="false">IF($B1871="","",$C1871+$D1871-$E1871)</f>
        <v/>
      </c>
      <c r="G1871" s="10" t="str">
        <f aca="false">IF($B1871="","",IFERROR(INDEX(Drinks!$C$4:$C$53,MATCH($B1871,Drinks!$A$4:$A$53,0)),0))</f>
        <v/>
      </c>
      <c r="H1871" s="10" t="str">
        <f aca="false">IF($B1871="","",$D1871*$G1871)</f>
        <v/>
      </c>
      <c r="I1871" s="10" t="str">
        <f aca="false">IF($B1871="","",$F1871*$G1871)</f>
        <v/>
      </c>
      <c r="J1871" s="9"/>
      <c r="K1871" s="10" t="str">
        <f aca="false">IF($B1871="","",$E1871*IFERROR(INDEX(Drinks!$B$4:$B$53,MATCH($B1871,Drinks!$A$4:$A$53,0)),0))</f>
        <v/>
      </c>
      <c r="L1871" s="10" t="str">
        <f aca="false">IF($B1871="","",$J1871+$K1871)</f>
        <v/>
      </c>
      <c r="M1871" s="9"/>
      <c r="N1871" s="10" t="str">
        <f aca="false">IF($B1871="","",$L1871-$M1871)</f>
        <v/>
      </c>
      <c r="O1871" s="10" t="str">
        <f aca="false">IF($B1871="","",IFERROR(INDEX(Drinks!$E$4:$E$53,MATCH($B1871,Drinks!$A$4:$A$53,0)),0))</f>
        <v/>
      </c>
      <c r="P1871" s="10" t="str">
        <f aca="false">IF($B1871="","",$N1871*$O1871)</f>
        <v/>
      </c>
      <c r="Q1871" s="10" t="str">
        <f aca="false">IF($B1871="","",$N1871*IFERROR(INDEX(Drinks!$D$4:$D$53,MATCH($B1871,Drinks!$A$4:$A$53,0)),0))</f>
        <v/>
      </c>
      <c r="R1871" s="10" t="str">
        <f aca="false">IF($B1871="","",$P1871-$Q1871)</f>
        <v/>
      </c>
      <c r="S1871" s="23" t="str">
        <f aca="false">IF($B1871="","",IF(COUNTIFS($A$4:$A$2003,$A1871-1,$B$4:$B$2003,$B1871)=0,"first day",IF(SUMIFS($M$4:$M$2003,$A$4:$A$2003,$A1871-1,$B$4:$B$2003,$B1871)=$J1871,"OK","CHECK")))</f>
        <v/>
      </c>
      <c r="T1871" s="10" t="str">
        <f aca="false">IF($B1871="","",IFERROR(INDEX(Drinks!$D$4:$D$53,MATCH($B1871,Drinks!$A$4:$A$53,0)),0))</f>
        <v/>
      </c>
    </row>
    <row r="1872" customFormat="false" ht="15" hidden="false" customHeight="false" outlineLevel="0" collapsed="false">
      <c r="A1872" s="22"/>
      <c r="B1872" s="9"/>
      <c r="C1872" s="9"/>
      <c r="D1872" s="9"/>
      <c r="E1872" s="9"/>
      <c r="F1872" s="10" t="str">
        <f aca="false">IF($B1872="","",$C1872+$D1872-$E1872)</f>
        <v/>
      </c>
      <c r="G1872" s="10" t="str">
        <f aca="false">IF($B1872="","",IFERROR(INDEX(Drinks!$C$4:$C$53,MATCH($B1872,Drinks!$A$4:$A$53,0)),0))</f>
        <v/>
      </c>
      <c r="H1872" s="10" t="str">
        <f aca="false">IF($B1872="","",$D1872*$G1872)</f>
        <v/>
      </c>
      <c r="I1872" s="10" t="str">
        <f aca="false">IF($B1872="","",$F1872*$G1872)</f>
        <v/>
      </c>
      <c r="J1872" s="9"/>
      <c r="K1872" s="10" t="str">
        <f aca="false">IF($B1872="","",$E1872*IFERROR(INDEX(Drinks!$B$4:$B$53,MATCH($B1872,Drinks!$A$4:$A$53,0)),0))</f>
        <v/>
      </c>
      <c r="L1872" s="10" t="str">
        <f aca="false">IF($B1872="","",$J1872+$K1872)</f>
        <v/>
      </c>
      <c r="M1872" s="9"/>
      <c r="N1872" s="10" t="str">
        <f aca="false">IF($B1872="","",$L1872-$M1872)</f>
        <v/>
      </c>
      <c r="O1872" s="10" t="str">
        <f aca="false">IF($B1872="","",IFERROR(INDEX(Drinks!$E$4:$E$53,MATCH($B1872,Drinks!$A$4:$A$53,0)),0))</f>
        <v/>
      </c>
      <c r="P1872" s="10" t="str">
        <f aca="false">IF($B1872="","",$N1872*$O1872)</f>
        <v/>
      </c>
      <c r="Q1872" s="10" t="str">
        <f aca="false">IF($B1872="","",$N1872*IFERROR(INDEX(Drinks!$D$4:$D$53,MATCH($B1872,Drinks!$A$4:$A$53,0)),0))</f>
        <v/>
      </c>
      <c r="R1872" s="10" t="str">
        <f aca="false">IF($B1872="","",$P1872-$Q1872)</f>
        <v/>
      </c>
      <c r="S1872" s="23" t="str">
        <f aca="false">IF($B1872="","",IF(COUNTIFS($A$4:$A$2003,$A1872-1,$B$4:$B$2003,$B1872)=0,"first day",IF(SUMIFS($M$4:$M$2003,$A$4:$A$2003,$A1872-1,$B$4:$B$2003,$B1872)=$J1872,"OK","CHECK")))</f>
        <v/>
      </c>
      <c r="T1872" s="10" t="str">
        <f aca="false">IF($B1872="","",IFERROR(INDEX(Drinks!$D$4:$D$53,MATCH($B1872,Drinks!$A$4:$A$53,0)),0))</f>
        <v/>
      </c>
    </row>
    <row r="1873" customFormat="false" ht="15" hidden="false" customHeight="false" outlineLevel="0" collapsed="false">
      <c r="A1873" s="22"/>
      <c r="B1873" s="9"/>
      <c r="C1873" s="9"/>
      <c r="D1873" s="9"/>
      <c r="E1873" s="9"/>
      <c r="F1873" s="10" t="str">
        <f aca="false">IF($B1873="","",$C1873+$D1873-$E1873)</f>
        <v/>
      </c>
      <c r="G1873" s="10" t="str">
        <f aca="false">IF($B1873="","",IFERROR(INDEX(Drinks!$C$4:$C$53,MATCH($B1873,Drinks!$A$4:$A$53,0)),0))</f>
        <v/>
      </c>
      <c r="H1873" s="10" t="str">
        <f aca="false">IF($B1873="","",$D1873*$G1873)</f>
        <v/>
      </c>
      <c r="I1873" s="10" t="str">
        <f aca="false">IF($B1873="","",$F1873*$G1873)</f>
        <v/>
      </c>
      <c r="J1873" s="9"/>
      <c r="K1873" s="10" t="str">
        <f aca="false">IF($B1873="","",$E1873*IFERROR(INDEX(Drinks!$B$4:$B$53,MATCH($B1873,Drinks!$A$4:$A$53,0)),0))</f>
        <v/>
      </c>
      <c r="L1873" s="10" t="str">
        <f aca="false">IF($B1873="","",$J1873+$K1873)</f>
        <v/>
      </c>
      <c r="M1873" s="9"/>
      <c r="N1873" s="10" t="str">
        <f aca="false">IF($B1873="","",$L1873-$M1873)</f>
        <v/>
      </c>
      <c r="O1873" s="10" t="str">
        <f aca="false">IF($B1873="","",IFERROR(INDEX(Drinks!$E$4:$E$53,MATCH($B1873,Drinks!$A$4:$A$53,0)),0))</f>
        <v/>
      </c>
      <c r="P1873" s="10" t="str">
        <f aca="false">IF($B1873="","",$N1873*$O1873)</f>
        <v/>
      </c>
      <c r="Q1873" s="10" t="str">
        <f aca="false">IF($B1873="","",$N1873*IFERROR(INDEX(Drinks!$D$4:$D$53,MATCH($B1873,Drinks!$A$4:$A$53,0)),0))</f>
        <v/>
      </c>
      <c r="R1873" s="10" t="str">
        <f aca="false">IF($B1873="","",$P1873-$Q1873)</f>
        <v/>
      </c>
      <c r="S1873" s="23" t="str">
        <f aca="false">IF($B1873="","",IF(COUNTIFS($A$4:$A$2003,$A1873-1,$B$4:$B$2003,$B1873)=0,"first day",IF(SUMIFS($M$4:$M$2003,$A$4:$A$2003,$A1873-1,$B$4:$B$2003,$B1873)=$J1873,"OK","CHECK")))</f>
        <v/>
      </c>
      <c r="T1873" s="10" t="str">
        <f aca="false">IF($B1873="","",IFERROR(INDEX(Drinks!$D$4:$D$53,MATCH($B1873,Drinks!$A$4:$A$53,0)),0))</f>
        <v/>
      </c>
    </row>
    <row r="1874" customFormat="false" ht="15" hidden="false" customHeight="false" outlineLevel="0" collapsed="false">
      <c r="A1874" s="22"/>
      <c r="B1874" s="9"/>
      <c r="C1874" s="9"/>
      <c r="D1874" s="9"/>
      <c r="E1874" s="9"/>
      <c r="F1874" s="10" t="str">
        <f aca="false">IF($B1874="","",$C1874+$D1874-$E1874)</f>
        <v/>
      </c>
      <c r="G1874" s="10" t="str">
        <f aca="false">IF($B1874="","",IFERROR(INDEX(Drinks!$C$4:$C$53,MATCH($B1874,Drinks!$A$4:$A$53,0)),0))</f>
        <v/>
      </c>
      <c r="H1874" s="10" t="str">
        <f aca="false">IF($B1874="","",$D1874*$G1874)</f>
        <v/>
      </c>
      <c r="I1874" s="10" t="str">
        <f aca="false">IF($B1874="","",$F1874*$G1874)</f>
        <v/>
      </c>
      <c r="J1874" s="9"/>
      <c r="K1874" s="10" t="str">
        <f aca="false">IF($B1874="","",$E1874*IFERROR(INDEX(Drinks!$B$4:$B$53,MATCH($B1874,Drinks!$A$4:$A$53,0)),0))</f>
        <v/>
      </c>
      <c r="L1874" s="10" t="str">
        <f aca="false">IF($B1874="","",$J1874+$K1874)</f>
        <v/>
      </c>
      <c r="M1874" s="9"/>
      <c r="N1874" s="10" t="str">
        <f aca="false">IF($B1874="","",$L1874-$M1874)</f>
        <v/>
      </c>
      <c r="O1874" s="10" t="str">
        <f aca="false">IF($B1874="","",IFERROR(INDEX(Drinks!$E$4:$E$53,MATCH($B1874,Drinks!$A$4:$A$53,0)),0))</f>
        <v/>
      </c>
      <c r="P1874" s="10" t="str">
        <f aca="false">IF($B1874="","",$N1874*$O1874)</f>
        <v/>
      </c>
      <c r="Q1874" s="10" t="str">
        <f aca="false">IF($B1874="","",$N1874*IFERROR(INDEX(Drinks!$D$4:$D$53,MATCH($B1874,Drinks!$A$4:$A$53,0)),0))</f>
        <v/>
      </c>
      <c r="R1874" s="10" t="str">
        <f aca="false">IF($B1874="","",$P1874-$Q1874)</f>
        <v/>
      </c>
      <c r="S1874" s="23" t="str">
        <f aca="false">IF($B1874="","",IF(COUNTIFS($A$4:$A$2003,$A1874-1,$B$4:$B$2003,$B1874)=0,"first day",IF(SUMIFS($M$4:$M$2003,$A$4:$A$2003,$A1874-1,$B$4:$B$2003,$B1874)=$J1874,"OK","CHECK")))</f>
        <v/>
      </c>
      <c r="T1874" s="10" t="str">
        <f aca="false">IF($B1874="","",IFERROR(INDEX(Drinks!$D$4:$D$53,MATCH($B1874,Drinks!$A$4:$A$53,0)),0))</f>
        <v/>
      </c>
    </row>
    <row r="1875" customFormat="false" ht="15" hidden="false" customHeight="false" outlineLevel="0" collapsed="false">
      <c r="A1875" s="22"/>
      <c r="B1875" s="9"/>
      <c r="C1875" s="9"/>
      <c r="D1875" s="9"/>
      <c r="E1875" s="9"/>
      <c r="F1875" s="10" t="str">
        <f aca="false">IF($B1875="","",$C1875+$D1875-$E1875)</f>
        <v/>
      </c>
      <c r="G1875" s="10" t="str">
        <f aca="false">IF($B1875="","",IFERROR(INDEX(Drinks!$C$4:$C$53,MATCH($B1875,Drinks!$A$4:$A$53,0)),0))</f>
        <v/>
      </c>
      <c r="H1875" s="10" t="str">
        <f aca="false">IF($B1875="","",$D1875*$G1875)</f>
        <v/>
      </c>
      <c r="I1875" s="10" t="str">
        <f aca="false">IF($B1875="","",$F1875*$G1875)</f>
        <v/>
      </c>
      <c r="J1875" s="9"/>
      <c r="K1875" s="10" t="str">
        <f aca="false">IF($B1875="","",$E1875*IFERROR(INDEX(Drinks!$B$4:$B$53,MATCH($B1875,Drinks!$A$4:$A$53,0)),0))</f>
        <v/>
      </c>
      <c r="L1875" s="10" t="str">
        <f aca="false">IF($B1875="","",$J1875+$K1875)</f>
        <v/>
      </c>
      <c r="M1875" s="9"/>
      <c r="N1875" s="10" t="str">
        <f aca="false">IF($B1875="","",$L1875-$M1875)</f>
        <v/>
      </c>
      <c r="O1875" s="10" t="str">
        <f aca="false">IF($B1875="","",IFERROR(INDEX(Drinks!$E$4:$E$53,MATCH($B1875,Drinks!$A$4:$A$53,0)),0))</f>
        <v/>
      </c>
      <c r="P1875" s="10" t="str">
        <f aca="false">IF($B1875="","",$N1875*$O1875)</f>
        <v/>
      </c>
      <c r="Q1875" s="10" t="str">
        <f aca="false">IF($B1875="","",$N1875*IFERROR(INDEX(Drinks!$D$4:$D$53,MATCH($B1875,Drinks!$A$4:$A$53,0)),0))</f>
        <v/>
      </c>
      <c r="R1875" s="10" t="str">
        <f aca="false">IF($B1875="","",$P1875-$Q1875)</f>
        <v/>
      </c>
      <c r="S1875" s="23" t="str">
        <f aca="false">IF($B1875="","",IF(COUNTIFS($A$4:$A$2003,$A1875-1,$B$4:$B$2003,$B1875)=0,"first day",IF(SUMIFS($M$4:$M$2003,$A$4:$A$2003,$A1875-1,$B$4:$B$2003,$B1875)=$J1875,"OK","CHECK")))</f>
        <v/>
      </c>
      <c r="T1875" s="10" t="str">
        <f aca="false">IF($B1875="","",IFERROR(INDEX(Drinks!$D$4:$D$53,MATCH($B1875,Drinks!$A$4:$A$53,0)),0))</f>
        <v/>
      </c>
    </row>
    <row r="1876" customFormat="false" ht="15" hidden="false" customHeight="false" outlineLevel="0" collapsed="false">
      <c r="A1876" s="22"/>
      <c r="B1876" s="9"/>
      <c r="C1876" s="9"/>
      <c r="D1876" s="9"/>
      <c r="E1876" s="9"/>
      <c r="F1876" s="10" t="str">
        <f aca="false">IF($B1876="","",$C1876+$D1876-$E1876)</f>
        <v/>
      </c>
      <c r="G1876" s="10" t="str">
        <f aca="false">IF($B1876="","",IFERROR(INDEX(Drinks!$C$4:$C$53,MATCH($B1876,Drinks!$A$4:$A$53,0)),0))</f>
        <v/>
      </c>
      <c r="H1876" s="10" t="str">
        <f aca="false">IF($B1876="","",$D1876*$G1876)</f>
        <v/>
      </c>
      <c r="I1876" s="10" t="str">
        <f aca="false">IF($B1876="","",$F1876*$G1876)</f>
        <v/>
      </c>
      <c r="J1876" s="9"/>
      <c r="K1876" s="10" t="str">
        <f aca="false">IF($B1876="","",$E1876*IFERROR(INDEX(Drinks!$B$4:$B$53,MATCH($B1876,Drinks!$A$4:$A$53,0)),0))</f>
        <v/>
      </c>
      <c r="L1876" s="10" t="str">
        <f aca="false">IF($B1876="","",$J1876+$K1876)</f>
        <v/>
      </c>
      <c r="M1876" s="9"/>
      <c r="N1876" s="10" t="str">
        <f aca="false">IF($B1876="","",$L1876-$M1876)</f>
        <v/>
      </c>
      <c r="O1876" s="10" t="str">
        <f aca="false">IF($B1876="","",IFERROR(INDEX(Drinks!$E$4:$E$53,MATCH($B1876,Drinks!$A$4:$A$53,0)),0))</f>
        <v/>
      </c>
      <c r="P1876" s="10" t="str">
        <f aca="false">IF($B1876="","",$N1876*$O1876)</f>
        <v/>
      </c>
      <c r="Q1876" s="10" t="str">
        <f aca="false">IF($B1876="","",$N1876*IFERROR(INDEX(Drinks!$D$4:$D$53,MATCH($B1876,Drinks!$A$4:$A$53,0)),0))</f>
        <v/>
      </c>
      <c r="R1876" s="10" t="str">
        <f aca="false">IF($B1876="","",$P1876-$Q1876)</f>
        <v/>
      </c>
      <c r="S1876" s="23" t="str">
        <f aca="false">IF($B1876="","",IF(COUNTIFS($A$4:$A$2003,$A1876-1,$B$4:$B$2003,$B1876)=0,"first day",IF(SUMIFS($M$4:$M$2003,$A$4:$A$2003,$A1876-1,$B$4:$B$2003,$B1876)=$J1876,"OK","CHECK")))</f>
        <v/>
      </c>
      <c r="T1876" s="10" t="str">
        <f aca="false">IF($B1876="","",IFERROR(INDEX(Drinks!$D$4:$D$53,MATCH($B1876,Drinks!$A$4:$A$53,0)),0))</f>
        <v/>
      </c>
    </row>
    <row r="1877" customFormat="false" ht="15" hidden="false" customHeight="false" outlineLevel="0" collapsed="false">
      <c r="A1877" s="22"/>
      <c r="B1877" s="9"/>
      <c r="C1877" s="9"/>
      <c r="D1877" s="9"/>
      <c r="E1877" s="9"/>
      <c r="F1877" s="10" t="str">
        <f aca="false">IF($B1877="","",$C1877+$D1877-$E1877)</f>
        <v/>
      </c>
      <c r="G1877" s="10" t="str">
        <f aca="false">IF($B1877="","",IFERROR(INDEX(Drinks!$C$4:$C$53,MATCH($B1877,Drinks!$A$4:$A$53,0)),0))</f>
        <v/>
      </c>
      <c r="H1877" s="10" t="str">
        <f aca="false">IF($B1877="","",$D1877*$G1877)</f>
        <v/>
      </c>
      <c r="I1877" s="10" t="str">
        <f aca="false">IF($B1877="","",$F1877*$G1877)</f>
        <v/>
      </c>
      <c r="J1877" s="9"/>
      <c r="K1877" s="10" t="str">
        <f aca="false">IF($B1877="","",$E1877*IFERROR(INDEX(Drinks!$B$4:$B$53,MATCH($B1877,Drinks!$A$4:$A$53,0)),0))</f>
        <v/>
      </c>
      <c r="L1877" s="10" t="str">
        <f aca="false">IF($B1877="","",$J1877+$K1877)</f>
        <v/>
      </c>
      <c r="M1877" s="9"/>
      <c r="N1877" s="10" t="str">
        <f aca="false">IF($B1877="","",$L1877-$M1877)</f>
        <v/>
      </c>
      <c r="O1877" s="10" t="str">
        <f aca="false">IF($B1877="","",IFERROR(INDEX(Drinks!$E$4:$E$53,MATCH($B1877,Drinks!$A$4:$A$53,0)),0))</f>
        <v/>
      </c>
      <c r="P1877" s="10" t="str">
        <f aca="false">IF($B1877="","",$N1877*$O1877)</f>
        <v/>
      </c>
      <c r="Q1877" s="10" t="str">
        <f aca="false">IF($B1877="","",$N1877*IFERROR(INDEX(Drinks!$D$4:$D$53,MATCH($B1877,Drinks!$A$4:$A$53,0)),0))</f>
        <v/>
      </c>
      <c r="R1877" s="10" t="str">
        <f aca="false">IF($B1877="","",$P1877-$Q1877)</f>
        <v/>
      </c>
      <c r="S1877" s="23" t="str">
        <f aca="false">IF($B1877="","",IF(COUNTIFS($A$4:$A$2003,$A1877-1,$B$4:$B$2003,$B1877)=0,"first day",IF(SUMIFS($M$4:$M$2003,$A$4:$A$2003,$A1877-1,$B$4:$B$2003,$B1877)=$J1877,"OK","CHECK")))</f>
        <v/>
      </c>
      <c r="T1877" s="10" t="str">
        <f aca="false">IF($B1877="","",IFERROR(INDEX(Drinks!$D$4:$D$53,MATCH($B1877,Drinks!$A$4:$A$53,0)),0))</f>
        <v/>
      </c>
    </row>
    <row r="1878" customFormat="false" ht="15" hidden="false" customHeight="false" outlineLevel="0" collapsed="false">
      <c r="A1878" s="22"/>
      <c r="B1878" s="9"/>
      <c r="C1878" s="9"/>
      <c r="D1878" s="9"/>
      <c r="E1878" s="9"/>
      <c r="F1878" s="10" t="str">
        <f aca="false">IF($B1878="","",$C1878+$D1878-$E1878)</f>
        <v/>
      </c>
      <c r="G1878" s="10" t="str">
        <f aca="false">IF($B1878="","",IFERROR(INDEX(Drinks!$C$4:$C$53,MATCH($B1878,Drinks!$A$4:$A$53,0)),0))</f>
        <v/>
      </c>
      <c r="H1878" s="10" t="str">
        <f aca="false">IF($B1878="","",$D1878*$G1878)</f>
        <v/>
      </c>
      <c r="I1878" s="10" t="str">
        <f aca="false">IF($B1878="","",$F1878*$G1878)</f>
        <v/>
      </c>
      <c r="J1878" s="9"/>
      <c r="K1878" s="10" t="str">
        <f aca="false">IF($B1878="","",$E1878*IFERROR(INDEX(Drinks!$B$4:$B$53,MATCH($B1878,Drinks!$A$4:$A$53,0)),0))</f>
        <v/>
      </c>
      <c r="L1878" s="10" t="str">
        <f aca="false">IF($B1878="","",$J1878+$K1878)</f>
        <v/>
      </c>
      <c r="M1878" s="9"/>
      <c r="N1878" s="10" t="str">
        <f aca="false">IF($B1878="","",$L1878-$M1878)</f>
        <v/>
      </c>
      <c r="O1878" s="10" t="str">
        <f aca="false">IF($B1878="","",IFERROR(INDEX(Drinks!$E$4:$E$53,MATCH($B1878,Drinks!$A$4:$A$53,0)),0))</f>
        <v/>
      </c>
      <c r="P1878" s="10" t="str">
        <f aca="false">IF($B1878="","",$N1878*$O1878)</f>
        <v/>
      </c>
      <c r="Q1878" s="10" t="str">
        <f aca="false">IF($B1878="","",$N1878*IFERROR(INDEX(Drinks!$D$4:$D$53,MATCH($B1878,Drinks!$A$4:$A$53,0)),0))</f>
        <v/>
      </c>
      <c r="R1878" s="10" t="str">
        <f aca="false">IF($B1878="","",$P1878-$Q1878)</f>
        <v/>
      </c>
      <c r="S1878" s="23" t="str">
        <f aca="false">IF($B1878="","",IF(COUNTIFS($A$4:$A$2003,$A1878-1,$B$4:$B$2003,$B1878)=0,"first day",IF(SUMIFS($M$4:$M$2003,$A$4:$A$2003,$A1878-1,$B$4:$B$2003,$B1878)=$J1878,"OK","CHECK")))</f>
        <v/>
      </c>
      <c r="T1878" s="10" t="str">
        <f aca="false">IF($B1878="","",IFERROR(INDEX(Drinks!$D$4:$D$53,MATCH($B1878,Drinks!$A$4:$A$53,0)),0))</f>
        <v/>
      </c>
    </row>
    <row r="1879" customFormat="false" ht="15" hidden="false" customHeight="false" outlineLevel="0" collapsed="false">
      <c r="A1879" s="22"/>
      <c r="B1879" s="9"/>
      <c r="C1879" s="9"/>
      <c r="D1879" s="9"/>
      <c r="E1879" s="9"/>
      <c r="F1879" s="10" t="str">
        <f aca="false">IF($B1879="","",$C1879+$D1879-$E1879)</f>
        <v/>
      </c>
      <c r="G1879" s="10" t="str">
        <f aca="false">IF($B1879="","",IFERROR(INDEX(Drinks!$C$4:$C$53,MATCH($B1879,Drinks!$A$4:$A$53,0)),0))</f>
        <v/>
      </c>
      <c r="H1879" s="10" t="str">
        <f aca="false">IF($B1879="","",$D1879*$G1879)</f>
        <v/>
      </c>
      <c r="I1879" s="10" t="str">
        <f aca="false">IF($B1879="","",$F1879*$G1879)</f>
        <v/>
      </c>
      <c r="J1879" s="9"/>
      <c r="K1879" s="10" t="str">
        <f aca="false">IF($B1879="","",$E1879*IFERROR(INDEX(Drinks!$B$4:$B$53,MATCH($B1879,Drinks!$A$4:$A$53,0)),0))</f>
        <v/>
      </c>
      <c r="L1879" s="10" t="str">
        <f aca="false">IF($B1879="","",$J1879+$K1879)</f>
        <v/>
      </c>
      <c r="M1879" s="9"/>
      <c r="N1879" s="10" t="str">
        <f aca="false">IF($B1879="","",$L1879-$M1879)</f>
        <v/>
      </c>
      <c r="O1879" s="10" t="str">
        <f aca="false">IF($B1879="","",IFERROR(INDEX(Drinks!$E$4:$E$53,MATCH($B1879,Drinks!$A$4:$A$53,0)),0))</f>
        <v/>
      </c>
      <c r="P1879" s="10" t="str">
        <f aca="false">IF($B1879="","",$N1879*$O1879)</f>
        <v/>
      </c>
      <c r="Q1879" s="10" t="str">
        <f aca="false">IF($B1879="","",$N1879*IFERROR(INDEX(Drinks!$D$4:$D$53,MATCH($B1879,Drinks!$A$4:$A$53,0)),0))</f>
        <v/>
      </c>
      <c r="R1879" s="10" t="str">
        <f aca="false">IF($B1879="","",$P1879-$Q1879)</f>
        <v/>
      </c>
      <c r="S1879" s="23" t="str">
        <f aca="false">IF($B1879="","",IF(COUNTIFS($A$4:$A$2003,$A1879-1,$B$4:$B$2003,$B1879)=0,"first day",IF(SUMIFS($M$4:$M$2003,$A$4:$A$2003,$A1879-1,$B$4:$B$2003,$B1879)=$J1879,"OK","CHECK")))</f>
        <v/>
      </c>
      <c r="T1879" s="10" t="str">
        <f aca="false">IF($B1879="","",IFERROR(INDEX(Drinks!$D$4:$D$53,MATCH($B1879,Drinks!$A$4:$A$53,0)),0))</f>
        <v/>
      </c>
    </row>
    <row r="1880" customFormat="false" ht="15" hidden="false" customHeight="false" outlineLevel="0" collapsed="false">
      <c r="A1880" s="22"/>
      <c r="B1880" s="9"/>
      <c r="C1880" s="9"/>
      <c r="D1880" s="9"/>
      <c r="E1880" s="9"/>
      <c r="F1880" s="10" t="str">
        <f aca="false">IF($B1880="","",$C1880+$D1880-$E1880)</f>
        <v/>
      </c>
      <c r="G1880" s="10" t="str">
        <f aca="false">IF($B1880="","",IFERROR(INDEX(Drinks!$C$4:$C$53,MATCH($B1880,Drinks!$A$4:$A$53,0)),0))</f>
        <v/>
      </c>
      <c r="H1880" s="10" t="str">
        <f aca="false">IF($B1880="","",$D1880*$G1880)</f>
        <v/>
      </c>
      <c r="I1880" s="10" t="str">
        <f aca="false">IF($B1880="","",$F1880*$G1880)</f>
        <v/>
      </c>
      <c r="J1880" s="9"/>
      <c r="K1880" s="10" t="str">
        <f aca="false">IF($B1880="","",$E1880*IFERROR(INDEX(Drinks!$B$4:$B$53,MATCH($B1880,Drinks!$A$4:$A$53,0)),0))</f>
        <v/>
      </c>
      <c r="L1880" s="10" t="str">
        <f aca="false">IF($B1880="","",$J1880+$K1880)</f>
        <v/>
      </c>
      <c r="M1880" s="9"/>
      <c r="N1880" s="10" t="str">
        <f aca="false">IF($B1880="","",$L1880-$M1880)</f>
        <v/>
      </c>
      <c r="O1880" s="10" t="str">
        <f aca="false">IF($B1880="","",IFERROR(INDEX(Drinks!$E$4:$E$53,MATCH($B1880,Drinks!$A$4:$A$53,0)),0))</f>
        <v/>
      </c>
      <c r="P1880" s="10" t="str">
        <f aca="false">IF($B1880="","",$N1880*$O1880)</f>
        <v/>
      </c>
      <c r="Q1880" s="10" t="str">
        <f aca="false">IF($B1880="","",$N1880*IFERROR(INDEX(Drinks!$D$4:$D$53,MATCH($B1880,Drinks!$A$4:$A$53,0)),0))</f>
        <v/>
      </c>
      <c r="R1880" s="10" t="str">
        <f aca="false">IF($B1880="","",$P1880-$Q1880)</f>
        <v/>
      </c>
      <c r="S1880" s="23" t="str">
        <f aca="false">IF($B1880="","",IF(COUNTIFS($A$4:$A$2003,$A1880-1,$B$4:$B$2003,$B1880)=0,"first day",IF(SUMIFS($M$4:$M$2003,$A$4:$A$2003,$A1880-1,$B$4:$B$2003,$B1880)=$J1880,"OK","CHECK")))</f>
        <v/>
      </c>
      <c r="T1880" s="10" t="str">
        <f aca="false">IF($B1880="","",IFERROR(INDEX(Drinks!$D$4:$D$53,MATCH($B1880,Drinks!$A$4:$A$53,0)),0))</f>
        <v/>
      </c>
    </row>
    <row r="1881" customFormat="false" ht="15" hidden="false" customHeight="false" outlineLevel="0" collapsed="false">
      <c r="A1881" s="22"/>
      <c r="B1881" s="9"/>
      <c r="C1881" s="9"/>
      <c r="D1881" s="9"/>
      <c r="E1881" s="9"/>
      <c r="F1881" s="10" t="str">
        <f aca="false">IF($B1881="","",$C1881+$D1881-$E1881)</f>
        <v/>
      </c>
      <c r="G1881" s="10" t="str">
        <f aca="false">IF($B1881="","",IFERROR(INDEX(Drinks!$C$4:$C$53,MATCH($B1881,Drinks!$A$4:$A$53,0)),0))</f>
        <v/>
      </c>
      <c r="H1881" s="10" t="str">
        <f aca="false">IF($B1881="","",$D1881*$G1881)</f>
        <v/>
      </c>
      <c r="I1881" s="10" t="str">
        <f aca="false">IF($B1881="","",$F1881*$G1881)</f>
        <v/>
      </c>
      <c r="J1881" s="9"/>
      <c r="K1881" s="10" t="str">
        <f aca="false">IF($B1881="","",$E1881*IFERROR(INDEX(Drinks!$B$4:$B$53,MATCH($B1881,Drinks!$A$4:$A$53,0)),0))</f>
        <v/>
      </c>
      <c r="L1881" s="10" t="str">
        <f aca="false">IF($B1881="","",$J1881+$K1881)</f>
        <v/>
      </c>
      <c r="M1881" s="9"/>
      <c r="N1881" s="10" t="str">
        <f aca="false">IF($B1881="","",$L1881-$M1881)</f>
        <v/>
      </c>
      <c r="O1881" s="10" t="str">
        <f aca="false">IF($B1881="","",IFERROR(INDEX(Drinks!$E$4:$E$53,MATCH($B1881,Drinks!$A$4:$A$53,0)),0))</f>
        <v/>
      </c>
      <c r="P1881" s="10" t="str">
        <f aca="false">IF($B1881="","",$N1881*$O1881)</f>
        <v/>
      </c>
      <c r="Q1881" s="10" t="str">
        <f aca="false">IF($B1881="","",$N1881*IFERROR(INDEX(Drinks!$D$4:$D$53,MATCH($B1881,Drinks!$A$4:$A$53,0)),0))</f>
        <v/>
      </c>
      <c r="R1881" s="10" t="str">
        <f aca="false">IF($B1881="","",$P1881-$Q1881)</f>
        <v/>
      </c>
      <c r="S1881" s="23" t="str">
        <f aca="false">IF($B1881="","",IF(COUNTIFS($A$4:$A$2003,$A1881-1,$B$4:$B$2003,$B1881)=0,"first day",IF(SUMIFS($M$4:$M$2003,$A$4:$A$2003,$A1881-1,$B$4:$B$2003,$B1881)=$J1881,"OK","CHECK")))</f>
        <v/>
      </c>
      <c r="T1881" s="10" t="str">
        <f aca="false">IF($B1881="","",IFERROR(INDEX(Drinks!$D$4:$D$53,MATCH($B1881,Drinks!$A$4:$A$53,0)),0))</f>
        <v/>
      </c>
    </row>
    <row r="1882" customFormat="false" ht="15" hidden="false" customHeight="false" outlineLevel="0" collapsed="false">
      <c r="A1882" s="22"/>
      <c r="B1882" s="9"/>
      <c r="C1882" s="9"/>
      <c r="D1882" s="9"/>
      <c r="E1882" s="9"/>
      <c r="F1882" s="10" t="str">
        <f aca="false">IF($B1882="","",$C1882+$D1882-$E1882)</f>
        <v/>
      </c>
      <c r="G1882" s="10" t="str">
        <f aca="false">IF($B1882="","",IFERROR(INDEX(Drinks!$C$4:$C$53,MATCH($B1882,Drinks!$A$4:$A$53,0)),0))</f>
        <v/>
      </c>
      <c r="H1882" s="10" t="str">
        <f aca="false">IF($B1882="","",$D1882*$G1882)</f>
        <v/>
      </c>
      <c r="I1882" s="10" t="str">
        <f aca="false">IF($B1882="","",$F1882*$G1882)</f>
        <v/>
      </c>
      <c r="J1882" s="9"/>
      <c r="K1882" s="10" t="str">
        <f aca="false">IF($B1882="","",$E1882*IFERROR(INDEX(Drinks!$B$4:$B$53,MATCH($B1882,Drinks!$A$4:$A$53,0)),0))</f>
        <v/>
      </c>
      <c r="L1882" s="10" t="str">
        <f aca="false">IF($B1882="","",$J1882+$K1882)</f>
        <v/>
      </c>
      <c r="M1882" s="9"/>
      <c r="N1882" s="10" t="str">
        <f aca="false">IF($B1882="","",$L1882-$M1882)</f>
        <v/>
      </c>
      <c r="O1882" s="10" t="str">
        <f aca="false">IF($B1882="","",IFERROR(INDEX(Drinks!$E$4:$E$53,MATCH($B1882,Drinks!$A$4:$A$53,0)),0))</f>
        <v/>
      </c>
      <c r="P1882" s="10" t="str">
        <f aca="false">IF($B1882="","",$N1882*$O1882)</f>
        <v/>
      </c>
      <c r="Q1882" s="10" t="str">
        <f aca="false">IF($B1882="","",$N1882*IFERROR(INDEX(Drinks!$D$4:$D$53,MATCH($B1882,Drinks!$A$4:$A$53,0)),0))</f>
        <v/>
      </c>
      <c r="R1882" s="10" t="str">
        <f aca="false">IF($B1882="","",$P1882-$Q1882)</f>
        <v/>
      </c>
      <c r="S1882" s="23" t="str">
        <f aca="false">IF($B1882="","",IF(COUNTIFS($A$4:$A$2003,$A1882-1,$B$4:$B$2003,$B1882)=0,"first day",IF(SUMIFS($M$4:$M$2003,$A$4:$A$2003,$A1882-1,$B$4:$B$2003,$B1882)=$J1882,"OK","CHECK")))</f>
        <v/>
      </c>
      <c r="T1882" s="10" t="str">
        <f aca="false">IF($B1882="","",IFERROR(INDEX(Drinks!$D$4:$D$53,MATCH($B1882,Drinks!$A$4:$A$53,0)),0))</f>
        <v/>
      </c>
    </row>
    <row r="1883" customFormat="false" ht="15" hidden="false" customHeight="false" outlineLevel="0" collapsed="false">
      <c r="A1883" s="22"/>
      <c r="B1883" s="9"/>
      <c r="C1883" s="9"/>
      <c r="D1883" s="9"/>
      <c r="E1883" s="9"/>
      <c r="F1883" s="10" t="str">
        <f aca="false">IF($B1883="","",$C1883+$D1883-$E1883)</f>
        <v/>
      </c>
      <c r="G1883" s="10" t="str">
        <f aca="false">IF($B1883="","",IFERROR(INDEX(Drinks!$C$4:$C$53,MATCH($B1883,Drinks!$A$4:$A$53,0)),0))</f>
        <v/>
      </c>
      <c r="H1883" s="10" t="str">
        <f aca="false">IF($B1883="","",$D1883*$G1883)</f>
        <v/>
      </c>
      <c r="I1883" s="10" t="str">
        <f aca="false">IF($B1883="","",$F1883*$G1883)</f>
        <v/>
      </c>
      <c r="J1883" s="9"/>
      <c r="K1883" s="10" t="str">
        <f aca="false">IF($B1883="","",$E1883*IFERROR(INDEX(Drinks!$B$4:$B$53,MATCH($B1883,Drinks!$A$4:$A$53,0)),0))</f>
        <v/>
      </c>
      <c r="L1883" s="10" t="str">
        <f aca="false">IF($B1883="","",$J1883+$K1883)</f>
        <v/>
      </c>
      <c r="M1883" s="9"/>
      <c r="N1883" s="10" t="str">
        <f aca="false">IF($B1883="","",$L1883-$M1883)</f>
        <v/>
      </c>
      <c r="O1883" s="10" t="str">
        <f aca="false">IF($B1883="","",IFERROR(INDEX(Drinks!$E$4:$E$53,MATCH($B1883,Drinks!$A$4:$A$53,0)),0))</f>
        <v/>
      </c>
      <c r="P1883" s="10" t="str">
        <f aca="false">IF($B1883="","",$N1883*$O1883)</f>
        <v/>
      </c>
      <c r="Q1883" s="10" t="str">
        <f aca="false">IF($B1883="","",$N1883*IFERROR(INDEX(Drinks!$D$4:$D$53,MATCH($B1883,Drinks!$A$4:$A$53,0)),0))</f>
        <v/>
      </c>
      <c r="R1883" s="10" t="str">
        <f aca="false">IF($B1883="","",$P1883-$Q1883)</f>
        <v/>
      </c>
      <c r="S1883" s="23" t="str">
        <f aca="false">IF($B1883="","",IF(COUNTIFS($A$4:$A$2003,$A1883-1,$B$4:$B$2003,$B1883)=0,"first day",IF(SUMIFS($M$4:$M$2003,$A$4:$A$2003,$A1883-1,$B$4:$B$2003,$B1883)=$J1883,"OK","CHECK")))</f>
        <v/>
      </c>
      <c r="T1883" s="10" t="str">
        <f aca="false">IF($B1883="","",IFERROR(INDEX(Drinks!$D$4:$D$53,MATCH($B1883,Drinks!$A$4:$A$53,0)),0))</f>
        <v/>
      </c>
    </row>
    <row r="1884" customFormat="false" ht="15" hidden="false" customHeight="false" outlineLevel="0" collapsed="false">
      <c r="A1884" s="22"/>
      <c r="B1884" s="9"/>
      <c r="C1884" s="9"/>
      <c r="D1884" s="9"/>
      <c r="E1884" s="9"/>
      <c r="F1884" s="10" t="str">
        <f aca="false">IF($B1884="","",$C1884+$D1884-$E1884)</f>
        <v/>
      </c>
      <c r="G1884" s="10" t="str">
        <f aca="false">IF($B1884="","",IFERROR(INDEX(Drinks!$C$4:$C$53,MATCH($B1884,Drinks!$A$4:$A$53,0)),0))</f>
        <v/>
      </c>
      <c r="H1884" s="10" t="str">
        <f aca="false">IF($B1884="","",$D1884*$G1884)</f>
        <v/>
      </c>
      <c r="I1884" s="10" t="str">
        <f aca="false">IF($B1884="","",$F1884*$G1884)</f>
        <v/>
      </c>
      <c r="J1884" s="9"/>
      <c r="K1884" s="10" t="str">
        <f aca="false">IF($B1884="","",$E1884*IFERROR(INDEX(Drinks!$B$4:$B$53,MATCH($B1884,Drinks!$A$4:$A$53,0)),0))</f>
        <v/>
      </c>
      <c r="L1884" s="10" t="str">
        <f aca="false">IF($B1884="","",$J1884+$K1884)</f>
        <v/>
      </c>
      <c r="M1884" s="9"/>
      <c r="N1884" s="10" t="str">
        <f aca="false">IF($B1884="","",$L1884-$M1884)</f>
        <v/>
      </c>
      <c r="O1884" s="10" t="str">
        <f aca="false">IF($B1884="","",IFERROR(INDEX(Drinks!$E$4:$E$53,MATCH($B1884,Drinks!$A$4:$A$53,0)),0))</f>
        <v/>
      </c>
      <c r="P1884" s="10" t="str">
        <f aca="false">IF($B1884="","",$N1884*$O1884)</f>
        <v/>
      </c>
      <c r="Q1884" s="10" t="str">
        <f aca="false">IF($B1884="","",$N1884*IFERROR(INDEX(Drinks!$D$4:$D$53,MATCH($B1884,Drinks!$A$4:$A$53,0)),0))</f>
        <v/>
      </c>
      <c r="R1884" s="10" t="str">
        <f aca="false">IF($B1884="","",$P1884-$Q1884)</f>
        <v/>
      </c>
      <c r="S1884" s="23" t="str">
        <f aca="false">IF($B1884="","",IF(COUNTIFS($A$4:$A$2003,$A1884-1,$B$4:$B$2003,$B1884)=0,"first day",IF(SUMIFS($M$4:$M$2003,$A$4:$A$2003,$A1884-1,$B$4:$B$2003,$B1884)=$J1884,"OK","CHECK")))</f>
        <v/>
      </c>
      <c r="T1884" s="10" t="str">
        <f aca="false">IF($B1884="","",IFERROR(INDEX(Drinks!$D$4:$D$53,MATCH($B1884,Drinks!$A$4:$A$53,0)),0))</f>
        <v/>
      </c>
    </row>
    <row r="1885" customFormat="false" ht="15" hidden="false" customHeight="false" outlineLevel="0" collapsed="false">
      <c r="A1885" s="22"/>
      <c r="B1885" s="9"/>
      <c r="C1885" s="9"/>
      <c r="D1885" s="9"/>
      <c r="E1885" s="9"/>
      <c r="F1885" s="10" t="str">
        <f aca="false">IF($B1885="","",$C1885+$D1885-$E1885)</f>
        <v/>
      </c>
      <c r="G1885" s="10" t="str">
        <f aca="false">IF($B1885="","",IFERROR(INDEX(Drinks!$C$4:$C$53,MATCH($B1885,Drinks!$A$4:$A$53,0)),0))</f>
        <v/>
      </c>
      <c r="H1885" s="10" t="str">
        <f aca="false">IF($B1885="","",$D1885*$G1885)</f>
        <v/>
      </c>
      <c r="I1885" s="10" t="str">
        <f aca="false">IF($B1885="","",$F1885*$G1885)</f>
        <v/>
      </c>
      <c r="J1885" s="9"/>
      <c r="K1885" s="10" t="str">
        <f aca="false">IF($B1885="","",$E1885*IFERROR(INDEX(Drinks!$B$4:$B$53,MATCH($B1885,Drinks!$A$4:$A$53,0)),0))</f>
        <v/>
      </c>
      <c r="L1885" s="10" t="str">
        <f aca="false">IF($B1885="","",$J1885+$K1885)</f>
        <v/>
      </c>
      <c r="M1885" s="9"/>
      <c r="N1885" s="10" t="str">
        <f aca="false">IF($B1885="","",$L1885-$M1885)</f>
        <v/>
      </c>
      <c r="O1885" s="10" t="str">
        <f aca="false">IF($B1885="","",IFERROR(INDEX(Drinks!$E$4:$E$53,MATCH($B1885,Drinks!$A$4:$A$53,0)),0))</f>
        <v/>
      </c>
      <c r="P1885" s="10" t="str">
        <f aca="false">IF($B1885="","",$N1885*$O1885)</f>
        <v/>
      </c>
      <c r="Q1885" s="10" t="str">
        <f aca="false">IF($B1885="","",$N1885*IFERROR(INDEX(Drinks!$D$4:$D$53,MATCH($B1885,Drinks!$A$4:$A$53,0)),0))</f>
        <v/>
      </c>
      <c r="R1885" s="10" t="str">
        <f aca="false">IF($B1885="","",$P1885-$Q1885)</f>
        <v/>
      </c>
      <c r="S1885" s="23" t="str">
        <f aca="false">IF($B1885="","",IF(COUNTIFS($A$4:$A$2003,$A1885-1,$B$4:$B$2003,$B1885)=0,"first day",IF(SUMIFS($M$4:$M$2003,$A$4:$A$2003,$A1885-1,$B$4:$B$2003,$B1885)=$J1885,"OK","CHECK")))</f>
        <v/>
      </c>
      <c r="T1885" s="10" t="str">
        <f aca="false">IF($B1885="","",IFERROR(INDEX(Drinks!$D$4:$D$53,MATCH($B1885,Drinks!$A$4:$A$53,0)),0))</f>
        <v/>
      </c>
    </row>
    <row r="1886" customFormat="false" ht="15" hidden="false" customHeight="false" outlineLevel="0" collapsed="false">
      <c r="A1886" s="22"/>
      <c r="B1886" s="9"/>
      <c r="C1886" s="9"/>
      <c r="D1886" s="9"/>
      <c r="E1886" s="9"/>
      <c r="F1886" s="10" t="str">
        <f aca="false">IF($B1886="","",$C1886+$D1886-$E1886)</f>
        <v/>
      </c>
      <c r="G1886" s="10" t="str">
        <f aca="false">IF($B1886="","",IFERROR(INDEX(Drinks!$C$4:$C$53,MATCH($B1886,Drinks!$A$4:$A$53,0)),0))</f>
        <v/>
      </c>
      <c r="H1886" s="10" t="str">
        <f aca="false">IF($B1886="","",$D1886*$G1886)</f>
        <v/>
      </c>
      <c r="I1886" s="10" t="str">
        <f aca="false">IF($B1886="","",$F1886*$G1886)</f>
        <v/>
      </c>
      <c r="J1886" s="9"/>
      <c r="K1886" s="10" t="str">
        <f aca="false">IF($B1886="","",$E1886*IFERROR(INDEX(Drinks!$B$4:$B$53,MATCH($B1886,Drinks!$A$4:$A$53,0)),0))</f>
        <v/>
      </c>
      <c r="L1886" s="10" t="str">
        <f aca="false">IF($B1886="","",$J1886+$K1886)</f>
        <v/>
      </c>
      <c r="M1886" s="9"/>
      <c r="N1886" s="10" t="str">
        <f aca="false">IF($B1886="","",$L1886-$M1886)</f>
        <v/>
      </c>
      <c r="O1886" s="10" t="str">
        <f aca="false">IF($B1886="","",IFERROR(INDEX(Drinks!$E$4:$E$53,MATCH($B1886,Drinks!$A$4:$A$53,0)),0))</f>
        <v/>
      </c>
      <c r="P1886" s="10" t="str">
        <f aca="false">IF($B1886="","",$N1886*$O1886)</f>
        <v/>
      </c>
      <c r="Q1886" s="10" t="str">
        <f aca="false">IF($B1886="","",$N1886*IFERROR(INDEX(Drinks!$D$4:$D$53,MATCH($B1886,Drinks!$A$4:$A$53,0)),0))</f>
        <v/>
      </c>
      <c r="R1886" s="10" t="str">
        <f aca="false">IF($B1886="","",$P1886-$Q1886)</f>
        <v/>
      </c>
      <c r="S1886" s="23" t="str">
        <f aca="false">IF($B1886="","",IF(COUNTIFS($A$4:$A$2003,$A1886-1,$B$4:$B$2003,$B1886)=0,"first day",IF(SUMIFS($M$4:$M$2003,$A$4:$A$2003,$A1886-1,$B$4:$B$2003,$B1886)=$J1886,"OK","CHECK")))</f>
        <v/>
      </c>
      <c r="T1886" s="10" t="str">
        <f aca="false">IF($B1886="","",IFERROR(INDEX(Drinks!$D$4:$D$53,MATCH($B1886,Drinks!$A$4:$A$53,0)),0))</f>
        <v/>
      </c>
    </row>
    <row r="1887" customFormat="false" ht="15" hidden="false" customHeight="false" outlineLevel="0" collapsed="false">
      <c r="A1887" s="22"/>
      <c r="B1887" s="9"/>
      <c r="C1887" s="9"/>
      <c r="D1887" s="9"/>
      <c r="E1887" s="9"/>
      <c r="F1887" s="10" t="str">
        <f aca="false">IF($B1887="","",$C1887+$D1887-$E1887)</f>
        <v/>
      </c>
      <c r="G1887" s="10" t="str">
        <f aca="false">IF($B1887="","",IFERROR(INDEX(Drinks!$C$4:$C$53,MATCH($B1887,Drinks!$A$4:$A$53,0)),0))</f>
        <v/>
      </c>
      <c r="H1887" s="10" t="str">
        <f aca="false">IF($B1887="","",$D1887*$G1887)</f>
        <v/>
      </c>
      <c r="I1887" s="10" t="str">
        <f aca="false">IF($B1887="","",$F1887*$G1887)</f>
        <v/>
      </c>
      <c r="J1887" s="9"/>
      <c r="K1887" s="10" t="str">
        <f aca="false">IF($B1887="","",$E1887*IFERROR(INDEX(Drinks!$B$4:$B$53,MATCH($B1887,Drinks!$A$4:$A$53,0)),0))</f>
        <v/>
      </c>
      <c r="L1887" s="10" t="str">
        <f aca="false">IF($B1887="","",$J1887+$K1887)</f>
        <v/>
      </c>
      <c r="M1887" s="9"/>
      <c r="N1887" s="10" t="str">
        <f aca="false">IF($B1887="","",$L1887-$M1887)</f>
        <v/>
      </c>
      <c r="O1887" s="10" t="str">
        <f aca="false">IF($B1887="","",IFERROR(INDEX(Drinks!$E$4:$E$53,MATCH($B1887,Drinks!$A$4:$A$53,0)),0))</f>
        <v/>
      </c>
      <c r="P1887" s="10" t="str">
        <f aca="false">IF($B1887="","",$N1887*$O1887)</f>
        <v/>
      </c>
      <c r="Q1887" s="10" t="str">
        <f aca="false">IF($B1887="","",$N1887*IFERROR(INDEX(Drinks!$D$4:$D$53,MATCH($B1887,Drinks!$A$4:$A$53,0)),0))</f>
        <v/>
      </c>
      <c r="R1887" s="10" t="str">
        <f aca="false">IF($B1887="","",$P1887-$Q1887)</f>
        <v/>
      </c>
      <c r="S1887" s="23" t="str">
        <f aca="false">IF($B1887="","",IF(COUNTIFS($A$4:$A$2003,$A1887-1,$B$4:$B$2003,$B1887)=0,"first day",IF(SUMIFS($M$4:$M$2003,$A$4:$A$2003,$A1887-1,$B$4:$B$2003,$B1887)=$J1887,"OK","CHECK")))</f>
        <v/>
      </c>
      <c r="T1887" s="10" t="str">
        <f aca="false">IF($B1887="","",IFERROR(INDEX(Drinks!$D$4:$D$53,MATCH($B1887,Drinks!$A$4:$A$53,0)),0))</f>
        <v/>
      </c>
    </row>
    <row r="1888" customFormat="false" ht="15" hidden="false" customHeight="false" outlineLevel="0" collapsed="false">
      <c r="A1888" s="22"/>
      <c r="B1888" s="9"/>
      <c r="C1888" s="9"/>
      <c r="D1888" s="9"/>
      <c r="E1888" s="9"/>
      <c r="F1888" s="10" t="str">
        <f aca="false">IF($B1888="","",$C1888+$D1888-$E1888)</f>
        <v/>
      </c>
      <c r="G1888" s="10" t="str">
        <f aca="false">IF($B1888="","",IFERROR(INDEX(Drinks!$C$4:$C$53,MATCH($B1888,Drinks!$A$4:$A$53,0)),0))</f>
        <v/>
      </c>
      <c r="H1888" s="10" t="str">
        <f aca="false">IF($B1888="","",$D1888*$G1888)</f>
        <v/>
      </c>
      <c r="I1888" s="10" t="str">
        <f aca="false">IF($B1888="","",$F1888*$G1888)</f>
        <v/>
      </c>
      <c r="J1888" s="9"/>
      <c r="K1888" s="10" t="str">
        <f aca="false">IF($B1888="","",$E1888*IFERROR(INDEX(Drinks!$B$4:$B$53,MATCH($B1888,Drinks!$A$4:$A$53,0)),0))</f>
        <v/>
      </c>
      <c r="L1888" s="10" t="str">
        <f aca="false">IF($B1888="","",$J1888+$K1888)</f>
        <v/>
      </c>
      <c r="M1888" s="9"/>
      <c r="N1888" s="10" t="str">
        <f aca="false">IF($B1888="","",$L1888-$M1888)</f>
        <v/>
      </c>
      <c r="O1888" s="10" t="str">
        <f aca="false">IF($B1888="","",IFERROR(INDEX(Drinks!$E$4:$E$53,MATCH($B1888,Drinks!$A$4:$A$53,0)),0))</f>
        <v/>
      </c>
      <c r="P1888" s="10" t="str">
        <f aca="false">IF($B1888="","",$N1888*$O1888)</f>
        <v/>
      </c>
      <c r="Q1888" s="10" t="str">
        <f aca="false">IF($B1888="","",$N1888*IFERROR(INDEX(Drinks!$D$4:$D$53,MATCH($B1888,Drinks!$A$4:$A$53,0)),0))</f>
        <v/>
      </c>
      <c r="R1888" s="10" t="str">
        <f aca="false">IF($B1888="","",$P1888-$Q1888)</f>
        <v/>
      </c>
      <c r="S1888" s="23" t="str">
        <f aca="false">IF($B1888="","",IF(COUNTIFS($A$4:$A$2003,$A1888-1,$B$4:$B$2003,$B1888)=0,"first day",IF(SUMIFS($M$4:$M$2003,$A$4:$A$2003,$A1888-1,$B$4:$B$2003,$B1888)=$J1888,"OK","CHECK")))</f>
        <v/>
      </c>
      <c r="T1888" s="10" t="str">
        <f aca="false">IF($B1888="","",IFERROR(INDEX(Drinks!$D$4:$D$53,MATCH($B1888,Drinks!$A$4:$A$53,0)),0))</f>
        <v/>
      </c>
    </row>
    <row r="1889" customFormat="false" ht="15" hidden="false" customHeight="false" outlineLevel="0" collapsed="false">
      <c r="A1889" s="22"/>
      <c r="B1889" s="9"/>
      <c r="C1889" s="9"/>
      <c r="D1889" s="9"/>
      <c r="E1889" s="9"/>
      <c r="F1889" s="10" t="str">
        <f aca="false">IF($B1889="","",$C1889+$D1889-$E1889)</f>
        <v/>
      </c>
      <c r="G1889" s="10" t="str">
        <f aca="false">IF($B1889="","",IFERROR(INDEX(Drinks!$C$4:$C$53,MATCH($B1889,Drinks!$A$4:$A$53,0)),0))</f>
        <v/>
      </c>
      <c r="H1889" s="10" t="str">
        <f aca="false">IF($B1889="","",$D1889*$G1889)</f>
        <v/>
      </c>
      <c r="I1889" s="10" t="str">
        <f aca="false">IF($B1889="","",$F1889*$G1889)</f>
        <v/>
      </c>
      <c r="J1889" s="9"/>
      <c r="K1889" s="10" t="str">
        <f aca="false">IF($B1889="","",$E1889*IFERROR(INDEX(Drinks!$B$4:$B$53,MATCH($B1889,Drinks!$A$4:$A$53,0)),0))</f>
        <v/>
      </c>
      <c r="L1889" s="10" t="str">
        <f aca="false">IF($B1889="","",$J1889+$K1889)</f>
        <v/>
      </c>
      <c r="M1889" s="9"/>
      <c r="N1889" s="10" t="str">
        <f aca="false">IF($B1889="","",$L1889-$M1889)</f>
        <v/>
      </c>
      <c r="O1889" s="10" t="str">
        <f aca="false">IF($B1889="","",IFERROR(INDEX(Drinks!$E$4:$E$53,MATCH($B1889,Drinks!$A$4:$A$53,0)),0))</f>
        <v/>
      </c>
      <c r="P1889" s="10" t="str">
        <f aca="false">IF($B1889="","",$N1889*$O1889)</f>
        <v/>
      </c>
      <c r="Q1889" s="10" t="str">
        <f aca="false">IF($B1889="","",$N1889*IFERROR(INDEX(Drinks!$D$4:$D$53,MATCH($B1889,Drinks!$A$4:$A$53,0)),0))</f>
        <v/>
      </c>
      <c r="R1889" s="10" t="str">
        <f aca="false">IF($B1889="","",$P1889-$Q1889)</f>
        <v/>
      </c>
      <c r="S1889" s="23" t="str">
        <f aca="false">IF($B1889="","",IF(COUNTIFS($A$4:$A$2003,$A1889-1,$B$4:$B$2003,$B1889)=0,"first day",IF(SUMIFS($M$4:$M$2003,$A$4:$A$2003,$A1889-1,$B$4:$B$2003,$B1889)=$J1889,"OK","CHECK")))</f>
        <v/>
      </c>
      <c r="T1889" s="10" t="str">
        <f aca="false">IF($B1889="","",IFERROR(INDEX(Drinks!$D$4:$D$53,MATCH($B1889,Drinks!$A$4:$A$53,0)),0))</f>
        <v/>
      </c>
    </row>
    <row r="1890" customFormat="false" ht="15" hidden="false" customHeight="false" outlineLevel="0" collapsed="false">
      <c r="A1890" s="22"/>
      <c r="B1890" s="9"/>
      <c r="C1890" s="9"/>
      <c r="D1890" s="9"/>
      <c r="E1890" s="9"/>
      <c r="F1890" s="10" t="str">
        <f aca="false">IF($B1890="","",$C1890+$D1890-$E1890)</f>
        <v/>
      </c>
      <c r="G1890" s="10" t="str">
        <f aca="false">IF($B1890="","",IFERROR(INDEX(Drinks!$C$4:$C$53,MATCH($B1890,Drinks!$A$4:$A$53,0)),0))</f>
        <v/>
      </c>
      <c r="H1890" s="10" t="str">
        <f aca="false">IF($B1890="","",$D1890*$G1890)</f>
        <v/>
      </c>
      <c r="I1890" s="10" t="str">
        <f aca="false">IF($B1890="","",$F1890*$G1890)</f>
        <v/>
      </c>
      <c r="J1890" s="9"/>
      <c r="K1890" s="10" t="str">
        <f aca="false">IF($B1890="","",$E1890*IFERROR(INDEX(Drinks!$B$4:$B$53,MATCH($B1890,Drinks!$A$4:$A$53,0)),0))</f>
        <v/>
      </c>
      <c r="L1890" s="10" t="str">
        <f aca="false">IF($B1890="","",$J1890+$K1890)</f>
        <v/>
      </c>
      <c r="M1890" s="9"/>
      <c r="N1890" s="10" t="str">
        <f aca="false">IF($B1890="","",$L1890-$M1890)</f>
        <v/>
      </c>
      <c r="O1890" s="10" t="str">
        <f aca="false">IF($B1890="","",IFERROR(INDEX(Drinks!$E$4:$E$53,MATCH($B1890,Drinks!$A$4:$A$53,0)),0))</f>
        <v/>
      </c>
      <c r="P1890" s="10" t="str">
        <f aca="false">IF($B1890="","",$N1890*$O1890)</f>
        <v/>
      </c>
      <c r="Q1890" s="10" t="str">
        <f aca="false">IF($B1890="","",$N1890*IFERROR(INDEX(Drinks!$D$4:$D$53,MATCH($B1890,Drinks!$A$4:$A$53,0)),0))</f>
        <v/>
      </c>
      <c r="R1890" s="10" t="str">
        <f aca="false">IF($B1890="","",$P1890-$Q1890)</f>
        <v/>
      </c>
      <c r="S1890" s="23" t="str">
        <f aca="false">IF($B1890="","",IF(COUNTIFS($A$4:$A$2003,$A1890-1,$B$4:$B$2003,$B1890)=0,"first day",IF(SUMIFS($M$4:$M$2003,$A$4:$A$2003,$A1890-1,$B$4:$B$2003,$B1890)=$J1890,"OK","CHECK")))</f>
        <v/>
      </c>
      <c r="T1890" s="10" t="str">
        <f aca="false">IF($B1890="","",IFERROR(INDEX(Drinks!$D$4:$D$53,MATCH($B1890,Drinks!$A$4:$A$53,0)),0))</f>
        <v/>
      </c>
    </row>
    <row r="1891" customFormat="false" ht="15" hidden="false" customHeight="false" outlineLevel="0" collapsed="false">
      <c r="A1891" s="22"/>
      <c r="B1891" s="9"/>
      <c r="C1891" s="9"/>
      <c r="D1891" s="9"/>
      <c r="E1891" s="9"/>
      <c r="F1891" s="10" t="str">
        <f aca="false">IF($B1891="","",$C1891+$D1891-$E1891)</f>
        <v/>
      </c>
      <c r="G1891" s="10" t="str">
        <f aca="false">IF($B1891="","",IFERROR(INDEX(Drinks!$C$4:$C$53,MATCH($B1891,Drinks!$A$4:$A$53,0)),0))</f>
        <v/>
      </c>
      <c r="H1891" s="10" t="str">
        <f aca="false">IF($B1891="","",$D1891*$G1891)</f>
        <v/>
      </c>
      <c r="I1891" s="10" t="str">
        <f aca="false">IF($B1891="","",$F1891*$G1891)</f>
        <v/>
      </c>
      <c r="J1891" s="9"/>
      <c r="K1891" s="10" t="str">
        <f aca="false">IF($B1891="","",$E1891*IFERROR(INDEX(Drinks!$B$4:$B$53,MATCH($B1891,Drinks!$A$4:$A$53,0)),0))</f>
        <v/>
      </c>
      <c r="L1891" s="10" t="str">
        <f aca="false">IF($B1891="","",$J1891+$K1891)</f>
        <v/>
      </c>
      <c r="M1891" s="9"/>
      <c r="N1891" s="10" t="str">
        <f aca="false">IF($B1891="","",$L1891-$M1891)</f>
        <v/>
      </c>
      <c r="O1891" s="10" t="str">
        <f aca="false">IF($B1891="","",IFERROR(INDEX(Drinks!$E$4:$E$53,MATCH($B1891,Drinks!$A$4:$A$53,0)),0))</f>
        <v/>
      </c>
      <c r="P1891" s="10" t="str">
        <f aca="false">IF($B1891="","",$N1891*$O1891)</f>
        <v/>
      </c>
      <c r="Q1891" s="10" t="str">
        <f aca="false">IF($B1891="","",$N1891*IFERROR(INDEX(Drinks!$D$4:$D$53,MATCH($B1891,Drinks!$A$4:$A$53,0)),0))</f>
        <v/>
      </c>
      <c r="R1891" s="10" t="str">
        <f aca="false">IF($B1891="","",$P1891-$Q1891)</f>
        <v/>
      </c>
      <c r="S1891" s="23" t="str">
        <f aca="false">IF($B1891="","",IF(COUNTIFS($A$4:$A$2003,$A1891-1,$B$4:$B$2003,$B1891)=0,"first day",IF(SUMIFS($M$4:$M$2003,$A$4:$A$2003,$A1891-1,$B$4:$B$2003,$B1891)=$J1891,"OK","CHECK")))</f>
        <v/>
      </c>
      <c r="T1891" s="10" t="str">
        <f aca="false">IF($B1891="","",IFERROR(INDEX(Drinks!$D$4:$D$53,MATCH($B1891,Drinks!$A$4:$A$53,0)),0))</f>
        <v/>
      </c>
    </row>
    <row r="1892" customFormat="false" ht="15" hidden="false" customHeight="false" outlineLevel="0" collapsed="false">
      <c r="A1892" s="22"/>
      <c r="B1892" s="9"/>
      <c r="C1892" s="9"/>
      <c r="D1892" s="9"/>
      <c r="E1892" s="9"/>
      <c r="F1892" s="10" t="str">
        <f aca="false">IF($B1892="","",$C1892+$D1892-$E1892)</f>
        <v/>
      </c>
      <c r="G1892" s="10" t="str">
        <f aca="false">IF($B1892="","",IFERROR(INDEX(Drinks!$C$4:$C$53,MATCH($B1892,Drinks!$A$4:$A$53,0)),0))</f>
        <v/>
      </c>
      <c r="H1892" s="10" t="str">
        <f aca="false">IF($B1892="","",$D1892*$G1892)</f>
        <v/>
      </c>
      <c r="I1892" s="10" t="str">
        <f aca="false">IF($B1892="","",$F1892*$G1892)</f>
        <v/>
      </c>
      <c r="J1892" s="9"/>
      <c r="K1892" s="10" t="str">
        <f aca="false">IF($B1892="","",$E1892*IFERROR(INDEX(Drinks!$B$4:$B$53,MATCH($B1892,Drinks!$A$4:$A$53,0)),0))</f>
        <v/>
      </c>
      <c r="L1892" s="10" t="str">
        <f aca="false">IF($B1892="","",$J1892+$K1892)</f>
        <v/>
      </c>
      <c r="M1892" s="9"/>
      <c r="N1892" s="10" t="str">
        <f aca="false">IF($B1892="","",$L1892-$M1892)</f>
        <v/>
      </c>
      <c r="O1892" s="10" t="str">
        <f aca="false">IF($B1892="","",IFERROR(INDEX(Drinks!$E$4:$E$53,MATCH($B1892,Drinks!$A$4:$A$53,0)),0))</f>
        <v/>
      </c>
      <c r="P1892" s="10" t="str">
        <f aca="false">IF($B1892="","",$N1892*$O1892)</f>
        <v/>
      </c>
      <c r="Q1892" s="10" t="str">
        <f aca="false">IF($B1892="","",$N1892*IFERROR(INDEX(Drinks!$D$4:$D$53,MATCH($B1892,Drinks!$A$4:$A$53,0)),0))</f>
        <v/>
      </c>
      <c r="R1892" s="10" t="str">
        <f aca="false">IF($B1892="","",$P1892-$Q1892)</f>
        <v/>
      </c>
      <c r="S1892" s="23" t="str">
        <f aca="false">IF($B1892="","",IF(COUNTIFS($A$4:$A$2003,$A1892-1,$B$4:$B$2003,$B1892)=0,"first day",IF(SUMIFS($M$4:$M$2003,$A$4:$A$2003,$A1892-1,$B$4:$B$2003,$B1892)=$J1892,"OK","CHECK")))</f>
        <v/>
      </c>
      <c r="T1892" s="10" t="str">
        <f aca="false">IF($B1892="","",IFERROR(INDEX(Drinks!$D$4:$D$53,MATCH($B1892,Drinks!$A$4:$A$53,0)),0))</f>
        <v/>
      </c>
    </row>
    <row r="1893" customFormat="false" ht="15" hidden="false" customHeight="false" outlineLevel="0" collapsed="false">
      <c r="A1893" s="22"/>
      <c r="B1893" s="9"/>
      <c r="C1893" s="9"/>
      <c r="D1893" s="9"/>
      <c r="E1893" s="9"/>
      <c r="F1893" s="10" t="str">
        <f aca="false">IF($B1893="","",$C1893+$D1893-$E1893)</f>
        <v/>
      </c>
      <c r="G1893" s="10" t="str">
        <f aca="false">IF($B1893="","",IFERROR(INDEX(Drinks!$C$4:$C$53,MATCH($B1893,Drinks!$A$4:$A$53,0)),0))</f>
        <v/>
      </c>
      <c r="H1893" s="10" t="str">
        <f aca="false">IF($B1893="","",$D1893*$G1893)</f>
        <v/>
      </c>
      <c r="I1893" s="10" t="str">
        <f aca="false">IF($B1893="","",$F1893*$G1893)</f>
        <v/>
      </c>
      <c r="J1893" s="9"/>
      <c r="K1893" s="10" t="str">
        <f aca="false">IF($B1893="","",$E1893*IFERROR(INDEX(Drinks!$B$4:$B$53,MATCH($B1893,Drinks!$A$4:$A$53,0)),0))</f>
        <v/>
      </c>
      <c r="L1893" s="10" t="str">
        <f aca="false">IF($B1893="","",$J1893+$K1893)</f>
        <v/>
      </c>
      <c r="M1893" s="9"/>
      <c r="N1893" s="10" t="str">
        <f aca="false">IF($B1893="","",$L1893-$M1893)</f>
        <v/>
      </c>
      <c r="O1893" s="10" t="str">
        <f aca="false">IF($B1893="","",IFERROR(INDEX(Drinks!$E$4:$E$53,MATCH($B1893,Drinks!$A$4:$A$53,0)),0))</f>
        <v/>
      </c>
      <c r="P1893" s="10" t="str">
        <f aca="false">IF($B1893="","",$N1893*$O1893)</f>
        <v/>
      </c>
      <c r="Q1893" s="10" t="str">
        <f aca="false">IF($B1893="","",$N1893*IFERROR(INDEX(Drinks!$D$4:$D$53,MATCH($B1893,Drinks!$A$4:$A$53,0)),0))</f>
        <v/>
      </c>
      <c r="R1893" s="10" t="str">
        <f aca="false">IF($B1893="","",$P1893-$Q1893)</f>
        <v/>
      </c>
      <c r="S1893" s="23" t="str">
        <f aca="false">IF($B1893="","",IF(COUNTIFS($A$4:$A$2003,$A1893-1,$B$4:$B$2003,$B1893)=0,"first day",IF(SUMIFS($M$4:$M$2003,$A$4:$A$2003,$A1893-1,$B$4:$B$2003,$B1893)=$J1893,"OK","CHECK")))</f>
        <v/>
      </c>
      <c r="T1893" s="10" t="str">
        <f aca="false">IF($B1893="","",IFERROR(INDEX(Drinks!$D$4:$D$53,MATCH($B1893,Drinks!$A$4:$A$53,0)),0))</f>
        <v/>
      </c>
    </row>
    <row r="1894" customFormat="false" ht="15" hidden="false" customHeight="false" outlineLevel="0" collapsed="false">
      <c r="A1894" s="22"/>
      <c r="B1894" s="9"/>
      <c r="C1894" s="9"/>
      <c r="D1894" s="9"/>
      <c r="E1894" s="9"/>
      <c r="F1894" s="10" t="str">
        <f aca="false">IF($B1894="","",$C1894+$D1894-$E1894)</f>
        <v/>
      </c>
      <c r="G1894" s="10" t="str">
        <f aca="false">IF($B1894="","",IFERROR(INDEX(Drinks!$C$4:$C$53,MATCH($B1894,Drinks!$A$4:$A$53,0)),0))</f>
        <v/>
      </c>
      <c r="H1894" s="10" t="str">
        <f aca="false">IF($B1894="","",$D1894*$G1894)</f>
        <v/>
      </c>
      <c r="I1894" s="10" t="str">
        <f aca="false">IF($B1894="","",$F1894*$G1894)</f>
        <v/>
      </c>
      <c r="J1894" s="9"/>
      <c r="K1894" s="10" t="str">
        <f aca="false">IF($B1894="","",$E1894*IFERROR(INDEX(Drinks!$B$4:$B$53,MATCH($B1894,Drinks!$A$4:$A$53,0)),0))</f>
        <v/>
      </c>
      <c r="L1894" s="10" t="str">
        <f aca="false">IF($B1894="","",$J1894+$K1894)</f>
        <v/>
      </c>
      <c r="M1894" s="9"/>
      <c r="N1894" s="10" t="str">
        <f aca="false">IF($B1894="","",$L1894-$M1894)</f>
        <v/>
      </c>
      <c r="O1894" s="10" t="str">
        <f aca="false">IF($B1894="","",IFERROR(INDEX(Drinks!$E$4:$E$53,MATCH($B1894,Drinks!$A$4:$A$53,0)),0))</f>
        <v/>
      </c>
      <c r="P1894" s="10" t="str">
        <f aca="false">IF($B1894="","",$N1894*$O1894)</f>
        <v/>
      </c>
      <c r="Q1894" s="10" t="str">
        <f aca="false">IF($B1894="","",$N1894*IFERROR(INDEX(Drinks!$D$4:$D$53,MATCH($B1894,Drinks!$A$4:$A$53,0)),0))</f>
        <v/>
      </c>
      <c r="R1894" s="10" t="str">
        <f aca="false">IF($B1894="","",$P1894-$Q1894)</f>
        <v/>
      </c>
      <c r="S1894" s="23" t="str">
        <f aca="false">IF($B1894="","",IF(COUNTIFS($A$4:$A$2003,$A1894-1,$B$4:$B$2003,$B1894)=0,"first day",IF(SUMIFS($M$4:$M$2003,$A$4:$A$2003,$A1894-1,$B$4:$B$2003,$B1894)=$J1894,"OK","CHECK")))</f>
        <v/>
      </c>
      <c r="T1894" s="10" t="str">
        <f aca="false">IF($B1894="","",IFERROR(INDEX(Drinks!$D$4:$D$53,MATCH($B1894,Drinks!$A$4:$A$53,0)),0))</f>
        <v/>
      </c>
    </row>
    <row r="1895" customFormat="false" ht="15" hidden="false" customHeight="false" outlineLevel="0" collapsed="false">
      <c r="A1895" s="22"/>
      <c r="B1895" s="9"/>
      <c r="C1895" s="9"/>
      <c r="D1895" s="9"/>
      <c r="E1895" s="9"/>
      <c r="F1895" s="10" t="str">
        <f aca="false">IF($B1895="","",$C1895+$D1895-$E1895)</f>
        <v/>
      </c>
      <c r="G1895" s="10" t="str">
        <f aca="false">IF($B1895="","",IFERROR(INDEX(Drinks!$C$4:$C$53,MATCH($B1895,Drinks!$A$4:$A$53,0)),0))</f>
        <v/>
      </c>
      <c r="H1895" s="10" t="str">
        <f aca="false">IF($B1895="","",$D1895*$G1895)</f>
        <v/>
      </c>
      <c r="I1895" s="10" t="str">
        <f aca="false">IF($B1895="","",$F1895*$G1895)</f>
        <v/>
      </c>
      <c r="J1895" s="9"/>
      <c r="K1895" s="10" t="str">
        <f aca="false">IF($B1895="","",$E1895*IFERROR(INDEX(Drinks!$B$4:$B$53,MATCH($B1895,Drinks!$A$4:$A$53,0)),0))</f>
        <v/>
      </c>
      <c r="L1895" s="10" t="str">
        <f aca="false">IF($B1895="","",$J1895+$K1895)</f>
        <v/>
      </c>
      <c r="M1895" s="9"/>
      <c r="N1895" s="10" t="str">
        <f aca="false">IF($B1895="","",$L1895-$M1895)</f>
        <v/>
      </c>
      <c r="O1895" s="10" t="str">
        <f aca="false">IF($B1895="","",IFERROR(INDEX(Drinks!$E$4:$E$53,MATCH($B1895,Drinks!$A$4:$A$53,0)),0))</f>
        <v/>
      </c>
      <c r="P1895" s="10" t="str">
        <f aca="false">IF($B1895="","",$N1895*$O1895)</f>
        <v/>
      </c>
      <c r="Q1895" s="10" t="str">
        <f aca="false">IF($B1895="","",$N1895*IFERROR(INDEX(Drinks!$D$4:$D$53,MATCH($B1895,Drinks!$A$4:$A$53,0)),0))</f>
        <v/>
      </c>
      <c r="R1895" s="10" t="str">
        <f aca="false">IF($B1895="","",$P1895-$Q1895)</f>
        <v/>
      </c>
      <c r="S1895" s="23" t="str">
        <f aca="false">IF($B1895="","",IF(COUNTIFS($A$4:$A$2003,$A1895-1,$B$4:$B$2003,$B1895)=0,"first day",IF(SUMIFS($M$4:$M$2003,$A$4:$A$2003,$A1895-1,$B$4:$B$2003,$B1895)=$J1895,"OK","CHECK")))</f>
        <v/>
      </c>
      <c r="T1895" s="10" t="str">
        <f aca="false">IF($B1895="","",IFERROR(INDEX(Drinks!$D$4:$D$53,MATCH($B1895,Drinks!$A$4:$A$53,0)),0))</f>
        <v/>
      </c>
    </row>
    <row r="1896" customFormat="false" ht="15" hidden="false" customHeight="false" outlineLevel="0" collapsed="false">
      <c r="A1896" s="22"/>
      <c r="B1896" s="9"/>
      <c r="C1896" s="9"/>
      <c r="D1896" s="9"/>
      <c r="E1896" s="9"/>
      <c r="F1896" s="10" t="str">
        <f aca="false">IF($B1896="","",$C1896+$D1896-$E1896)</f>
        <v/>
      </c>
      <c r="G1896" s="10" t="str">
        <f aca="false">IF($B1896="","",IFERROR(INDEX(Drinks!$C$4:$C$53,MATCH($B1896,Drinks!$A$4:$A$53,0)),0))</f>
        <v/>
      </c>
      <c r="H1896" s="10" t="str">
        <f aca="false">IF($B1896="","",$D1896*$G1896)</f>
        <v/>
      </c>
      <c r="I1896" s="10" t="str">
        <f aca="false">IF($B1896="","",$F1896*$G1896)</f>
        <v/>
      </c>
      <c r="J1896" s="9"/>
      <c r="K1896" s="10" t="str">
        <f aca="false">IF($B1896="","",$E1896*IFERROR(INDEX(Drinks!$B$4:$B$53,MATCH($B1896,Drinks!$A$4:$A$53,0)),0))</f>
        <v/>
      </c>
      <c r="L1896" s="10" t="str">
        <f aca="false">IF($B1896="","",$J1896+$K1896)</f>
        <v/>
      </c>
      <c r="M1896" s="9"/>
      <c r="N1896" s="10" t="str">
        <f aca="false">IF($B1896="","",$L1896-$M1896)</f>
        <v/>
      </c>
      <c r="O1896" s="10" t="str">
        <f aca="false">IF($B1896="","",IFERROR(INDEX(Drinks!$E$4:$E$53,MATCH($B1896,Drinks!$A$4:$A$53,0)),0))</f>
        <v/>
      </c>
      <c r="P1896" s="10" t="str">
        <f aca="false">IF($B1896="","",$N1896*$O1896)</f>
        <v/>
      </c>
      <c r="Q1896" s="10" t="str">
        <f aca="false">IF($B1896="","",$N1896*IFERROR(INDEX(Drinks!$D$4:$D$53,MATCH($B1896,Drinks!$A$4:$A$53,0)),0))</f>
        <v/>
      </c>
      <c r="R1896" s="10" t="str">
        <f aca="false">IF($B1896="","",$P1896-$Q1896)</f>
        <v/>
      </c>
      <c r="S1896" s="23" t="str">
        <f aca="false">IF($B1896="","",IF(COUNTIFS($A$4:$A$2003,$A1896-1,$B$4:$B$2003,$B1896)=0,"first day",IF(SUMIFS($M$4:$M$2003,$A$4:$A$2003,$A1896-1,$B$4:$B$2003,$B1896)=$J1896,"OK","CHECK")))</f>
        <v/>
      </c>
      <c r="T1896" s="10" t="str">
        <f aca="false">IF($B1896="","",IFERROR(INDEX(Drinks!$D$4:$D$53,MATCH($B1896,Drinks!$A$4:$A$53,0)),0))</f>
        <v/>
      </c>
    </row>
    <row r="1897" customFormat="false" ht="15" hidden="false" customHeight="false" outlineLevel="0" collapsed="false">
      <c r="A1897" s="22"/>
      <c r="B1897" s="9"/>
      <c r="C1897" s="9"/>
      <c r="D1897" s="9"/>
      <c r="E1897" s="9"/>
      <c r="F1897" s="10" t="str">
        <f aca="false">IF($B1897="","",$C1897+$D1897-$E1897)</f>
        <v/>
      </c>
      <c r="G1897" s="10" t="str">
        <f aca="false">IF($B1897="","",IFERROR(INDEX(Drinks!$C$4:$C$53,MATCH($B1897,Drinks!$A$4:$A$53,0)),0))</f>
        <v/>
      </c>
      <c r="H1897" s="10" t="str">
        <f aca="false">IF($B1897="","",$D1897*$G1897)</f>
        <v/>
      </c>
      <c r="I1897" s="10" t="str">
        <f aca="false">IF($B1897="","",$F1897*$G1897)</f>
        <v/>
      </c>
      <c r="J1897" s="9"/>
      <c r="K1897" s="10" t="str">
        <f aca="false">IF($B1897="","",$E1897*IFERROR(INDEX(Drinks!$B$4:$B$53,MATCH($B1897,Drinks!$A$4:$A$53,0)),0))</f>
        <v/>
      </c>
      <c r="L1897" s="10" t="str">
        <f aca="false">IF($B1897="","",$J1897+$K1897)</f>
        <v/>
      </c>
      <c r="M1897" s="9"/>
      <c r="N1897" s="10" t="str">
        <f aca="false">IF($B1897="","",$L1897-$M1897)</f>
        <v/>
      </c>
      <c r="O1897" s="10" t="str">
        <f aca="false">IF($B1897="","",IFERROR(INDEX(Drinks!$E$4:$E$53,MATCH($B1897,Drinks!$A$4:$A$53,0)),0))</f>
        <v/>
      </c>
      <c r="P1897" s="10" t="str">
        <f aca="false">IF($B1897="","",$N1897*$O1897)</f>
        <v/>
      </c>
      <c r="Q1897" s="10" t="str">
        <f aca="false">IF($B1897="","",$N1897*IFERROR(INDEX(Drinks!$D$4:$D$53,MATCH($B1897,Drinks!$A$4:$A$53,0)),0))</f>
        <v/>
      </c>
      <c r="R1897" s="10" t="str">
        <f aca="false">IF($B1897="","",$P1897-$Q1897)</f>
        <v/>
      </c>
      <c r="S1897" s="23" t="str">
        <f aca="false">IF($B1897="","",IF(COUNTIFS($A$4:$A$2003,$A1897-1,$B$4:$B$2003,$B1897)=0,"first day",IF(SUMIFS($M$4:$M$2003,$A$4:$A$2003,$A1897-1,$B$4:$B$2003,$B1897)=$J1897,"OK","CHECK")))</f>
        <v/>
      </c>
      <c r="T1897" s="10" t="str">
        <f aca="false">IF($B1897="","",IFERROR(INDEX(Drinks!$D$4:$D$53,MATCH($B1897,Drinks!$A$4:$A$53,0)),0))</f>
        <v/>
      </c>
    </row>
    <row r="1898" customFormat="false" ht="15" hidden="false" customHeight="false" outlineLevel="0" collapsed="false">
      <c r="A1898" s="22"/>
      <c r="B1898" s="9"/>
      <c r="C1898" s="9"/>
      <c r="D1898" s="9"/>
      <c r="E1898" s="9"/>
      <c r="F1898" s="10" t="str">
        <f aca="false">IF($B1898="","",$C1898+$D1898-$E1898)</f>
        <v/>
      </c>
      <c r="G1898" s="10" t="str">
        <f aca="false">IF($B1898="","",IFERROR(INDEX(Drinks!$C$4:$C$53,MATCH($B1898,Drinks!$A$4:$A$53,0)),0))</f>
        <v/>
      </c>
      <c r="H1898" s="10" t="str">
        <f aca="false">IF($B1898="","",$D1898*$G1898)</f>
        <v/>
      </c>
      <c r="I1898" s="10" t="str">
        <f aca="false">IF($B1898="","",$F1898*$G1898)</f>
        <v/>
      </c>
      <c r="J1898" s="9"/>
      <c r="K1898" s="10" t="str">
        <f aca="false">IF($B1898="","",$E1898*IFERROR(INDEX(Drinks!$B$4:$B$53,MATCH($B1898,Drinks!$A$4:$A$53,0)),0))</f>
        <v/>
      </c>
      <c r="L1898" s="10" t="str">
        <f aca="false">IF($B1898="","",$J1898+$K1898)</f>
        <v/>
      </c>
      <c r="M1898" s="9"/>
      <c r="N1898" s="10" t="str">
        <f aca="false">IF($B1898="","",$L1898-$M1898)</f>
        <v/>
      </c>
      <c r="O1898" s="10" t="str">
        <f aca="false">IF($B1898="","",IFERROR(INDEX(Drinks!$E$4:$E$53,MATCH($B1898,Drinks!$A$4:$A$53,0)),0))</f>
        <v/>
      </c>
      <c r="P1898" s="10" t="str">
        <f aca="false">IF($B1898="","",$N1898*$O1898)</f>
        <v/>
      </c>
      <c r="Q1898" s="10" t="str">
        <f aca="false">IF($B1898="","",$N1898*IFERROR(INDEX(Drinks!$D$4:$D$53,MATCH($B1898,Drinks!$A$4:$A$53,0)),0))</f>
        <v/>
      </c>
      <c r="R1898" s="10" t="str">
        <f aca="false">IF($B1898="","",$P1898-$Q1898)</f>
        <v/>
      </c>
      <c r="S1898" s="23" t="str">
        <f aca="false">IF($B1898="","",IF(COUNTIFS($A$4:$A$2003,$A1898-1,$B$4:$B$2003,$B1898)=0,"first day",IF(SUMIFS($M$4:$M$2003,$A$4:$A$2003,$A1898-1,$B$4:$B$2003,$B1898)=$J1898,"OK","CHECK")))</f>
        <v/>
      </c>
      <c r="T1898" s="10" t="str">
        <f aca="false">IF($B1898="","",IFERROR(INDEX(Drinks!$D$4:$D$53,MATCH($B1898,Drinks!$A$4:$A$53,0)),0))</f>
        <v/>
      </c>
    </row>
    <row r="1899" customFormat="false" ht="15" hidden="false" customHeight="false" outlineLevel="0" collapsed="false">
      <c r="A1899" s="22"/>
      <c r="B1899" s="9"/>
      <c r="C1899" s="9"/>
      <c r="D1899" s="9"/>
      <c r="E1899" s="9"/>
      <c r="F1899" s="10" t="str">
        <f aca="false">IF($B1899="","",$C1899+$D1899-$E1899)</f>
        <v/>
      </c>
      <c r="G1899" s="10" t="str">
        <f aca="false">IF($B1899="","",IFERROR(INDEX(Drinks!$C$4:$C$53,MATCH($B1899,Drinks!$A$4:$A$53,0)),0))</f>
        <v/>
      </c>
      <c r="H1899" s="10" t="str">
        <f aca="false">IF($B1899="","",$D1899*$G1899)</f>
        <v/>
      </c>
      <c r="I1899" s="10" t="str">
        <f aca="false">IF($B1899="","",$F1899*$G1899)</f>
        <v/>
      </c>
      <c r="J1899" s="9"/>
      <c r="K1899" s="10" t="str">
        <f aca="false">IF($B1899="","",$E1899*IFERROR(INDEX(Drinks!$B$4:$B$53,MATCH($B1899,Drinks!$A$4:$A$53,0)),0))</f>
        <v/>
      </c>
      <c r="L1899" s="10" t="str">
        <f aca="false">IF($B1899="","",$J1899+$K1899)</f>
        <v/>
      </c>
      <c r="M1899" s="9"/>
      <c r="N1899" s="10" t="str">
        <f aca="false">IF($B1899="","",$L1899-$M1899)</f>
        <v/>
      </c>
      <c r="O1899" s="10" t="str">
        <f aca="false">IF($B1899="","",IFERROR(INDEX(Drinks!$E$4:$E$53,MATCH($B1899,Drinks!$A$4:$A$53,0)),0))</f>
        <v/>
      </c>
      <c r="P1899" s="10" t="str">
        <f aca="false">IF($B1899="","",$N1899*$O1899)</f>
        <v/>
      </c>
      <c r="Q1899" s="10" t="str">
        <f aca="false">IF($B1899="","",$N1899*IFERROR(INDEX(Drinks!$D$4:$D$53,MATCH($B1899,Drinks!$A$4:$A$53,0)),0))</f>
        <v/>
      </c>
      <c r="R1899" s="10" t="str">
        <f aca="false">IF($B1899="","",$P1899-$Q1899)</f>
        <v/>
      </c>
      <c r="S1899" s="23" t="str">
        <f aca="false">IF($B1899="","",IF(COUNTIFS($A$4:$A$2003,$A1899-1,$B$4:$B$2003,$B1899)=0,"first day",IF(SUMIFS($M$4:$M$2003,$A$4:$A$2003,$A1899-1,$B$4:$B$2003,$B1899)=$J1899,"OK","CHECK")))</f>
        <v/>
      </c>
      <c r="T1899" s="10" t="str">
        <f aca="false">IF($B1899="","",IFERROR(INDEX(Drinks!$D$4:$D$53,MATCH($B1899,Drinks!$A$4:$A$53,0)),0))</f>
        <v/>
      </c>
    </row>
    <row r="1900" customFormat="false" ht="15" hidden="false" customHeight="false" outlineLevel="0" collapsed="false">
      <c r="A1900" s="22"/>
      <c r="B1900" s="9"/>
      <c r="C1900" s="9"/>
      <c r="D1900" s="9"/>
      <c r="E1900" s="9"/>
      <c r="F1900" s="10" t="str">
        <f aca="false">IF($B1900="","",$C1900+$D1900-$E1900)</f>
        <v/>
      </c>
      <c r="G1900" s="10" t="str">
        <f aca="false">IF($B1900="","",IFERROR(INDEX(Drinks!$C$4:$C$53,MATCH($B1900,Drinks!$A$4:$A$53,0)),0))</f>
        <v/>
      </c>
      <c r="H1900" s="10" t="str">
        <f aca="false">IF($B1900="","",$D1900*$G1900)</f>
        <v/>
      </c>
      <c r="I1900" s="10" t="str">
        <f aca="false">IF($B1900="","",$F1900*$G1900)</f>
        <v/>
      </c>
      <c r="J1900" s="9"/>
      <c r="K1900" s="10" t="str">
        <f aca="false">IF($B1900="","",$E1900*IFERROR(INDEX(Drinks!$B$4:$B$53,MATCH($B1900,Drinks!$A$4:$A$53,0)),0))</f>
        <v/>
      </c>
      <c r="L1900" s="10" t="str">
        <f aca="false">IF($B1900="","",$J1900+$K1900)</f>
        <v/>
      </c>
      <c r="M1900" s="9"/>
      <c r="N1900" s="10" t="str">
        <f aca="false">IF($B1900="","",$L1900-$M1900)</f>
        <v/>
      </c>
      <c r="O1900" s="10" t="str">
        <f aca="false">IF($B1900="","",IFERROR(INDEX(Drinks!$E$4:$E$53,MATCH($B1900,Drinks!$A$4:$A$53,0)),0))</f>
        <v/>
      </c>
      <c r="P1900" s="10" t="str">
        <f aca="false">IF($B1900="","",$N1900*$O1900)</f>
        <v/>
      </c>
      <c r="Q1900" s="10" t="str">
        <f aca="false">IF($B1900="","",$N1900*IFERROR(INDEX(Drinks!$D$4:$D$53,MATCH($B1900,Drinks!$A$4:$A$53,0)),0))</f>
        <v/>
      </c>
      <c r="R1900" s="10" t="str">
        <f aca="false">IF($B1900="","",$P1900-$Q1900)</f>
        <v/>
      </c>
      <c r="S1900" s="23" t="str">
        <f aca="false">IF($B1900="","",IF(COUNTIFS($A$4:$A$2003,$A1900-1,$B$4:$B$2003,$B1900)=0,"first day",IF(SUMIFS($M$4:$M$2003,$A$4:$A$2003,$A1900-1,$B$4:$B$2003,$B1900)=$J1900,"OK","CHECK")))</f>
        <v/>
      </c>
      <c r="T1900" s="10" t="str">
        <f aca="false">IF($B1900="","",IFERROR(INDEX(Drinks!$D$4:$D$53,MATCH($B1900,Drinks!$A$4:$A$53,0)),0))</f>
        <v/>
      </c>
    </row>
    <row r="1901" customFormat="false" ht="15" hidden="false" customHeight="false" outlineLevel="0" collapsed="false">
      <c r="A1901" s="22"/>
      <c r="B1901" s="9"/>
      <c r="C1901" s="9"/>
      <c r="D1901" s="9"/>
      <c r="E1901" s="9"/>
      <c r="F1901" s="10" t="str">
        <f aca="false">IF($B1901="","",$C1901+$D1901-$E1901)</f>
        <v/>
      </c>
      <c r="G1901" s="10" t="str">
        <f aca="false">IF($B1901="","",IFERROR(INDEX(Drinks!$C$4:$C$53,MATCH($B1901,Drinks!$A$4:$A$53,0)),0))</f>
        <v/>
      </c>
      <c r="H1901" s="10" t="str">
        <f aca="false">IF($B1901="","",$D1901*$G1901)</f>
        <v/>
      </c>
      <c r="I1901" s="10" t="str">
        <f aca="false">IF($B1901="","",$F1901*$G1901)</f>
        <v/>
      </c>
      <c r="J1901" s="9"/>
      <c r="K1901" s="10" t="str">
        <f aca="false">IF($B1901="","",$E1901*IFERROR(INDEX(Drinks!$B$4:$B$53,MATCH($B1901,Drinks!$A$4:$A$53,0)),0))</f>
        <v/>
      </c>
      <c r="L1901" s="10" t="str">
        <f aca="false">IF($B1901="","",$J1901+$K1901)</f>
        <v/>
      </c>
      <c r="M1901" s="9"/>
      <c r="N1901" s="10" t="str">
        <f aca="false">IF($B1901="","",$L1901-$M1901)</f>
        <v/>
      </c>
      <c r="O1901" s="10" t="str">
        <f aca="false">IF($B1901="","",IFERROR(INDEX(Drinks!$E$4:$E$53,MATCH($B1901,Drinks!$A$4:$A$53,0)),0))</f>
        <v/>
      </c>
      <c r="P1901" s="10" t="str">
        <f aca="false">IF($B1901="","",$N1901*$O1901)</f>
        <v/>
      </c>
      <c r="Q1901" s="10" t="str">
        <f aca="false">IF($B1901="","",$N1901*IFERROR(INDEX(Drinks!$D$4:$D$53,MATCH($B1901,Drinks!$A$4:$A$53,0)),0))</f>
        <v/>
      </c>
      <c r="R1901" s="10" t="str">
        <f aca="false">IF($B1901="","",$P1901-$Q1901)</f>
        <v/>
      </c>
      <c r="S1901" s="23" t="str">
        <f aca="false">IF($B1901="","",IF(COUNTIFS($A$4:$A$2003,$A1901-1,$B$4:$B$2003,$B1901)=0,"first day",IF(SUMIFS($M$4:$M$2003,$A$4:$A$2003,$A1901-1,$B$4:$B$2003,$B1901)=$J1901,"OK","CHECK")))</f>
        <v/>
      </c>
      <c r="T1901" s="10" t="str">
        <f aca="false">IF($B1901="","",IFERROR(INDEX(Drinks!$D$4:$D$53,MATCH($B1901,Drinks!$A$4:$A$53,0)),0))</f>
        <v/>
      </c>
    </row>
    <row r="1902" customFormat="false" ht="15" hidden="false" customHeight="false" outlineLevel="0" collapsed="false">
      <c r="A1902" s="22"/>
      <c r="B1902" s="9"/>
      <c r="C1902" s="9"/>
      <c r="D1902" s="9"/>
      <c r="E1902" s="9"/>
      <c r="F1902" s="10" t="str">
        <f aca="false">IF($B1902="","",$C1902+$D1902-$E1902)</f>
        <v/>
      </c>
      <c r="G1902" s="10" t="str">
        <f aca="false">IF($B1902="","",IFERROR(INDEX(Drinks!$C$4:$C$53,MATCH($B1902,Drinks!$A$4:$A$53,0)),0))</f>
        <v/>
      </c>
      <c r="H1902" s="10" t="str">
        <f aca="false">IF($B1902="","",$D1902*$G1902)</f>
        <v/>
      </c>
      <c r="I1902" s="10" t="str">
        <f aca="false">IF($B1902="","",$F1902*$G1902)</f>
        <v/>
      </c>
      <c r="J1902" s="9"/>
      <c r="K1902" s="10" t="str">
        <f aca="false">IF($B1902="","",$E1902*IFERROR(INDEX(Drinks!$B$4:$B$53,MATCH($B1902,Drinks!$A$4:$A$53,0)),0))</f>
        <v/>
      </c>
      <c r="L1902" s="10" t="str">
        <f aca="false">IF($B1902="","",$J1902+$K1902)</f>
        <v/>
      </c>
      <c r="M1902" s="9"/>
      <c r="N1902" s="10" t="str">
        <f aca="false">IF($B1902="","",$L1902-$M1902)</f>
        <v/>
      </c>
      <c r="O1902" s="10" t="str">
        <f aca="false">IF($B1902="","",IFERROR(INDEX(Drinks!$E$4:$E$53,MATCH($B1902,Drinks!$A$4:$A$53,0)),0))</f>
        <v/>
      </c>
      <c r="P1902" s="10" t="str">
        <f aca="false">IF($B1902="","",$N1902*$O1902)</f>
        <v/>
      </c>
      <c r="Q1902" s="10" t="str">
        <f aca="false">IF($B1902="","",$N1902*IFERROR(INDEX(Drinks!$D$4:$D$53,MATCH($B1902,Drinks!$A$4:$A$53,0)),0))</f>
        <v/>
      </c>
      <c r="R1902" s="10" t="str">
        <f aca="false">IF($B1902="","",$P1902-$Q1902)</f>
        <v/>
      </c>
      <c r="S1902" s="23" t="str">
        <f aca="false">IF($B1902="","",IF(COUNTIFS($A$4:$A$2003,$A1902-1,$B$4:$B$2003,$B1902)=0,"first day",IF(SUMIFS($M$4:$M$2003,$A$4:$A$2003,$A1902-1,$B$4:$B$2003,$B1902)=$J1902,"OK","CHECK")))</f>
        <v/>
      </c>
      <c r="T1902" s="10" t="str">
        <f aca="false">IF($B1902="","",IFERROR(INDEX(Drinks!$D$4:$D$53,MATCH($B1902,Drinks!$A$4:$A$53,0)),0))</f>
        <v/>
      </c>
    </row>
    <row r="1903" customFormat="false" ht="15" hidden="false" customHeight="false" outlineLevel="0" collapsed="false">
      <c r="A1903" s="22"/>
      <c r="B1903" s="9"/>
      <c r="C1903" s="9"/>
      <c r="D1903" s="9"/>
      <c r="E1903" s="9"/>
      <c r="F1903" s="10" t="str">
        <f aca="false">IF($B1903="","",$C1903+$D1903-$E1903)</f>
        <v/>
      </c>
      <c r="G1903" s="10" t="str">
        <f aca="false">IF($B1903="","",IFERROR(INDEX(Drinks!$C$4:$C$53,MATCH($B1903,Drinks!$A$4:$A$53,0)),0))</f>
        <v/>
      </c>
      <c r="H1903" s="10" t="str">
        <f aca="false">IF($B1903="","",$D1903*$G1903)</f>
        <v/>
      </c>
      <c r="I1903" s="10" t="str">
        <f aca="false">IF($B1903="","",$F1903*$G1903)</f>
        <v/>
      </c>
      <c r="J1903" s="9"/>
      <c r="K1903" s="10" t="str">
        <f aca="false">IF($B1903="","",$E1903*IFERROR(INDEX(Drinks!$B$4:$B$53,MATCH($B1903,Drinks!$A$4:$A$53,0)),0))</f>
        <v/>
      </c>
      <c r="L1903" s="10" t="str">
        <f aca="false">IF($B1903="","",$J1903+$K1903)</f>
        <v/>
      </c>
      <c r="M1903" s="9"/>
      <c r="N1903" s="10" t="str">
        <f aca="false">IF($B1903="","",$L1903-$M1903)</f>
        <v/>
      </c>
      <c r="O1903" s="10" t="str">
        <f aca="false">IF($B1903="","",IFERROR(INDEX(Drinks!$E$4:$E$53,MATCH($B1903,Drinks!$A$4:$A$53,0)),0))</f>
        <v/>
      </c>
      <c r="P1903" s="10" t="str">
        <f aca="false">IF($B1903="","",$N1903*$O1903)</f>
        <v/>
      </c>
      <c r="Q1903" s="10" t="str">
        <f aca="false">IF($B1903="","",$N1903*IFERROR(INDEX(Drinks!$D$4:$D$53,MATCH($B1903,Drinks!$A$4:$A$53,0)),0))</f>
        <v/>
      </c>
      <c r="R1903" s="10" t="str">
        <f aca="false">IF($B1903="","",$P1903-$Q1903)</f>
        <v/>
      </c>
      <c r="S1903" s="23" t="str">
        <f aca="false">IF($B1903="","",IF(COUNTIFS($A$4:$A$2003,$A1903-1,$B$4:$B$2003,$B1903)=0,"first day",IF(SUMIFS($M$4:$M$2003,$A$4:$A$2003,$A1903-1,$B$4:$B$2003,$B1903)=$J1903,"OK","CHECK")))</f>
        <v/>
      </c>
      <c r="T1903" s="10" t="str">
        <f aca="false">IF($B1903="","",IFERROR(INDEX(Drinks!$D$4:$D$53,MATCH($B1903,Drinks!$A$4:$A$53,0)),0))</f>
        <v/>
      </c>
    </row>
    <row r="1904" customFormat="false" ht="15" hidden="false" customHeight="false" outlineLevel="0" collapsed="false">
      <c r="A1904" s="22"/>
      <c r="B1904" s="9"/>
      <c r="C1904" s="9"/>
      <c r="D1904" s="9"/>
      <c r="E1904" s="9"/>
      <c r="F1904" s="10" t="str">
        <f aca="false">IF($B1904="","",$C1904+$D1904-$E1904)</f>
        <v/>
      </c>
      <c r="G1904" s="10" t="str">
        <f aca="false">IF($B1904="","",IFERROR(INDEX(Drinks!$C$4:$C$53,MATCH($B1904,Drinks!$A$4:$A$53,0)),0))</f>
        <v/>
      </c>
      <c r="H1904" s="10" t="str">
        <f aca="false">IF($B1904="","",$D1904*$G1904)</f>
        <v/>
      </c>
      <c r="I1904" s="10" t="str">
        <f aca="false">IF($B1904="","",$F1904*$G1904)</f>
        <v/>
      </c>
      <c r="J1904" s="9"/>
      <c r="K1904" s="10" t="str">
        <f aca="false">IF($B1904="","",$E1904*IFERROR(INDEX(Drinks!$B$4:$B$53,MATCH($B1904,Drinks!$A$4:$A$53,0)),0))</f>
        <v/>
      </c>
      <c r="L1904" s="10" t="str">
        <f aca="false">IF($B1904="","",$J1904+$K1904)</f>
        <v/>
      </c>
      <c r="M1904" s="9"/>
      <c r="N1904" s="10" t="str">
        <f aca="false">IF($B1904="","",$L1904-$M1904)</f>
        <v/>
      </c>
      <c r="O1904" s="10" t="str">
        <f aca="false">IF($B1904="","",IFERROR(INDEX(Drinks!$E$4:$E$53,MATCH($B1904,Drinks!$A$4:$A$53,0)),0))</f>
        <v/>
      </c>
      <c r="P1904" s="10" t="str">
        <f aca="false">IF($B1904="","",$N1904*$O1904)</f>
        <v/>
      </c>
      <c r="Q1904" s="10" t="str">
        <f aca="false">IF($B1904="","",$N1904*IFERROR(INDEX(Drinks!$D$4:$D$53,MATCH($B1904,Drinks!$A$4:$A$53,0)),0))</f>
        <v/>
      </c>
      <c r="R1904" s="10" t="str">
        <f aca="false">IF($B1904="","",$P1904-$Q1904)</f>
        <v/>
      </c>
      <c r="S1904" s="23" t="str">
        <f aca="false">IF($B1904="","",IF(COUNTIFS($A$4:$A$2003,$A1904-1,$B$4:$B$2003,$B1904)=0,"first day",IF(SUMIFS($M$4:$M$2003,$A$4:$A$2003,$A1904-1,$B$4:$B$2003,$B1904)=$J1904,"OK","CHECK")))</f>
        <v/>
      </c>
      <c r="T1904" s="10" t="str">
        <f aca="false">IF($B1904="","",IFERROR(INDEX(Drinks!$D$4:$D$53,MATCH($B1904,Drinks!$A$4:$A$53,0)),0))</f>
        <v/>
      </c>
    </row>
    <row r="1905" customFormat="false" ht="15" hidden="false" customHeight="false" outlineLevel="0" collapsed="false">
      <c r="A1905" s="22"/>
      <c r="B1905" s="9"/>
      <c r="C1905" s="9"/>
      <c r="D1905" s="9"/>
      <c r="E1905" s="9"/>
      <c r="F1905" s="10" t="str">
        <f aca="false">IF($B1905="","",$C1905+$D1905-$E1905)</f>
        <v/>
      </c>
      <c r="G1905" s="10" t="str">
        <f aca="false">IF($B1905="","",IFERROR(INDEX(Drinks!$C$4:$C$53,MATCH($B1905,Drinks!$A$4:$A$53,0)),0))</f>
        <v/>
      </c>
      <c r="H1905" s="10" t="str">
        <f aca="false">IF($B1905="","",$D1905*$G1905)</f>
        <v/>
      </c>
      <c r="I1905" s="10" t="str">
        <f aca="false">IF($B1905="","",$F1905*$G1905)</f>
        <v/>
      </c>
      <c r="J1905" s="9"/>
      <c r="K1905" s="10" t="str">
        <f aca="false">IF($B1905="","",$E1905*IFERROR(INDEX(Drinks!$B$4:$B$53,MATCH($B1905,Drinks!$A$4:$A$53,0)),0))</f>
        <v/>
      </c>
      <c r="L1905" s="10" t="str">
        <f aca="false">IF($B1905="","",$J1905+$K1905)</f>
        <v/>
      </c>
      <c r="M1905" s="9"/>
      <c r="N1905" s="10" t="str">
        <f aca="false">IF($B1905="","",$L1905-$M1905)</f>
        <v/>
      </c>
      <c r="O1905" s="10" t="str">
        <f aca="false">IF($B1905="","",IFERROR(INDEX(Drinks!$E$4:$E$53,MATCH($B1905,Drinks!$A$4:$A$53,0)),0))</f>
        <v/>
      </c>
      <c r="P1905" s="10" t="str">
        <f aca="false">IF($B1905="","",$N1905*$O1905)</f>
        <v/>
      </c>
      <c r="Q1905" s="10" t="str">
        <f aca="false">IF($B1905="","",$N1905*IFERROR(INDEX(Drinks!$D$4:$D$53,MATCH($B1905,Drinks!$A$4:$A$53,0)),0))</f>
        <v/>
      </c>
      <c r="R1905" s="10" t="str">
        <f aca="false">IF($B1905="","",$P1905-$Q1905)</f>
        <v/>
      </c>
      <c r="S1905" s="23" t="str">
        <f aca="false">IF($B1905="","",IF(COUNTIFS($A$4:$A$2003,$A1905-1,$B$4:$B$2003,$B1905)=0,"first day",IF(SUMIFS($M$4:$M$2003,$A$4:$A$2003,$A1905-1,$B$4:$B$2003,$B1905)=$J1905,"OK","CHECK")))</f>
        <v/>
      </c>
      <c r="T1905" s="10" t="str">
        <f aca="false">IF($B1905="","",IFERROR(INDEX(Drinks!$D$4:$D$53,MATCH($B1905,Drinks!$A$4:$A$53,0)),0))</f>
        <v/>
      </c>
    </row>
    <row r="1906" customFormat="false" ht="15" hidden="false" customHeight="false" outlineLevel="0" collapsed="false">
      <c r="A1906" s="22"/>
      <c r="B1906" s="9"/>
      <c r="C1906" s="9"/>
      <c r="D1906" s="9"/>
      <c r="E1906" s="9"/>
      <c r="F1906" s="10" t="str">
        <f aca="false">IF($B1906="","",$C1906+$D1906-$E1906)</f>
        <v/>
      </c>
      <c r="G1906" s="10" t="str">
        <f aca="false">IF($B1906="","",IFERROR(INDEX(Drinks!$C$4:$C$53,MATCH($B1906,Drinks!$A$4:$A$53,0)),0))</f>
        <v/>
      </c>
      <c r="H1906" s="10" t="str">
        <f aca="false">IF($B1906="","",$D1906*$G1906)</f>
        <v/>
      </c>
      <c r="I1906" s="10" t="str">
        <f aca="false">IF($B1906="","",$F1906*$G1906)</f>
        <v/>
      </c>
      <c r="J1906" s="9"/>
      <c r="K1906" s="10" t="str">
        <f aca="false">IF($B1906="","",$E1906*IFERROR(INDEX(Drinks!$B$4:$B$53,MATCH($B1906,Drinks!$A$4:$A$53,0)),0))</f>
        <v/>
      </c>
      <c r="L1906" s="10" t="str">
        <f aca="false">IF($B1906="","",$J1906+$K1906)</f>
        <v/>
      </c>
      <c r="M1906" s="9"/>
      <c r="N1906" s="10" t="str">
        <f aca="false">IF($B1906="","",$L1906-$M1906)</f>
        <v/>
      </c>
      <c r="O1906" s="10" t="str">
        <f aca="false">IF($B1906="","",IFERROR(INDEX(Drinks!$E$4:$E$53,MATCH($B1906,Drinks!$A$4:$A$53,0)),0))</f>
        <v/>
      </c>
      <c r="P1906" s="10" t="str">
        <f aca="false">IF($B1906="","",$N1906*$O1906)</f>
        <v/>
      </c>
      <c r="Q1906" s="10" t="str">
        <f aca="false">IF($B1906="","",$N1906*IFERROR(INDEX(Drinks!$D$4:$D$53,MATCH($B1906,Drinks!$A$4:$A$53,0)),0))</f>
        <v/>
      </c>
      <c r="R1906" s="10" t="str">
        <f aca="false">IF($B1906="","",$P1906-$Q1906)</f>
        <v/>
      </c>
      <c r="S1906" s="23" t="str">
        <f aca="false">IF($B1906="","",IF(COUNTIFS($A$4:$A$2003,$A1906-1,$B$4:$B$2003,$B1906)=0,"first day",IF(SUMIFS($M$4:$M$2003,$A$4:$A$2003,$A1906-1,$B$4:$B$2003,$B1906)=$J1906,"OK","CHECK")))</f>
        <v/>
      </c>
      <c r="T1906" s="10" t="str">
        <f aca="false">IF($B1906="","",IFERROR(INDEX(Drinks!$D$4:$D$53,MATCH($B1906,Drinks!$A$4:$A$53,0)),0))</f>
        <v/>
      </c>
    </row>
    <row r="1907" customFormat="false" ht="15" hidden="false" customHeight="false" outlineLevel="0" collapsed="false">
      <c r="A1907" s="22"/>
      <c r="B1907" s="9"/>
      <c r="C1907" s="9"/>
      <c r="D1907" s="9"/>
      <c r="E1907" s="9"/>
      <c r="F1907" s="10" t="str">
        <f aca="false">IF($B1907="","",$C1907+$D1907-$E1907)</f>
        <v/>
      </c>
      <c r="G1907" s="10" t="str">
        <f aca="false">IF($B1907="","",IFERROR(INDEX(Drinks!$C$4:$C$53,MATCH($B1907,Drinks!$A$4:$A$53,0)),0))</f>
        <v/>
      </c>
      <c r="H1907" s="10" t="str">
        <f aca="false">IF($B1907="","",$D1907*$G1907)</f>
        <v/>
      </c>
      <c r="I1907" s="10" t="str">
        <f aca="false">IF($B1907="","",$F1907*$G1907)</f>
        <v/>
      </c>
      <c r="J1907" s="9"/>
      <c r="K1907" s="10" t="str">
        <f aca="false">IF($B1907="","",$E1907*IFERROR(INDEX(Drinks!$B$4:$B$53,MATCH($B1907,Drinks!$A$4:$A$53,0)),0))</f>
        <v/>
      </c>
      <c r="L1907" s="10" t="str">
        <f aca="false">IF($B1907="","",$J1907+$K1907)</f>
        <v/>
      </c>
      <c r="M1907" s="9"/>
      <c r="N1907" s="10" t="str">
        <f aca="false">IF($B1907="","",$L1907-$M1907)</f>
        <v/>
      </c>
      <c r="O1907" s="10" t="str">
        <f aca="false">IF($B1907="","",IFERROR(INDEX(Drinks!$E$4:$E$53,MATCH($B1907,Drinks!$A$4:$A$53,0)),0))</f>
        <v/>
      </c>
      <c r="P1907" s="10" t="str">
        <f aca="false">IF($B1907="","",$N1907*$O1907)</f>
        <v/>
      </c>
      <c r="Q1907" s="10" t="str">
        <f aca="false">IF($B1907="","",$N1907*IFERROR(INDEX(Drinks!$D$4:$D$53,MATCH($B1907,Drinks!$A$4:$A$53,0)),0))</f>
        <v/>
      </c>
      <c r="R1907" s="10" t="str">
        <f aca="false">IF($B1907="","",$P1907-$Q1907)</f>
        <v/>
      </c>
      <c r="S1907" s="23" t="str">
        <f aca="false">IF($B1907="","",IF(COUNTIFS($A$4:$A$2003,$A1907-1,$B$4:$B$2003,$B1907)=0,"first day",IF(SUMIFS($M$4:$M$2003,$A$4:$A$2003,$A1907-1,$B$4:$B$2003,$B1907)=$J1907,"OK","CHECK")))</f>
        <v/>
      </c>
      <c r="T1907" s="10" t="str">
        <f aca="false">IF($B1907="","",IFERROR(INDEX(Drinks!$D$4:$D$53,MATCH($B1907,Drinks!$A$4:$A$53,0)),0))</f>
        <v/>
      </c>
    </row>
    <row r="1908" customFormat="false" ht="15" hidden="false" customHeight="false" outlineLevel="0" collapsed="false">
      <c r="A1908" s="22"/>
      <c r="B1908" s="9"/>
      <c r="C1908" s="9"/>
      <c r="D1908" s="9"/>
      <c r="E1908" s="9"/>
      <c r="F1908" s="10" t="str">
        <f aca="false">IF($B1908="","",$C1908+$D1908-$E1908)</f>
        <v/>
      </c>
      <c r="G1908" s="10" t="str">
        <f aca="false">IF($B1908="","",IFERROR(INDEX(Drinks!$C$4:$C$53,MATCH($B1908,Drinks!$A$4:$A$53,0)),0))</f>
        <v/>
      </c>
      <c r="H1908" s="10" t="str">
        <f aca="false">IF($B1908="","",$D1908*$G1908)</f>
        <v/>
      </c>
      <c r="I1908" s="10" t="str">
        <f aca="false">IF($B1908="","",$F1908*$G1908)</f>
        <v/>
      </c>
      <c r="J1908" s="9"/>
      <c r="K1908" s="10" t="str">
        <f aca="false">IF($B1908="","",$E1908*IFERROR(INDEX(Drinks!$B$4:$B$53,MATCH($B1908,Drinks!$A$4:$A$53,0)),0))</f>
        <v/>
      </c>
      <c r="L1908" s="10" t="str">
        <f aca="false">IF($B1908="","",$J1908+$K1908)</f>
        <v/>
      </c>
      <c r="M1908" s="9"/>
      <c r="N1908" s="10" t="str">
        <f aca="false">IF($B1908="","",$L1908-$M1908)</f>
        <v/>
      </c>
      <c r="O1908" s="10" t="str">
        <f aca="false">IF($B1908="","",IFERROR(INDEX(Drinks!$E$4:$E$53,MATCH($B1908,Drinks!$A$4:$A$53,0)),0))</f>
        <v/>
      </c>
      <c r="P1908" s="10" t="str">
        <f aca="false">IF($B1908="","",$N1908*$O1908)</f>
        <v/>
      </c>
      <c r="Q1908" s="10" t="str">
        <f aca="false">IF($B1908="","",$N1908*IFERROR(INDEX(Drinks!$D$4:$D$53,MATCH($B1908,Drinks!$A$4:$A$53,0)),0))</f>
        <v/>
      </c>
      <c r="R1908" s="10" t="str">
        <f aca="false">IF($B1908="","",$P1908-$Q1908)</f>
        <v/>
      </c>
      <c r="S1908" s="23" t="str">
        <f aca="false">IF($B1908="","",IF(COUNTIFS($A$4:$A$2003,$A1908-1,$B$4:$B$2003,$B1908)=0,"first day",IF(SUMIFS($M$4:$M$2003,$A$4:$A$2003,$A1908-1,$B$4:$B$2003,$B1908)=$J1908,"OK","CHECK")))</f>
        <v/>
      </c>
      <c r="T1908" s="10" t="str">
        <f aca="false">IF($B1908="","",IFERROR(INDEX(Drinks!$D$4:$D$53,MATCH($B1908,Drinks!$A$4:$A$53,0)),0))</f>
        <v/>
      </c>
    </row>
    <row r="1909" customFormat="false" ht="15" hidden="false" customHeight="false" outlineLevel="0" collapsed="false">
      <c r="A1909" s="22"/>
      <c r="B1909" s="9"/>
      <c r="C1909" s="9"/>
      <c r="D1909" s="9"/>
      <c r="E1909" s="9"/>
      <c r="F1909" s="10" t="str">
        <f aca="false">IF($B1909="","",$C1909+$D1909-$E1909)</f>
        <v/>
      </c>
      <c r="G1909" s="10" t="str">
        <f aca="false">IF($B1909="","",IFERROR(INDEX(Drinks!$C$4:$C$53,MATCH($B1909,Drinks!$A$4:$A$53,0)),0))</f>
        <v/>
      </c>
      <c r="H1909" s="10" t="str">
        <f aca="false">IF($B1909="","",$D1909*$G1909)</f>
        <v/>
      </c>
      <c r="I1909" s="10" t="str">
        <f aca="false">IF($B1909="","",$F1909*$G1909)</f>
        <v/>
      </c>
      <c r="J1909" s="9"/>
      <c r="K1909" s="10" t="str">
        <f aca="false">IF($B1909="","",$E1909*IFERROR(INDEX(Drinks!$B$4:$B$53,MATCH($B1909,Drinks!$A$4:$A$53,0)),0))</f>
        <v/>
      </c>
      <c r="L1909" s="10" t="str">
        <f aca="false">IF($B1909="","",$J1909+$K1909)</f>
        <v/>
      </c>
      <c r="M1909" s="9"/>
      <c r="N1909" s="10" t="str">
        <f aca="false">IF($B1909="","",$L1909-$M1909)</f>
        <v/>
      </c>
      <c r="O1909" s="10" t="str">
        <f aca="false">IF($B1909="","",IFERROR(INDEX(Drinks!$E$4:$E$53,MATCH($B1909,Drinks!$A$4:$A$53,0)),0))</f>
        <v/>
      </c>
      <c r="P1909" s="10" t="str">
        <f aca="false">IF($B1909="","",$N1909*$O1909)</f>
        <v/>
      </c>
      <c r="Q1909" s="10" t="str">
        <f aca="false">IF($B1909="","",$N1909*IFERROR(INDEX(Drinks!$D$4:$D$53,MATCH($B1909,Drinks!$A$4:$A$53,0)),0))</f>
        <v/>
      </c>
      <c r="R1909" s="10" t="str">
        <f aca="false">IF($B1909="","",$P1909-$Q1909)</f>
        <v/>
      </c>
      <c r="S1909" s="23" t="str">
        <f aca="false">IF($B1909="","",IF(COUNTIFS($A$4:$A$2003,$A1909-1,$B$4:$B$2003,$B1909)=0,"first day",IF(SUMIFS($M$4:$M$2003,$A$4:$A$2003,$A1909-1,$B$4:$B$2003,$B1909)=$J1909,"OK","CHECK")))</f>
        <v/>
      </c>
      <c r="T1909" s="10" t="str">
        <f aca="false">IF($B1909="","",IFERROR(INDEX(Drinks!$D$4:$D$53,MATCH($B1909,Drinks!$A$4:$A$53,0)),0))</f>
        <v/>
      </c>
    </row>
    <row r="1910" customFormat="false" ht="15" hidden="false" customHeight="false" outlineLevel="0" collapsed="false">
      <c r="A1910" s="22"/>
      <c r="B1910" s="9"/>
      <c r="C1910" s="9"/>
      <c r="D1910" s="9"/>
      <c r="E1910" s="9"/>
      <c r="F1910" s="10" t="str">
        <f aca="false">IF($B1910="","",$C1910+$D1910-$E1910)</f>
        <v/>
      </c>
      <c r="G1910" s="10" t="str">
        <f aca="false">IF($B1910="","",IFERROR(INDEX(Drinks!$C$4:$C$53,MATCH($B1910,Drinks!$A$4:$A$53,0)),0))</f>
        <v/>
      </c>
      <c r="H1910" s="10" t="str">
        <f aca="false">IF($B1910="","",$D1910*$G1910)</f>
        <v/>
      </c>
      <c r="I1910" s="10" t="str">
        <f aca="false">IF($B1910="","",$F1910*$G1910)</f>
        <v/>
      </c>
      <c r="J1910" s="9"/>
      <c r="K1910" s="10" t="str">
        <f aca="false">IF($B1910="","",$E1910*IFERROR(INDEX(Drinks!$B$4:$B$53,MATCH($B1910,Drinks!$A$4:$A$53,0)),0))</f>
        <v/>
      </c>
      <c r="L1910" s="10" t="str">
        <f aca="false">IF($B1910="","",$J1910+$K1910)</f>
        <v/>
      </c>
      <c r="M1910" s="9"/>
      <c r="N1910" s="10" t="str">
        <f aca="false">IF($B1910="","",$L1910-$M1910)</f>
        <v/>
      </c>
      <c r="O1910" s="10" t="str">
        <f aca="false">IF($B1910="","",IFERROR(INDEX(Drinks!$E$4:$E$53,MATCH($B1910,Drinks!$A$4:$A$53,0)),0))</f>
        <v/>
      </c>
      <c r="P1910" s="10" t="str">
        <f aca="false">IF($B1910="","",$N1910*$O1910)</f>
        <v/>
      </c>
      <c r="Q1910" s="10" t="str">
        <f aca="false">IF($B1910="","",$N1910*IFERROR(INDEX(Drinks!$D$4:$D$53,MATCH($B1910,Drinks!$A$4:$A$53,0)),0))</f>
        <v/>
      </c>
      <c r="R1910" s="10" t="str">
        <f aca="false">IF($B1910="","",$P1910-$Q1910)</f>
        <v/>
      </c>
      <c r="S1910" s="23" t="str">
        <f aca="false">IF($B1910="","",IF(COUNTIFS($A$4:$A$2003,$A1910-1,$B$4:$B$2003,$B1910)=0,"first day",IF(SUMIFS($M$4:$M$2003,$A$4:$A$2003,$A1910-1,$B$4:$B$2003,$B1910)=$J1910,"OK","CHECK")))</f>
        <v/>
      </c>
      <c r="T1910" s="10" t="str">
        <f aca="false">IF($B1910="","",IFERROR(INDEX(Drinks!$D$4:$D$53,MATCH($B1910,Drinks!$A$4:$A$53,0)),0))</f>
        <v/>
      </c>
    </row>
    <row r="1911" customFormat="false" ht="15" hidden="false" customHeight="false" outlineLevel="0" collapsed="false">
      <c r="A1911" s="22"/>
      <c r="B1911" s="9"/>
      <c r="C1911" s="9"/>
      <c r="D1911" s="9"/>
      <c r="E1911" s="9"/>
      <c r="F1911" s="10" t="str">
        <f aca="false">IF($B1911="","",$C1911+$D1911-$E1911)</f>
        <v/>
      </c>
      <c r="G1911" s="10" t="str">
        <f aca="false">IF($B1911="","",IFERROR(INDEX(Drinks!$C$4:$C$53,MATCH($B1911,Drinks!$A$4:$A$53,0)),0))</f>
        <v/>
      </c>
      <c r="H1911" s="10" t="str">
        <f aca="false">IF($B1911="","",$D1911*$G1911)</f>
        <v/>
      </c>
      <c r="I1911" s="10" t="str">
        <f aca="false">IF($B1911="","",$F1911*$G1911)</f>
        <v/>
      </c>
      <c r="J1911" s="9"/>
      <c r="K1911" s="10" t="str">
        <f aca="false">IF($B1911="","",$E1911*IFERROR(INDEX(Drinks!$B$4:$B$53,MATCH($B1911,Drinks!$A$4:$A$53,0)),0))</f>
        <v/>
      </c>
      <c r="L1911" s="10" t="str">
        <f aca="false">IF($B1911="","",$J1911+$K1911)</f>
        <v/>
      </c>
      <c r="M1911" s="9"/>
      <c r="N1911" s="10" t="str">
        <f aca="false">IF($B1911="","",$L1911-$M1911)</f>
        <v/>
      </c>
      <c r="O1911" s="10" t="str">
        <f aca="false">IF($B1911="","",IFERROR(INDEX(Drinks!$E$4:$E$53,MATCH($B1911,Drinks!$A$4:$A$53,0)),0))</f>
        <v/>
      </c>
      <c r="P1911" s="10" t="str">
        <f aca="false">IF($B1911="","",$N1911*$O1911)</f>
        <v/>
      </c>
      <c r="Q1911" s="10" t="str">
        <f aca="false">IF($B1911="","",$N1911*IFERROR(INDEX(Drinks!$D$4:$D$53,MATCH($B1911,Drinks!$A$4:$A$53,0)),0))</f>
        <v/>
      </c>
      <c r="R1911" s="10" t="str">
        <f aca="false">IF($B1911="","",$P1911-$Q1911)</f>
        <v/>
      </c>
      <c r="S1911" s="23" t="str">
        <f aca="false">IF($B1911="","",IF(COUNTIFS($A$4:$A$2003,$A1911-1,$B$4:$B$2003,$B1911)=0,"first day",IF(SUMIFS($M$4:$M$2003,$A$4:$A$2003,$A1911-1,$B$4:$B$2003,$B1911)=$J1911,"OK","CHECK")))</f>
        <v/>
      </c>
      <c r="T1911" s="10" t="str">
        <f aca="false">IF($B1911="","",IFERROR(INDEX(Drinks!$D$4:$D$53,MATCH($B1911,Drinks!$A$4:$A$53,0)),0))</f>
        <v/>
      </c>
    </row>
    <row r="1912" customFormat="false" ht="15" hidden="false" customHeight="false" outlineLevel="0" collapsed="false">
      <c r="A1912" s="22"/>
      <c r="B1912" s="9"/>
      <c r="C1912" s="9"/>
      <c r="D1912" s="9"/>
      <c r="E1912" s="9"/>
      <c r="F1912" s="10" t="str">
        <f aca="false">IF($B1912="","",$C1912+$D1912-$E1912)</f>
        <v/>
      </c>
      <c r="G1912" s="10" t="str">
        <f aca="false">IF($B1912="","",IFERROR(INDEX(Drinks!$C$4:$C$53,MATCH($B1912,Drinks!$A$4:$A$53,0)),0))</f>
        <v/>
      </c>
      <c r="H1912" s="10" t="str">
        <f aca="false">IF($B1912="","",$D1912*$G1912)</f>
        <v/>
      </c>
      <c r="I1912" s="10" t="str">
        <f aca="false">IF($B1912="","",$F1912*$G1912)</f>
        <v/>
      </c>
      <c r="J1912" s="9"/>
      <c r="K1912" s="10" t="str">
        <f aca="false">IF($B1912="","",$E1912*IFERROR(INDEX(Drinks!$B$4:$B$53,MATCH($B1912,Drinks!$A$4:$A$53,0)),0))</f>
        <v/>
      </c>
      <c r="L1912" s="10" t="str">
        <f aca="false">IF($B1912="","",$J1912+$K1912)</f>
        <v/>
      </c>
      <c r="M1912" s="9"/>
      <c r="N1912" s="10" t="str">
        <f aca="false">IF($B1912="","",$L1912-$M1912)</f>
        <v/>
      </c>
      <c r="O1912" s="10" t="str">
        <f aca="false">IF($B1912="","",IFERROR(INDEX(Drinks!$E$4:$E$53,MATCH($B1912,Drinks!$A$4:$A$53,0)),0))</f>
        <v/>
      </c>
      <c r="P1912" s="10" t="str">
        <f aca="false">IF($B1912="","",$N1912*$O1912)</f>
        <v/>
      </c>
      <c r="Q1912" s="10" t="str">
        <f aca="false">IF($B1912="","",$N1912*IFERROR(INDEX(Drinks!$D$4:$D$53,MATCH($B1912,Drinks!$A$4:$A$53,0)),0))</f>
        <v/>
      </c>
      <c r="R1912" s="10" t="str">
        <f aca="false">IF($B1912="","",$P1912-$Q1912)</f>
        <v/>
      </c>
      <c r="S1912" s="23" t="str">
        <f aca="false">IF($B1912="","",IF(COUNTIFS($A$4:$A$2003,$A1912-1,$B$4:$B$2003,$B1912)=0,"first day",IF(SUMIFS($M$4:$M$2003,$A$4:$A$2003,$A1912-1,$B$4:$B$2003,$B1912)=$J1912,"OK","CHECK")))</f>
        <v/>
      </c>
      <c r="T1912" s="10" t="str">
        <f aca="false">IF($B1912="","",IFERROR(INDEX(Drinks!$D$4:$D$53,MATCH($B1912,Drinks!$A$4:$A$53,0)),0))</f>
        <v/>
      </c>
    </row>
    <row r="1913" customFormat="false" ht="15" hidden="false" customHeight="false" outlineLevel="0" collapsed="false">
      <c r="A1913" s="22"/>
      <c r="B1913" s="9"/>
      <c r="C1913" s="9"/>
      <c r="D1913" s="9"/>
      <c r="E1913" s="9"/>
      <c r="F1913" s="10" t="str">
        <f aca="false">IF($B1913="","",$C1913+$D1913-$E1913)</f>
        <v/>
      </c>
      <c r="G1913" s="10" t="str">
        <f aca="false">IF($B1913="","",IFERROR(INDEX(Drinks!$C$4:$C$53,MATCH($B1913,Drinks!$A$4:$A$53,0)),0))</f>
        <v/>
      </c>
      <c r="H1913" s="10" t="str">
        <f aca="false">IF($B1913="","",$D1913*$G1913)</f>
        <v/>
      </c>
      <c r="I1913" s="10" t="str">
        <f aca="false">IF($B1913="","",$F1913*$G1913)</f>
        <v/>
      </c>
      <c r="J1913" s="9"/>
      <c r="K1913" s="10" t="str">
        <f aca="false">IF($B1913="","",$E1913*IFERROR(INDEX(Drinks!$B$4:$B$53,MATCH($B1913,Drinks!$A$4:$A$53,0)),0))</f>
        <v/>
      </c>
      <c r="L1913" s="10" t="str">
        <f aca="false">IF($B1913="","",$J1913+$K1913)</f>
        <v/>
      </c>
      <c r="M1913" s="9"/>
      <c r="N1913" s="10" t="str">
        <f aca="false">IF($B1913="","",$L1913-$M1913)</f>
        <v/>
      </c>
      <c r="O1913" s="10" t="str">
        <f aca="false">IF($B1913="","",IFERROR(INDEX(Drinks!$E$4:$E$53,MATCH($B1913,Drinks!$A$4:$A$53,0)),0))</f>
        <v/>
      </c>
      <c r="P1913" s="10" t="str">
        <f aca="false">IF($B1913="","",$N1913*$O1913)</f>
        <v/>
      </c>
      <c r="Q1913" s="10" t="str">
        <f aca="false">IF($B1913="","",$N1913*IFERROR(INDEX(Drinks!$D$4:$D$53,MATCH($B1913,Drinks!$A$4:$A$53,0)),0))</f>
        <v/>
      </c>
      <c r="R1913" s="10" t="str">
        <f aca="false">IF($B1913="","",$P1913-$Q1913)</f>
        <v/>
      </c>
      <c r="S1913" s="23" t="str">
        <f aca="false">IF($B1913="","",IF(COUNTIFS($A$4:$A$2003,$A1913-1,$B$4:$B$2003,$B1913)=0,"first day",IF(SUMIFS($M$4:$M$2003,$A$4:$A$2003,$A1913-1,$B$4:$B$2003,$B1913)=$J1913,"OK","CHECK")))</f>
        <v/>
      </c>
      <c r="T1913" s="10" t="str">
        <f aca="false">IF($B1913="","",IFERROR(INDEX(Drinks!$D$4:$D$53,MATCH($B1913,Drinks!$A$4:$A$53,0)),0))</f>
        <v/>
      </c>
    </row>
    <row r="1914" customFormat="false" ht="15" hidden="false" customHeight="false" outlineLevel="0" collapsed="false">
      <c r="A1914" s="22"/>
      <c r="B1914" s="9"/>
      <c r="C1914" s="9"/>
      <c r="D1914" s="9"/>
      <c r="E1914" s="9"/>
      <c r="F1914" s="10" t="str">
        <f aca="false">IF($B1914="","",$C1914+$D1914-$E1914)</f>
        <v/>
      </c>
      <c r="G1914" s="10" t="str">
        <f aca="false">IF($B1914="","",IFERROR(INDEX(Drinks!$C$4:$C$53,MATCH($B1914,Drinks!$A$4:$A$53,0)),0))</f>
        <v/>
      </c>
      <c r="H1914" s="10" t="str">
        <f aca="false">IF($B1914="","",$D1914*$G1914)</f>
        <v/>
      </c>
      <c r="I1914" s="10" t="str">
        <f aca="false">IF($B1914="","",$F1914*$G1914)</f>
        <v/>
      </c>
      <c r="J1914" s="9"/>
      <c r="K1914" s="10" t="str">
        <f aca="false">IF($B1914="","",$E1914*IFERROR(INDEX(Drinks!$B$4:$B$53,MATCH($B1914,Drinks!$A$4:$A$53,0)),0))</f>
        <v/>
      </c>
      <c r="L1914" s="10" t="str">
        <f aca="false">IF($B1914="","",$J1914+$K1914)</f>
        <v/>
      </c>
      <c r="M1914" s="9"/>
      <c r="N1914" s="10" t="str">
        <f aca="false">IF($B1914="","",$L1914-$M1914)</f>
        <v/>
      </c>
      <c r="O1914" s="10" t="str">
        <f aca="false">IF($B1914="","",IFERROR(INDEX(Drinks!$E$4:$E$53,MATCH($B1914,Drinks!$A$4:$A$53,0)),0))</f>
        <v/>
      </c>
      <c r="P1914" s="10" t="str">
        <f aca="false">IF($B1914="","",$N1914*$O1914)</f>
        <v/>
      </c>
      <c r="Q1914" s="10" t="str">
        <f aca="false">IF($B1914="","",$N1914*IFERROR(INDEX(Drinks!$D$4:$D$53,MATCH($B1914,Drinks!$A$4:$A$53,0)),0))</f>
        <v/>
      </c>
      <c r="R1914" s="10" t="str">
        <f aca="false">IF($B1914="","",$P1914-$Q1914)</f>
        <v/>
      </c>
      <c r="S1914" s="23" t="str">
        <f aca="false">IF($B1914="","",IF(COUNTIFS($A$4:$A$2003,$A1914-1,$B$4:$B$2003,$B1914)=0,"first day",IF(SUMIFS($M$4:$M$2003,$A$4:$A$2003,$A1914-1,$B$4:$B$2003,$B1914)=$J1914,"OK","CHECK")))</f>
        <v/>
      </c>
      <c r="T1914" s="10" t="str">
        <f aca="false">IF($B1914="","",IFERROR(INDEX(Drinks!$D$4:$D$53,MATCH($B1914,Drinks!$A$4:$A$53,0)),0))</f>
        <v/>
      </c>
    </row>
    <row r="1915" customFormat="false" ht="15" hidden="false" customHeight="false" outlineLevel="0" collapsed="false">
      <c r="A1915" s="22"/>
      <c r="B1915" s="9"/>
      <c r="C1915" s="9"/>
      <c r="D1915" s="9"/>
      <c r="E1915" s="9"/>
      <c r="F1915" s="10" t="str">
        <f aca="false">IF($B1915="","",$C1915+$D1915-$E1915)</f>
        <v/>
      </c>
      <c r="G1915" s="10" t="str">
        <f aca="false">IF($B1915="","",IFERROR(INDEX(Drinks!$C$4:$C$53,MATCH($B1915,Drinks!$A$4:$A$53,0)),0))</f>
        <v/>
      </c>
      <c r="H1915" s="10" t="str">
        <f aca="false">IF($B1915="","",$D1915*$G1915)</f>
        <v/>
      </c>
      <c r="I1915" s="10" t="str">
        <f aca="false">IF($B1915="","",$F1915*$G1915)</f>
        <v/>
      </c>
      <c r="J1915" s="9"/>
      <c r="K1915" s="10" t="str">
        <f aca="false">IF($B1915="","",$E1915*IFERROR(INDEX(Drinks!$B$4:$B$53,MATCH($B1915,Drinks!$A$4:$A$53,0)),0))</f>
        <v/>
      </c>
      <c r="L1915" s="10" t="str">
        <f aca="false">IF($B1915="","",$J1915+$K1915)</f>
        <v/>
      </c>
      <c r="M1915" s="9"/>
      <c r="N1915" s="10" t="str">
        <f aca="false">IF($B1915="","",$L1915-$M1915)</f>
        <v/>
      </c>
      <c r="O1915" s="10" t="str">
        <f aca="false">IF($B1915="","",IFERROR(INDEX(Drinks!$E$4:$E$53,MATCH($B1915,Drinks!$A$4:$A$53,0)),0))</f>
        <v/>
      </c>
      <c r="P1915" s="10" t="str">
        <f aca="false">IF($B1915="","",$N1915*$O1915)</f>
        <v/>
      </c>
      <c r="Q1915" s="10" t="str">
        <f aca="false">IF($B1915="","",$N1915*IFERROR(INDEX(Drinks!$D$4:$D$53,MATCH($B1915,Drinks!$A$4:$A$53,0)),0))</f>
        <v/>
      </c>
      <c r="R1915" s="10" t="str">
        <f aca="false">IF($B1915="","",$P1915-$Q1915)</f>
        <v/>
      </c>
      <c r="S1915" s="23" t="str">
        <f aca="false">IF($B1915="","",IF(COUNTIFS($A$4:$A$2003,$A1915-1,$B$4:$B$2003,$B1915)=0,"first day",IF(SUMIFS($M$4:$M$2003,$A$4:$A$2003,$A1915-1,$B$4:$B$2003,$B1915)=$J1915,"OK","CHECK")))</f>
        <v/>
      </c>
      <c r="T1915" s="10" t="str">
        <f aca="false">IF($B1915="","",IFERROR(INDEX(Drinks!$D$4:$D$53,MATCH($B1915,Drinks!$A$4:$A$53,0)),0))</f>
        <v/>
      </c>
    </row>
    <row r="1916" customFormat="false" ht="15" hidden="false" customHeight="false" outlineLevel="0" collapsed="false">
      <c r="A1916" s="22"/>
      <c r="B1916" s="9"/>
      <c r="C1916" s="9"/>
      <c r="D1916" s="9"/>
      <c r="E1916" s="9"/>
      <c r="F1916" s="10" t="str">
        <f aca="false">IF($B1916="","",$C1916+$D1916-$E1916)</f>
        <v/>
      </c>
      <c r="G1916" s="10" t="str">
        <f aca="false">IF($B1916="","",IFERROR(INDEX(Drinks!$C$4:$C$53,MATCH($B1916,Drinks!$A$4:$A$53,0)),0))</f>
        <v/>
      </c>
      <c r="H1916" s="10" t="str">
        <f aca="false">IF($B1916="","",$D1916*$G1916)</f>
        <v/>
      </c>
      <c r="I1916" s="10" t="str">
        <f aca="false">IF($B1916="","",$F1916*$G1916)</f>
        <v/>
      </c>
      <c r="J1916" s="9"/>
      <c r="K1916" s="10" t="str">
        <f aca="false">IF($B1916="","",$E1916*IFERROR(INDEX(Drinks!$B$4:$B$53,MATCH($B1916,Drinks!$A$4:$A$53,0)),0))</f>
        <v/>
      </c>
      <c r="L1916" s="10" t="str">
        <f aca="false">IF($B1916="","",$J1916+$K1916)</f>
        <v/>
      </c>
      <c r="M1916" s="9"/>
      <c r="N1916" s="10" t="str">
        <f aca="false">IF($B1916="","",$L1916-$M1916)</f>
        <v/>
      </c>
      <c r="O1916" s="10" t="str">
        <f aca="false">IF($B1916="","",IFERROR(INDEX(Drinks!$E$4:$E$53,MATCH($B1916,Drinks!$A$4:$A$53,0)),0))</f>
        <v/>
      </c>
      <c r="P1916" s="10" t="str">
        <f aca="false">IF($B1916="","",$N1916*$O1916)</f>
        <v/>
      </c>
      <c r="Q1916" s="10" t="str">
        <f aca="false">IF($B1916="","",$N1916*IFERROR(INDEX(Drinks!$D$4:$D$53,MATCH($B1916,Drinks!$A$4:$A$53,0)),0))</f>
        <v/>
      </c>
      <c r="R1916" s="10" t="str">
        <f aca="false">IF($B1916="","",$P1916-$Q1916)</f>
        <v/>
      </c>
      <c r="S1916" s="23" t="str">
        <f aca="false">IF($B1916="","",IF(COUNTIFS($A$4:$A$2003,$A1916-1,$B$4:$B$2003,$B1916)=0,"first day",IF(SUMIFS($M$4:$M$2003,$A$4:$A$2003,$A1916-1,$B$4:$B$2003,$B1916)=$J1916,"OK","CHECK")))</f>
        <v/>
      </c>
      <c r="T1916" s="10" t="str">
        <f aca="false">IF($B1916="","",IFERROR(INDEX(Drinks!$D$4:$D$53,MATCH($B1916,Drinks!$A$4:$A$53,0)),0))</f>
        <v/>
      </c>
    </row>
    <row r="1917" customFormat="false" ht="15" hidden="false" customHeight="false" outlineLevel="0" collapsed="false">
      <c r="A1917" s="22"/>
      <c r="B1917" s="9"/>
      <c r="C1917" s="9"/>
      <c r="D1917" s="9"/>
      <c r="E1917" s="9"/>
      <c r="F1917" s="10" t="str">
        <f aca="false">IF($B1917="","",$C1917+$D1917-$E1917)</f>
        <v/>
      </c>
      <c r="G1917" s="10" t="str">
        <f aca="false">IF($B1917="","",IFERROR(INDEX(Drinks!$C$4:$C$53,MATCH($B1917,Drinks!$A$4:$A$53,0)),0))</f>
        <v/>
      </c>
      <c r="H1917" s="10" t="str">
        <f aca="false">IF($B1917="","",$D1917*$G1917)</f>
        <v/>
      </c>
      <c r="I1917" s="10" t="str">
        <f aca="false">IF($B1917="","",$F1917*$G1917)</f>
        <v/>
      </c>
      <c r="J1917" s="9"/>
      <c r="K1917" s="10" t="str">
        <f aca="false">IF($B1917="","",$E1917*IFERROR(INDEX(Drinks!$B$4:$B$53,MATCH($B1917,Drinks!$A$4:$A$53,0)),0))</f>
        <v/>
      </c>
      <c r="L1917" s="10" t="str">
        <f aca="false">IF($B1917="","",$J1917+$K1917)</f>
        <v/>
      </c>
      <c r="M1917" s="9"/>
      <c r="N1917" s="10" t="str">
        <f aca="false">IF($B1917="","",$L1917-$M1917)</f>
        <v/>
      </c>
      <c r="O1917" s="10" t="str">
        <f aca="false">IF($B1917="","",IFERROR(INDEX(Drinks!$E$4:$E$53,MATCH($B1917,Drinks!$A$4:$A$53,0)),0))</f>
        <v/>
      </c>
      <c r="P1917" s="10" t="str">
        <f aca="false">IF($B1917="","",$N1917*$O1917)</f>
        <v/>
      </c>
      <c r="Q1917" s="10" t="str">
        <f aca="false">IF($B1917="","",$N1917*IFERROR(INDEX(Drinks!$D$4:$D$53,MATCH($B1917,Drinks!$A$4:$A$53,0)),0))</f>
        <v/>
      </c>
      <c r="R1917" s="10" t="str">
        <f aca="false">IF($B1917="","",$P1917-$Q1917)</f>
        <v/>
      </c>
      <c r="S1917" s="23" t="str">
        <f aca="false">IF($B1917="","",IF(COUNTIFS($A$4:$A$2003,$A1917-1,$B$4:$B$2003,$B1917)=0,"first day",IF(SUMIFS($M$4:$M$2003,$A$4:$A$2003,$A1917-1,$B$4:$B$2003,$B1917)=$J1917,"OK","CHECK")))</f>
        <v/>
      </c>
      <c r="T1917" s="10" t="str">
        <f aca="false">IF($B1917="","",IFERROR(INDEX(Drinks!$D$4:$D$53,MATCH($B1917,Drinks!$A$4:$A$53,0)),0))</f>
        <v/>
      </c>
    </row>
    <row r="1918" customFormat="false" ht="15" hidden="false" customHeight="false" outlineLevel="0" collapsed="false">
      <c r="A1918" s="22"/>
      <c r="B1918" s="9"/>
      <c r="C1918" s="9"/>
      <c r="D1918" s="9"/>
      <c r="E1918" s="9"/>
      <c r="F1918" s="10" t="str">
        <f aca="false">IF($B1918="","",$C1918+$D1918-$E1918)</f>
        <v/>
      </c>
      <c r="G1918" s="10" t="str">
        <f aca="false">IF($B1918="","",IFERROR(INDEX(Drinks!$C$4:$C$53,MATCH($B1918,Drinks!$A$4:$A$53,0)),0))</f>
        <v/>
      </c>
      <c r="H1918" s="10" t="str">
        <f aca="false">IF($B1918="","",$D1918*$G1918)</f>
        <v/>
      </c>
      <c r="I1918" s="10" t="str">
        <f aca="false">IF($B1918="","",$F1918*$G1918)</f>
        <v/>
      </c>
      <c r="J1918" s="9"/>
      <c r="K1918" s="10" t="str">
        <f aca="false">IF($B1918="","",$E1918*IFERROR(INDEX(Drinks!$B$4:$B$53,MATCH($B1918,Drinks!$A$4:$A$53,0)),0))</f>
        <v/>
      </c>
      <c r="L1918" s="10" t="str">
        <f aca="false">IF($B1918="","",$J1918+$K1918)</f>
        <v/>
      </c>
      <c r="M1918" s="9"/>
      <c r="N1918" s="10" t="str">
        <f aca="false">IF($B1918="","",$L1918-$M1918)</f>
        <v/>
      </c>
      <c r="O1918" s="10" t="str">
        <f aca="false">IF($B1918="","",IFERROR(INDEX(Drinks!$E$4:$E$53,MATCH($B1918,Drinks!$A$4:$A$53,0)),0))</f>
        <v/>
      </c>
      <c r="P1918" s="10" t="str">
        <f aca="false">IF($B1918="","",$N1918*$O1918)</f>
        <v/>
      </c>
      <c r="Q1918" s="10" t="str">
        <f aca="false">IF($B1918="","",$N1918*IFERROR(INDEX(Drinks!$D$4:$D$53,MATCH($B1918,Drinks!$A$4:$A$53,0)),0))</f>
        <v/>
      </c>
      <c r="R1918" s="10" t="str">
        <f aca="false">IF($B1918="","",$P1918-$Q1918)</f>
        <v/>
      </c>
      <c r="S1918" s="23" t="str">
        <f aca="false">IF($B1918="","",IF(COUNTIFS($A$4:$A$2003,$A1918-1,$B$4:$B$2003,$B1918)=0,"first day",IF(SUMIFS($M$4:$M$2003,$A$4:$A$2003,$A1918-1,$B$4:$B$2003,$B1918)=$J1918,"OK","CHECK")))</f>
        <v/>
      </c>
      <c r="T1918" s="10" t="str">
        <f aca="false">IF($B1918="","",IFERROR(INDEX(Drinks!$D$4:$D$53,MATCH($B1918,Drinks!$A$4:$A$53,0)),0))</f>
        <v/>
      </c>
    </row>
    <row r="1919" customFormat="false" ht="15" hidden="false" customHeight="false" outlineLevel="0" collapsed="false">
      <c r="A1919" s="22"/>
      <c r="B1919" s="9"/>
      <c r="C1919" s="9"/>
      <c r="D1919" s="9"/>
      <c r="E1919" s="9"/>
      <c r="F1919" s="10" t="str">
        <f aca="false">IF($B1919="","",$C1919+$D1919-$E1919)</f>
        <v/>
      </c>
      <c r="G1919" s="10" t="str">
        <f aca="false">IF($B1919="","",IFERROR(INDEX(Drinks!$C$4:$C$53,MATCH($B1919,Drinks!$A$4:$A$53,0)),0))</f>
        <v/>
      </c>
      <c r="H1919" s="10" t="str">
        <f aca="false">IF($B1919="","",$D1919*$G1919)</f>
        <v/>
      </c>
      <c r="I1919" s="10" t="str">
        <f aca="false">IF($B1919="","",$F1919*$G1919)</f>
        <v/>
      </c>
      <c r="J1919" s="9"/>
      <c r="K1919" s="10" t="str">
        <f aca="false">IF($B1919="","",$E1919*IFERROR(INDEX(Drinks!$B$4:$B$53,MATCH($B1919,Drinks!$A$4:$A$53,0)),0))</f>
        <v/>
      </c>
      <c r="L1919" s="10" t="str">
        <f aca="false">IF($B1919="","",$J1919+$K1919)</f>
        <v/>
      </c>
      <c r="M1919" s="9"/>
      <c r="N1919" s="10" t="str">
        <f aca="false">IF($B1919="","",$L1919-$M1919)</f>
        <v/>
      </c>
      <c r="O1919" s="10" t="str">
        <f aca="false">IF($B1919="","",IFERROR(INDEX(Drinks!$E$4:$E$53,MATCH($B1919,Drinks!$A$4:$A$53,0)),0))</f>
        <v/>
      </c>
      <c r="P1919" s="10" t="str">
        <f aca="false">IF($B1919="","",$N1919*$O1919)</f>
        <v/>
      </c>
      <c r="Q1919" s="10" t="str">
        <f aca="false">IF($B1919="","",$N1919*IFERROR(INDEX(Drinks!$D$4:$D$53,MATCH($B1919,Drinks!$A$4:$A$53,0)),0))</f>
        <v/>
      </c>
      <c r="R1919" s="10" t="str">
        <f aca="false">IF($B1919="","",$P1919-$Q1919)</f>
        <v/>
      </c>
      <c r="S1919" s="23" t="str">
        <f aca="false">IF($B1919="","",IF(COUNTIFS($A$4:$A$2003,$A1919-1,$B$4:$B$2003,$B1919)=0,"first day",IF(SUMIFS($M$4:$M$2003,$A$4:$A$2003,$A1919-1,$B$4:$B$2003,$B1919)=$J1919,"OK","CHECK")))</f>
        <v/>
      </c>
      <c r="T1919" s="10" t="str">
        <f aca="false">IF($B1919="","",IFERROR(INDEX(Drinks!$D$4:$D$53,MATCH($B1919,Drinks!$A$4:$A$53,0)),0))</f>
        <v/>
      </c>
    </row>
    <row r="1920" customFormat="false" ht="15" hidden="false" customHeight="false" outlineLevel="0" collapsed="false">
      <c r="A1920" s="22"/>
      <c r="B1920" s="9"/>
      <c r="C1920" s="9"/>
      <c r="D1920" s="9"/>
      <c r="E1920" s="9"/>
      <c r="F1920" s="10" t="str">
        <f aca="false">IF($B1920="","",$C1920+$D1920-$E1920)</f>
        <v/>
      </c>
      <c r="G1920" s="10" t="str">
        <f aca="false">IF($B1920="","",IFERROR(INDEX(Drinks!$C$4:$C$53,MATCH($B1920,Drinks!$A$4:$A$53,0)),0))</f>
        <v/>
      </c>
      <c r="H1920" s="10" t="str">
        <f aca="false">IF($B1920="","",$D1920*$G1920)</f>
        <v/>
      </c>
      <c r="I1920" s="10" t="str">
        <f aca="false">IF($B1920="","",$F1920*$G1920)</f>
        <v/>
      </c>
      <c r="J1920" s="9"/>
      <c r="K1920" s="10" t="str">
        <f aca="false">IF($B1920="","",$E1920*IFERROR(INDEX(Drinks!$B$4:$B$53,MATCH($B1920,Drinks!$A$4:$A$53,0)),0))</f>
        <v/>
      </c>
      <c r="L1920" s="10" t="str">
        <f aca="false">IF($B1920="","",$J1920+$K1920)</f>
        <v/>
      </c>
      <c r="M1920" s="9"/>
      <c r="N1920" s="10" t="str">
        <f aca="false">IF($B1920="","",$L1920-$M1920)</f>
        <v/>
      </c>
      <c r="O1920" s="10" t="str">
        <f aca="false">IF($B1920="","",IFERROR(INDEX(Drinks!$E$4:$E$53,MATCH($B1920,Drinks!$A$4:$A$53,0)),0))</f>
        <v/>
      </c>
      <c r="P1920" s="10" t="str">
        <f aca="false">IF($B1920="","",$N1920*$O1920)</f>
        <v/>
      </c>
      <c r="Q1920" s="10" t="str">
        <f aca="false">IF($B1920="","",$N1920*IFERROR(INDEX(Drinks!$D$4:$D$53,MATCH($B1920,Drinks!$A$4:$A$53,0)),0))</f>
        <v/>
      </c>
      <c r="R1920" s="10" t="str">
        <f aca="false">IF($B1920="","",$P1920-$Q1920)</f>
        <v/>
      </c>
      <c r="S1920" s="23" t="str">
        <f aca="false">IF($B1920="","",IF(COUNTIFS($A$4:$A$2003,$A1920-1,$B$4:$B$2003,$B1920)=0,"first day",IF(SUMIFS($M$4:$M$2003,$A$4:$A$2003,$A1920-1,$B$4:$B$2003,$B1920)=$J1920,"OK","CHECK")))</f>
        <v/>
      </c>
      <c r="T1920" s="10" t="str">
        <f aca="false">IF($B1920="","",IFERROR(INDEX(Drinks!$D$4:$D$53,MATCH($B1920,Drinks!$A$4:$A$53,0)),0))</f>
        <v/>
      </c>
    </row>
    <row r="1921" customFormat="false" ht="15" hidden="false" customHeight="false" outlineLevel="0" collapsed="false">
      <c r="A1921" s="22"/>
      <c r="B1921" s="9"/>
      <c r="C1921" s="9"/>
      <c r="D1921" s="9"/>
      <c r="E1921" s="9"/>
      <c r="F1921" s="10" t="str">
        <f aca="false">IF($B1921="","",$C1921+$D1921-$E1921)</f>
        <v/>
      </c>
      <c r="G1921" s="10" t="str">
        <f aca="false">IF($B1921="","",IFERROR(INDEX(Drinks!$C$4:$C$53,MATCH($B1921,Drinks!$A$4:$A$53,0)),0))</f>
        <v/>
      </c>
      <c r="H1921" s="10" t="str">
        <f aca="false">IF($B1921="","",$D1921*$G1921)</f>
        <v/>
      </c>
      <c r="I1921" s="10" t="str">
        <f aca="false">IF($B1921="","",$F1921*$G1921)</f>
        <v/>
      </c>
      <c r="J1921" s="9"/>
      <c r="K1921" s="10" t="str">
        <f aca="false">IF($B1921="","",$E1921*IFERROR(INDEX(Drinks!$B$4:$B$53,MATCH($B1921,Drinks!$A$4:$A$53,0)),0))</f>
        <v/>
      </c>
      <c r="L1921" s="10" t="str">
        <f aca="false">IF($B1921="","",$J1921+$K1921)</f>
        <v/>
      </c>
      <c r="M1921" s="9"/>
      <c r="N1921" s="10" t="str">
        <f aca="false">IF($B1921="","",$L1921-$M1921)</f>
        <v/>
      </c>
      <c r="O1921" s="10" t="str">
        <f aca="false">IF($B1921="","",IFERROR(INDEX(Drinks!$E$4:$E$53,MATCH($B1921,Drinks!$A$4:$A$53,0)),0))</f>
        <v/>
      </c>
      <c r="P1921" s="10" t="str">
        <f aca="false">IF($B1921="","",$N1921*$O1921)</f>
        <v/>
      </c>
      <c r="Q1921" s="10" t="str">
        <f aca="false">IF($B1921="","",$N1921*IFERROR(INDEX(Drinks!$D$4:$D$53,MATCH($B1921,Drinks!$A$4:$A$53,0)),0))</f>
        <v/>
      </c>
      <c r="R1921" s="10" t="str">
        <f aca="false">IF($B1921="","",$P1921-$Q1921)</f>
        <v/>
      </c>
      <c r="S1921" s="23" t="str">
        <f aca="false">IF($B1921="","",IF(COUNTIFS($A$4:$A$2003,$A1921-1,$B$4:$B$2003,$B1921)=0,"first day",IF(SUMIFS($M$4:$M$2003,$A$4:$A$2003,$A1921-1,$B$4:$B$2003,$B1921)=$J1921,"OK","CHECK")))</f>
        <v/>
      </c>
      <c r="T1921" s="10" t="str">
        <f aca="false">IF($B1921="","",IFERROR(INDEX(Drinks!$D$4:$D$53,MATCH($B1921,Drinks!$A$4:$A$53,0)),0))</f>
        <v/>
      </c>
    </row>
    <row r="1922" customFormat="false" ht="15" hidden="false" customHeight="false" outlineLevel="0" collapsed="false">
      <c r="A1922" s="22"/>
      <c r="B1922" s="9"/>
      <c r="C1922" s="9"/>
      <c r="D1922" s="9"/>
      <c r="E1922" s="9"/>
      <c r="F1922" s="10" t="str">
        <f aca="false">IF($B1922="","",$C1922+$D1922-$E1922)</f>
        <v/>
      </c>
      <c r="G1922" s="10" t="str">
        <f aca="false">IF($B1922="","",IFERROR(INDEX(Drinks!$C$4:$C$53,MATCH($B1922,Drinks!$A$4:$A$53,0)),0))</f>
        <v/>
      </c>
      <c r="H1922" s="10" t="str">
        <f aca="false">IF($B1922="","",$D1922*$G1922)</f>
        <v/>
      </c>
      <c r="I1922" s="10" t="str">
        <f aca="false">IF($B1922="","",$F1922*$G1922)</f>
        <v/>
      </c>
      <c r="J1922" s="9"/>
      <c r="K1922" s="10" t="str">
        <f aca="false">IF($B1922="","",$E1922*IFERROR(INDEX(Drinks!$B$4:$B$53,MATCH($B1922,Drinks!$A$4:$A$53,0)),0))</f>
        <v/>
      </c>
      <c r="L1922" s="10" t="str">
        <f aca="false">IF($B1922="","",$J1922+$K1922)</f>
        <v/>
      </c>
      <c r="M1922" s="9"/>
      <c r="N1922" s="10" t="str">
        <f aca="false">IF($B1922="","",$L1922-$M1922)</f>
        <v/>
      </c>
      <c r="O1922" s="10" t="str">
        <f aca="false">IF($B1922="","",IFERROR(INDEX(Drinks!$E$4:$E$53,MATCH($B1922,Drinks!$A$4:$A$53,0)),0))</f>
        <v/>
      </c>
      <c r="P1922" s="10" t="str">
        <f aca="false">IF($B1922="","",$N1922*$O1922)</f>
        <v/>
      </c>
      <c r="Q1922" s="10" t="str">
        <f aca="false">IF($B1922="","",$N1922*IFERROR(INDEX(Drinks!$D$4:$D$53,MATCH($B1922,Drinks!$A$4:$A$53,0)),0))</f>
        <v/>
      </c>
      <c r="R1922" s="10" t="str">
        <f aca="false">IF($B1922="","",$P1922-$Q1922)</f>
        <v/>
      </c>
      <c r="S1922" s="23" t="str">
        <f aca="false">IF($B1922="","",IF(COUNTIFS($A$4:$A$2003,$A1922-1,$B$4:$B$2003,$B1922)=0,"first day",IF(SUMIFS($M$4:$M$2003,$A$4:$A$2003,$A1922-1,$B$4:$B$2003,$B1922)=$J1922,"OK","CHECK")))</f>
        <v/>
      </c>
      <c r="T1922" s="10" t="str">
        <f aca="false">IF($B1922="","",IFERROR(INDEX(Drinks!$D$4:$D$53,MATCH($B1922,Drinks!$A$4:$A$53,0)),0))</f>
        <v/>
      </c>
    </row>
    <row r="1923" customFormat="false" ht="15" hidden="false" customHeight="false" outlineLevel="0" collapsed="false">
      <c r="A1923" s="22"/>
      <c r="B1923" s="9"/>
      <c r="C1923" s="9"/>
      <c r="D1923" s="9"/>
      <c r="E1923" s="9"/>
      <c r="F1923" s="10" t="str">
        <f aca="false">IF($B1923="","",$C1923+$D1923-$E1923)</f>
        <v/>
      </c>
      <c r="G1923" s="10" t="str">
        <f aca="false">IF($B1923="","",IFERROR(INDEX(Drinks!$C$4:$C$53,MATCH($B1923,Drinks!$A$4:$A$53,0)),0))</f>
        <v/>
      </c>
      <c r="H1923" s="10" t="str">
        <f aca="false">IF($B1923="","",$D1923*$G1923)</f>
        <v/>
      </c>
      <c r="I1923" s="10" t="str">
        <f aca="false">IF($B1923="","",$F1923*$G1923)</f>
        <v/>
      </c>
      <c r="J1923" s="9"/>
      <c r="K1923" s="10" t="str">
        <f aca="false">IF($B1923="","",$E1923*IFERROR(INDEX(Drinks!$B$4:$B$53,MATCH($B1923,Drinks!$A$4:$A$53,0)),0))</f>
        <v/>
      </c>
      <c r="L1923" s="10" t="str">
        <f aca="false">IF($B1923="","",$J1923+$K1923)</f>
        <v/>
      </c>
      <c r="M1923" s="9"/>
      <c r="N1923" s="10" t="str">
        <f aca="false">IF($B1923="","",$L1923-$M1923)</f>
        <v/>
      </c>
      <c r="O1923" s="10" t="str">
        <f aca="false">IF($B1923="","",IFERROR(INDEX(Drinks!$E$4:$E$53,MATCH($B1923,Drinks!$A$4:$A$53,0)),0))</f>
        <v/>
      </c>
      <c r="P1923" s="10" t="str">
        <f aca="false">IF($B1923="","",$N1923*$O1923)</f>
        <v/>
      </c>
      <c r="Q1923" s="10" t="str">
        <f aca="false">IF($B1923="","",$N1923*IFERROR(INDEX(Drinks!$D$4:$D$53,MATCH($B1923,Drinks!$A$4:$A$53,0)),0))</f>
        <v/>
      </c>
      <c r="R1923" s="10" t="str">
        <f aca="false">IF($B1923="","",$P1923-$Q1923)</f>
        <v/>
      </c>
      <c r="S1923" s="23" t="str">
        <f aca="false">IF($B1923="","",IF(COUNTIFS($A$4:$A$2003,$A1923-1,$B$4:$B$2003,$B1923)=0,"first day",IF(SUMIFS($M$4:$M$2003,$A$4:$A$2003,$A1923-1,$B$4:$B$2003,$B1923)=$J1923,"OK","CHECK")))</f>
        <v/>
      </c>
      <c r="T1923" s="10" t="str">
        <f aca="false">IF($B1923="","",IFERROR(INDEX(Drinks!$D$4:$D$53,MATCH($B1923,Drinks!$A$4:$A$53,0)),0))</f>
        <v/>
      </c>
    </row>
    <row r="1924" customFormat="false" ht="15" hidden="false" customHeight="false" outlineLevel="0" collapsed="false">
      <c r="A1924" s="22"/>
      <c r="B1924" s="9"/>
      <c r="C1924" s="9"/>
      <c r="D1924" s="9"/>
      <c r="E1924" s="9"/>
      <c r="F1924" s="10" t="str">
        <f aca="false">IF($B1924="","",$C1924+$D1924-$E1924)</f>
        <v/>
      </c>
      <c r="G1924" s="10" t="str">
        <f aca="false">IF($B1924="","",IFERROR(INDEX(Drinks!$C$4:$C$53,MATCH($B1924,Drinks!$A$4:$A$53,0)),0))</f>
        <v/>
      </c>
      <c r="H1924" s="10" t="str">
        <f aca="false">IF($B1924="","",$D1924*$G1924)</f>
        <v/>
      </c>
      <c r="I1924" s="10" t="str">
        <f aca="false">IF($B1924="","",$F1924*$G1924)</f>
        <v/>
      </c>
      <c r="J1924" s="9"/>
      <c r="K1924" s="10" t="str">
        <f aca="false">IF($B1924="","",$E1924*IFERROR(INDEX(Drinks!$B$4:$B$53,MATCH($B1924,Drinks!$A$4:$A$53,0)),0))</f>
        <v/>
      </c>
      <c r="L1924" s="10" t="str">
        <f aca="false">IF($B1924="","",$J1924+$K1924)</f>
        <v/>
      </c>
      <c r="M1924" s="9"/>
      <c r="N1924" s="10" t="str">
        <f aca="false">IF($B1924="","",$L1924-$M1924)</f>
        <v/>
      </c>
      <c r="O1924" s="10" t="str">
        <f aca="false">IF($B1924="","",IFERROR(INDEX(Drinks!$E$4:$E$53,MATCH($B1924,Drinks!$A$4:$A$53,0)),0))</f>
        <v/>
      </c>
      <c r="P1924" s="10" t="str">
        <f aca="false">IF($B1924="","",$N1924*$O1924)</f>
        <v/>
      </c>
      <c r="Q1924" s="10" t="str">
        <f aca="false">IF($B1924="","",$N1924*IFERROR(INDEX(Drinks!$D$4:$D$53,MATCH($B1924,Drinks!$A$4:$A$53,0)),0))</f>
        <v/>
      </c>
      <c r="R1924" s="10" t="str">
        <f aca="false">IF($B1924="","",$P1924-$Q1924)</f>
        <v/>
      </c>
      <c r="S1924" s="23" t="str">
        <f aca="false">IF($B1924="","",IF(COUNTIFS($A$4:$A$2003,$A1924-1,$B$4:$B$2003,$B1924)=0,"first day",IF(SUMIFS($M$4:$M$2003,$A$4:$A$2003,$A1924-1,$B$4:$B$2003,$B1924)=$J1924,"OK","CHECK")))</f>
        <v/>
      </c>
      <c r="T1924" s="10" t="str">
        <f aca="false">IF($B1924="","",IFERROR(INDEX(Drinks!$D$4:$D$53,MATCH($B1924,Drinks!$A$4:$A$53,0)),0))</f>
        <v/>
      </c>
    </row>
    <row r="1925" customFormat="false" ht="15" hidden="false" customHeight="false" outlineLevel="0" collapsed="false">
      <c r="A1925" s="22"/>
      <c r="B1925" s="9"/>
      <c r="C1925" s="9"/>
      <c r="D1925" s="9"/>
      <c r="E1925" s="9"/>
      <c r="F1925" s="10" t="str">
        <f aca="false">IF($B1925="","",$C1925+$D1925-$E1925)</f>
        <v/>
      </c>
      <c r="G1925" s="10" t="str">
        <f aca="false">IF($B1925="","",IFERROR(INDEX(Drinks!$C$4:$C$53,MATCH($B1925,Drinks!$A$4:$A$53,0)),0))</f>
        <v/>
      </c>
      <c r="H1925" s="10" t="str">
        <f aca="false">IF($B1925="","",$D1925*$G1925)</f>
        <v/>
      </c>
      <c r="I1925" s="10" t="str">
        <f aca="false">IF($B1925="","",$F1925*$G1925)</f>
        <v/>
      </c>
      <c r="J1925" s="9"/>
      <c r="K1925" s="10" t="str">
        <f aca="false">IF($B1925="","",$E1925*IFERROR(INDEX(Drinks!$B$4:$B$53,MATCH($B1925,Drinks!$A$4:$A$53,0)),0))</f>
        <v/>
      </c>
      <c r="L1925" s="10" t="str">
        <f aca="false">IF($B1925="","",$J1925+$K1925)</f>
        <v/>
      </c>
      <c r="M1925" s="9"/>
      <c r="N1925" s="10" t="str">
        <f aca="false">IF($B1925="","",$L1925-$M1925)</f>
        <v/>
      </c>
      <c r="O1925" s="10" t="str">
        <f aca="false">IF($B1925="","",IFERROR(INDEX(Drinks!$E$4:$E$53,MATCH($B1925,Drinks!$A$4:$A$53,0)),0))</f>
        <v/>
      </c>
      <c r="P1925" s="10" t="str">
        <f aca="false">IF($B1925="","",$N1925*$O1925)</f>
        <v/>
      </c>
      <c r="Q1925" s="10" t="str">
        <f aca="false">IF($B1925="","",$N1925*IFERROR(INDEX(Drinks!$D$4:$D$53,MATCH($B1925,Drinks!$A$4:$A$53,0)),0))</f>
        <v/>
      </c>
      <c r="R1925" s="10" t="str">
        <f aca="false">IF($B1925="","",$P1925-$Q1925)</f>
        <v/>
      </c>
      <c r="S1925" s="23" t="str">
        <f aca="false">IF($B1925="","",IF(COUNTIFS($A$4:$A$2003,$A1925-1,$B$4:$B$2003,$B1925)=0,"first day",IF(SUMIFS($M$4:$M$2003,$A$4:$A$2003,$A1925-1,$B$4:$B$2003,$B1925)=$J1925,"OK","CHECK")))</f>
        <v/>
      </c>
      <c r="T1925" s="10" t="str">
        <f aca="false">IF($B1925="","",IFERROR(INDEX(Drinks!$D$4:$D$53,MATCH($B1925,Drinks!$A$4:$A$53,0)),0))</f>
        <v/>
      </c>
    </row>
    <row r="1926" customFormat="false" ht="15" hidden="false" customHeight="false" outlineLevel="0" collapsed="false">
      <c r="A1926" s="22"/>
      <c r="B1926" s="9"/>
      <c r="C1926" s="9"/>
      <c r="D1926" s="9"/>
      <c r="E1926" s="9"/>
      <c r="F1926" s="10" t="str">
        <f aca="false">IF($B1926="","",$C1926+$D1926-$E1926)</f>
        <v/>
      </c>
      <c r="G1926" s="10" t="str">
        <f aca="false">IF($B1926="","",IFERROR(INDEX(Drinks!$C$4:$C$53,MATCH($B1926,Drinks!$A$4:$A$53,0)),0))</f>
        <v/>
      </c>
      <c r="H1926" s="10" t="str">
        <f aca="false">IF($B1926="","",$D1926*$G1926)</f>
        <v/>
      </c>
      <c r="I1926" s="10" t="str">
        <f aca="false">IF($B1926="","",$F1926*$G1926)</f>
        <v/>
      </c>
      <c r="J1926" s="9"/>
      <c r="K1926" s="10" t="str">
        <f aca="false">IF($B1926="","",$E1926*IFERROR(INDEX(Drinks!$B$4:$B$53,MATCH($B1926,Drinks!$A$4:$A$53,0)),0))</f>
        <v/>
      </c>
      <c r="L1926" s="10" t="str">
        <f aca="false">IF($B1926="","",$J1926+$K1926)</f>
        <v/>
      </c>
      <c r="M1926" s="9"/>
      <c r="N1926" s="10" t="str">
        <f aca="false">IF($B1926="","",$L1926-$M1926)</f>
        <v/>
      </c>
      <c r="O1926" s="10" t="str">
        <f aca="false">IF($B1926="","",IFERROR(INDEX(Drinks!$E$4:$E$53,MATCH($B1926,Drinks!$A$4:$A$53,0)),0))</f>
        <v/>
      </c>
      <c r="P1926" s="10" t="str">
        <f aca="false">IF($B1926="","",$N1926*$O1926)</f>
        <v/>
      </c>
      <c r="Q1926" s="10" t="str">
        <f aca="false">IF($B1926="","",$N1926*IFERROR(INDEX(Drinks!$D$4:$D$53,MATCH($B1926,Drinks!$A$4:$A$53,0)),0))</f>
        <v/>
      </c>
      <c r="R1926" s="10" t="str">
        <f aca="false">IF($B1926="","",$P1926-$Q1926)</f>
        <v/>
      </c>
      <c r="S1926" s="23" t="str">
        <f aca="false">IF($B1926="","",IF(COUNTIFS($A$4:$A$2003,$A1926-1,$B$4:$B$2003,$B1926)=0,"first day",IF(SUMIFS($M$4:$M$2003,$A$4:$A$2003,$A1926-1,$B$4:$B$2003,$B1926)=$J1926,"OK","CHECK")))</f>
        <v/>
      </c>
      <c r="T1926" s="10" t="str">
        <f aca="false">IF($B1926="","",IFERROR(INDEX(Drinks!$D$4:$D$53,MATCH($B1926,Drinks!$A$4:$A$53,0)),0))</f>
        <v/>
      </c>
    </row>
    <row r="1927" customFormat="false" ht="15" hidden="false" customHeight="false" outlineLevel="0" collapsed="false">
      <c r="A1927" s="22"/>
      <c r="B1927" s="9"/>
      <c r="C1927" s="9"/>
      <c r="D1927" s="9"/>
      <c r="E1927" s="9"/>
      <c r="F1927" s="10" t="str">
        <f aca="false">IF($B1927="","",$C1927+$D1927-$E1927)</f>
        <v/>
      </c>
      <c r="G1927" s="10" t="str">
        <f aca="false">IF($B1927="","",IFERROR(INDEX(Drinks!$C$4:$C$53,MATCH($B1927,Drinks!$A$4:$A$53,0)),0))</f>
        <v/>
      </c>
      <c r="H1927" s="10" t="str">
        <f aca="false">IF($B1927="","",$D1927*$G1927)</f>
        <v/>
      </c>
      <c r="I1927" s="10" t="str">
        <f aca="false">IF($B1927="","",$F1927*$G1927)</f>
        <v/>
      </c>
      <c r="J1927" s="9"/>
      <c r="K1927" s="10" t="str">
        <f aca="false">IF($B1927="","",$E1927*IFERROR(INDEX(Drinks!$B$4:$B$53,MATCH($B1927,Drinks!$A$4:$A$53,0)),0))</f>
        <v/>
      </c>
      <c r="L1927" s="10" t="str">
        <f aca="false">IF($B1927="","",$J1927+$K1927)</f>
        <v/>
      </c>
      <c r="M1927" s="9"/>
      <c r="N1927" s="10" t="str">
        <f aca="false">IF($B1927="","",$L1927-$M1927)</f>
        <v/>
      </c>
      <c r="O1927" s="10" t="str">
        <f aca="false">IF($B1927="","",IFERROR(INDEX(Drinks!$E$4:$E$53,MATCH($B1927,Drinks!$A$4:$A$53,0)),0))</f>
        <v/>
      </c>
      <c r="P1927" s="10" t="str">
        <f aca="false">IF($B1927="","",$N1927*$O1927)</f>
        <v/>
      </c>
      <c r="Q1927" s="10" t="str">
        <f aca="false">IF($B1927="","",$N1927*IFERROR(INDEX(Drinks!$D$4:$D$53,MATCH($B1927,Drinks!$A$4:$A$53,0)),0))</f>
        <v/>
      </c>
      <c r="R1927" s="10" t="str">
        <f aca="false">IF($B1927="","",$P1927-$Q1927)</f>
        <v/>
      </c>
      <c r="S1927" s="23" t="str">
        <f aca="false">IF($B1927="","",IF(COUNTIFS($A$4:$A$2003,$A1927-1,$B$4:$B$2003,$B1927)=0,"first day",IF(SUMIFS($M$4:$M$2003,$A$4:$A$2003,$A1927-1,$B$4:$B$2003,$B1927)=$J1927,"OK","CHECK")))</f>
        <v/>
      </c>
      <c r="T1927" s="10" t="str">
        <f aca="false">IF($B1927="","",IFERROR(INDEX(Drinks!$D$4:$D$53,MATCH($B1927,Drinks!$A$4:$A$53,0)),0))</f>
        <v/>
      </c>
    </row>
    <row r="1928" customFormat="false" ht="15" hidden="false" customHeight="false" outlineLevel="0" collapsed="false">
      <c r="A1928" s="22"/>
      <c r="B1928" s="9"/>
      <c r="C1928" s="9"/>
      <c r="D1928" s="9"/>
      <c r="E1928" s="9"/>
      <c r="F1928" s="10" t="str">
        <f aca="false">IF($B1928="","",$C1928+$D1928-$E1928)</f>
        <v/>
      </c>
      <c r="G1928" s="10" t="str">
        <f aca="false">IF($B1928="","",IFERROR(INDEX(Drinks!$C$4:$C$53,MATCH($B1928,Drinks!$A$4:$A$53,0)),0))</f>
        <v/>
      </c>
      <c r="H1928" s="10" t="str">
        <f aca="false">IF($B1928="","",$D1928*$G1928)</f>
        <v/>
      </c>
      <c r="I1928" s="10" t="str">
        <f aca="false">IF($B1928="","",$F1928*$G1928)</f>
        <v/>
      </c>
      <c r="J1928" s="9"/>
      <c r="K1928" s="10" t="str">
        <f aca="false">IF($B1928="","",$E1928*IFERROR(INDEX(Drinks!$B$4:$B$53,MATCH($B1928,Drinks!$A$4:$A$53,0)),0))</f>
        <v/>
      </c>
      <c r="L1928" s="10" t="str">
        <f aca="false">IF($B1928="","",$J1928+$K1928)</f>
        <v/>
      </c>
      <c r="M1928" s="9"/>
      <c r="N1928" s="10" t="str">
        <f aca="false">IF($B1928="","",$L1928-$M1928)</f>
        <v/>
      </c>
      <c r="O1928" s="10" t="str">
        <f aca="false">IF($B1928="","",IFERROR(INDEX(Drinks!$E$4:$E$53,MATCH($B1928,Drinks!$A$4:$A$53,0)),0))</f>
        <v/>
      </c>
      <c r="P1928" s="10" t="str">
        <f aca="false">IF($B1928="","",$N1928*$O1928)</f>
        <v/>
      </c>
      <c r="Q1928" s="10" t="str">
        <f aca="false">IF($B1928="","",$N1928*IFERROR(INDEX(Drinks!$D$4:$D$53,MATCH($B1928,Drinks!$A$4:$A$53,0)),0))</f>
        <v/>
      </c>
      <c r="R1928" s="10" t="str">
        <f aca="false">IF($B1928="","",$P1928-$Q1928)</f>
        <v/>
      </c>
      <c r="S1928" s="23" t="str">
        <f aca="false">IF($B1928="","",IF(COUNTIFS($A$4:$A$2003,$A1928-1,$B$4:$B$2003,$B1928)=0,"first day",IF(SUMIFS($M$4:$M$2003,$A$4:$A$2003,$A1928-1,$B$4:$B$2003,$B1928)=$J1928,"OK","CHECK")))</f>
        <v/>
      </c>
      <c r="T1928" s="10" t="str">
        <f aca="false">IF($B1928="","",IFERROR(INDEX(Drinks!$D$4:$D$53,MATCH($B1928,Drinks!$A$4:$A$53,0)),0))</f>
        <v/>
      </c>
    </row>
    <row r="1929" customFormat="false" ht="15" hidden="false" customHeight="false" outlineLevel="0" collapsed="false">
      <c r="A1929" s="22"/>
      <c r="B1929" s="9"/>
      <c r="C1929" s="9"/>
      <c r="D1929" s="9"/>
      <c r="E1929" s="9"/>
      <c r="F1929" s="10" t="str">
        <f aca="false">IF($B1929="","",$C1929+$D1929-$E1929)</f>
        <v/>
      </c>
      <c r="G1929" s="10" t="str">
        <f aca="false">IF($B1929="","",IFERROR(INDEX(Drinks!$C$4:$C$53,MATCH($B1929,Drinks!$A$4:$A$53,0)),0))</f>
        <v/>
      </c>
      <c r="H1929" s="10" t="str">
        <f aca="false">IF($B1929="","",$D1929*$G1929)</f>
        <v/>
      </c>
      <c r="I1929" s="10" t="str">
        <f aca="false">IF($B1929="","",$F1929*$G1929)</f>
        <v/>
      </c>
      <c r="J1929" s="9"/>
      <c r="K1929" s="10" t="str">
        <f aca="false">IF($B1929="","",$E1929*IFERROR(INDEX(Drinks!$B$4:$B$53,MATCH($B1929,Drinks!$A$4:$A$53,0)),0))</f>
        <v/>
      </c>
      <c r="L1929" s="10" t="str">
        <f aca="false">IF($B1929="","",$J1929+$K1929)</f>
        <v/>
      </c>
      <c r="M1929" s="9"/>
      <c r="N1929" s="10" t="str">
        <f aca="false">IF($B1929="","",$L1929-$M1929)</f>
        <v/>
      </c>
      <c r="O1929" s="10" t="str">
        <f aca="false">IF($B1929="","",IFERROR(INDEX(Drinks!$E$4:$E$53,MATCH($B1929,Drinks!$A$4:$A$53,0)),0))</f>
        <v/>
      </c>
      <c r="P1929" s="10" t="str">
        <f aca="false">IF($B1929="","",$N1929*$O1929)</f>
        <v/>
      </c>
      <c r="Q1929" s="10" t="str">
        <f aca="false">IF($B1929="","",$N1929*IFERROR(INDEX(Drinks!$D$4:$D$53,MATCH($B1929,Drinks!$A$4:$A$53,0)),0))</f>
        <v/>
      </c>
      <c r="R1929" s="10" t="str">
        <f aca="false">IF($B1929="","",$P1929-$Q1929)</f>
        <v/>
      </c>
      <c r="S1929" s="23" t="str">
        <f aca="false">IF($B1929="","",IF(COUNTIFS($A$4:$A$2003,$A1929-1,$B$4:$B$2003,$B1929)=0,"first day",IF(SUMIFS($M$4:$M$2003,$A$4:$A$2003,$A1929-1,$B$4:$B$2003,$B1929)=$J1929,"OK","CHECK")))</f>
        <v/>
      </c>
      <c r="T1929" s="10" t="str">
        <f aca="false">IF($B1929="","",IFERROR(INDEX(Drinks!$D$4:$D$53,MATCH($B1929,Drinks!$A$4:$A$53,0)),0))</f>
        <v/>
      </c>
    </row>
    <row r="1930" customFormat="false" ht="15" hidden="false" customHeight="false" outlineLevel="0" collapsed="false">
      <c r="A1930" s="22"/>
      <c r="B1930" s="9"/>
      <c r="C1930" s="9"/>
      <c r="D1930" s="9"/>
      <c r="E1930" s="9"/>
      <c r="F1930" s="10" t="str">
        <f aca="false">IF($B1930="","",$C1930+$D1930-$E1930)</f>
        <v/>
      </c>
      <c r="G1930" s="10" t="str">
        <f aca="false">IF($B1930="","",IFERROR(INDEX(Drinks!$C$4:$C$53,MATCH($B1930,Drinks!$A$4:$A$53,0)),0))</f>
        <v/>
      </c>
      <c r="H1930" s="10" t="str">
        <f aca="false">IF($B1930="","",$D1930*$G1930)</f>
        <v/>
      </c>
      <c r="I1930" s="10" t="str">
        <f aca="false">IF($B1930="","",$F1930*$G1930)</f>
        <v/>
      </c>
      <c r="J1930" s="9"/>
      <c r="K1930" s="10" t="str">
        <f aca="false">IF($B1930="","",$E1930*IFERROR(INDEX(Drinks!$B$4:$B$53,MATCH($B1930,Drinks!$A$4:$A$53,0)),0))</f>
        <v/>
      </c>
      <c r="L1930" s="10" t="str">
        <f aca="false">IF($B1930="","",$J1930+$K1930)</f>
        <v/>
      </c>
      <c r="M1930" s="9"/>
      <c r="N1930" s="10" t="str">
        <f aca="false">IF($B1930="","",$L1930-$M1930)</f>
        <v/>
      </c>
      <c r="O1930" s="10" t="str">
        <f aca="false">IF($B1930="","",IFERROR(INDEX(Drinks!$E$4:$E$53,MATCH($B1930,Drinks!$A$4:$A$53,0)),0))</f>
        <v/>
      </c>
      <c r="P1930" s="10" t="str">
        <f aca="false">IF($B1930="","",$N1930*$O1930)</f>
        <v/>
      </c>
      <c r="Q1930" s="10" t="str">
        <f aca="false">IF($B1930="","",$N1930*IFERROR(INDEX(Drinks!$D$4:$D$53,MATCH($B1930,Drinks!$A$4:$A$53,0)),0))</f>
        <v/>
      </c>
      <c r="R1930" s="10" t="str">
        <f aca="false">IF($B1930="","",$P1930-$Q1930)</f>
        <v/>
      </c>
      <c r="S1930" s="23" t="str">
        <f aca="false">IF($B1930="","",IF(COUNTIFS($A$4:$A$2003,$A1930-1,$B$4:$B$2003,$B1930)=0,"first day",IF(SUMIFS($M$4:$M$2003,$A$4:$A$2003,$A1930-1,$B$4:$B$2003,$B1930)=$J1930,"OK","CHECK")))</f>
        <v/>
      </c>
      <c r="T1930" s="10" t="str">
        <f aca="false">IF($B1930="","",IFERROR(INDEX(Drinks!$D$4:$D$53,MATCH($B1930,Drinks!$A$4:$A$53,0)),0))</f>
        <v/>
      </c>
    </row>
    <row r="1931" customFormat="false" ht="15" hidden="false" customHeight="false" outlineLevel="0" collapsed="false">
      <c r="A1931" s="22"/>
      <c r="B1931" s="9"/>
      <c r="C1931" s="9"/>
      <c r="D1931" s="9"/>
      <c r="E1931" s="9"/>
      <c r="F1931" s="10" t="str">
        <f aca="false">IF($B1931="","",$C1931+$D1931-$E1931)</f>
        <v/>
      </c>
      <c r="G1931" s="10" t="str">
        <f aca="false">IF($B1931="","",IFERROR(INDEX(Drinks!$C$4:$C$53,MATCH($B1931,Drinks!$A$4:$A$53,0)),0))</f>
        <v/>
      </c>
      <c r="H1931" s="10" t="str">
        <f aca="false">IF($B1931="","",$D1931*$G1931)</f>
        <v/>
      </c>
      <c r="I1931" s="10" t="str">
        <f aca="false">IF($B1931="","",$F1931*$G1931)</f>
        <v/>
      </c>
      <c r="J1931" s="9"/>
      <c r="K1931" s="10" t="str">
        <f aca="false">IF($B1931="","",$E1931*IFERROR(INDEX(Drinks!$B$4:$B$53,MATCH($B1931,Drinks!$A$4:$A$53,0)),0))</f>
        <v/>
      </c>
      <c r="L1931" s="10" t="str">
        <f aca="false">IF($B1931="","",$J1931+$K1931)</f>
        <v/>
      </c>
      <c r="M1931" s="9"/>
      <c r="N1931" s="10" t="str">
        <f aca="false">IF($B1931="","",$L1931-$M1931)</f>
        <v/>
      </c>
      <c r="O1931" s="10" t="str">
        <f aca="false">IF($B1931="","",IFERROR(INDEX(Drinks!$E$4:$E$53,MATCH($B1931,Drinks!$A$4:$A$53,0)),0))</f>
        <v/>
      </c>
      <c r="P1931" s="10" t="str">
        <f aca="false">IF($B1931="","",$N1931*$O1931)</f>
        <v/>
      </c>
      <c r="Q1931" s="10" t="str">
        <f aca="false">IF($B1931="","",$N1931*IFERROR(INDEX(Drinks!$D$4:$D$53,MATCH($B1931,Drinks!$A$4:$A$53,0)),0))</f>
        <v/>
      </c>
      <c r="R1931" s="10" t="str">
        <f aca="false">IF($B1931="","",$P1931-$Q1931)</f>
        <v/>
      </c>
      <c r="S1931" s="23" t="str">
        <f aca="false">IF($B1931="","",IF(COUNTIFS($A$4:$A$2003,$A1931-1,$B$4:$B$2003,$B1931)=0,"first day",IF(SUMIFS($M$4:$M$2003,$A$4:$A$2003,$A1931-1,$B$4:$B$2003,$B1931)=$J1931,"OK","CHECK")))</f>
        <v/>
      </c>
      <c r="T1931" s="10" t="str">
        <f aca="false">IF($B1931="","",IFERROR(INDEX(Drinks!$D$4:$D$53,MATCH($B1931,Drinks!$A$4:$A$53,0)),0))</f>
        <v/>
      </c>
    </row>
    <row r="1932" customFormat="false" ht="15" hidden="false" customHeight="false" outlineLevel="0" collapsed="false">
      <c r="A1932" s="22"/>
      <c r="B1932" s="9"/>
      <c r="C1932" s="9"/>
      <c r="D1932" s="9"/>
      <c r="E1932" s="9"/>
      <c r="F1932" s="10" t="str">
        <f aca="false">IF($B1932="","",$C1932+$D1932-$E1932)</f>
        <v/>
      </c>
      <c r="G1932" s="10" t="str">
        <f aca="false">IF($B1932="","",IFERROR(INDEX(Drinks!$C$4:$C$53,MATCH($B1932,Drinks!$A$4:$A$53,0)),0))</f>
        <v/>
      </c>
      <c r="H1932" s="10" t="str">
        <f aca="false">IF($B1932="","",$D1932*$G1932)</f>
        <v/>
      </c>
      <c r="I1932" s="10" t="str">
        <f aca="false">IF($B1932="","",$F1932*$G1932)</f>
        <v/>
      </c>
      <c r="J1932" s="9"/>
      <c r="K1932" s="10" t="str">
        <f aca="false">IF($B1932="","",$E1932*IFERROR(INDEX(Drinks!$B$4:$B$53,MATCH($B1932,Drinks!$A$4:$A$53,0)),0))</f>
        <v/>
      </c>
      <c r="L1932" s="10" t="str">
        <f aca="false">IF($B1932="","",$J1932+$K1932)</f>
        <v/>
      </c>
      <c r="M1932" s="9"/>
      <c r="N1932" s="10" t="str">
        <f aca="false">IF($B1932="","",$L1932-$M1932)</f>
        <v/>
      </c>
      <c r="O1932" s="10" t="str">
        <f aca="false">IF($B1932="","",IFERROR(INDEX(Drinks!$E$4:$E$53,MATCH($B1932,Drinks!$A$4:$A$53,0)),0))</f>
        <v/>
      </c>
      <c r="P1932" s="10" t="str">
        <f aca="false">IF($B1932="","",$N1932*$O1932)</f>
        <v/>
      </c>
      <c r="Q1932" s="10" t="str">
        <f aca="false">IF($B1932="","",$N1932*IFERROR(INDEX(Drinks!$D$4:$D$53,MATCH($B1932,Drinks!$A$4:$A$53,0)),0))</f>
        <v/>
      </c>
      <c r="R1932" s="10" t="str">
        <f aca="false">IF($B1932="","",$P1932-$Q1932)</f>
        <v/>
      </c>
      <c r="S1932" s="23" t="str">
        <f aca="false">IF($B1932="","",IF(COUNTIFS($A$4:$A$2003,$A1932-1,$B$4:$B$2003,$B1932)=0,"first day",IF(SUMIFS($M$4:$M$2003,$A$4:$A$2003,$A1932-1,$B$4:$B$2003,$B1932)=$J1932,"OK","CHECK")))</f>
        <v/>
      </c>
      <c r="T1932" s="10" t="str">
        <f aca="false">IF($B1932="","",IFERROR(INDEX(Drinks!$D$4:$D$53,MATCH($B1932,Drinks!$A$4:$A$53,0)),0))</f>
        <v/>
      </c>
    </row>
    <row r="1933" customFormat="false" ht="15" hidden="false" customHeight="false" outlineLevel="0" collapsed="false">
      <c r="A1933" s="22"/>
      <c r="B1933" s="9"/>
      <c r="C1933" s="9"/>
      <c r="D1933" s="9"/>
      <c r="E1933" s="9"/>
      <c r="F1933" s="10" t="str">
        <f aca="false">IF($B1933="","",$C1933+$D1933-$E1933)</f>
        <v/>
      </c>
      <c r="G1933" s="10" t="str">
        <f aca="false">IF($B1933="","",IFERROR(INDEX(Drinks!$C$4:$C$53,MATCH($B1933,Drinks!$A$4:$A$53,0)),0))</f>
        <v/>
      </c>
      <c r="H1933" s="10" t="str">
        <f aca="false">IF($B1933="","",$D1933*$G1933)</f>
        <v/>
      </c>
      <c r="I1933" s="10" t="str">
        <f aca="false">IF($B1933="","",$F1933*$G1933)</f>
        <v/>
      </c>
      <c r="J1933" s="9"/>
      <c r="K1933" s="10" t="str">
        <f aca="false">IF($B1933="","",$E1933*IFERROR(INDEX(Drinks!$B$4:$B$53,MATCH($B1933,Drinks!$A$4:$A$53,0)),0))</f>
        <v/>
      </c>
      <c r="L1933" s="10" t="str">
        <f aca="false">IF($B1933="","",$J1933+$K1933)</f>
        <v/>
      </c>
      <c r="M1933" s="9"/>
      <c r="N1933" s="10" t="str">
        <f aca="false">IF($B1933="","",$L1933-$M1933)</f>
        <v/>
      </c>
      <c r="O1933" s="10" t="str">
        <f aca="false">IF($B1933="","",IFERROR(INDEX(Drinks!$E$4:$E$53,MATCH($B1933,Drinks!$A$4:$A$53,0)),0))</f>
        <v/>
      </c>
      <c r="P1933" s="10" t="str">
        <f aca="false">IF($B1933="","",$N1933*$O1933)</f>
        <v/>
      </c>
      <c r="Q1933" s="10" t="str">
        <f aca="false">IF($B1933="","",$N1933*IFERROR(INDEX(Drinks!$D$4:$D$53,MATCH($B1933,Drinks!$A$4:$A$53,0)),0))</f>
        <v/>
      </c>
      <c r="R1933" s="10" t="str">
        <f aca="false">IF($B1933="","",$P1933-$Q1933)</f>
        <v/>
      </c>
      <c r="S1933" s="23" t="str">
        <f aca="false">IF($B1933="","",IF(COUNTIFS($A$4:$A$2003,$A1933-1,$B$4:$B$2003,$B1933)=0,"first day",IF(SUMIFS($M$4:$M$2003,$A$4:$A$2003,$A1933-1,$B$4:$B$2003,$B1933)=$J1933,"OK","CHECK")))</f>
        <v/>
      </c>
      <c r="T1933" s="10" t="str">
        <f aca="false">IF($B1933="","",IFERROR(INDEX(Drinks!$D$4:$D$53,MATCH($B1933,Drinks!$A$4:$A$53,0)),0))</f>
        <v/>
      </c>
    </row>
    <row r="1934" customFormat="false" ht="15" hidden="false" customHeight="false" outlineLevel="0" collapsed="false">
      <c r="A1934" s="22"/>
      <c r="B1934" s="9"/>
      <c r="C1934" s="9"/>
      <c r="D1934" s="9"/>
      <c r="E1934" s="9"/>
      <c r="F1934" s="10" t="str">
        <f aca="false">IF($B1934="","",$C1934+$D1934-$E1934)</f>
        <v/>
      </c>
      <c r="G1934" s="10" t="str">
        <f aca="false">IF($B1934="","",IFERROR(INDEX(Drinks!$C$4:$C$53,MATCH($B1934,Drinks!$A$4:$A$53,0)),0))</f>
        <v/>
      </c>
      <c r="H1934" s="10" t="str">
        <f aca="false">IF($B1934="","",$D1934*$G1934)</f>
        <v/>
      </c>
      <c r="I1934" s="10" t="str">
        <f aca="false">IF($B1934="","",$F1934*$G1934)</f>
        <v/>
      </c>
      <c r="J1934" s="9"/>
      <c r="K1934" s="10" t="str">
        <f aca="false">IF($B1934="","",$E1934*IFERROR(INDEX(Drinks!$B$4:$B$53,MATCH($B1934,Drinks!$A$4:$A$53,0)),0))</f>
        <v/>
      </c>
      <c r="L1934" s="10" t="str">
        <f aca="false">IF($B1934="","",$J1934+$K1934)</f>
        <v/>
      </c>
      <c r="M1934" s="9"/>
      <c r="N1934" s="10" t="str">
        <f aca="false">IF($B1934="","",$L1934-$M1934)</f>
        <v/>
      </c>
      <c r="O1934" s="10" t="str">
        <f aca="false">IF($B1934="","",IFERROR(INDEX(Drinks!$E$4:$E$53,MATCH($B1934,Drinks!$A$4:$A$53,0)),0))</f>
        <v/>
      </c>
      <c r="P1934" s="10" t="str">
        <f aca="false">IF($B1934="","",$N1934*$O1934)</f>
        <v/>
      </c>
      <c r="Q1934" s="10" t="str">
        <f aca="false">IF($B1934="","",$N1934*IFERROR(INDEX(Drinks!$D$4:$D$53,MATCH($B1934,Drinks!$A$4:$A$53,0)),0))</f>
        <v/>
      </c>
      <c r="R1934" s="10" t="str">
        <f aca="false">IF($B1934="","",$P1934-$Q1934)</f>
        <v/>
      </c>
      <c r="S1934" s="23" t="str">
        <f aca="false">IF($B1934="","",IF(COUNTIFS($A$4:$A$2003,$A1934-1,$B$4:$B$2003,$B1934)=0,"first day",IF(SUMIFS($M$4:$M$2003,$A$4:$A$2003,$A1934-1,$B$4:$B$2003,$B1934)=$J1934,"OK","CHECK")))</f>
        <v/>
      </c>
      <c r="T1934" s="10" t="str">
        <f aca="false">IF($B1934="","",IFERROR(INDEX(Drinks!$D$4:$D$53,MATCH($B1934,Drinks!$A$4:$A$53,0)),0))</f>
        <v/>
      </c>
    </row>
    <row r="1935" customFormat="false" ht="15" hidden="false" customHeight="false" outlineLevel="0" collapsed="false">
      <c r="A1935" s="22"/>
      <c r="B1935" s="9"/>
      <c r="C1935" s="9"/>
      <c r="D1935" s="9"/>
      <c r="E1935" s="9"/>
      <c r="F1935" s="10" t="str">
        <f aca="false">IF($B1935="","",$C1935+$D1935-$E1935)</f>
        <v/>
      </c>
      <c r="G1935" s="10" t="str">
        <f aca="false">IF($B1935="","",IFERROR(INDEX(Drinks!$C$4:$C$53,MATCH($B1935,Drinks!$A$4:$A$53,0)),0))</f>
        <v/>
      </c>
      <c r="H1935" s="10" t="str">
        <f aca="false">IF($B1935="","",$D1935*$G1935)</f>
        <v/>
      </c>
      <c r="I1935" s="10" t="str">
        <f aca="false">IF($B1935="","",$F1935*$G1935)</f>
        <v/>
      </c>
      <c r="J1935" s="9"/>
      <c r="K1935" s="10" t="str">
        <f aca="false">IF($B1935="","",$E1935*IFERROR(INDEX(Drinks!$B$4:$B$53,MATCH($B1935,Drinks!$A$4:$A$53,0)),0))</f>
        <v/>
      </c>
      <c r="L1935" s="10" t="str">
        <f aca="false">IF($B1935="","",$J1935+$K1935)</f>
        <v/>
      </c>
      <c r="M1935" s="9"/>
      <c r="N1935" s="10" t="str">
        <f aca="false">IF($B1935="","",$L1935-$M1935)</f>
        <v/>
      </c>
      <c r="O1935" s="10" t="str">
        <f aca="false">IF($B1935="","",IFERROR(INDEX(Drinks!$E$4:$E$53,MATCH($B1935,Drinks!$A$4:$A$53,0)),0))</f>
        <v/>
      </c>
      <c r="P1935" s="10" t="str">
        <f aca="false">IF($B1935="","",$N1935*$O1935)</f>
        <v/>
      </c>
      <c r="Q1935" s="10" t="str">
        <f aca="false">IF($B1935="","",$N1935*IFERROR(INDEX(Drinks!$D$4:$D$53,MATCH($B1935,Drinks!$A$4:$A$53,0)),0))</f>
        <v/>
      </c>
      <c r="R1935" s="10" t="str">
        <f aca="false">IF($B1935="","",$P1935-$Q1935)</f>
        <v/>
      </c>
      <c r="S1935" s="23" t="str">
        <f aca="false">IF($B1935="","",IF(COUNTIFS($A$4:$A$2003,$A1935-1,$B$4:$B$2003,$B1935)=0,"first day",IF(SUMIFS($M$4:$M$2003,$A$4:$A$2003,$A1935-1,$B$4:$B$2003,$B1935)=$J1935,"OK","CHECK")))</f>
        <v/>
      </c>
      <c r="T1935" s="10" t="str">
        <f aca="false">IF($B1935="","",IFERROR(INDEX(Drinks!$D$4:$D$53,MATCH($B1935,Drinks!$A$4:$A$53,0)),0))</f>
        <v/>
      </c>
    </row>
    <row r="1936" customFormat="false" ht="15" hidden="false" customHeight="false" outlineLevel="0" collapsed="false">
      <c r="A1936" s="22"/>
      <c r="B1936" s="9"/>
      <c r="C1936" s="9"/>
      <c r="D1936" s="9"/>
      <c r="E1936" s="9"/>
      <c r="F1936" s="10" t="str">
        <f aca="false">IF($B1936="","",$C1936+$D1936-$E1936)</f>
        <v/>
      </c>
      <c r="G1936" s="10" t="str">
        <f aca="false">IF($B1936="","",IFERROR(INDEX(Drinks!$C$4:$C$53,MATCH($B1936,Drinks!$A$4:$A$53,0)),0))</f>
        <v/>
      </c>
      <c r="H1936" s="10" t="str">
        <f aca="false">IF($B1936="","",$D1936*$G1936)</f>
        <v/>
      </c>
      <c r="I1936" s="10" t="str">
        <f aca="false">IF($B1936="","",$F1936*$G1936)</f>
        <v/>
      </c>
      <c r="J1936" s="9"/>
      <c r="K1936" s="10" t="str">
        <f aca="false">IF($B1936="","",$E1936*IFERROR(INDEX(Drinks!$B$4:$B$53,MATCH($B1936,Drinks!$A$4:$A$53,0)),0))</f>
        <v/>
      </c>
      <c r="L1936" s="10" t="str">
        <f aca="false">IF($B1936="","",$J1936+$K1936)</f>
        <v/>
      </c>
      <c r="M1936" s="9"/>
      <c r="N1936" s="10" t="str">
        <f aca="false">IF($B1936="","",$L1936-$M1936)</f>
        <v/>
      </c>
      <c r="O1936" s="10" t="str">
        <f aca="false">IF($B1936="","",IFERROR(INDEX(Drinks!$E$4:$E$53,MATCH($B1936,Drinks!$A$4:$A$53,0)),0))</f>
        <v/>
      </c>
      <c r="P1936" s="10" t="str">
        <f aca="false">IF($B1936="","",$N1936*$O1936)</f>
        <v/>
      </c>
      <c r="Q1936" s="10" t="str">
        <f aca="false">IF($B1936="","",$N1936*IFERROR(INDEX(Drinks!$D$4:$D$53,MATCH($B1936,Drinks!$A$4:$A$53,0)),0))</f>
        <v/>
      </c>
      <c r="R1936" s="10" t="str">
        <f aca="false">IF($B1936="","",$P1936-$Q1936)</f>
        <v/>
      </c>
      <c r="S1936" s="23" t="str">
        <f aca="false">IF($B1936="","",IF(COUNTIFS($A$4:$A$2003,$A1936-1,$B$4:$B$2003,$B1936)=0,"first day",IF(SUMIFS($M$4:$M$2003,$A$4:$A$2003,$A1936-1,$B$4:$B$2003,$B1936)=$J1936,"OK","CHECK")))</f>
        <v/>
      </c>
      <c r="T1936" s="10" t="str">
        <f aca="false">IF($B1936="","",IFERROR(INDEX(Drinks!$D$4:$D$53,MATCH($B1936,Drinks!$A$4:$A$53,0)),0))</f>
        <v/>
      </c>
    </row>
    <row r="1937" customFormat="false" ht="15" hidden="false" customHeight="false" outlineLevel="0" collapsed="false">
      <c r="A1937" s="22"/>
      <c r="B1937" s="9"/>
      <c r="C1937" s="9"/>
      <c r="D1937" s="9"/>
      <c r="E1937" s="9"/>
      <c r="F1937" s="10" t="str">
        <f aca="false">IF($B1937="","",$C1937+$D1937-$E1937)</f>
        <v/>
      </c>
      <c r="G1937" s="10" t="str">
        <f aca="false">IF($B1937="","",IFERROR(INDEX(Drinks!$C$4:$C$53,MATCH($B1937,Drinks!$A$4:$A$53,0)),0))</f>
        <v/>
      </c>
      <c r="H1937" s="10" t="str">
        <f aca="false">IF($B1937="","",$D1937*$G1937)</f>
        <v/>
      </c>
      <c r="I1937" s="10" t="str">
        <f aca="false">IF($B1937="","",$F1937*$G1937)</f>
        <v/>
      </c>
      <c r="J1937" s="9"/>
      <c r="K1937" s="10" t="str">
        <f aca="false">IF($B1937="","",$E1937*IFERROR(INDEX(Drinks!$B$4:$B$53,MATCH($B1937,Drinks!$A$4:$A$53,0)),0))</f>
        <v/>
      </c>
      <c r="L1937" s="10" t="str">
        <f aca="false">IF($B1937="","",$J1937+$K1937)</f>
        <v/>
      </c>
      <c r="M1937" s="9"/>
      <c r="N1937" s="10" t="str">
        <f aca="false">IF($B1937="","",$L1937-$M1937)</f>
        <v/>
      </c>
      <c r="O1937" s="10" t="str">
        <f aca="false">IF($B1937="","",IFERROR(INDEX(Drinks!$E$4:$E$53,MATCH($B1937,Drinks!$A$4:$A$53,0)),0))</f>
        <v/>
      </c>
      <c r="P1937" s="10" t="str">
        <f aca="false">IF($B1937="","",$N1937*$O1937)</f>
        <v/>
      </c>
      <c r="Q1937" s="10" t="str">
        <f aca="false">IF($B1937="","",$N1937*IFERROR(INDEX(Drinks!$D$4:$D$53,MATCH($B1937,Drinks!$A$4:$A$53,0)),0))</f>
        <v/>
      </c>
      <c r="R1937" s="10" t="str">
        <f aca="false">IF($B1937="","",$P1937-$Q1937)</f>
        <v/>
      </c>
      <c r="S1937" s="23" t="str">
        <f aca="false">IF($B1937="","",IF(COUNTIFS($A$4:$A$2003,$A1937-1,$B$4:$B$2003,$B1937)=0,"first day",IF(SUMIFS($M$4:$M$2003,$A$4:$A$2003,$A1937-1,$B$4:$B$2003,$B1937)=$J1937,"OK","CHECK")))</f>
        <v/>
      </c>
      <c r="T1937" s="10" t="str">
        <f aca="false">IF($B1937="","",IFERROR(INDEX(Drinks!$D$4:$D$53,MATCH($B1937,Drinks!$A$4:$A$53,0)),0))</f>
        <v/>
      </c>
    </row>
    <row r="1938" customFormat="false" ht="15" hidden="false" customHeight="false" outlineLevel="0" collapsed="false">
      <c r="A1938" s="22"/>
      <c r="B1938" s="9"/>
      <c r="C1938" s="9"/>
      <c r="D1938" s="9"/>
      <c r="E1938" s="9"/>
      <c r="F1938" s="10" t="str">
        <f aca="false">IF($B1938="","",$C1938+$D1938-$E1938)</f>
        <v/>
      </c>
      <c r="G1938" s="10" t="str">
        <f aca="false">IF($B1938="","",IFERROR(INDEX(Drinks!$C$4:$C$53,MATCH($B1938,Drinks!$A$4:$A$53,0)),0))</f>
        <v/>
      </c>
      <c r="H1938" s="10" t="str">
        <f aca="false">IF($B1938="","",$D1938*$G1938)</f>
        <v/>
      </c>
      <c r="I1938" s="10" t="str">
        <f aca="false">IF($B1938="","",$F1938*$G1938)</f>
        <v/>
      </c>
      <c r="J1938" s="9"/>
      <c r="K1938" s="10" t="str">
        <f aca="false">IF($B1938="","",$E1938*IFERROR(INDEX(Drinks!$B$4:$B$53,MATCH($B1938,Drinks!$A$4:$A$53,0)),0))</f>
        <v/>
      </c>
      <c r="L1938" s="10" t="str">
        <f aca="false">IF($B1938="","",$J1938+$K1938)</f>
        <v/>
      </c>
      <c r="M1938" s="9"/>
      <c r="N1938" s="10" t="str">
        <f aca="false">IF($B1938="","",$L1938-$M1938)</f>
        <v/>
      </c>
      <c r="O1938" s="10" t="str">
        <f aca="false">IF($B1938="","",IFERROR(INDEX(Drinks!$E$4:$E$53,MATCH($B1938,Drinks!$A$4:$A$53,0)),0))</f>
        <v/>
      </c>
      <c r="P1938" s="10" t="str">
        <f aca="false">IF($B1938="","",$N1938*$O1938)</f>
        <v/>
      </c>
      <c r="Q1938" s="10" t="str">
        <f aca="false">IF($B1938="","",$N1938*IFERROR(INDEX(Drinks!$D$4:$D$53,MATCH($B1938,Drinks!$A$4:$A$53,0)),0))</f>
        <v/>
      </c>
      <c r="R1938" s="10" t="str">
        <f aca="false">IF($B1938="","",$P1938-$Q1938)</f>
        <v/>
      </c>
      <c r="S1938" s="23" t="str">
        <f aca="false">IF($B1938="","",IF(COUNTIFS($A$4:$A$2003,$A1938-1,$B$4:$B$2003,$B1938)=0,"first day",IF(SUMIFS($M$4:$M$2003,$A$4:$A$2003,$A1938-1,$B$4:$B$2003,$B1938)=$J1938,"OK","CHECK")))</f>
        <v/>
      </c>
      <c r="T1938" s="10" t="str">
        <f aca="false">IF($B1938="","",IFERROR(INDEX(Drinks!$D$4:$D$53,MATCH($B1938,Drinks!$A$4:$A$53,0)),0))</f>
        <v/>
      </c>
    </row>
    <row r="1939" customFormat="false" ht="15" hidden="false" customHeight="false" outlineLevel="0" collapsed="false">
      <c r="A1939" s="22"/>
      <c r="B1939" s="9"/>
      <c r="C1939" s="9"/>
      <c r="D1939" s="9"/>
      <c r="E1939" s="9"/>
      <c r="F1939" s="10" t="str">
        <f aca="false">IF($B1939="","",$C1939+$D1939-$E1939)</f>
        <v/>
      </c>
      <c r="G1939" s="10" t="str">
        <f aca="false">IF($B1939="","",IFERROR(INDEX(Drinks!$C$4:$C$53,MATCH($B1939,Drinks!$A$4:$A$53,0)),0))</f>
        <v/>
      </c>
      <c r="H1939" s="10" t="str">
        <f aca="false">IF($B1939="","",$D1939*$G1939)</f>
        <v/>
      </c>
      <c r="I1939" s="10" t="str">
        <f aca="false">IF($B1939="","",$F1939*$G1939)</f>
        <v/>
      </c>
      <c r="J1939" s="9"/>
      <c r="K1939" s="10" t="str">
        <f aca="false">IF($B1939="","",$E1939*IFERROR(INDEX(Drinks!$B$4:$B$53,MATCH($B1939,Drinks!$A$4:$A$53,0)),0))</f>
        <v/>
      </c>
      <c r="L1939" s="10" t="str">
        <f aca="false">IF($B1939="","",$J1939+$K1939)</f>
        <v/>
      </c>
      <c r="M1939" s="9"/>
      <c r="N1939" s="10" t="str">
        <f aca="false">IF($B1939="","",$L1939-$M1939)</f>
        <v/>
      </c>
      <c r="O1939" s="10" t="str">
        <f aca="false">IF($B1939="","",IFERROR(INDEX(Drinks!$E$4:$E$53,MATCH($B1939,Drinks!$A$4:$A$53,0)),0))</f>
        <v/>
      </c>
      <c r="P1939" s="10" t="str">
        <f aca="false">IF($B1939="","",$N1939*$O1939)</f>
        <v/>
      </c>
      <c r="Q1939" s="10" t="str">
        <f aca="false">IF($B1939="","",$N1939*IFERROR(INDEX(Drinks!$D$4:$D$53,MATCH($B1939,Drinks!$A$4:$A$53,0)),0))</f>
        <v/>
      </c>
      <c r="R1939" s="10" t="str">
        <f aca="false">IF($B1939="","",$P1939-$Q1939)</f>
        <v/>
      </c>
      <c r="S1939" s="23" t="str">
        <f aca="false">IF($B1939="","",IF(COUNTIFS($A$4:$A$2003,$A1939-1,$B$4:$B$2003,$B1939)=0,"first day",IF(SUMIFS($M$4:$M$2003,$A$4:$A$2003,$A1939-1,$B$4:$B$2003,$B1939)=$J1939,"OK","CHECK")))</f>
        <v/>
      </c>
      <c r="T1939" s="10" t="str">
        <f aca="false">IF($B1939="","",IFERROR(INDEX(Drinks!$D$4:$D$53,MATCH($B1939,Drinks!$A$4:$A$53,0)),0))</f>
        <v/>
      </c>
    </row>
    <row r="1940" customFormat="false" ht="15" hidden="false" customHeight="false" outlineLevel="0" collapsed="false">
      <c r="A1940" s="22"/>
      <c r="B1940" s="9"/>
      <c r="C1940" s="9"/>
      <c r="D1940" s="9"/>
      <c r="E1940" s="9"/>
      <c r="F1940" s="10" t="str">
        <f aca="false">IF($B1940="","",$C1940+$D1940-$E1940)</f>
        <v/>
      </c>
      <c r="G1940" s="10" t="str">
        <f aca="false">IF($B1940="","",IFERROR(INDEX(Drinks!$C$4:$C$53,MATCH($B1940,Drinks!$A$4:$A$53,0)),0))</f>
        <v/>
      </c>
      <c r="H1940" s="10" t="str">
        <f aca="false">IF($B1940="","",$D1940*$G1940)</f>
        <v/>
      </c>
      <c r="I1940" s="10" t="str">
        <f aca="false">IF($B1940="","",$F1940*$G1940)</f>
        <v/>
      </c>
      <c r="J1940" s="9"/>
      <c r="K1940" s="10" t="str">
        <f aca="false">IF($B1940="","",$E1940*IFERROR(INDEX(Drinks!$B$4:$B$53,MATCH($B1940,Drinks!$A$4:$A$53,0)),0))</f>
        <v/>
      </c>
      <c r="L1940" s="10" t="str">
        <f aca="false">IF($B1940="","",$J1940+$K1940)</f>
        <v/>
      </c>
      <c r="M1940" s="9"/>
      <c r="N1940" s="10" t="str">
        <f aca="false">IF($B1940="","",$L1940-$M1940)</f>
        <v/>
      </c>
      <c r="O1940" s="10" t="str">
        <f aca="false">IF($B1940="","",IFERROR(INDEX(Drinks!$E$4:$E$53,MATCH($B1940,Drinks!$A$4:$A$53,0)),0))</f>
        <v/>
      </c>
      <c r="P1940" s="10" t="str">
        <f aca="false">IF($B1940="","",$N1940*$O1940)</f>
        <v/>
      </c>
      <c r="Q1940" s="10" t="str">
        <f aca="false">IF($B1940="","",$N1940*IFERROR(INDEX(Drinks!$D$4:$D$53,MATCH($B1940,Drinks!$A$4:$A$53,0)),0))</f>
        <v/>
      </c>
      <c r="R1940" s="10" t="str">
        <f aca="false">IF($B1940="","",$P1940-$Q1940)</f>
        <v/>
      </c>
      <c r="S1940" s="23" t="str">
        <f aca="false">IF($B1940="","",IF(COUNTIFS($A$4:$A$2003,$A1940-1,$B$4:$B$2003,$B1940)=0,"first day",IF(SUMIFS($M$4:$M$2003,$A$4:$A$2003,$A1940-1,$B$4:$B$2003,$B1940)=$J1940,"OK","CHECK")))</f>
        <v/>
      </c>
      <c r="T1940" s="10" t="str">
        <f aca="false">IF($B1940="","",IFERROR(INDEX(Drinks!$D$4:$D$53,MATCH($B1940,Drinks!$A$4:$A$53,0)),0))</f>
        <v/>
      </c>
    </row>
    <row r="1941" customFormat="false" ht="15" hidden="false" customHeight="false" outlineLevel="0" collapsed="false">
      <c r="A1941" s="22"/>
      <c r="B1941" s="9"/>
      <c r="C1941" s="9"/>
      <c r="D1941" s="9"/>
      <c r="E1941" s="9"/>
      <c r="F1941" s="10" t="str">
        <f aca="false">IF($B1941="","",$C1941+$D1941-$E1941)</f>
        <v/>
      </c>
      <c r="G1941" s="10" t="str">
        <f aca="false">IF($B1941="","",IFERROR(INDEX(Drinks!$C$4:$C$53,MATCH($B1941,Drinks!$A$4:$A$53,0)),0))</f>
        <v/>
      </c>
      <c r="H1941" s="10" t="str">
        <f aca="false">IF($B1941="","",$D1941*$G1941)</f>
        <v/>
      </c>
      <c r="I1941" s="10" t="str">
        <f aca="false">IF($B1941="","",$F1941*$G1941)</f>
        <v/>
      </c>
      <c r="J1941" s="9"/>
      <c r="K1941" s="10" t="str">
        <f aca="false">IF($B1941="","",$E1941*IFERROR(INDEX(Drinks!$B$4:$B$53,MATCH($B1941,Drinks!$A$4:$A$53,0)),0))</f>
        <v/>
      </c>
      <c r="L1941" s="10" t="str">
        <f aca="false">IF($B1941="","",$J1941+$K1941)</f>
        <v/>
      </c>
      <c r="M1941" s="9"/>
      <c r="N1941" s="10" t="str">
        <f aca="false">IF($B1941="","",$L1941-$M1941)</f>
        <v/>
      </c>
      <c r="O1941" s="10" t="str">
        <f aca="false">IF($B1941="","",IFERROR(INDEX(Drinks!$E$4:$E$53,MATCH($B1941,Drinks!$A$4:$A$53,0)),0))</f>
        <v/>
      </c>
      <c r="P1941" s="10" t="str">
        <f aca="false">IF($B1941="","",$N1941*$O1941)</f>
        <v/>
      </c>
      <c r="Q1941" s="10" t="str">
        <f aca="false">IF($B1941="","",$N1941*IFERROR(INDEX(Drinks!$D$4:$D$53,MATCH($B1941,Drinks!$A$4:$A$53,0)),0))</f>
        <v/>
      </c>
      <c r="R1941" s="10" t="str">
        <f aca="false">IF($B1941="","",$P1941-$Q1941)</f>
        <v/>
      </c>
      <c r="S1941" s="23" t="str">
        <f aca="false">IF($B1941="","",IF(COUNTIFS($A$4:$A$2003,$A1941-1,$B$4:$B$2003,$B1941)=0,"first day",IF(SUMIFS($M$4:$M$2003,$A$4:$A$2003,$A1941-1,$B$4:$B$2003,$B1941)=$J1941,"OK","CHECK")))</f>
        <v/>
      </c>
      <c r="T1941" s="10" t="str">
        <f aca="false">IF($B1941="","",IFERROR(INDEX(Drinks!$D$4:$D$53,MATCH($B1941,Drinks!$A$4:$A$53,0)),0))</f>
        <v/>
      </c>
    </row>
    <row r="1942" customFormat="false" ht="15" hidden="false" customHeight="false" outlineLevel="0" collapsed="false">
      <c r="A1942" s="22"/>
      <c r="B1942" s="9"/>
      <c r="C1942" s="9"/>
      <c r="D1942" s="9"/>
      <c r="E1942" s="9"/>
      <c r="F1942" s="10" t="str">
        <f aca="false">IF($B1942="","",$C1942+$D1942-$E1942)</f>
        <v/>
      </c>
      <c r="G1942" s="10" t="str">
        <f aca="false">IF($B1942="","",IFERROR(INDEX(Drinks!$C$4:$C$53,MATCH($B1942,Drinks!$A$4:$A$53,0)),0))</f>
        <v/>
      </c>
      <c r="H1942" s="10" t="str">
        <f aca="false">IF($B1942="","",$D1942*$G1942)</f>
        <v/>
      </c>
      <c r="I1942" s="10" t="str">
        <f aca="false">IF($B1942="","",$F1942*$G1942)</f>
        <v/>
      </c>
      <c r="J1942" s="9"/>
      <c r="K1942" s="10" t="str">
        <f aca="false">IF($B1942="","",$E1942*IFERROR(INDEX(Drinks!$B$4:$B$53,MATCH($B1942,Drinks!$A$4:$A$53,0)),0))</f>
        <v/>
      </c>
      <c r="L1942" s="10" t="str">
        <f aca="false">IF($B1942="","",$J1942+$K1942)</f>
        <v/>
      </c>
      <c r="M1942" s="9"/>
      <c r="N1942" s="10" t="str">
        <f aca="false">IF($B1942="","",$L1942-$M1942)</f>
        <v/>
      </c>
      <c r="O1942" s="10" t="str">
        <f aca="false">IF($B1942="","",IFERROR(INDEX(Drinks!$E$4:$E$53,MATCH($B1942,Drinks!$A$4:$A$53,0)),0))</f>
        <v/>
      </c>
      <c r="P1942" s="10" t="str">
        <f aca="false">IF($B1942="","",$N1942*$O1942)</f>
        <v/>
      </c>
      <c r="Q1942" s="10" t="str">
        <f aca="false">IF($B1942="","",$N1942*IFERROR(INDEX(Drinks!$D$4:$D$53,MATCH($B1942,Drinks!$A$4:$A$53,0)),0))</f>
        <v/>
      </c>
      <c r="R1942" s="10" t="str">
        <f aca="false">IF($B1942="","",$P1942-$Q1942)</f>
        <v/>
      </c>
      <c r="S1942" s="23" t="str">
        <f aca="false">IF($B1942="","",IF(COUNTIFS($A$4:$A$2003,$A1942-1,$B$4:$B$2003,$B1942)=0,"first day",IF(SUMIFS($M$4:$M$2003,$A$4:$A$2003,$A1942-1,$B$4:$B$2003,$B1942)=$J1942,"OK","CHECK")))</f>
        <v/>
      </c>
      <c r="T1942" s="10" t="str">
        <f aca="false">IF($B1942="","",IFERROR(INDEX(Drinks!$D$4:$D$53,MATCH($B1942,Drinks!$A$4:$A$53,0)),0))</f>
        <v/>
      </c>
    </row>
    <row r="1943" customFormat="false" ht="15" hidden="false" customHeight="false" outlineLevel="0" collapsed="false">
      <c r="A1943" s="22"/>
      <c r="B1943" s="9"/>
      <c r="C1943" s="9"/>
      <c r="D1943" s="9"/>
      <c r="E1943" s="9"/>
      <c r="F1943" s="10" t="str">
        <f aca="false">IF($B1943="","",$C1943+$D1943-$E1943)</f>
        <v/>
      </c>
      <c r="G1943" s="10" t="str">
        <f aca="false">IF($B1943="","",IFERROR(INDEX(Drinks!$C$4:$C$53,MATCH($B1943,Drinks!$A$4:$A$53,0)),0))</f>
        <v/>
      </c>
      <c r="H1943" s="10" t="str">
        <f aca="false">IF($B1943="","",$D1943*$G1943)</f>
        <v/>
      </c>
      <c r="I1943" s="10" t="str">
        <f aca="false">IF($B1943="","",$F1943*$G1943)</f>
        <v/>
      </c>
      <c r="J1943" s="9"/>
      <c r="K1943" s="10" t="str">
        <f aca="false">IF($B1943="","",$E1943*IFERROR(INDEX(Drinks!$B$4:$B$53,MATCH($B1943,Drinks!$A$4:$A$53,0)),0))</f>
        <v/>
      </c>
      <c r="L1943" s="10" t="str">
        <f aca="false">IF($B1943="","",$J1943+$K1943)</f>
        <v/>
      </c>
      <c r="M1943" s="9"/>
      <c r="N1943" s="10" t="str">
        <f aca="false">IF($B1943="","",$L1943-$M1943)</f>
        <v/>
      </c>
      <c r="O1943" s="10" t="str">
        <f aca="false">IF($B1943="","",IFERROR(INDEX(Drinks!$E$4:$E$53,MATCH($B1943,Drinks!$A$4:$A$53,0)),0))</f>
        <v/>
      </c>
      <c r="P1943" s="10" t="str">
        <f aca="false">IF($B1943="","",$N1943*$O1943)</f>
        <v/>
      </c>
      <c r="Q1943" s="10" t="str">
        <f aca="false">IF($B1943="","",$N1943*IFERROR(INDEX(Drinks!$D$4:$D$53,MATCH($B1943,Drinks!$A$4:$A$53,0)),0))</f>
        <v/>
      </c>
      <c r="R1943" s="10" t="str">
        <f aca="false">IF($B1943="","",$P1943-$Q1943)</f>
        <v/>
      </c>
      <c r="S1943" s="23" t="str">
        <f aca="false">IF($B1943="","",IF(COUNTIFS($A$4:$A$2003,$A1943-1,$B$4:$B$2003,$B1943)=0,"first day",IF(SUMIFS($M$4:$M$2003,$A$4:$A$2003,$A1943-1,$B$4:$B$2003,$B1943)=$J1943,"OK","CHECK")))</f>
        <v/>
      </c>
      <c r="T1943" s="10" t="str">
        <f aca="false">IF($B1943="","",IFERROR(INDEX(Drinks!$D$4:$D$53,MATCH($B1943,Drinks!$A$4:$A$53,0)),0))</f>
        <v/>
      </c>
    </row>
    <row r="1944" customFormat="false" ht="15" hidden="false" customHeight="false" outlineLevel="0" collapsed="false">
      <c r="A1944" s="22"/>
      <c r="B1944" s="9"/>
      <c r="C1944" s="9"/>
      <c r="D1944" s="9"/>
      <c r="E1944" s="9"/>
      <c r="F1944" s="10" t="str">
        <f aca="false">IF($B1944="","",$C1944+$D1944-$E1944)</f>
        <v/>
      </c>
      <c r="G1944" s="10" t="str">
        <f aca="false">IF($B1944="","",IFERROR(INDEX(Drinks!$C$4:$C$53,MATCH($B1944,Drinks!$A$4:$A$53,0)),0))</f>
        <v/>
      </c>
      <c r="H1944" s="10" t="str">
        <f aca="false">IF($B1944="","",$D1944*$G1944)</f>
        <v/>
      </c>
      <c r="I1944" s="10" t="str">
        <f aca="false">IF($B1944="","",$F1944*$G1944)</f>
        <v/>
      </c>
      <c r="J1944" s="9"/>
      <c r="K1944" s="10" t="str">
        <f aca="false">IF($B1944="","",$E1944*IFERROR(INDEX(Drinks!$B$4:$B$53,MATCH($B1944,Drinks!$A$4:$A$53,0)),0))</f>
        <v/>
      </c>
      <c r="L1944" s="10" t="str">
        <f aca="false">IF($B1944="","",$J1944+$K1944)</f>
        <v/>
      </c>
      <c r="M1944" s="9"/>
      <c r="N1944" s="10" t="str">
        <f aca="false">IF($B1944="","",$L1944-$M1944)</f>
        <v/>
      </c>
      <c r="O1944" s="10" t="str">
        <f aca="false">IF($B1944="","",IFERROR(INDEX(Drinks!$E$4:$E$53,MATCH($B1944,Drinks!$A$4:$A$53,0)),0))</f>
        <v/>
      </c>
      <c r="P1944" s="10" t="str">
        <f aca="false">IF($B1944="","",$N1944*$O1944)</f>
        <v/>
      </c>
      <c r="Q1944" s="10" t="str">
        <f aca="false">IF($B1944="","",$N1944*IFERROR(INDEX(Drinks!$D$4:$D$53,MATCH($B1944,Drinks!$A$4:$A$53,0)),0))</f>
        <v/>
      </c>
      <c r="R1944" s="10" t="str">
        <f aca="false">IF($B1944="","",$P1944-$Q1944)</f>
        <v/>
      </c>
      <c r="S1944" s="23" t="str">
        <f aca="false">IF($B1944="","",IF(COUNTIFS($A$4:$A$2003,$A1944-1,$B$4:$B$2003,$B1944)=0,"first day",IF(SUMIFS($M$4:$M$2003,$A$4:$A$2003,$A1944-1,$B$4:$B$2003,$B1944)=$J1944,"OK","CHECK")))</f>
        <v/>
      </c>
      <c r="T1944" s="10" t="str">
        <f aca="false">IF($B1944="","",IFERROR(INDEX(Drinks!$D$4:$D$53,MATCH($B1944,Drinks!$A$4:$A$53,0)),0))</f>
        <v/>
      </c>
    </row>
    <row r="1945" customFormat="false" ht="15" hidden="false" customHeight="false" outlineLevel="0" collapsed="false">
      <c r="A1945" s="22"/>
      <c r="B1945" s="9"/>
      <c r="C1945" s="9"/>
      <c r="D1945" s="9"/>
      <c r="E1945" s="9"/>
      <c r="F1945" s="10" t="str">
        <f aca="false">IF($B1945="","",$C1945+$D1945-$E1945)</f>
        <v/>
      </c>
      <c r="G1945" s="10" t="str">
        <f aca="false">IF($B1945="","",IFERROR(INDEX(Drinks!$C$4:$C$53,MATCH($B1945,Drinks!$A$4:$A$53,0)),0))</f>
        <v/>
      </c>
      <c r="H1945" s="10" t="str">
        <f aca="false">IF($B1945="","",$D1945*$G1945)</f>
        <v/>
      </c>
      <c r="I1945" s="10" t="str">
        <f aca="false">IF($B1945="","",$F1945*$G1945)</f>
        <v/>
      </c>
      <c r="J1945" s="9"/>
      <c r="K1945" s="10" t="str">
        <f aca="false">IF($B1945="","",$E1945*IFERROR(INDEX(Drinks!$B$4:$B$53,MATCH($B1945,Drinks!$A$4:$A$53,0)),0))</f>
        <v/>
      </c>
      <c r="L1945" s="10" t="str">
        <f aca="false">IF($B1945="","",$J1945+$K1945)</f>
        <v/>
      </c>
      <c r="M1945" s="9"/>
      <c r="N1945" s="10" t="str">
        <f aca="false">IF($B1945="","",$L1945-$M1945)</f>
        <v/>
      </c>
      <c r="O1945" s="10" t="str">
        <f aca="false">IF($B1945="","",IFERROR(INDEX(Drinks!$E$4:$E$53,MATCH($B1945,Drinks!$A$4:$A$53,0)),0))</f>
        <v/>
      </c>
      <c r="P1945" s="10" t="str">
        <f aca="false">IF($B1945="","",$N1945*$O1945)</f>
        <v/>
      </c>
      <c r="Q1945" s="10" t="str">
        <f aca="false">IF($B1945="","",$N1945*IFERROR(INDEX(Drinks!$D$4:$D$53,MATCH($B1945,Drinks!$A$4:$A$53,0)),0))</f>
        <v/>
      </c>
      <c r="R1945" s="10" t="str">
        <f aca="false">IF($B1945="","",$P1945-$Q1945)</f>
        <v/>
      </c>
      <c r="S1945" s="23" t="str">
        <f aca="false">IF($B1945="","",IF(COUNTIFS($A$4:$A$2003,$A1945-1,$B$4:$B$2003,$B1945)=0,"first day",IF(SUMIFS($M$4:$M$2003,$A$4:$A$2003,$A1945-1,$B$4:$B$2003,$B1945)=$J1945,"OK","CHECK")))</f>
        <v/>
      </c>
      <c r="T1945" s="10" t="str">
        <f aca="false">IF($B1945="","",IFERROR(INDEX(Drinks!$D$4:$D$53,MATCH($B1945,Drinks!$A$4:$A$53,0)),0))</f>
        <v/>
      </c>
    </row>
    <row r="1946" customFormat="false" ht="15" hidden="false" customHeight="false" outlineLevel="0" collapsed="false">
      <c r="A1946" s="22"/>
      <c r="B1946" s="9"/>
      <c r="C1946" s="9"/>
      <c r="D1946" s="9"/>
      <c r="E1946" s="9"/>
      <c r="F1946" s="10" t="str">
        <f aca="false">IF($B1946="","",$C1946+$D1946-$E1946)</f>
        <v/>
      </c>
      <c r="G1946" s="10" t="str">
        <f aca="false">IF($B1946="","",IFERROR(INDEX(Drinks!$C$4:$C$53,MATCH($B1946,Drinks!$A$4:$A$53,0)),0))</f>
        <v/>
      </c>
      <c r="H1946" s="10" t="str">
        <f aca="false">IF($B1946="","",$D1946*$G1946)</f>
        <v/>
      </c>
      <c r="I1946" s="10" t="str">
        <f aca="false">IF($B1946="","",$F1946*$G1946)</f>
        <v/>
      </c>
      <c r="J1946" s="9"/>
      <c r="K1946" s="10" t="str">
        <f aca="false">IF($B1946="","",$E1946*IFERROR(INDEX(Drinks!$B$4:$B$53,MATCH($B1946,Drinks!$A$4:$A$53,0)),0))</f>
        <v/>
      </c>
      <c r="L1946" s="10" t="str">
        <f aca="false">IF($B1946="","",$J1946+$K1946)</f>
        <v/>
      </c>
      <c r="M1946" s="9"/>
      <c r="N1946" s="10" t="str">
        <f aca="false">IF($B1946="","",$L1946-$M1946)</f>
        <v/>
      </c>
      <c r="O1946" s="10" t="str">
        <f aca="false">IF($B1946="","",IFERROR(INDEX(Drinks!$E$4:$E$53,MATCH($B1946,Drinks!$A$4:$A$53,0)),0))</f>
        <v/>
      </c>
      <c r="P1946" s="10" t="str">
        <f aca="false">IF($B1946="","",$N1946*$O1946)</f>
        <v/>
      </c>
      <c r="Q1946" s="10" t="str">
        <f aca="false">IF($B1946="","",$N1946*IFERROR(INDEX(Drinks!$D$4:$D$53,MATCH($B1946,Drinks!$A$4:$A$53,0)),0))</f>
        <v/>
      </c>
      <c r="R1946" s="10" t="str">
        <f aca="false">IF($B1946="","",$P1946-$Q1946)</f>
        <v/>
      </c>
      <c r="S1946" s="23" t="str">
        <f aca="false">IF($B1946="","",IF(COUNTIFS($A$4:$A$2003,$A1946-1,$B$4:$B$2003,$B1946)=0,"first day",IF(SUMIFS($M$4:$M$2003,$A$4:$A$2003,$A1946-1,$B$4:$B$2003,$B1946)=$J1946,"OK","CHECK")))</f>
        <v/>
      </c>
      <c r="T1946" s="10" t="str">
        <f aca="false">IF($B1946="","",IFERROR(INDEX(Drinks!$D$4:$D$53,MATCH($B1946,Drinks!$A$4:$A$53,0)),0))</f>
        <v/>
      </c>
    </row>
    <row r="1947" customFormat="false" ht="15" hidden="false" customHeight="false" outlineLevel="0" collapsed="false">
      <c r="A1947" s="22"/>
      <c r="B1947" s="9"/>
      <c r="C1947" s="9"/>
      <c r="D1947" s="9"/>
      <c r="E1947" s="9"/>
      <c r="F1947" s="10" t="str">
        <f aca="false">IF($B1947="","",$C1947+$D1947-$E1947)</f>
        <v/>
      </c>
      <c r="G1947" s="10" t="str">
        <f aca="false">IF($B1947="","",IFERROR(INDEX(Drinks!$C$4:$C$53,MATCH($B1947,Drinks!$A$4:$A$53,0)),0))</f>
        <v/>
      </c>
      <c r="H1947" s="10" t="str">
        <f aca="false">IF($B1947="","",$D1947*$G1947)</f>
        <v/>
      </c>
      <c r="I1947" s="10" t="str">
        <f aca="false">IF($B1947="","",$F1947*$G1947)</f>
        <v/>
      </c>
      <c r="J1947" s="9"/>
      <c r="K1947" s="10" t="str">
        <f aca="false">IF($B1947="","",$E1947*IFERROR(INDEX(Drinks!$B$4:$B$53,MATCH($B1947,Drinks!$A$4:$A$53,0)),0))</f>
        <v/>
      </c>
      <c r="L1947" s="10" t="str">
        <f aca="false">IF($B1947="","",$J1947+$K1947)</f>
        <v/>
      </c>
      <c r="M1947" s="9"/>
      <c r="N1947" s="10" t="str">
        <f aca="false">IF($B1947="","",$L1947-$M1947)</f>
        <v/>
      </c>
      <c r="O1947" s="10" t="str">
        <f aca="false">IF($B1947="","",IFERROR(INDEX(Drinks!$E$4:$E$53,MATCH($B1947,Drinks!$A$4:$A$53,0)),0))</f>
        <v/>
      </c>
      <c r="P1947" s="10" t="str">
        <f aca="false">IF($B1947="","",$N1947*$O1947)</f>
        <v/>
      </c>
      <c r="Q1947" s="10" t="str">
        <f aca="false">IF($B1947="","",$N1947*IFERROR(INDEX(Drinks!$D$4:$D$53,MATCH($B1947,Drinks!$A$4:$A$53,0)),0))</f>
        <v/>
      </c>
      <c r="R1947" s="10" t="str">
        <f aca="false">IF($B1947="","",$P1947-$Q1947)</f>
        <v/>
      </c>
      <c r="S1947" s="23" t="str">
        <f aca="false">IF($B1947="","",IF(COUNTIFS($A$4:$A$2003,$A1947-1,$B$4:$B$2003,$B1947)=0,"first day",IF(SUMIFS($M$4:$M$2003,$A$4:$A$2003,$A1947-1,$B$4:$B$2003,$B1947)=$J1947,"OK","CHECK")))</f>
        <v/>
      </c>
      <c r="T1947" s="10" t="str">
        <f aca="false">IF($B1947="","",IFERROR(INDEX(Drinks!$D$4:$D$53,MATCH($B1947,Drinks!$A$4:$A$53,0)),0))</f>
        <v/>
      </c>
    </row>
    <row r="1948" customFormat="false" ht="15" hidden="false" customHeight="false" outlineLevel="0" collapsed="false">
      <c r="A1948" s="22"/>
      <c r="B1948" s="9"/>
      <c r="C1948" s="9"/>
      <c r="D1948" s="9"/>
      <c r="E1948" s="9"/>
      <c r="F1948" s="10" t="str">
        <f aca="false">IF($B1948="","",$C1948+$D1948-$E1948)</f>
        <v/>
      </c>
      <c r="G1948" s="10" t="str">
        <f aca="false">IF($B1948="","",IFERROR(INDEX(Drinks!$C$4:$C$53,MATCH($B1948,Drinks!$A$4:$A$53,0)),0))</f>
        <v/>
      </c>
      <c r="H1948" s="10" t="str">
        <f aca="false">IF($B1948="","",$D1948*$G1948)</f>
        <v/>
      </c>
      <c r="I1948" s="10" t="str">
        <f aca="false">IF($B1948="","",$F1948*$G1948)</f>
        <v/>
      </c>
      <c r="J1948" s="9"/>
      <c r="K1948" s="10" t="str">
        <f aca="false">IF($B1948="","",$E1948*IFERROR(INDEX(Drinks!$B$4:$B$53,MATCH($B1948,Drinks!$A$4:$A$53,0)),0))</f>
        <v/>
      </c>
      <c r="L1948" s="10" t="str">
        <f aca="false">IF($B1948="","",$J1948+$K1948)</f>
        <v/>
      </c>
      <c r="M1948" s="9"/>
      <c r="N1948" s="10" t="str">
        <f aca="false">IF($B1948="","",$L1948-$M1948)</f>
        <v/>
      </c>
      <c r="O1948" s="10" t="str">
        <f aca="false">IF($B1948="","",IFERROR(INDEX(Drinks!$E$4:$E$53,MATCH($B1948,Drinks!$A$4:$A$53,0)),0))</f>
        <v/>
      </c>
      <c r="P1948" s="10" t="str">
        <f aca="false">IF($B1948="","",$N1948*$O1948)</f>
        <v/>
      </c>
      <c r="Q1948" s="10" t="str">
        <f aca="false">IF($B1948="","",$N1948*IFERROR(INDEX(Drinks!$D$4:$D$53,MATCH($B1948,Drinks!$A$4:$A$53,0)),0))</f>
        <v/>
      </c>
      <c r="R1948" s="10" t="str">
        <f aca="false">IF($B1948="","",$P1948-$Q1948)</f>
        <v/>
      </c>
      <c r="S1948" s="23" t="str">
        <f aca="false">IF($B1948="","",IF(COUNTIFS($A$4:$A$2003,$A1948-1,$B$4:$B$2003,$B1948)=0,"first day",IF(SUMIFS($M$4:$M$2003,$A$4:$A$2003,$A1948-1,$B$4:$B$2003,$B1948)=$J1948,"OK","CHECK")))</f>
        <v/>
      </c>
      <c r="T1948" s="10" t="str">
        <f aca="false">IF($B1948="","",IFERROR(INDEX(Drinks!$D$4:$D$53,MATCH($B1948,Drinks!$A$4:$A$53,0)),0))</f>
        <v/>
      </c>
    </row>
    <row r="1949" customFormat="false" ht="15" hidden="false" customHeight="false" outlineLevel="0" collapsed="false">
      <c r="A1949" s="22"/>
      <c r="B1949" s="9"/>
      <c r="C1949" s="9"/>
      <c r="D1949" s="9"/>
      <c r="E1949" s="9"/>
      <c r="F1949" s="10" t="str">
        <f aca="false">IF($B1949="","",$C1949+$D1949-$E1949)</f>
        <v/>
      </c>
      <c r="G1949" s="10" t="str">
        <f aca="false">IF($B1949="","",IFERROR(INDEX(Drinks!$C$4:$C$53,MATCH($B1949,Drinks!$A$4:$A$53,0)),0))</f>
        <v/>
      </c>
      <c r="H1949" s="10" t="str">
        <f aca="false">IF($B1949="","",$D1949*$G1949)</f>
        <v/>
      </c>
      <c r="I1949" s="10" t="str">
        <f aca="false">IF($B1949="","",$F1949*$G1949)</f>
        <v/>
      </c>
      <c r="J1949" s="9"/>
      <c r="K1949" s="10" t="str">
        <f aca="false">IF($B1949="","",$E1949*IFERROR(INDEX(Drinks!$B$4:$B$53,MATCH($B1949,Drinks!$A$4:$A$53,0)),0))</f>
        <v/>
      </c>
      <c r="L1949" s="10" t="str">
        <f aca="false">IF($B1949="","",$J1949+$K1949)</f>
        <v/>
      </c>
      <c r="M1949" s="9"/>
      <c r="N1949" s="10" t="str">
        <f aca="false">IF($B1949="","",$L1949-$M1949)</f>
        <v/>
      </c>
      <c r="O1949" s="10" t="str">
        <f aca="false">IF($B1949="","",IFERROR(INDEX(Drinks!$E$4:$E$53,MATCH($B1949,Drinks!$A$4:$A$53,0)),0))</f>
        <v/>
      </c>
      <c r="P1949" s="10" t="str">
        <f aca="false">IF($B1949="","",$N1949*$O1949)</f>
        <v/>
      </c>
      <c r="Q1949" s="10" t="str">
        <f aca="false">IF($B1949="","",$N1949*IFERROR(INDEX(Drinks!$D$4:$D$53,MATCH($B1949,Drinks!$A$4:$A$53,0)),0))</f>
        <v/>
      </c>
      <c r="R1949" s="10" t="str">
        <f aca="false">IF($B1949="","",$P1949-$Q1949)</f>
        <v/>
      </c>
      <c r="S1949" s="23" t="str">
        <f aca="false">IF($B1949="","",IF(COUNTIFS($A$4:$A$2003,$A1949-1,$B$4:$B$2003,$B1949)=0,"first day",IF(SUMIFS($M$4:$M$2003,$A$4:$A$2003,$A1949-1,$B$4:$B$2003,$B1949)=$J1949,"OK","CHECK")))</f>
        <v/>
      </c>
      <c r="T1949" s="10" t="str">
        <f aca="false">IF($B1949="","",IFERROR(INDEX(Drinks!$D$4:$D$53,MATCH($B1949,Drinks!$A$4:$A$53,0)),0))</f>
        <v/>
      </c>
    </row>
    <row r="1950" customFormat="false" ht="15" hidden="false" customHeight="false" outlineLevel="0" collapsed="false">
      <c r="A1950" s="22"/>
      <c r="B1950" s="9"/>
      <c r="C1950" s="9"/>
      <c r="D1950" s="9"/>
      <c r="E1950" s="9"/>
      <c r="F1950" s="10" t="str">
        <f aca="false">IF($B1950="","",$C1950+$D1950-$E1950)</f>
        <v/>
      </c>
      <c r="G1950" s="10" t="str">
        <f aca="false">IF($B1950="","",IFERROR(INDEX(Drinks!$C$4:$C$53,MATCH($B1950,Drinks!$A$4:$A$53,0)),0))</f>
        <v/>
      </c>
      <c r="H1950" s="10" t="str">
        <f aca="false">IF($B1950="","",$D1950*$G1950)</f>
        <v/>
      </c>
      <c r="I1950" s="10" t="str">
        <f aca="false">IF($B1950="","",$F1950*$G1950)</f>
        <v/>
      </c>
      <c r="J1950" s="9"/>
      <c r="K1950" s="10" t="str">
        <f aca="false">IF($B1950="","",$E1950*IFERROR(INDEX(Drinks!$B$4:$B$53,MATCH($B1950,Drinks!$A$4:$A$53,0)),0))</f>
        <v/>
      </c>
      <c r="L1950" s="10" t="str">
        <f aca="false">IF($B1950="","",$J1950+$K1950)</f>
        <v/>
      </c>
      <c r="M1950" s="9"/>
      <c r="N1950" s="10" t="str">
        <f aca="false">IF($B1950="","",$L1950-$M1950)</f>
        <v/>
      </c>
      <c r="O1950" s="10" t="str">
        <f aca="false">IF($B1950="","",IFERROR(INDEX(Drinks!$E$4:$E$53,MATCH($B1950,Drinks!$A$4:$A$53,0)),0))</f>
        <v/>
      </c>
      <c r="P1950" s="10" t="str">
        <f aca="false">IF($B1950="","",$N1950*$O1950)</f>
        <v/>
      </c>
      <c r="Q1950" s="10" t="str">
        <f aca="false">IF($B1950="","",$N1950*IFERROR(INDEX(Drinks!$D$4:$D$53,MATCH($B1950,Drinks!$A$4:$A$53,0)),0))</f>
        <v/>
      </c>
      <c r="R1950" s="10" t="str">
        <f aca="false">IF($B1950="","",$P1950-$Q1950)</f>
        <v/>
      </c>
      <c r="S1950" s="23" t="str">
        <f aca="false">IF($B1950="","",IF(COUNTIFS($A$4:$A$2003,$A1950-1,$B$4:$B$2003,$B1950)=0,"first day",IF(SUMIFS($M$4:$M$2003,$A$4:$A$2003,$A1950-1,$B$4:$B$2003,$B1950)=$J1950,"OK","CHECK")))</f>
        <v/>
      </c>
      <c r="T1950" s="10" t="str">
        <f aca="false">IF($B1950="","",IFERROR(INDEX(Drinks!$D$4:$D$53,MATCH($B1950,Drinks!$A$4:$A$53,0)),0))</f>
        <v/>
      </c>
    </row>
    <row r="1951" customFormat="false" ht="15" hidden="false" customHeight="false" outlineLevel="0" collapsed="false">
      <c r="A1951" s="22"/>
      <c r="B1951" s="9"/>
      <c r="C1951" s="9"/>
      <c r="D1951" s="9"/>
      <c r="E1951" s="9"/>
      <c r="F1951" s="10" t="str">
        <f aca="false">IF($B1951="","",$C1951+$D1951-$E1951)</f>
        <v/>
      </c>
      <c r="G1951" s="10" t="str">
        <f aca="false">IF($B1951="","",IFERROR(INDEX(Drinks!$C$4:$C$53,MATCH($B1951,Drinks!$A$4:$A$53,0)),0))</f>
        <v/>
      </c>
      <c r="H1951" s="10" t="str">
        <f aca="false">IF($B1951="","",$D1951*$G1951)</f>
        <v/>
      </c>
      <c r="I1951" s="10" t="str">
        <f aca="false">IF($B1951="","",$F1951*$G1951)</f>
        <v/>
      </c>
      <c r="J1951" s="9"/>
      <c r="K1951" s="10" t="str">
        <f aca="false">IF($B1951="","",$E1951*IFERROR(INDEX(Drinks!$B$4:$B$53,MATCH($B1951,Drinks!$A$4:$A$53,0)),0))</f>
        <v/>
      </c>
      <c r="L1951" s="10" t="str">
        <f aca="false">IF($B1951="","",$J1951+$K1951)</f>
        <v/>
      </c>
      <c r="M1951" s="9"/>
      <c r="N1951" s="10" t="str">
        <f aca="false">IF($B1951="","",$L1951-$M1951)</f>
        <v/>
      </c>
      <c r="O1951" s="10" t="str">
        <f aca="false">IF($B1951="","",IFERROR(INDEX(Drinks!$E$4:$E$53,MATCH($B1951,Drinks!$A$4:$A$53,0)),0))</f>
        <v/>
      </c>
      <c r="P1951" s="10" t="str">
        <f aca="false">IF($B1951="","",$N1951*$O1951)</f>
        <v/>
      </c>
      <c r="Q1951" s="10" t="str">
        <f aca="false">IF($B1951="","",$N1951*IFERROR(INDEX(Drinks!$D$4:$D$53,MATCH($B1951,Drinks!$A$4:$A$53,0)),0))</f>
        <v/>
      </c>
      <c r="R1951" s="10" t="str">
        <f aca="false">IF($B1951="","",$P1951-$Q1951)</f>
        <v/>
      </c>
      <c r="S1951" s="23" t="str">
        <f aca="false">IF($B1951="","",IF(COUNTIFS($A$4:$A$2003,$A1951-1,$B$4:$B$2003,$B1951)=0,"first day",IF(SUMIFS($M$4:$M$2003,$A$4:$A$2003,$A1951-1,$B$4:$B$2003,$B1951)=$J1951,"OK","CHECK")))</f>
        <v/>
      </c>
      <c r="T1951" s="10" t="str">
        <f aca="false">IF($B1951="","",IFERROR(INDEX(Drinks!$D$4:$D$53,MATCH($B1951,Drinks!$A$4:$A$53,0)),0))</f>
        <v/>
      </c>
    </row>
    <row r="1952" customFormat="false" ht="15" hidden="false" customHeight="false" outlineLevel="0" collapsed="false">
      <c r="A1952" s="22"/>
      <c r="B1952" s="9"/>
      <c r="C1952" s="9"/>
      <c r="D1952" s="9"/>
      <c r="E1952" s="9"/>
      <c r="F1952" s="10" t="str">
        <f aca="false">IF($B1952="","",$C1952+$D1952-$E1952)</f>
        <v/>
      </c>
      <c r="G1952" s="10" t="str">
        <f aca="false">IF($B1952="","",IFERROR(INDEX(Drinks!$C$4:$C$53,MATCH($B1952,Drinks!$A$4:$A$53,0)),0))</f>
        <v/>
      </c>
      <c r="H1952" s="10" t="str">
        <f aca="false">IF($B1952="","",$D1952*$G1952)</f>
        <v/>
      </c>
      <c r="I1952" s="10" t="str">
        <f aca="false">IF($B1952="","",$F1952*$G1952)</f>
        <v/>
      </c>
      <c r="J1952" s="9"/>
      <c r="K1952" s="10" t="str">
        <f aca="false">IF($B1952="","",$E1952*IFERROR(INDEX(Drinks!$B$4:$B$53,MATCH($B1952,Drinks!$A$4:$A$53,0)),0))</f>
        <v/>
      </c>
      <c r="L1952" s="10" t="str">
        <f aca="false">IF($B1952="","",$J1952+$K1952)</f>
        <v/>
      </c>
      <c r="M1952" s="9"/>
      <c r="N1952" s="10" t="str">
        <f aca="false">IF($B1952="","",$L1952-$M1952)</f>
        <v/>
      </c>
      <c r="O1952" s="10" t="str">
        <f aca="false">IF($B1952="","",IFERROR(INDEX(Drinks!$E$4:$E$53,MATCH($B1952,Drinks!$A$4:$A$53,0)),0))</f>
        <v/>
      </c>
      <c r="P1952" s="10" t="str">
        <f aca="false">IF($B1952="","",$N1952*$O1952)</f>
        <v/>
      </c>
      <c r="Q1952" s="10" t="str">
        <f aca="false">IF($B1952="","",$N1952*IFERROR(INDEX(Drinks!$D$4:$D$53,MATCH($B1952,Drinks!$A$4:$A$53,0)),0))</f>
        <v/>
      </c>
      <c r="R1952" s="10" t="str">
        <f aca="false">IF($B1952="","",$P1952-$Q1952)</f>
        <v/>
      </c>
      <c r="S1952" s="23" t="str">
        <f aca="false">IF($B1952="","",IF(COUNTIFS($A$4:$A$2003,$A1952-1,$B$4:$B$2003,$B1952)=0,"first day",IF(SUMIFS($M$4:$M$2003,$A$4:$A$2003,$A1952-1,$B$4:$B$2003,$B1952)=$J1952,"OK","CHECK")))</f>
        <v/>
      </c>
      <c r="T1952" s="10" t="str">
        <f aca="false">IF($B1952="","",IFERROR(INDEX(Drinks!$D$4:$D$53,MATCH($B1952,Drinks!$A$4:$A$53,0)),0))</f>
        <v/>
      </c>
    </row>
    <row r="1953" customFormat="false" ht="15" hidden="false" customHeight="false" outlineLevel="0" collapsed="false">
      <c r="A1953" s="22"/>
      <c r="B1953" s="9"/>
      <c r="C1953" s="9"/>
      <c r="D1953" s="9"/>
      <c r="E1953" s="9"/>
      <c r="F1953" s="10" t="str">
        <f aca="false">IF($B1953="","",$C1953+$D1953-$E1953)</f>
        <v/>
      </c>
      <c r="G1953" s="10" t="str">
        <f aca="false">IF($B1953="","",IFERROR(INDEX(Drinks!$C$4:$C$53,MATCH($B1953,Drinks!$A$4:$A$53,0)),0))</f>
        <v/>
      </c>
      <c r="H1953" s="10" t="str">
        <f aca="false">IF($B1953="","",$D1953*$G1953)</f>
        <v/>
      </c>
      <c r="I1953" s="10" t="str">
        <f aca="false">IF($B1953="","",$F1953*$G1953)</f>
        <v/>
      </c>
      <c r="J1953" s="9"/>
      <c r="K1953" s="10" t="str">
        <f aca="false">IF($B1953="","",$E1953*IFERROR(INDEX(Drinks!$B$4:$B$53,MATCH($B1953,Drinks!$A$4:$A$53,0)),0))</f>
        <v/>
      </c>
      <c r="L1953" s="10" t="str">
        <f aca="false">IF($B1953="","",$J1953+$K1953)</f>
        <v/>
      </c>
      <c r="M1953" s="9"/>
      <c r="N1953" s="10" t="str">
        <f aca="false">IF($B1953="","",$L1953-$M1953)</f>
        <v/>
      </c>
      <c r="O1953" s="10" t="str">
        <f aca="false">IF($B1953="","",IFERROR(INDEX(Drinks!$E$4:$E$53,MATCH($B1953,Drinks!$A$4:$A$53,0)),0))</f>
        <v/>
      </c>
      <c r="P1953" s="10" t="str">
        <f aca="false">IF($B1953="","",$N1953*$O1953)</f>
        <v/>
      </c>
      <c r="Q1953" s="10" t="str">
        <f aca="false">IF($B1953="","",$N1953*IFERROR(INDEX(Drinks!$D$4:$D$53,MATCH($B1953,Drinks!$A$4:$A$53,0)),0))</f>
        <v/>
      </c>
      <c r="R1953" s="10" t="str">
        <f aca="false">IF($B1953="","",$P1953-$Q1953)</f>
        <v/>
      </c>
      <c r="S1953" s="23" t="str">
        <f aca="false">IF($B1953="","",IF(COUNTIFS($A$4:$A$2003,$A1953-1,$B$4:$B$2003,$B1953)=0,"first day",IF(SUMIFS($M$4:$M$2003,$A$4:$A$2003,$A1953-1,$B$4:$B$2003,$B1953)=$J1953,"OK","CHECK")))</f>
        <v/>
      </c>
      <c r="T1953" s="10" t="str">
        <f aca="false">IF($B1953="","",IFERROR(INDEX(Drinks!$D$4:$D$53,MATCH($B1953,Drinks!$A$4:$A$53,0)),0))</f>
        <v/>
      </c>
    </row>
    <row r="1954" customFormat="false" ht="15" hidden="false" customHeight="false" outlineLevel="0" collapsed="false">
      <c r="A1954" s="22"/>
      <c r="B1954" s="9"/>
      <c r="C1954" s="9"/>
      <c r="D1954" s="9"/>
      <c r="E1954" s="9"/>
      <c r="F1954" s="10" t="str">
        <f aca="false">IF($B1954="","",$C1954+$D1954-$E1954)</f>
        <v/>
      </c>
      <c r="G1954" s="10" t="str">
        <f aca="false">IF($B1954="","",IFERROR(INDEX(Drinks!$C$4:$C$53,MATCH($B1954,Drinks!$A$4:$A$53,0)),0))</f>
        <v/>
      </c>
      <c r="H1954" s="10" t="str">
        <f aca="false">IF($B1954="","",$D1954*$G1954)</f>
        <v/>
      </c>
      <c r="I1954" s="10" t="str">
        <f aca="false">IF($B1954="","",$F1954*$G1954)</f>
        <v/>
      </c>
      <c r="J1954" s="9"/>
      <c r="K1954" s="10" t="str">
        <f aca="false">IF($B1954="","",$E1954*IFERROR(INDEX(Drinks!$B$4:$B$53,MATCH($B1954,Drinks!$A$4:$A$53,0)),0))</f>
        <v/>
      </c>
      <c r="L1954" s="10" t="str">
        <f aca="false">IF($B1954="","",$J1954+$K1954)</f>
        <v/>
      </c>
      <c r="M1954" s="9"/>
      <c r="N1954" s="10" t="str">
        <f aca="false">IF($B1954="","",$L1954-$M1954)</f>
        <v/>
      </c>
      <c r="O1954" s="10" t="str">
        <f aca="false">IF($B1954="","",IFERROR(INDEX(Drinks!$E$4:$E$53,MATCH($B1954,Drinks!$A$4:$A$53,0)),0))</f>
        <v/>
      </c>
      <c r="P1954" s="10" t="str">
        <f aca="false">IF($B1954="","",$N1954*$O1954)</f>
        <v/>
      </c>
      <c r="Q1954" s="10" t="str">
        <f aca="false">IF($B1954="","",$N1954*IFERROR(INDEX(Drinks!$D$4:$D$53,MATCH($B1954,Drinks!$A$4:$A$53,0)),0))</f>
        <v/>
      </c>
      <c r="R1954" s="10" t="str">
        <f aca="false">IF($B1954="","",$P1954-$Q1954)</f>
        <v/>
      </c>
      <c r="S1954" s="23" t="str">
        <f aca="false">IF($B1954="","",IF(COUNTIFS($A$4:$A$2003,$A1954-1,$B$4:$B$2003,$B1954)=0,"first day",IF(SUMIFS($M$4:$M$2003,$A$4:$A$2003,$A1954-1,$B$4:$B$2003,$B1954)=$J1954,"OK","CHECK")))</f>
        <v/>
      </c>
      <c r="T1954" s="10" t="str">
        <f aca="false">IF($B1954="","",IFERROR(INDEX(Drinks!$D$4:$D$53,MATCH($B1954,Drinks!$A$4:$A$53,0)),0))</f>
        <v/>
      </c>
    </row>
    <row r="1955" customFormat="false" ht="15" hidden="false" customHeight="false" outlineLevel="0" collapsed="false">
      <c r="A1955" s="22"/>
      <c r="B1955" s="9"/>
      <c r="C1955" s="9"/>
      <c r="D1955" s="9"/>
      <c r="E1955" s="9"/>
      <c r="F1955" s="10" t="str">
        <f aca="false">IF($B1955="","",$C1955+$D1955-$E1955)</f>
        <v/>
      </c>
      <c r="G1955" s="10" t="str">
        <f aca="false">IF($B1955="","",IFERROR(INDEX(Drinks!$C$4:$C$53,MATCH($B1955,Drinks!$A$4:$A$53,0)),0))</f>
        <v/>
      </c>
      <c r="H1955" s="10" t="str">
        <f aca="false">IF($B1955="","",$D1955*$G1955)</f>
        <v/>
      </c>
      <c r="I1955" s="10" t="str">
        <f aca="false">IF($B1955="","",$F1955*$G1955)</f>
        <v/>
      </c>
      <c r="J1955" s="9"/>
      <c r="K1955" s="10" t="str">
        <f aca="false">IF($B1955="","",$E1955*IFERROR(INDEX(Drinks!$B$4:$B$53,MATCH($B1955,Drinks!$A$4:$A$53,0)),0))</f>
        <v/>
      </c>
      <c r="L1955" s="10" t="str">
        <f aca="false">IF($B1955="","",$J1955+$K1955)</f>
        <v/>
      </c>
      <c r="M1955" s="9"/>
      <c r="N1955" s="10" t="str">
        <f aca="false">IF($B1955="","",$L1955-$M1955)</f>
        <v/>
      </c>
      <c r="O1955" s="10" t="str">
        <f aca="false">IF($B1955="","",IFERROR(INDEX(Drinks!$E$4:$E$53,MATCH($B1955,Drinks!$A$4:$A$53,0)),0))</f>
        <v/>
      </c>
      <c r="P1955" s="10" t="str">
        <f aca="false">IF($B1955="","",$N1955*$O1955)</f>
        <v/>
      </c>
      <c r="Q1955" s="10" t="str">
        <f aca="false">IF($B1955="","",$N1955*IFERROR(INDEX(Drinks!$D$4:$D$53,MATCH($B1955,Drinks!$A$4:$A$53,0)),0))</f>
        <v/>
      </c>
      <c r="R1955" s="10" t="str">
        <f aca="false">IF($B1955="","",$P1955-$Q1955)</f>
        <v/>
      </c>
      <c r="S1955" s="23" t="str">
        <f aca="false">IF($B1955="","",IF(COUNTIFS($A$4:$A$2003,$A1955-1,$B$4:$B$2003,$B1955)=0,"first day",IF(SUMIFS($M$4:$M$2003,$A$4:$A$2003,$A1955-1,$B$4:$B$2003,$B1955)=$J1955,"OK","CHECK")))</f>
        <v/>
      </c>
      <c r="T1955" s="10" t="str">
        <f aca="false">IF($B1955="","",IFERROR(INDEX(Drinks!$D$4:$D$53,MATCH($B1955,Drinks!$A$4:$A$53,0)),0))</f>
        <v/>
      </c>
    </row>
    <row r="1956" customFormat="false" ht="15" hidden="false" customHeight="false" outlineLevel="0" collapsed="false">
      <c r="A1956" s="22"/>
      <c r="B1956" s="9"/>
      <c r="C1956" s="9"/>
      <c r="D1956" s="9"/>
      <c r="E1956" s="9"/>
      <c r="F1956" s="10" t="str">
        <f aca="false">IF($B1956="","",$C1956+$D1956-$E1956)</f>
        <v/>
      </c>
      <c r="G1956" s="10" t="str">
        <f aca="false">IF($B1956="","",IFERROR(INDEX(Drinks!$C$4:$C$53,MATCH($B1956,Drinks!$A$4:$A$53,0)),0))</f>
        <v/>
      </c>
      <c r="H1956" s="10" t="str">
        <f aca="false">IF($B1956="","",$D1956*$G1956)</f>
        <v/>
      </c>
      <c r="I1956" s="10" t="str">
        <f aca="false">IF($B1956="","",$F1956*$G1956)</f>
        <v/>
      </c>
      <c r="J1956" s="9"/>
      <c r="K1956" s="10" t="str">
        <f aca="false">IF($B1956="","",$E1956*IFERROR(INDEX(Drinks!$B$4:$B$53,MATCH($B1956,Drinks!$A$4:$A$53,0)),0))</f>
        <v/>
      </c>
      <c r="L1956" s="10" t="str">
        <f aca="false">IF($B1956="","",$J1956+$K1956)</f>
        <v/>
      </c>
      <c r="M1956" s="9"/>
      <c r="N1956" s="10" t="str">
        <f aca="false">IF($B1956="","",$L1956-$M1956)</f>
        <v/>
      </c>
      <c r="O1956" s="10" t="str">
        <f aca="false">IF($B1956="","",IFERROR(INDEX(Drinks!$E$4:$E$53,MATCH($B1956,Drinks!$A$4:$A$53,0)),0))</f>
        <v/>
      </c>
      <c r="P1956" s="10" t="str">
        <f aca="false">IF($B1956="","",$N1956*$O1956)</f>
        <v/>
      </c>
      <c r="Q1956" s="10" t="str">
        <f aca="false">IF($B1956="","",$N1956*IFERROR(INDEX(Drinks!$D$4:$D$53,MATCH($B1956,Drinks!$A$4:$A$53,0)),0))</f>
        <v/>
      </c>
      <c r="R1956" s="10" t="str">
        <f aca="false">IF($B1956="","",$P1956-$Q1956)</f>
        <v/>
      </c>
      <c r="S1956" s="23" t="str">
        <f aca="false">IF($B1956="","",IF(COUNTIFS($A$4:$A$2003,$A1956-1,$B$4:$B$2003,$B1956)=0,"first day",IF(SUMIFS($M$4:$M$2003,$A$4:$A$2003,$A1956-1,$B$4:$B$2003,$B1956)=$J1956,"OK","CHECK")))</f>
        <v/>
      </c>
      <c r="T1956" s="10" t="str">
        <f aca="false">IF($B1956="","",IFERROR(INDEX(Drinks!$D$4:$D$53,MATCH($B1956,Drinks!$A$4:$A$53,0)),0))</f>
        <v/>
      </c>
    </row>
    <row r="1957" customFormat="false" ht="15" hidden="false" customHeight="false" outlineLevel="0" collapsed="false">
      <c r="A1957" s="22"/>
      <c r="B1957" s="9"/>
      <c r="C1957" s="9"/>
      <c r="D1957" s="9"/>
      <c r="E1957" s="9"/>
      <c r="F1957" s="10" t="str">
        <f aca="false">IF($B1957="","",$C1957+$D1957-$E1957)</f>
        <v/>
      </c>
      <c r="G1957" s="10" t="str">
        <f aca="false">IF($B1957="","",IFERROR(INDEX(Drinks!$C$4:$C$53,MATCH($B1957,Drinks!$A$4:$A$53,0)),0))</f>
        <v/>
      </c>
      <c r="H1957" s="10" t="str">
        <f aca="false">IF($B1957="","",$D1957*$G1957)</f>
        <v/>
      </c>
      <c r="I1957" s="10" t="str">
        <f aca="false">IF($B1957="","",$F1957*$G1957)</f>
        <v/>
      </c>
      <c r="J1957" s="9"/>
      <c r="K1957" s="10" t="str">
        <f aca="false">IF($B1957="","",$E1957*IFERROR(INDEX(Drinks!$B$4:$B$53,MATCH($B1957,Drinks!$A$4:$A$53,0)),0))</f>
        <v/>
      </c>
      <c r="L1957" s="10" t="str">
        <f aca="false">IF($B1957="","",$J1957+$K1957)</f>
        <v/>
      </c>
      <c r="M1957" s="9"/>
      <c r="N1957" s="10" t="str">
        <f aca="false">IF($B1957="","",$L1957-$M1957)</f>
        <v/>
      </c>
      <c r="O1957" s="10" t="str">
        <f aca="false">IF($B1957="","",IFERROR(INDEX(Drinks!$E$4:$E$53,MATCH($B1957,Drinks!$A$4:$A$53,0)),0))</f>
        <v/>
      </c>
      <c r="P1957" s="10" t="str">
        <f aca="false">IF($B1957="","",$N1957*$O1957)</f>
        <v/>
      </c>
      <c r="Q1957" s="10" t="str">
        <f aca="false">IF($B1957="","",$N1957*IFERROR(INDEX(Drinks!$D$4:$D$53,MATCH($B1957,Drinks!$A$4:$A$53,0)),0))</f>
        <v/>
      </c>
      <c r="R1957" s="10" t="str">
        <f aca="false">IF($B1957="","",$P1957-$Q1957)</f>
        <v/>
      </c>
      <c r="S1957" s="23" t="str">
        <f aca="false">IF($B1957="","",IF(COUNTIFS($A$4:$A$2003,$A1957-1,$B$4:$B$2003,$B1957)=0,"first day",IF(SUMIFS($M$4:$M$2003,$A$4:$A$2003,$A1957-1,$B$4:$B$2003,$B1957)=$J1957,"OK","CHECK")))</f>
        <v/>
      </c>
      <c r="T1957" s="10" t="str">
        <f aca="false">IF($B1957="","",IFERROR(INDEX(Drinks!$D$4:$D$53,MATCH($B1957,Drinks!$A$4:$A$53,0)),0))</f>
        <v/>
      </c>
    </row>
    <row r="1958" customFormat="false" ht="15" hidden="false" customHeight="false" outlineLevel="0" collapsed="false">
      <c r="A1958" s="22"/>
      <c r="B1958" s="9"/>
      <c r="C1958" s="9"/>
      <c r="D1958" s="9"/>
      <c r="E1958" s="9"/>
      <c r="F1958" s="10" t="str">
        <f aca="false">IF($B1958="","",$C1958+$D1958-$E1958)</f>
        <v/>
      </c>
      <c r="G1958" s="10" t="str">
        <f aca="false">IF($B1958="","",IFERROR(INDEX(Drinks!$C$4:$C$53,MATCH($B1958,Drinks!$A$4:$A$53,0)),0))</f>
        <v/>
      </c>
      <c r="H1958" s="10" t="str">
        <f aca="false">IF($B1958="","",$D1958*$G1958)</f>
        <v/>
      </c>
      <c r="I1958" s="10" t="str">
        <f aca="false">IF($B1958="","",$F1958*$G1958)</f>
        <v/>
      </c>
      <c r="J1958" s="9"/>
      <c r="K1958" s="10" t="str">
        <f aca="false">IF($B1958="","",$E1958*IFERROR(INDEX(Drinks!$B$4:$B$53,MATCH($B1958,Drinks!$A$4:$A$53,0)),0))</f>
        <v/>
      </c>
      <c r="L1958" s="10" t="str">
        <f aca="false">IF($B1958="","",$J1958+$K1958)</f>
        <v/>
      </c>
      <c r="M1958" s="9"/>
      <c r="N1958" s="10" t="str">
        <f aca="false">IF($B1958="","",$L1958-$M1958)</f>
        <v/>
      </c>
      <c r="O1958" s="10" t="str">
        <f aca="false">IF($B1958="","",IFERROR(INDEX(Drinks!$E$4:$E$53,MATCH($B1958,Drinks!$A$4:$A$53,0)),0))</f>
        <v/>
      </c>
      <c r="P1958" s="10" t="str">
        <f aca="false">IF($B1958="","",$N1958*$O1958)</f>
        <v/>
      </c>
      <c r="Q1958" s="10" t="str">
        <f aca="false">IF($B1958="","",$N1958*IFERROR(INDEX(Drinks!$D$4:$D$53,MATCH($B1958,Drinks!$A$4:$A$53,0)),0))</f>
        <v/>
      </c>
      <c r="R1958" s="10" t="str">
        <f aca="false">IF($B1958="","",$P1958-$Q1958)</f>
        <v/>
      </c>
      <c r="S1958" s="23" t="str">
        <f aca="false">IF($B1958="","",IF(COUNTIFS($A$4:$A$2003,$A1958-1,$B$4:$B$2003,$B1958)=0,"first day",IF(SUMIFS($M$4:$M$2003,$A$4:$A$2003,$A1958-1,$B$4:$B$2003,$B1958)=$J1958,"OK","CHECK")))</f>
        <v/>
      </c>
      <c r="T1958" s="10" t="str">
        <f aca="false">IF($B1958="","",IFERROR(INDEX(Drinks!$D$4:$D$53,MATCH($B1958,Drinks!$A$4:$A$53,0)),0))</f>
        <v/>
      </c>
    </row>
    <row r="1959" customFormat="false" ht="15" hidden="false" customHeight="false" outlineLevel="0" collapsed="false">
      <c r="A1959" s="22"/>
      <c r="B1959" s="9"/>
      <c r="C1959" s="9"/>
      <c r="D1959" s="9"/>
      <c r="E1959" s="9"/>
      <c r="F1959" s="10" t="str">
        <f aca="false">IF($B1959="","",$C1959+$D1959-$E1959)</f>
        <v/>
      </c>
      <c r="G1959" s="10" t="str">
        <f aca="false">IF($B1959="","",IFERROR(INDEX(Drinks!$C$4:$C$53,MATCH($B1959,Drinks!$A$4:$A$53,0)),0))</f>
        <v/>
      </c>
      <c r="H1959" s="10" t="str">
        <f aca="false">IF($B1959="","",$D1959*$G1959)</f>
        <v/>
      </c>
      <c r="I1959" s="10" t="str">
        <f aca="false">IF($B1959="","",$F1959*$G1959)</f>
        <v/>
      </c>
      <c r="J1959" s="9"/>
      <c r="K1959" s="10" t="str">
        <f aca="false">IF($B1959="","",$E1959*IFERROR(INDEX(Drinks!$B$4:$B$53,MATCH($B1959,Drinks!$A$4:$A$53,0)),0))</f>
        <v/>
      </c>
      <c r="L1959" s="10" t="str">
        <f aca="false">IF($B1959="","",$J1959+$K1959)</f>
        <v/>
      </c>
      <c r="M1959" s="9"/>
      <c r="N1959" s="10" t="str">
        <f aca="false">IF($B1959="","",$L1959-$M1959)</f>
        <v/>
      </c>
      <c r="O1959" s="10" t="str">
        <f aca="false">IF($B1959="","",IFERROR(INDEX(Drinks!$E$4:$E$53,MATCH($B1959,Drinks!$A$4:$A$53,0)),0))</f>
        <v/>
      </c>
      <c r="P1959" s="10" t="str">
        <f aca="false">IF($B1959="","",$N1959*$O1959)</f>
        <v/>
      </c>
      <c r="Q1959" s="10" t="str">
        <f aca="false">IF($B1959="","",$N1959*IFERROR(INDEX(Drinks!$D$4:$D$53,MATCH($B1959,Drinks!$A$4:$A$53,0)),0))</f>
        <v/>
      </c>
      <c r="R1959" s="10" t="str">
        <f aca="false">IF($B1959="","",$P1959-$Q1959)</f>
        <v/>
      </c>
      <c r="S1959" s="23" t="str">
        <f aca="false">IF($B1959="","",IF(COUNTIFS($A$4:$A$2003,$A1959-1,$B$4:$B$2003,$B1959)=0,"first day",IF(SUMIFS($M$4:$M$2003,$A$4:$A$2003,$A1959-1,$B$4:$B$2003,$B1959)=$J1959,"OK","CHECK")))</f>
        <v/>
      </c>
      <c r="T1959" s="10" t="str">
        <f aca="false">IF($B1959="","",IFERROR(INDEX(Drinks!$D$4:$D$53,MATCH($B1959,Drinks!$A$4:$A$53,0)),0))</f>
        <v/>
      </c>
    </row>
    <row r="1960" customFormat="false" ht="15" hidden="false" customHeight="false" outlineLevel="0" collapsed="false">
      <c r="A1960" s="22"/>
      <c r="B1960" s="9"/>
      <c r="C1960" s="9"/>
      <c r="D1960" s="9"/>
      <c r="E1960" s="9"/>
      <c r="F1960" s="10" t="str">
        <f aca="false">IF($B1960="","",$C1960+$D1960-$E1960)</f>
        <v/>
      </c>
      <c r="G1960" s="10" t="str">
        <f aca="false">IF($B1960="","",IFERROR(INDEX(Drinks!$C$4:$C$53,MATCH($B1960,Drinks!$A$4:$A$53,0)),0))</f>
        <v/>
      </c>
      <c r="H1960" s="10" t="str">
        <f aca="false">IF($B1960="","",$D1960*$G1960)</f>
        <v/>
      </c>
      <c r="I1960" s="10" t="str">
        <f aca="false">IF($B1960="","",$F1960*$G1960)</f>
        <v/>
      </c>
      <c r="J1960" s="9"/>
      <c r="K1960" s="10" t="str">
        <f aca="false">IF($B1960="","",$E1960*IFERROR(INDEX(Drinks!$B$4:$B$53,MATCH($B1960,Drinks!$A$4:$A$53,0)),0))</f>
        <v/>
      </c>
      <c r="L1960" s="10" t="str">
        <f aca="false">IF($B1960="","",$J1960+$K1960)</f>
        <v/>
      </c>
      <c r="M1960" s="9"/>
      <c r="N1960" s="10" t="str">
        <f aca="false">IF($B1960="","",$L1960-$M1960)</f>
        <v/>
      </c>
      <c r="O1960" s="10" t="str">
        <f aca="false">IF($B1960="","",IFERROR(INDEX(Drinks!$E$4:$E$53,MATCH($B1960,Drinks!$A$4:$A$53,0)),0))</f>
        <v/>
      </c>
      <c r="P1960" s="10" t="str">
        <f aca="false">IF($B1960="","",$N1960*$O1960)</f>
        <v/>
      </c>
      <c r="Q1960" s="10" t="str">
        <f aca="false">IF($B1960="","",$N1960*IFERROR(INDEX(Drinks!$D$4:$D$53,MATCH($B1960,Drinks!$A$4:$A$53,0)),0))</f>
        <v/>
      </c>
      <c r="R1960" s="10" t="str">
        <f aca="false">IF($B1960="","",$P1960-$Q1960)</f>
        <v/>
      </c>
      <c r="S1960" s="23" t="str">
        <f aca="false">IF($B1960="","",IF(COUNTIFS($A$4:$A$2003,$A1960-1,$B$4:$B$2003,$B1960)=0,"first day",IF(SUMIFS($M$4:$M$2003,$A$4:$A$2003,$A1960-1,$B$4:$B$2003,$B1960)=$J1960,"OK","CHECK")))</f>
        <v/>
      </c>
      <c r="T1960" s="10" t="str">
        <f aca="false">IF($B1960="","",IFERROR(INDEX(Drinks!$D$4:$D$53,MATCH($B1960,Drinks!$A$4:$A$53,0)),0))</f>
        <v/>
      </c>
    </row>
    <row r="1961" customFormat="false" ht="15" hidden="false" customHeight="false" outlineLevel="0" collapsed="false">
      <c r="A1961" s="22"/>
      <c r="B1961" s="9"/>
      <c r="C1961" s="9"/>
      <c r="D1961" s="9"/>
      <c r="E1961" s="9"/>
      <c r="F1961" s="10" t="str">
        <f aca="false">IF($B1961="","",$C1961+$D1961-$E1961)</f>
        <v/>
      </c>
      <c r="G1961" s="10" t="str">
        <f aca="false">IF($B1961="","",IFERROR(INDEX(Drinks!$C$4:$C$53,MATCH($B1961,Drinks!$A$4:$A$53,0)),0))</f>
        <v/>
      </c>
      <c r="H1961" s="10" t="str">
        <f aca="false">IF($B1961="","",$D1961*$G1961)</f>
        <v/>
      </c>
      <c r="I1961" s="10" t="str">
        <f aca="false">IF($B1961="","",$F1961*$G1961)</f>
        <v/>
      </c>
      <c r="J1961" s="9"/>
      <c r="K1961" s="10" t="str">
        <f aca="false">IF($B1961="","",$E1961*IFERROR(INDEX(Drinks!$B$4:$B$53,MATCH($B1961,Drinks!$A$4:$A$53,0)),0))</f>
        <v/>
      </c>
      <c r="L1961" s="10" t="str">
        <f aca="false">IF($B1961="","",$J1961+$K1961)</f>
        <v/>
      </c>
      <c r="M1961" s="9"/>
      <c r="N1961" s="10" t="str">
        <f aca="false">IF($B1961="","",$L1961-$M1961)</f>
        <v/>
      </c>
      <c r="O1961" s="10" t="str">
        <f aca="false">IF($B1961="","",IFERROR(INDEX(Drinks!$E$4:$E$53,MATCH($B1961,Drinks!$A$4:$A$53,0)),0))</f>
        <v/>
      </c>
      <c r="P1961" s="10" t="str">
        <f aca="false">IF($B1961="","",$N1961*$O1961)</f>
        <v/>
      </c>
      <c r="Q1961" s="10" t="str">
        <f aca="false">IF($B1961="","",$N1961*IFERROR(INDEX(Drinks!$D$4:$D$53,MATCH($B1961,Drinks!$A$4:$A$53,0)),0))</f>
        <v/>
      </c>
      <c r="R1961" s="10" t="str">
        <f aca="false">IF($B1961="","",$P1961-$Q1961)</f>
        <v/>
      </c>
      <c r="S1961" s="23" t="str">
        <f aca="false">IF($B1961="","",IF(COUNTIFS($A$4:$A$2003,$A1961-1,$B$4:$B$2003,$B1961)=0,"first day",IF(SUMIFS($M$4:$M$2003,$A$4:$A$2003,$A1961-1,$B$4:$B$2003,$B1961)=$J1961,"OK","CHECK")))</f>
        <v/>
      </c>
      <c r="T1961" s="10" t="str">
        <f aca="false">IF($B1961="","",IFERROR(INDEX(Drinks!$D$4:$D$53,MATCH($B1961,Drinks!$A$4:$A$53,0)),0))</f>
        <v/>
      </c>
    </row>
    <row r="1962" customFormat="false" ht="15" hidden="false" customHeight="false" outlineLevel="0" collapsed="false">
      <c r="A1962" s="22"/>
      <c r="B1962" s="9"/>
      <c r="C1962" s="9"/>
      <c r="D1962" s="9"/>
      <c r="E1962" s="9"/>
      <c r="F1962" s="10" t="str">
        <f aca="false">IF($B1962="","",$C1962+$D1962-$E1962)</f>
        <v/>
      </c>
      <c r="G1962" s="10" t="str">
        <f aca="false">IF($B1962="","",IFERROR(INDEX(Drinks!$C$4:$C$53,MATCH($B1962,Drinks!$A$4:$A$53,0)),0))</f>
        <v/>
      </c>
      <c r="H1962" s="10" t="str">
        <f aca="false">IF($B1962="","",$D1962*$G1962)</f>
        <v/>
      </c>
      <c r="I1962" s="10" t="str">
        <f aca="false">IF($B1962="","",$F1962*$G1962)</f>
        <v/>
      </c>
      <c r="J1962" s="9"/>
      <c r="K1962" s="10" t="str">
        <f aca="false">IF($B1962="","",$E1962*IFERROR(INDEX(Drinks!$B$4:$B$53,MATCH($B1962,Drinks!$A$4:$A$53,0)),0))</f>
        <v/>
      </c>
      <c r="L1962" s="10" t="str">
        <f aca="false">IF($B1962="","",$J1962+$K1962)</f>
        <v/>
      </c>
      <c r="M1962" s="9"/>
      <c r="N1962" s="10" t="str">
        <f aca="false">IF($B1962="","",$L1962-$M1962)</f>
        <v/>
      </c>
      <c r="O1962" s="10" t="str">
        <f aca="false">IF($B1962="","",IFERROR(INDEX(Drinks!$E$4:$E$53,MATCH($B1962,Drinks!$A$4:$A$53,0)),0))</f>
        <v/>
      </c>
      <c r="P1962" s="10" t="str">
        <f aca="false">IF($B1962="","",$N1962*$O1962)</f>
        <v/>
      </c>
      <c r="Q1962" s="10" t="str">
        <f aca="false">IF($B1962="","",$N1962*IFERROR(INDEX(Drinks!$D$4:$D$53,MATCH($B1962,Drinks!$A$4:$A$53,0)),0))</f>
        <v/>
      </c>
      <c r="R1962" s="10" t="str">
        <f aca="false">IF($B1962="","",$P1962-$Q1962)</f>
        <v/>
      </c>
      <c r="S1962" s="23" t="str">
        <f aca="false">IF($B1962="","",IF(COUNTIFS($A$4:$A$2003,$A1962-1,$B$4:$B$2003,$B1962)=0,"first day",IF(SUMIFS($M$4:$M$2003,$A$4:$A$2003,$A1962-1,$B$4:$B$2003,$B1962)=$J1962,"OK","CHECK")))</f>
        <v/>
      </c>
      <c r="T1962" s="10" t="str">
        <f aca="false">IF($B1962="","",IFERROR(INDEX(Drinks!$D$4:$D$53,MATCH($B1962,Drinks!$A$4:$A$53,0)),0))</f>
        <v/>
      </c>
    </row>
    <row r="1963" customFormat="false" ht="15" hidden="false" customHeight="false" outlineLevel="0" collapsed="false">
      <c r="A1963" s="22"/>
      <c r="B1963" s="9"/>
      <c r="C1963" s="9"/>
      <c r="D1963" s="9"/>
      <c r="E1963" s="9"/>
      <c r="F1963" s="10" t="str">
        <f aca="false">IF($B1963="","",$C1963+$D1963-$E1963)</f>
        <v/>
      </c>
      <c r="G1963" s="10" t="str">
        <f aca="false">IF($B1963="","",IFERROR(INDEX(Drinks!$C$4:$C$53,MATCH($B1963,Drinks!$A$4:$A$53,0)),0))</f>
        <v/>
      </c>
      <c r="H1963" s="10" t="str">
        <f aca="false">IF($B1963="","",$D1963*$G1963)</f>
        <v/>
      </c>
      <c r="I1963" s="10" t="str">
        <f aca="false">IF($B1963="","",$F1963*$G1963)</f>
        <v/>
      </c>
      <c r="J1963" s="9"/>
      <c r="K1963" s="10" t="str">
        <f aca="false">IF($B1963="","",$E1963*IFERROR(INDEX(Drinks!$B$4:$B$53,MATCH($B1963,Drinks!$A$4:$A$53,0)),0))</f>
        <v/>
      </c>
      <c r="L1963" s="10" t="str">
        <f aca="false">IF($B1963="","",$J1963+$K1963)</f>
        <v/>
      </c>
      <c r="M1963" s="9"/>
      <c r="N1963" s="10" t="str">
        <f aca="false">IF($B1963="","",$L1963-$M1963)</f>
        <v/>
      </c>
      <c r="O1963" s="10" t="str">
        <f aca="false">IF($B1963="","",IFERROR(INDEX(Drinks!$E$4:$E$53,MATCH($B1963,Drinks!$A$4:$A$53,0)),0))</f>
        <v/>
      </c>
      <c r="P1963" s="10" t="str">
        <f aca="false">IF($B1963="","",$N1963*$O1963)</f>
        <v/>
      </c>
      <c r="Q1963" s="10" t="str">
        <f aca="false">IF($B1963="","",$N1963*IFERROR(INDEX(Drinks!$D$4:$D$53,MATCH($B1963,Drinks!$A$4:$A$53,0)),0))</f>
        <v/>
      </c>
      <c r="R1963" s="10" t="str">
        <f aca="false">IF($B1963="","",$P1963-$Q1963)</f>
        <v/>
      </c>
      <c r="S1963" s="23" t="str">
        <f aca="false">IF($B1963="","",IF(COUNTIFS($A$4:$A$2003,$A1963-1,$B$4:$B$2003,$B1963)=0,"first day",IF(SUMIFS($M$4:$M$2003,$A$4:$A$2003,$A1963-1,$B$4:$B$2003,$B1963)=$J1963,"OK","CHECK")))</f>
        <v/>
      </c>
      <c r="T1963" s="10" t="str">
        <f aca="false">IF($B1963="","",IFERROR(INDEX(Drinks!$D$4:$D$53,MATCH($B1963,Drinks!$A$4:$A$53,0)),0))</f>
        <v/>
      </c>
    </row>
    <row r="1964" customFormat="false" ht="15" hidden="false" customHeight="false" outlineLevel="0" collapsed="false">
      <c r="A1964" s="22"/>
      <c r="B1964" s="9"/>
      <c r="C1964" s="9"/>
      <c r="D1964" s="9"/>
      <c r="E1964" s="9"/>
      <c r="F1964" s="10" t="str">
        <f aca="false">IF($B1964="","",$C1964+$D1964-$E1964)</f>
        <v/>
      </c>
      <c r="G1964" s="10" t="str">
        <f aca="false">IF($B1964="","",IFERROR(INDEX(Drinks!$C$4:$C$53,MATCH($B1964,Drinks!$A$4:$A$53,0)),0))</f>
        <v/>
      </c>
      <c r="H1964" s="10" t="str">
        <f aca="false">IF($B1964="","",$D1964*$G1964)</f>
        <v/>
      </c>
      <c r="I1964" s="10" t="str">
        <f aca="false">IF($B1964="","",$F1964*$G1964)</f>
        <v/>
      </c>
      <c r="J1964" s="9"/>
      <c r="K1964" s="10" t="str">
        <f aca="false">IF($B1964="","",$E1964*IFERROR(INDEX(Drinks!$B$4:$B$53,MATCH($B1964,Drinks!$A$4:$A$53,0)),0))</f>
        <v/>
      </c>
      <c r="L1964" s="10" t="str">
        <f aca="false">IF($B1964="","",$J1964+$K1964)</f>
        <v/>
      </c>
      <c r="M1964" s="9"/>
      <c r="N1964" s="10" t="str">
        <f aca="false">IF($B1964="","",$L1964-$M1964)</f>
        <v/>
      </c>
      <c r="O1964" s="10" t="str">
        <f aca="false">IF($B1964="","",IFERROR(INDEX(Drinks!$E$4:$E$53,MATCH($B1964,Drinks!$A$4:$A$53,0)),0))</f>
        <v/>
      </c>
      <c r="P1964" s="10" t="str">
        <f aca="false">IF($B1964="","",$N1964*$O1964)</f>
        <v/>
      </c>
      <c r="Q1964" s="10" t="str">
        <f aca="false">IF($B1964="","",$N1964*IFERROR(INDEX(Drinks!$D$4:$D$53,MATCH($B1964,Drinks!$A$4:$A$53,0)),0))</f>
        <v/>
      </c>
      <c r="R1964" s="10" t="str">
        <f aca="false">IF($B1964="","",$P1964-$Q1964)</f>
        <v/>
      </c>
      <c r="S1964" s="23" t="str">
        <f aca="false">IF($B1964="","",IF(COUNTIFS($A$4:$A$2003,$A1964-1,$B$4:$B$2003,$B1964)=0,"first day",IF(SUMIFS($M$4:$M$2003,$A$4:$A$2003,$A1964-1,$B$4:$B$2003,$B1964)=$J1964,"OK","CHECK")))</f>
        <v/>
      </c>
      <c r="T1964" s="10" t="str">
        <f aca="false">IF($B1964="","",IFERROR(INDEX(Drinks!$D$4:$D$53,MATCH($B1964,Drinks!$A$4:$A$53,0)),0))</f>
        <v/>
      </c>
    </row>
    <row r="1965" customFormat="false" ht="15" hidden="false" customHeight="false" outlineLevel="0" collapsed="false">
      <c r="A1965" s="22"/>
      <c r="B1965" s="9"/>
      <c r="C1965" s="9"/>
      <c r="D1965" s="9"/>
      <c r="E1965" s="9"/>
      <c r="F1965" s="10" t="str">
        <f aca="false">IF($B1965="","",$C1965+$D1965-$E1965)</f>
        <v/>
      </c>
      <c r="G1965" s="10" t="str">
        <f aca="false">IF($B1965="","",IFERROR(INDEX(Drinks!$C$4:$C$53,MATCH($B1965,Drinks!$A$4:$A$53,0)),0))</f>
        <v/>
      </c>
      <c r="H1965" s="10" t="str">
        <f aca="false">IF($B1965="","",$D1965*$G1965)</f>
        <v/>
      </c>
      <c r="I1965" s="10" t="str">
        <f aca="false">IF($B1965="","",$F1965*$G1965)</f>
        <v/>
      </c>
      <c r="J1965" s="9"/>
      <c r="K1965" s="10" t="str">
        <f aca="false">IF($B1965="","",$E1965*IFERROR(INDEX(Drinks!$B$4:$B$53,MATCH($B1965,Drinks!$A$4:$A$53,0)),0))</f>
        <v/>
      </c>
      <c r="L1965" s="10" t="str">
        <f aca="false">IF($B1965="","",$J1965+$K1965)</f>
        <v/>
      </c>
      <c r="M1965" s="9"/>
      <c r="N1965" s="10" t="str">
        <f aca="false">IF($B1965="","",$L1965-$M1965)</f>
        <v/>
      </c>
      <c r="O1965" s="10" t="str">
        <f aca="false">IF($B1965="","",IFERROR(INDEX(Drinks!$E$4:$E$53,MATCH($B1965,Drinks!$A$4:$A$53,0)),0))</f>
        <v/>
      </c>
      <c r="P1965" s="10" t="str">
        <f aca="false">IF($B1965="","",$N1965*$O1965)</f>
        <v/>
      </c>
      <c r="Q1965" s="10" t="str">
        <f aca="false">IF($B1965="","",$N1965*IFERROR(INDEX(Drinks!$D$4:$D$53,MATCH($B1965,Drinks!$A$4:$A$53,0)),0))</f>
        <v/>
      </c>
      <c r="R1965" s="10" t="str">
        <f aca="false">IF($B1965="","",$P1965-$Q1965)</f>
        <v/>
      </c>
      <c r="S1965" s="23" t="str">
        <f aca="false">IF($B1965="","",IF(COUNTIFS($A$4:$A$2003,$A1965-1,$B$4:$B$2003,$B1965)=0,"first day",IF(SUMIFS($M$4:$M$2003,$A$4:$A$2003,$A1965-1,$B$4:$B$2003,$B1965)=$J1965,"OK","CHECK")))</f>
        <v/>
      </c>
      <c r="T1965" s="10" t="str">
        <f aca="false">IF($B1965="","",IFERROR(INDEX(Drinks!$D$4:$D$53,MATCH($B1965,Drinks!$A$4:$A$53,0)),0))</f>
        <v/>
      </c>
    </row>
    <row r="1966" customFormat="false" ht="15" hidden="false" customHeight="false" outlineLevel="0" collapsed="false">
      <c r="A1966" s="22"/>
      <c r="B1966" s="9"/>
      <c r="C1966" s="9"/>
      <c r="D1966" s="9"/>
      <c r="E1966" s="9"/>
      <c r="F1966" s="10" t="str">
        <f aca="false">IF($B1966="","",$C1966+$D1966-$E1966)</f>
        <v/>
      </c>
      <c r="G1966" s="10" t="str">
        <f aca="false">IF($B1966="","",IFERROR(INDEX(Drinks!$C$4:$C$53,MATCH($B1966,Drinks!$A$4:$A$53,0)),0))</f>
        <v/>
      </c>
      <c r="H1966" s="10" t="str">
        <f aca="false">IF($B1966="","",$D1966*$G1966)</f>
        <v/>
      </c>
      <c r="I1966" s="10" t="str">
        <f aca="false">IF($B1966="","",$F1966*$G1966)</f>
        <v/>
      </c>
      <c r="J1966" s="9"/>
      <c r="K1966" s="10" t="str">
        <f aca="false">IF($B1966="","",$E1966*IFERROR(INDEX(Drinks!$B$4:$B$53,MATCH($B1966,Drinks!$A$4:$A$53,0)),0))</f>
        <v/>
      </c>
      <c r="L1966" s="10" t="str">
        <f aca="false">IF($B1966="","",$J1966+$K1966)</f>
        <v/>
      </c>
      <c r="M1966" s="9"/>
      <c r="N1966" s="10" t="str">
        <f aca="false">IF($B1966="","",$L1966-$M1966)</f>
        <v/>
      </c>
      <c r="O1966" s="10" t="str">
        <f aca="false">IF($B1966="","",IFERROR(INDEX(Drinks!$E$4:$E$53,MATCH($B1966,Drinks!$A$4:$A$53,0)),0))</f>
        <v/>
      </c>
      <c r="P1966" s="10" t="str">
        <f aca="false">IF($B1966="","",$N1966*$O1966)</f>
        <v/>
      </c>
      <c r="Q1966" s="10" t="str">
        <f aca="false">IF($B1966="","",$N1966*IFERROR(INDEX(Drinks!$D$4:$D$53,MATCH($B1966,Drinks!$A$4:$A$53,0)),0))</f>
        <v/>
      </c>
      <c r="R1966" s="10" t="str">
        <f aca="false">IF($B1966="","",$P1966-$Q1966)</f>
        <v/>
      </c>
      <c r="S1966" s="23" t="str">
        <f aca="false">IF($B1966="","",IF(COUNTIFS($A$4:$A$2003,$A1966-1,$B$4:$B$2003,$B1966)=0,"first day",IF(SUMIFS($M$4:$M$2003,$A$4:$A$2003,$A1966-1,$B$4:$B$2003,$B1966)=$J1966,"OK","CHECK")))</f>
        <v/>
      </c>
      <c r="T1966" s="10" t="str">
        <f aca="false">IF($B1966="","",IFERROR(INDEX(Drinks!$D$4:$D$53,MATCH($B1966,Drinks!$A$4:$A$53,0)),0))</f>
        <v/>
      </c>
    </row>
    <row r="1967" customFormat="false" ht="15" hidden="false" customHeight="false" outlineLevel="0" collapsed="false">
      <c r="A1967" s="22"/>
      <c r="B1967" s="9"/>
      <c r="C1967" s="9"/>
      <c r="D1967" s="9"/>
      <c r="E1967" s="9"/>
      <c r="F1967" s="10" t="str">
        <f aca="false">IF($B1967="","",$C1967+$D1967-$E1967)</f>
        <v/>
      </c>
      <c r="G1967" s="10" t="str">
        <f aca="false">IF($B1967="","",IFERROR(INDEX(Drinks!$C$4:$C$53,MATCH($B1967,Drinks!$A$4:$A$53,0)),0))</f>
        <v/>
      </c>
      <c r="H1967" s="10" t="str">
        <f aca="false">IF($B1967="","",$D1967*$G1967)</f>
        <v/>
      </c>
      <c r="I1967" s="10" t="str">
        <f aca="false">IF($B1967="","",$F1967*$G1967)</f>
        <v/>
      </c>
      <c r="J1967" s="9"/>
      <c r="K1967" s="10" t="str">
        <f aca="false">IF($B1967="","",$E1967*IFERROR(INDEX(Drinks!$B$4:$B$53,MATCH($B1967,Drinks!$A$4:$A$53,0)),0))</f>
        <v/>
      </c>
      <c r="L1967" s="10" t="str">
        <f aca="false">IF($B1967="","",$J1967+$K1967)</f>
        <v/>
      </c>
      <c r="M1967" s="9"/>
      <c r="N1967" s="10" t="str">
        <f aca="false">IF($B1967="","",$L1967-$M1967)</f>
        <v/>
      </c>
      <c r="O1967" s="10" t="str">
        <f aca="false">IF($B1967="","",IFERROR(INDEX(Drinks!$E$4:$E$53,MATCH($B1967,Drinks!$A$4:$A$53,0)),0))</f>
        <v/>
      </c>
      <c r="P1967" s="10" t="str">
        <f aca="false">IF($B1967="","",$N1967*$O1967)</f>
        <v/>
      </c>
      <c r="Q1967" s="10" t="str">
        <f aca="false">IF($B1967="","",$N1967*IFERROR(INDEX(Drinks!$D$4:$D$53,MATCH($B1967,Drinks!$A$4:$A$53,0)),0))</f>
        <v/>
      </c>
      <c r="R1967" s="10" t="str">
        <f aca="false">IF($B1967="","",$P1967-$Q1967)</f>
        <v/>
      </c>
      <c r="S1967" s="23" t="str">
        <f aca="false">IF($B1967="","",IF(COUNTIFS($A$4:$A$2003,$A1967-1,$B$4:$B$2003,$B1967)=0,"first day",IF(SUMIFS($M$4:$M$2003,$A$4:$A$2003,$A1967-1,$B$4:$B$2003,$B1967)=$J1967,"OK","CHECK")))</f>
        <v/>
      </c>
      <c r="T1967" s="10" t="str">
        <f aca="false">IF($B1967="","",IFERROR(INDEX(Drinks!$D$4:$D$53,MATCH($B1967,Drinks!$A$4:$A$53,0)),0))</f>
        <v/>
      </c>
    </row>
    <row r="1968" customFormat="false" ht="15" hidden="false" customHeight="false" outlineLevel="0" collapsed="false">
      <c r="A1968" s="22"/>
      <c r="B1968" s="9"/>
      <c r="C1968" s="9"/>
      <c r="D1968" s="9"/>
      <c r="E1968" s="9"/>
      <c r="F1968" s="10" t="str">
        <f aca="false">IF($B1968="","",$C1968+$D1968-$E1968)</f>
        <v/>
      </c>
      <c r="G1968" s="10" t="str">
        <f aca="false">IF($B1968="","",IFERROR(INDEX(Drinks!$C$4:$C$53,MATCH($B1968,Drinks!$A$4:$A$53,0)),0))</f>
        <v/>
      </c>
      <c r="H1968" s="10" t="str">
        <f aca="false">IF($B1968="","",$D1968*$G1968)</f>
        <v/>
      </c>
      <c r="I1968" s="10" t="str">
        <f aca="false">IF($B1968="","",$F1968*$G1968)</f>
        <v/>
      </c>
      <c r="J1968" s="9"/>
      <c r="K1968" s="10" t="str">
        <f aca="false">IF($B1968="","",$E1968*IFERROR(INDEX(Drinks!$B$4:$B$53,MATCH($B1968,Drinks!$A$4:$A$53,0)),0))</f>
        <v/>
      </c>
      <c r="L1968" s="10" t="str">
        <f aca="false">IF($B1968="","",$J1968+$K1968)</f>
        <v/>
      </c>
      <c r="M1968" s="9"/>
      <c r="N1968" s="10" t="str">
        <f aca="false">IF($B1968="","",$L1968-$M1968)</f>
        <v/>
      </c>
      <c r="O1968" s="10" t="str">
        <f aca="false">IF($B1968="","",IFERROR(INDEX(Drinks!$E$4:$E$53,MATCH($B1968,Drinks!$A$4:$A$53,0)),0))</f>
        <v/>
      </c>
      <c r="P1968" s="10" t="str">
        <f aca="false">IF($B1968="","",$N1968*$O1968)</f>
        <v/>
      </c>
      <c r="Q1968" s="10" t="str">
        <f aca="false">IF($B1968="","",$N1968*IFERROR(INDEX(Drinks!$D$4:$D$53,MATCH($B1968,Drinks!$A$4:$A$53,0)),0))</f>
        <v/>
      </c>
      <c r="R1968" s="10" t="str">
        <f aca="false">IF($B1968="","",$P1968-$Q1968)</f>
        <v/>
      </c>
      <c r="S1968" s="23" t="str">
        <f aca="false">IF($B1968="","",IF(COUNTIFS($A$4:$A$2003,$A1968-1,$B$4:$B$2003,$B1968)=0,"first day",IF(SUMIFS($M$4:$M$2003,$A$4:$A$2003,$A1968-1,$B$4:$B$2003,$B1968)=$J1968,"OK","CHECK")))</f>
        <v/>
      </c>
      <c r="T1968" s="10" t="str">
        <f aca="false">IF($B1968="","",IFERROR(INDEX(Drinks!$D$4:$D$53,MATCH($B1968,Drinks!$A$4:$A$53,0)),0))</f>
        <v/>
      </c>
    </row>
    <row r="1969" customFormat="false" ht="15" hidden="false" customHeight="false" outlineLevel="0" collapsed="false">
      <c r="A1969" s="22"/>
      <c r="B1969" s="9"/>
      <c r="C1969" s="9"/>
      <c r="D1969" s="9"/>
      <c r="E1969" s="9"/>
      <c r="F1969" s="10" t="str">
        <f aca="false">IF($B1969="","",$C1969+$D1969-$E1969)</f>
        <v/>
      </c>
      <c r="G1969" s="10" t="str">
        <f aca="false">IF($B1969="","",IFERROR(INDEX(Drinks!$C$4:$C$53,MATCH($B1969,Drinks!$A$4:$A$53,0)),0))</f>
        <v/>
      </c>
      <c r="H1969" s="10" t="str">
        <f aca="false">IF($B1969="","",$D1969*$G1969)</f>
        <v/>
      </c>
      <c r="I1969" s="10" t="str">
        <f aca="false">IF($B1969="","",$F1969*$G1969)</f>
        <v/>
      </c>
      <c r="J1969" s="9"/>
      <c r="K1969" s="10" t="str">
        <f aca="false">IF($B1969="","",$E1969*IFERROR(INDEX(Drinks!$B$4:$B$53,MATCH($B1969,Drinks!$A$4:$A$53,0)),0))</f>
        <v/>
      </c>
      <c r="L1969" s="10" t="str">
        <f aca="false">IF($B1969="","",$J1969+$K1969)</f>
        <v/>
      </c>
      <c r="M1969" s="9"/>
      <c r="N1969" s="10" t="str">
        <f aca="false">IF($B1969="","",$L1969-$M1969)</f>
        <v/>
      </c>
      <c r="O1969" s="10" t="str">
        <f aca="false">IF($B1969="","",IFERROR(INDEX(Drinks!$E$4:$E$53,MATCH($B1969,Drinks!$A$4:$A$53,0)),0))</f>
        <v/>
      </c>
      <c r="P1969" s="10" t="str">
        <f aca="false">IF($B1969="","",$N1969*$O1969)</f>
        <v/>
      </c>
      <c r="Q1969" s="10" t="str">
        <f aca="false">IF($B1969="","",$N1969*IFERROR(INDEX(Drinks!$D$4:$D$53,MATCH($B1969,Drinks!$A$4:$A$53,0)),0))</f>
        <v/>
      </c>
      <c r="R1969" s="10" t="str">
        <f aca="false">IF($B1969="","",$P1969-$Q1969)</f>
        <v/>
      </c>
      <c r="S1969" s="23" t="str">
        <f aca="false">IF($B1969="","",IF(COUNTIFS($A$4:$A$2003,$A1969-1,$B$4:$B$2003,$B1969)=0,"first day",IF(SUMIFS($M$4:$M$2003,$A$4:$A$2003,$A1969-1,$B$4:$B$2003,$B1969)=$J1969,"OK","CHECK")))</f>
        <v/>
      </c>
      <c r="T1969" s="10" t="str">
        <f aca="false">IF($B1969="","",IFERROR(INDEX(Drinks!$D$4:$D$53,MATCH($B1969,Drinks!$A$4:$A$53,0)),0))</f>
        <v/>
      </c>
    </row>
    <row r="1970" customFormat="false" ht="15" hidden="false" customHeight="false" outlineLevel="0" collapsed="false">
      <c r="A1970" s="22"/>
      <c r="B1970" s="9"/>
      <c r="C1970" s="9"/>
      <c r="D1970" s="9"/>
      <c r="E1970" s="9"/>
      <c r="F1970" s="10" t="str">
        <f aca="false">IF($B1970="","",$C1970+$D1970-$E1970)</f>
        <v/>
      </c>
      <c r="G1970" s="10" t="str">
        <f aca="false">IF($B1970="","",IFERROR(INDEX(Drinks!$C$4:$C$53,MATCH($B1970,Drinks!$A$4:$A$53,0)),0))</f>
        <v/>
      </c>
      <c r="H1970" s="10" t="str">
        <f aca="false">IF($B1970="","",$D1970*$G1970)</f>
        <v/>
      </c>
      <c r="I1970" s="10" t="str">
        <f aca="false">IF($B1970="","",$F1970*$G1970)</f>
        <v/>
      </c>
      <c r="J1970" s="9"/>
      <c r="K1970" s="10" t="str">
        <f aca="false">IF($B1970="","",$E1970*IFERROR(INDEX(Drinks!$B$4:$B$53,MATCH($B1970,Drinks!$A$4:$A$53,0)),0))</f>
        <v/>
      </c>
      <c r="L1970" s="10" t="str">
        <f aca="false">IF($B1970="","",$J1970+$K1970)</f>
        <v/>
      </c>
      <c r="M1970" s="9"/>
      <c r="N1970" s="10" t="str">
        <f aca="false">IF($B1970="","",$L1970-$M1970)</f>
        <v/>
      </c>
      <c r="O1970" s="10" t="str">
        <f aca="false">IF($B1970="","",IFERROR(INDEX(Drinks!$E$4:$E$53,MATCH($B1970,Drinks!$A$4:$A$53,0)),0))</f>
        <v/>
      </c>
      <c r="P1970" s="10" t="str">
        <f aca="false">IF($B1970="","",$N1970*$O1970)</f>
        <v/>
      </c>
      <c r="Q1970" s="10" t="str">
        <f aca="false">IF($B1970="","",$N1970*IFERROR(INDEX(Drinks!$D$4:$D$53,MATCH($B1970,Drinks!$A$4:$A$53,0)),0))</f>
        <v/>
      </c>
      <c r="R1970" s="10" t="str">
        <f aca="false">IF($B1970="","",$P1970-$Q1970)</f>
        <v/>
      </c>
      <c r="S1970" s="23" t="str">
        <f aca="false">IF($B1970="","",IF(COUNTIFS($A$4:$A$2003,$A1970-1,$B$4:$B$2003,$B1970)=0,"first day",IF(SUMIFS($M$4:$M$2003,$A$4:$A$2003,$A1970-1,$B$4:$B$2003,$B1970)=$J1970,"OK","CHECK")))</f>
        <v/>
      </c>
      <c r="T1970" s="10" t="str">
        <f aca="false">IF($B1970="","",IFERROR(INDEX(Drinks!$D$4:$D$53,MATCH($B1970,Drinks!$A$4:$A$53,0)),0))</f>
        <v/>
      </c>
    </row>
    <row r="1971" customFormat="false" ht="15" hidden="false" customHeight="false" outlineLevel="0" collapsed="false">
      <c r="A1971" s="22"/>
      <c r="B1971" s="9"/>
      <c r="C1971" s="9"/>
      <c r="D1971" s="9"/>
      <c r="E1971" s="9"/>
      <c r="F1971" s="10" t="str">
        <f aca="false">IF($B1971="","",$C1971+$D1971-$E1971)</f>
        <v/>
      </c>
      <c r="G1971" s="10" t="str">
        <f aca="false">IF($B1971="","",IFERROR(INDEX(Drinks!$C$4:$C$53,MATCH($B1971,Drinks!$A$4:$A$53,0)),0))</f>
        <v/>
      </c>
      <c r="H1971" s="10" t="str">
        <f aca="false">IF($B1971="","",$D1971*$G1971)</f>
        <v/>
      </c>
      <c r="I1971" s="10" t="str">
        <f aca="false">IF($B1971="","",$F1971*$G1971)</f>
        <v/>
      </c>
      <c r="J1971" s="9"/>
      <c r="K1971" s="10" t="str">
        <f aca="false">IF($B1971="","",$E1971*IFERROR(INDEX(Drinks!$B$4:$B$53,MATCH($B1971,Drinks!$A$4:$A$53,0)),0))</f>
        <v/>
      </c>
      <c r="L1971" s="10" t="str">
        <f aca="false">IF($B1971="","",$J1971+$K1971)</f>
        <v/>
      </c>
      <c r="M1971" s="9"/>
      <c r="N1971" s="10" t="str">
        <f aca="false">IF($B1971="","",$L1971-$M1971)</f>
        <v/>
      </c>
      <c r="O1971" s="10" t="str">
        <f aca="false">IF($B1971="","",IFERROR(INDEX(Drinks!$E$4:$E$53,MATCH($B1971,Drinks!$A$4:$A$53,0)),0))</f>
        <v/>
      </c>
      <c r="P1971" s="10" t="str">
        <f aca="false">IF($B1971="","",$N1971*$O1971)</f>
        <v/>
      </c>
      <c r="Q1971" s="10" t="str">
        <f aca="false">IF($B1971="","",$N1971*IFERROR(INDEX(Drinks!$D$4:$D$53,MATCH($B1971,Drinks!$A$4:$A$53,0)),0))</f>
        <v/>
      </c>
      <c r="R1971" s="10" t="str">
        <f aca="false">IF($B1971="","",$P1971-$Q1971)</f>
        <v/>
      </c>
      <c r="S1971" s="23" t="str">
        <f aca="false">IF($B1971="","",IF(COUNTIFS($A$4:$A$2003,$A1971-1,$B$4:$B$2003,$B1971)=0,"first day",IF(SUMIFS($M$4:$M$2003,$A$4:$A$2003,$A1971-1,$B$4:$B$2003,$B1971)=$J1971,"OK","CHECK")))</f>
        <v/>
      </c>
      <c r="T1971" s="10" t="str">
        <f aca="false">IF($B1971="","",IFERROR(INDEX(Drinks!$D$4:$D$53,MATCH($B1971,Drinks!$A$4:$A$53,0)),0))</f>
        <v/>
      </c>
    </row>
    <row r="1972" customFormat="false" ht="15" hidden="false" customHeight="false" outlineLevel="0" collapsed="false">
      <c r="A1972" s="22"/>
      <c r="B1972" s="9"/>
      <c r="C1972" s="9"/>
      <c r="D1972" s="9"/>
      <c r="E1972" s="9"/>
      <c r="F1972" s="10" t="str">
        <f aca="false">IF($B1972="","",$C1972+$D1972-$E1972)</f>
        <v/>
      </c>
      <c r="G1972" s="10" t="str">
        <f aca="false">IF($B1972="","",IFERROR(INDEX(Drinks!$C$4:$C$53,MATCH($B1972,Drinks!$A$4:$A$53,0)),0))</f>
        <v/>
      </c>
      <c r="H1972" s="10" t="str">
        <f aca="false">IF($B1972="","",$D1972*$G1972)</f>
        <v/>
      </c>
      <c r="I1972" s="10" t="str">
        <f aca="false">IF($B1972="","",$F1972*$G1972)</f>
        <v/>
      </c>
      <c r="J1972" s="9"/>
      <c r="K1972" s="10" t="str">
        <f aca="false">IF($B1972="","",$E1972*IFERROR(INDEX(Drinks!$B$4:$B$53,MATCH($B1972,Drinks!$A$4:$A$53,0)),0))</f>
        <v/>
      </c>
      <c r="L1972" s="10" t="str">
        <f aca="false">IF($B1972="","",$J1972+$K1972)</f>
        <v/>
      </c>
      <c r="M1972" s="9"/>
      <c r="N1972" s="10" t="str">
        <f aca="false">IF($B1972="","",$L1972-$M1972)</f>
        <v/>
      </c>
      <c r="O1972" s="10" t="str">
        <f aca="false">IF($B1972="","",IFERROR(INDEX(Drinks!$E$4:$E$53,MATCH($B1972,Drinks!$A$4:$A$53,0)),0))</f>
        <v/>
      </c>
      <c r="P1972" s="10" t="str">
        <f aca="false">IF($B1972="","",$N1972*$O1972)</f>
        <v/>
      </c>
      <c r="Q1972" s="10" t="str">
        <f aca="false">IF($B1972="","",$N1972*IFERROR(INDEX(Drinks!$D$4:$D$53,MATCH($B1972,Drinks!$A$4:$A$53,0)),0))</f>
        <v/>
      </c>
      <c r="R1972" s="10" t="str">
        <f aca="false">IF($B1972="","",$P1972-$Q1972)</f>
        <v/>
      </c>
      <c r="S1972" s="23" t="str">
        <f aca="false">IF($B1972="","",IF(COUNTIFS($A$4:$A$2003,$A1972-1,$B$4:$B$2003,$B1972)=0,"first day",IF(SUMIFS($M$4:$M$2003,$A$4:$A$2003,$A1972-1,$B$4:$B$2003,$B1972)=$J1972,"OK","CHECK")))</f>
        <v/>
      </c>
      <c r="T1972" s="10" t="str">
        <f aca="false">IF($B1972="","",IFERROR(INDEX(Drinks!$D$4:$D$53,MATCH($B1972,Drinks!$A$4:$A$53,0)),0))</f>
        <v/>
      </c>
    </row>
    <row r="1973" customFormat="false" ht="15" hidden="false" customHeight="false" outlineLevel="0" collapsed="false">
      <c r="A1973" s="22"/>
      <c r="B1973" s="9"/>
      <c r="C1973" s="9"/>
      <c r="D1973" s="9"/>
      <c r="E1973" s="9"/>
      <c r="F1973" s="10" t="str">
        <f aca="false">IF($B1973="","",$C1973+$D1973-$E1973)</f>
        <v/>
      </c>
      <c r="G1973" s="10" t="str">
        <f aca="false">IF($B1973="","",IFERROR(INDEX(Drinks!$C$4:$C$53,MATCH($B1973,Drinks!$A$4:$A$53,0)),0))</f>
        <v/>
      </c>
      <c r="H1973" s="10" t="str">
        <f aca="false">IF($B1973="","",$D1973*$G1973)</f>
        <v/>
      </c>
      <c r="I1973" s="10" t="str">
        <f aca="false">IF($B1973="","",$F1973*$G1973)</f>
        <v/>
      </c>
      <c r="J1973" s="9"/>
      <c r="K1973" s="10" t="str">
        <f aca="false">IF($B1973="","",$E1973*IFERROR(INDEX(Drinks!$B$4:$B$53,MATCH($B1973,Drinks!$A$4:$A$53,0)),0))</f>
        <v/>
      </c>
      <c r="L1973" s="10" t="str">
        <f aca="false">IF($B1973="","",$J1973+$K1973)</f>
        <v/>
      </c>
      <c r="M1973" s="9"/>
      <c r="N1973" s="10" t="str">
        <f aca="false">IF($B1973="","",$L1973-$M1973)</f>
        <v/>
      </c>
      <c r="O1973" s="10" t="str">
        <f aca="false">IF($B1973="","",IFERROR(INDEX(Drinks!$E$4:$E$53,MATCH($B1973,Drinks!$A$4:$A$53,0)),0))</f>
        <v/>
      </c>
      <c r="P1973" s="10" t="str">
        <f aca="false">IF($B1973="","",$N1973*$O1973)</f>
        <v/>
      </c>
      <c r="Q1973" s="10" t="str">
        <f aca="false">IF($B1973="","",$N1973*IFERROR(INDEX(Drinks!$D$4:$D$53,MATCH($B1973,Drinks!$A$4:$A$53,0)),0))</f>
        <v/>
      </c>
      <c r="R1973" s="10" t="str">
        <f aca="false">IF($B1973="","",$P1973-$Q1973)</f>
        <v/>
      </c>
      <c r="S1973" s="23" t="str">
        <f aca="false">IF($B1973="","",IF(COUNTIFS($A$4:$A$2003,$A1973-1,$B$4:$B$2003,$B1973)=0,"first day",IF(SUMIFS($M$4:$M$2003,$A$4:$A$2003,$A1973-1,$B$4:$B$2003,$B1973)=$J1973,"OK","CHECK")))</f>
        <v/>
      </c>
      <c r="T1973" s="10" t="str">
        <f aca="false">IF($B1973="","",IFERROR(INDEX(Drinks!$D$4:$D$53,MATCH($B1973,Drinks!$A$4:$A$53,0)),0))</f>
        <v/>
      </c>
    </row>
    <row r="1974" customFormat="false" ht="15" hidden="false" customHeight="false" outlineLevel="0" collapsed="false">
      <c r="A1974" s="22"/>
      <c r="B1974" s="9"/>
      <c r="C1974" s="9"/>
      <c r="D1974" s="9"/>
      <c r="E1974" s="9"/>
      <c r="F1974" s="10" t="str">
        <f aca="false">IF($B1974="","",$C1974+$D1974-$E1974)</f>
        <v/>
      </c>
      <c r="G1974" s="10" t="str">
        <f aca="false">IF($B1974="","",IFERROR(INDEX(Drinks!$C$4:$C$53,MATCH($B1974,Drinks!$A$4:$A$53,0)),0))</f>
        <v/>
      </c>
      <c r="H1974" s="10" t="str">
        <f aca="false">IF($B1974="","",$D1974*$G1974)</f>
        <v/>
      </c>
      <c r="I1974" s="10" t="str">
        <f aca="false">IF($B1974="","",$F1974*$G1974)</f>
        <v/>
      </c>
      <c r="J1974" s="9"/>
      <c r="K1974" s="10" t="str">
        <f aca="false">IF($B1974="","",$E1974*IFERROR(INDEX(Drinks!$B$4:$B$53,MATCH($B1974,Drinks!$A$4:$A$53,0)),0))</f>
        <v/>
      </c>
      <c r="L1974" s="10" t="str">
        <f aca="false">IF($B1974="","",$J1974+$K1974)</f>
        <v/>
      </c>
      <c r="M1974" s="9"/>
      <c r="N1974" s="10" t="str">
        <f aca="false">IF($B1974="","",$L1974-$M1974)</f>
        <v/>
      </c>
      <c r="O1974" s="10" t="str">
        <f aca="false">IF($B1974="","",IFERROR(INDEX(Drinks!$E$4:$E$53,MATCH($B1974,Drinks!$A$4:$A$53,0)),0))</f>
        <v/>
      </c>
      <c r="P1974" s="10" t="str">
        <f aca="false">IF($B1974="","",$N1974*$O1974)</f>
        <v/>
      </c>
      <c r="Q1974" s="10" t="str">
        <f aca="false">IF($B1974="","",$N1974*IFERROR(INDEX(Drinks!$D$4:$D$53,MATCH($B1974,Drinks!$A$4:$A$53,0)),0))</f>
        <v/>
      </c>
      <c r="R1974" s="10" t="str">
        <f aca="false">IF($B1974="","",$P1974-$Q1974)</f>
        <v/>
      </c>
      <c r="S1974" s="23" t="str">
        <f aca="false">IF($B1974="","",IF(COUNTIFS($A$4:$A$2003,$A1974-1,$B$4:$B$2003,$B1974)=0,"first day",IF(SUMIFS($M$4:$M$2003,$A$4:$A$2003,$A1974-1,$B$4:$B$2003,$B1974)=$J1974,"OK","CHECK")))</f>
        <v/>
      </c>
      <c r="T1974" s="10" t="str">
        <f aca="false">IF($B1974="","",IFERROR(INDEX(Drinks!$D$4:$D$53,MATCH($B1974,Drinks!$A$4:$A$53,0)),0))</f>
        <v/>
      </c>
    </row>
    <row r="1975" customFormat="false" ht="15" hidden="false" customHeight="false" outlineLevel="0" collapsed="false">
      <c r="A1975" s="22"/>
      <c r="B1975" s="9"/>
      <c r="C1975" s="9"/>
      <c r="D1975" s="9"/>
      <c r="E1975" s="9"/>
      <c r="F1975" s="10" t="str">
        <f aca="false">IF($B1975="","",$C1975+$D1975-$E1975)</f>
        <v/>
      </c>
      <c r="G1975" s="10" t="str">
        <f aca="false">IF($B1975="","",IFERROR(INDEX(Drinks!$C$4:$C$53,MATCH($B1975,Drinks!$A$4:$A$53,0)),0))</f>
        <v/>
      </c>
      <c r="H1975" s="10" t="str">
        <f aca="false">IF($B1975="","",$D1975*$G1975)</f>
        <v/>
      </c>
      <c r="I1975" s="10" t="str">
        <f aca="false">IF($B1975="","",$F1975*$G1975)</f>
        <v/>
      </c>
      <c r="J1975" s="9"/>
      <c r="K1975" s="10" t="str">
        <f aca="false">IF($B1975="","",$E1975*IFERROR(INDEX(Drinks!$B$4:$B$53,MATCH($B1975,Drinks!$A$4:$A$53,0)),0))</f>
        <v/>
      </c>
      <c r="L1975" s="10" t="str">
        <f aca="false">IF($B1975="","",$J1975+$K1975)</f>
        <v/>
      </c>
      <c r="M1975" s="9"/>
      <c r="N1975" s="10" t="str">
        <f aca="false">IF($B1975="","",$L1975-$M1975)</f>
        <v/>
      </c>
      <c r="O1975" s="10" t="str">
        <f aca="false">IF($B1975="","",IFERROR(INDEX(Drinks!$E$4:$E$53,MATCH($B1975,Drinks!$A$4:$A$53,0)),0))</f>
        <v/>
      </c>
      <c r="P1975" s="10" t="str">
        <f aca="false">IF($B1975="","",$N1975*$O1975)</f>
        <v/>
      </c>
      <c r="Q1975" s="10" t="str">
        <f aca="false">IF($B1975="","",$N1975*IFERROR(INDEX(Drinks!$D$4:$D$53,MATCH($B1975,Drinks!$A$4:$A$53,0)),0))</f>
        <v/>
      </c>
      <c r="R1975" s="10" t="str">
        <f aca="false">IF($B1975="","",$P1975-$Q1975)</f>
        <v/>
      </c>
      <c r="S1975" s="23" t="str">
        <f aca="false">IF($B1975="","",IF(COUNTIFS($A$4:$A$2003,$A1975-1,$B$4:$B$2003,$B1975)=0,"first day",IF(SUMIFS($M$4:$M$2003,$A$4:$A$2003,$A1975-1,$B$4:$B$2003,$B1975)=$J1975,"OK","CHECK")))</f>
        <v/>
      </c>
      <c r="T1975" s="10" t="str">
        <f aca="false">IF($B1975="","",IFERROR(INDEX(Drinks!$D$4:$D$53,MATCH($B1975,Drinks!$A$4:$A$53,0)),0))</f>
        <v/>
      </c>
    </row>
    <row r="1976" customFormat="false" ht="15" hidden="false" customHeight="false" outlineLevel="0" collapsed="false">
      <c r="A1976" s="22"/>
      <c r="B1976" s="9"/>
      <c r="C1976" s="9"/>
      <c r="D1976" s="9"/>
      <c r="E1976" s="9"/>
      <c r="F1976" s="10" t="str">
        <f aca="false">IF($B1976="","",$C1976+$D1976-$E1976)</f>
        <v/>
      </c>
      <c r="G1976" s="10" t="str">
        <f aca="false">IF($B1976="","",IFERROR(INDEX(Drinks!$C$4:$C$53,MATCH($B1976,Drinks!$A$4:$A$53,0)),0))</f>
        <v/>
      </c>
      <c r="H1976" s="10" t="str">
        <f aca="false">IF($B1976="","",$D1976*$G1976)</f>
        <v/>
      </c>
      <c r="I1976" s="10" t="str">
        <f aca="false">IF($B1976="","",$F1976*$G1976)</f>
        <v/>
      </c>
      <c r="J1976" s="9"/>
      <c r="K1976" s="10" t="str">
        <f aca="false">IF($B1976="","",$E1976*IFERROR(INDEX(Drinks!$B$4:$B$53,MATCH($B1976,Drinks!$A$4:$A$53,0)),0))</f>
        <v/>
      </c>
      <c r="L1976" s="10" t="str">
        <f aca="false">IF($B1976="","",$J1976+$K1976)</f>
        <v/>
      </c>
      <c r="M1976" s="9"/>
      <c r="N1976" s="10" t="str">
        <f aca="false">IF($B1976="","",$L1976-$M1976)</f>
        <v/>
      </c>
      <c r="O1976" s="10" t="str">
        <f aca="false">IF($B1976="","",IFERROR(INDEX(Drinks!$E$4:$E$53,MATCH($B1976,Drinks!$A$4:$A$53,0)),0))</f>
        <v/>
      </c>
      <c r="P1976" s="10" t="str">
        <f aca="false">IF($B1976="","",$N1976*$O1976)</f>
        <v/>
      </c>
      <c r="Q1976" s="10" t="str">
        <f aca="false">IF($B1976="","",$N1976*IFERROR(INDEX(Drinks!$D$4:$D$53,MATCH($B1976,Drinks!$A$4:$A$53,0)),0))</f>
        <v/>
      </c>
      <c r="R1976" s="10" t="str">
        <f aca="false">IF($B1976="","",$P1976-$Q1976)</f>
        <v/>
      </c>
      <c r="S1976" s="23" t="str">
        <f aca="false">IF($B1976="","",IF(COUNTIFS($A$4:$A$2003,$A1976-1,$B$4:$B$2003,$B1976)=0,"first day",IF(SUMIFS($M$4:$M$2003,$A$4:$A$2003,$A1976-1,$B$4:$B$2003,$B1976)=$J1976,"OK","CHECK")))</f>
        <v/>
      </c>
      <c r="T1976" s="10" t="str">
        <f aca="false">IF($B1976="","",IFERROR(INDEX(Drinks!$D$4:$D$53,MATCH($B1976,Drinks!$A$4:$A$53,0)),0))</f>
        <v/>
      </c>
    </row>
    <row r="1977" customFormat="false" ht="15" hidden="false" customHeight="false" outlineLevel="0" collapsed="false">
      <c r="A1977" s="22"/>
      <c r="B1977" s="9"/>
      <c r="C1977" s="9"/>
      <c r="D1977" s="9"/>
      <c r="E1977" s="9"/>
      <c r="F1977" s="10" t="str">
        <f aca="false">IF($B1977="","",$C1977+$D1977-$E1977)</f>
        <v/>
      </c>
      <c r="G1977" s="10" t="str">
        <f aca="false">IF($B1977="","",IFERROR(INDEX(Drinks!$C$4:$C$53,MATCH($B1977,Drinks!$A$4:$A$53,0)),0))</f>
        <v/>
      </c>
      <c r="H1977" s="10" t="str">
        <f aca="false">IF($B1977="","",$D1977*$G1977)</f>
        <v/>
      </c>
      <c r="I1977" s="10" t="str">
        <f aca="false">IF($B1977="","",$F1977*$G1977)</f>
        <v/>
      </c>
      <c r="J1977" s="9"/>
      <c r="K1977" s="10" t="str">
        <f aca="false">IF($B1977="","",$E1977*IFERROR(INDEX(Drinks!$B$4:$B$53,MATCH($B1977,Drinks!$A$4:$A$53,0)),0))</f>
        <v/>
      </c>
      <c r="L1977" s="10" t="str">
        <f aca="false">IF($B1977="","",$J1977+$K1977)</f>
        <v/>
      </c>
      <c r="M1977" s="9"/>
      <c r="N1977" s="10" t="str">
        <f aca="false">IF($B1977="","",$L1977-$M1977)</f>
        <v/>
      </c>
      <c r="O1977" s="10" t="str">
        <f aca="false">IF($B1977="","",IFERROR(INDEX(Drinks!$E$4:$E$53,MATCH($B1977,Drinks!$A$4:$A$53,0)),0))</f>
        <v/>
      </c>
      <c r="P1977" s="10" t="str">
        <f aca="false">IF($B1977="","",$N1977*$O1977)</f>
        <v/>
      </c>
      <c r="Q1977" s="10" t="str">
        <f aca="false">IF($B1977="","",$N1977*IFERROR(INDEX(Drinks!$D$4:$D$53,MATCH($B1977,Drinks!$A$4:$A$53,0)),0))</f>
        <v/>
      </c>
      <c r="R1977" s="10" t="str">
        <f aca="false">IF($B1977="","",$P1977-$Q1977)</f>
        <v/>
      </c>
      <c r="S1977" s="23" t="str">
        <f aca="false">IF($B1977="","",IF(COUNTIFS($A$4:$A$2003,$A1977-1,$B$4:$B$2003,$B1977)=0,"first day",IF(SUMIFS($M$4:$M$2003,$A$4:$A$2003,$A1977-1,$B$4:$B$2003,$B1977)=$J1977,"OK","CHECK")))</f>
        <v/>
      </c>
      <c r="T1977" s="10" t="str">
        <f aca="false">IF($B1977="","",IFERROR(INDEX(Drinks!$D$4:$D$53,MATCH($B1977,Drinks!$A$4:$A$53,0)),0))</f>
        <v/>
      </c>
    </row>
    <row r="1978" customFormat="false" ht="15" hidden="false" customHeight="false" outlineLevel="0" collapsed="false">
      <c r="A1978" s="22"/>
      <c r="B1978" s="9"/>
      <c r="C1978" s="9"/>
      <c r="D1978" s="9"/>
      <c r="E1978" s="9"/>
      <c r="F1978" s="10" t="str">
        <f aca="false">IF($B1978="","",$C1978+$D1978-$E1978)</f>
        <v/>
      </c>
      <c r="G1978" s="10" t="str">
        <f aca="false">IF($B1978="","",IFERROR(INDEX(Drinks!$C$4:$C$53,MATCH($B1978,Drinks!$A$4:$A$53,0)),0))</f>
        <v/>
      </c>
      <c r="H1978" s="10" t="str">
        <f aca="false">IF($B1978="","",$D1978*$G1978)</f>
        <v/>
      </c>
      <c r="I1978" s="10" t="str">
        <f aca="false">IF($B1978="","",$F1978*$G1978)</f>
        <v/>
      </c>
      <c r="J1978" s="9"/>
      <c r="K1978" s="10" t="str">
        <f aca="false">IF($B1978="","",$E1978*IFERROR(INDEX(Drinks!$B$4:$B$53,MATCH($B1978,Drinks!$A$4:$A$53,0)),0))</f>
        <v/>
      </c>
      <c r="L1978" s="10" t="str">
        <f aca="false">IF($B1978="","",$J1978+$K1978)</f>
        <v/>
      </c>
      <c r="M1978" s="9"/>
      <c r="N1978" s="10" t="str">
        <f aca="false">IF($B1978="","",$L1978-$M1978)</f>
        <v/>
      </c>
      <c r="O1978" s="10" t="str">
        <f aca="false">IF($B1978="","",IFERROR(INDEX(Drinks!$E$4:$E$53,MATCH($B1978,Drinks!$A$4:$A$53,0)),0))</f>
        <v/>
      </c>
      <c r="P1978" s="10" t="str">
        <f aca="false">IF($B1978="","",$N1978*$O1978)</f>
        <v/>
      </c>
      <c r="Q1978" s="10" t="str">
        <f aca="false">IF($B1978="","",$N1978*IFERROR(INDEX(Drinks!$D$4:$D$53,MATCH($B1978,Drinks!$A$4:$A$53,0)),0))</f>
        <v/>
      </c>
      <c r="R1978" s="10" t="str">
        <f aca="false">IF($B1978="","",$P1978-$Q1978)</f>
        <v/>
      </c>
      <c r="S1978" s="23" t="str">
        <f aca="false">IF($B1978="","",IF(COUNTIFS($A$4:$A$2003,$A1978-1,$B$4:$B$2003,$B1978)=0,"first day",IF(SUMIFS($M$4:$M$2003,$A$4:$A$2003,$A1978-1,$B$4:$B$2003,$B1978)=$J1978,"OK","CHECK")))</f>
        <v/>
      </c>
      <c r="T1978" s="10" t="str">
        <f aca="false">IF($B1978="","",IFERROR(INDEX(Drinks!$D$4:$D$53,MATCH($B1978,Drinks!$A$4:$A$53,0)),0))</f>
        <v/>
      </c>
    </row>
    <row r="1979" customFormat="false" ht="15" hidden="false" customHeight="false" outlineLevel="0" collapsed="false">
      <c r="A1979" s="22"/>
      <c r="B1979" s="9"/>
      <c r="C1979" s="9"/>
      <c r="D1979" s="9"/>
      <c r="E1979" s="9"/>
      <c r="F1979" s="10" t="str">
        <f aca="false">IF($B1979="","",$C1979+$D1979-$E1979)</f>
        <v/>
      </c>
      <c r="G1979" s="10" t="str">
        <f aca="false">IF($B1979="","",IFERROR(INDEX(Drinks!$C$4:$C$53,MATCH($B1979,Drinks!$A$4:$A$53,0)),0))</f>
        <v/>
      </c>
      <c r="H1979" s="10" t="str">
        <f aca="false">IF($B1979="","",$D1979*$G1979)</f>
        <v/>
      </c>
      <c r="I1979" s="10" t="str">
        <f aca="false">IF($B1979="","",$F1979*$G1979)</f>
        <v/>
      </c>
      <c r="J1979" s="9"/>
      <c r="K1979" s="10" t="str">
        <f aca="false">IF($B1979="","",$E1979*IFERROR(INDEX(Drinks!$B$4:$B$53,MATCH($B1979,Drinks!$A$4:$A$53,0)),0))</f>
        <v/>
      </c>
      <c r="L1979" s="10" t="str">
        <f aca="false">IF($B1979="","",$J1979+$K1979)</f>
        <v/>
      </c>
      <c r="M1979" s="9"/>
      <c r="N1979" s="10" t="str">
        <f aca="false">IF($B1979="","",$L1979-$M1979)</f>
        <v/>
      </c>
      <c r="O1979" s="10" t="str">
        <f aca="false">IF($B1979="","",IFERROR(INDEX(Drinks!$E$4:$E$53,MATCH($B1979,Drinks!$A$4:$A$53,0)),0))</f>
        <v/>
      </c>
      <c r="P1979" s="10" t="str">
        <f aca="false">IF($B1979="","",$N1979*$O1979)</f>
        <v/>
      </c>
      <c r="Q1979" s="10" t="str">
        <f aca="false">IF($B1979="","",$N1979*IFERROR(INDEX(Drinks!$D$4:$D$53,MATCH($B1979,Drinks!$A$4:$A$53,0)),0))</f>
        <v/>
      </c>
      <c r="R1979" s="10" t="str">
        <f aca="false">IF($B1979="","",$P1979-$Q1979)</f>
        <v/>
      </c>
      <c r="S1979" s="23" t="str">
        <f aca="false">IF($B1979="","",IF(COUNTIFS($A$4:$A$2003,$A1979-1,$B$4:$B$2003,$B1979)=0,"first day",IF(SUMIFS($M$4:$M$2003,$A$4:$A$2003,$A1979-1,$B$4:$B$2003,$B1979)=$J1979,"OK","CHECK")))</f>
        <v/>
      </c>
      <c r="T1979" s="10" t="str">
        <f aca="false">IF($B1979="","",IFERROR(INDEX(Drinks!$D$4:$D$53,MATCH($B1979,Drinks!$A$4:$A$53,0)),0))</f>
        <v/>
      </c>
    </row>
    <row r="1980" customFormat="false" ht="15" hidden="false" customHeight="false" outlineLevel="0" collapsed="false">
      <c r="A1980" s="22"/>
      <c r="B1980" s="9"/>
      <c r="C1980" s="9"/>
      <c r="D1980" s="9"/>
      <c r="E1980" s="9"/>
      <c r="F1980" s="10" t="str">
        <f aca="false">IF($B1980="","",$C1980+$D1980-$E1980)</f>
        <v/>
      </c>
      <c r="G1980" s="10" t="str">
        <f aca="false">IF($B1980="","",IFERROR(INDEX(Drinks!$C$4:$C$53,MATCH($B1980,Drinks!$A$4:$A$53,0)),0))</f>
        <v/>
      </c>
      <c r="H1980" s="10" t="str">
        <f aca="false">IF($B1980="","",$D1980*$G1980)</f>
        <v/>
      </c>
      <c r="I1980" s="10" t="str">
        <f aca="false">IF($B1980="","",$F1980*$G1980)</f>
        <v/>
      </c>
      <c r="J1980" s="9"/>
      <c r="K1980" s="10" t="str">
        <f aca="false">IF($B1980="","",$E1980*IFERROR(INDEX(Drinks!$B$4:$B$53,MATCH($B1980,Drinks!$A$4:$A$53,0)),0))</f>
        <v/>
      </c>
      <c r="L1980" s="10" t="str">
        <f aca="false">IF($B1980="","",$J1980+$K1980)</f>
        <v/>
      </c>
      <c r="M1980" s="9"/>
      <c r="N1980" s="10" t="str">
        <f aca="false">IF($B1980="","",$L1980-$M1980)</f>
        <v/>
      </c>
      <c r="O1980" s="10" t="str">
        <f aca="false">IF($B1980="","",IFERROR(INDEX(Drinks!$E$4:$E$53,MATCH($B1980,Drinks!$A$4:$A$53,0)),0))</f>
        <v/>
      </c>
      <c r="P1980" s="10" t="str">
        <f aca="false">IF($B1980="","",$N1980*$O1980)</f>
        <v/>
      </c>
      <c r="Q1980" s="10" t="str">
        <f aca="false">IF($B1980="","",$N1980*IFERROR(INDEX(Drinks!$D$4:$D$53,MATCH($B1980,Drinks!$A$4:$A$53,0)),0))</f>
        <v/>
      </c>
      <c r="R1980" s="10" t="str">
        <f aca="false">IF($B1980="","",$P1980-$Q1980)</f>
        <v/>
      </c>
      <c r="S1980" s="23" t="str">
        <f aca="false">IF($B1980="","",IF(COUNTIFS($A$4:$A$2003,$A1980-1,$B$4:$B$2003,$B1980)=0,"first day",IF(SUMIFS($M$4:$M$2003,$A$4:$A$2003,$A1980-1,$B$4:$B$2003,$B1980)=$J1980,"OK","CHECK")))</f>
        <v/>
      </c>
      <c r="T1980" s="10" t="str">
        <f aca="false">IF($B1980="","",IFERROR(INDEX(Drinks!$D$4:$D$53,MATCH($B1980,Drinks!$A$4:$A$53,0)),0))</f>
        <v/>
      </c>
    </row>
    <row r="1981" customFormat="false" ht="15" hidden="false" customHeight="false" outlineLevel="0" collapsed="false">
      <c r="A1981" s="22"/>
      <c r="B1981" s="9"/>
      <c r="C1981" s="9"/>
      <c r="D1981" s="9"/>
      <c r="E1981" s="9"/>
      <c r="F1981" s="10" t="str">
        <f aca="false">IF($B1981="","",$C1981+$D1981-$E1981)</f>
        <v/>
      </c>
      <c r="G1981" s="10" t="str">
        <f aca="false">IF($B1981="","",IFERROR(INDEX(Drinks!$C$4:$C$53,MATCH($B1981,Drinks!$A$4:$A$53,0)),0))</f>
        <v/>
      </c>
      <c r="H1981" s="10" t="str">
        <f aca="false">IF($B1981="","",$D1981*$G1981)</f>
        <v/>
      </c>
      <c r="I1981" s="10" t="str">
        <f aca="false">IF($B1981="","",$F1981*$G1981)</f>
        <v/>
      </c>
      <c r="J1981" s="9"/>
      <c r="K1981" s="10" t="str">
        <f aca="false">IF($B1981="","",$E1981*IFERROR(INDEX(Drinks!$B$4:$B$53,MATCH($B1981,Drinks!$A$4:$A$53,0)),0))</f>
        <v/>
      </c>
      <c r="L1981" s="10" t="str">
        <f aca="false">IF($B1981="","",$J1981+$K1981)</f>
        <v/>
      </c>
      <c r="M1981" s="9"/>
      <c r="N1981" s="10" t="str">
        <f aca="false">IF($B1981="","",$L1981-$M1981)</f>
        <v/>
      </c>
      <c r="O1981" s="10" t="str">
        <f aca="false">IF($B1981="","",IFERROR(INDEX(Drinks!$E$4:$E$53,MATCH($B1981,Drinks!$A$4:$A$53,0)),0))</f>
        <v/>
      </c>
      <c r="P1981" s="10" t="str">
        <f aca="false">IF($B1981="","",$N1981*$O1981)</f>
        <v/>
      </c>
      <c r="Q1981" s="10" t="str">
        <f aca="false">IF($B1981="","",$N1981*IFERROR(INDEX(Drinks!$D$4:$D$53,MATCH($B1981,Drinks!$A$4:$A$53,0)),0))</f>
        <v/>
      </c>
      <c r="R1981" s="10" t="str">
        <f aca="false">IF($B1981="","",$P1981-$Q1981)</f>
        <v/>
      </c>
      <c r="S1981" s="23" t="str">
        <f aca="false">IF($B1981="","",IF(COUNTIFS($A$4:$A$2003,$A1981-1,$B$4:$B$2003,$B1981)=0,"first day",IF(SUMIFS($M$4:$M$2003,$A$4:$A$2003,$A1981-1,$B$4:$B$2003,$B1981)=$J1981,"OK","CHECK")))</f>
        <v/>
      </c>
      <c r="T1981" s="10" t="str">
        <f aca="false">IF($B1981="","",IFERROR(INDEX(Drinks!$D$4:$D$53,MATCH($B1981,Drinks!$A$4:$A$53,0)),0))</f>
        <v/>
      </c>
    </row>
    <row r="1982" customFormat="false" ht="15" hidden="false" customHeight="false" outlineLevel="0" collapsed="false">
      <c r="A1982" s="22"/>
      <c r="B1982" s="9"/>
      <c r="C1982" s="9"/>
      <c r="D1982" s="9"/>
      <c r="E1982" s="9"/>
      <c r="F1982" s="10" t="str">
        <f aca="false">IF($B1982="","",$C1982+$D1982-$E1982)</f>
        <v/>
      </c>
      <c r="G1982" s="10" t="str">
        <f aca="false">IF($B1982="","",IFERROR(INDEX(Drinks!$C$4:$C$53,MATCH($B1982,Drinks!$A$4:$A$53,0)),0))</f>
        <v/>
      </c>
      <c r="H1982" s="10" t="str">
        <f aca="false">IF($B1982="","",$D1982*$G1982)</f>
        <v/>
      </c>
      <c r="I1982" s="10" t="str">
        <f aca="false">IF($B1982="","",$F1982*$G1982)</f>
        <v/>
      </c>
      <c r="J1982" s="9"/>
      <c r="K1982" s="10" t="str">
        <f aca="false">IF($B1982="","",$E1982*IFERROR(INDEX(Drinks!$B$4:$B$53,MATCH($B1982,Drinks!$A$4:$A$53,0)),0))</f>
        <v/>
      </c>
      <c r="L1982" s="10" t="str">
        <f aca="false">IF($B1982="","",$J1982+$K1982)</f>
        <v/>
      </c>
      <c r="M1982" s="9"/>
      <c r="N1982" s="10" t="str">
        <f aca="false">IF($B1982="","",$L1982-$M1982)</f>
        <v/>
      </c>
      <c r="O1982" s="10" t="str">
        <f aca="false">IF($B1982="","",IFERROR(INDEX(Drinks!$E$4:$E$53,MATCH($B1982,Drinks!$A$4:$A$53,0)),0))</f>
        <v/>
      </c>
      <c r="P1982" s="10" t="str">
        <f aca="false">IF($B1982="","",$N1982*$O1982)</f>
        <v/>
      </c>
      <c r="Q1982" s="10" t="str">
        <f aca="false">IF($B1982="","",$N1982*IFERROR(INDEX(Drinks!$D$4:$D$53,MATCH($B1982,Drinks!$A$4:$A$53,0)),0))</f>
        <v/>
      </c>
      <c r="R1982" s="10" t="str">
        <f aca="false">IF($B1982="","",$P1982-$Q1982)</f>
        <v/>
      </c>
      <c r="S1982" s="23" t="str">
        <f aca="false">IF($B1982="","",IF(COUNTIFS($A$4:$A$2003,$A1982-1,$B$4:$B$2003,$B1982)=0,"first day",IF(SUMIFS($M$4:$M$2003,$A$4:$A$2003,$A1982-1,$B$4:$B$2003,$B1982)=$J1982,"OK","CHECK")))</f>
        <v/>
      </c>
      <c r="T1982" s="10" t="str">
        <f aca="false">IF($B1982="","",IFERROR(INDEX(Drinks!$D$4:$D$53,MATCH($B1982,Drinks!$A$4:$A$53,0)),0))</f>
        <v/>
      </c>
    </row>
    <row r="1983" customFormat="false" ht="15" hidden="false" customHeight="false" outlineLevel="0" collapsed="false">
      <c r="A1983" s="22"/>
      <c r="B1983" s="9"/>
      <c r="C1983" s="9"/>
      <c r="D1983" s="9"/>
      <c r="E1983" s="9"/>
      <c r="F1983" s="10" t="str">
        <f aca="false">IF($B1983="","",$C1983+$D1983-$E1983)</f>
        <v/>
      </c>
      <c r="G1983" s="10" t="str">
        <f aca="false">IF($B1983="","",IFERROR(INDEX(Drinks!$C$4:$C$53,MATCH($B1983,Drinks!$A$4:$A$53,0)),0))</f>
        <v/>
      </c>
      <c r="H1983" s="10" t="str">
        <f aca="false">IF($B1983="","",$D1983*$G1983)</f>
        <v/>
      </c>
      <c r="I1983" s="10" t="str">
        <f aca="false">IF($B1983="","",$F1983*$G1983)</f>
        <v/>
      </c>
      <c r="J1983" s="9"/>
      <c r="K1983" s="10" t="str">
        <f aca="false">IF($B1983="","",$E1983*IFERROR(INDEX(Drinks!$B$4:$B$53,MATCH($B1983,Drinks!$A$4:$A$53,0)),0))</f>
        <v/>
      </c>
      <c r="L1983" s="10" t="str">
        <f aca="false">IF($B1983="","",$J1983+$K1983)</f>
        <v/>
      </c>
      <c r="M1983" s="9"/>
      <c r="N1983" s="10" t="str">
        <f aca="false">IF($B1983="","",$L1983-$M1983)</f>
        <v/>
      </c>
      <c r="O1983" s="10" t="str">
        <f aca="false">IF($B1983="","",IFERROR(INDEX(Drinks!$E$4:$E$53,MATCH($B1983,Drinks!$A$4:$A$53,0)),0))</f>
        <v/>
      </c>
      <c r="P1983" s="10" t="str">
        <f aca="false">IF($B1983="","",$N1983*$O1983)</f>
        <v/>
      </c>
      <c r="Q1983" s="10" t="str">
        <f aca="false">IF($B1983="","",$N1983*IFERROR(INDEX(Drinks!$D$4:$D$53,MATCH($B1983,Drinks!$A$4:$A$53,0)),0))</f>
        <v/>
      </c>
      <c r="R1983" s="10" t="str">
        <f aca="false">IF($B1983="","",$P1983-$Q1983)</f>
        <v/>
      </c>
      <c r="S1983" s="23" t="str">
        <f aca="false">IF($B1983="","",IF(COUNTIFS($A$4:$A$2003,$A1983-1,$B$4:$B$2003,$B1983)=0,"first day",IF(SUMIFS($M$4:$M$2003,$A$4:$A$2003,$A1983-1,$B$4:$B$2003,$B1983)=$J1983,"OK","CHECK")))</f>
        <v/>
      </c>
      <c r="T1983" s="10" t="str">
        <f aca="false">IF($B1983="","",IFERROR(INDEX(Drinks!$D$4:$D$53,MATCH($B1983,Drinks!$A$4:$A$53,0)),0))</f>
        <v/>
      </c>
    </row>
    <row r="1984" customFormat="false" ht="15" hidden="false" customHeight="false" outlineLevel="0" collapsed="false">
      <c r="A1984" s="22"/>
      <c r="B1984" s="9"/>
      <c r="C1984" s="9"/>
      <c r="D1984" s="9"/>
      <c r="E1984" s="9"/>
      <c r="F1984" s="10" t="str">
        <f aca="false">IF($B1984="","",$C1984+$D1984-$E1984)</f>
        <v/>
      </c>
      <c r="G1984" s="10" t="str">
        <f aca="false">IF($B1984="","",IFERROR(INDEX(Drinks!$C$4:$C$53,MATCH($B1984,Drinks!$A$4:$A$53,0)),0))</f>
        <v/>
      </c>
      <c r="H1984" s="10" t="str">
        <f aca="false">IF($B1984="","",$D1984*$G1984)</f>
        <v/>
      </c>
      <c r="I1984" s="10" t="str">
        <f aca="false">IF($B1984="","",$F1984*$G1984)</f>
        <v/>
      </c>
      <c r="J1984" s="9"/>
      <c r="K1984" s="10" t="str">
        <f aca="false">IF($B1984="","",$E1984*IFERROR(INDEX(Drinks!$B$4:$B$53,MATCH($B1984,Drinks!$A$4:$A$53,0)),0))</f>
        <v/>
      </c>
      <c r="L1984" s="10" t="str">
        <f aca="false">IF($B1984="","",$J1984+$K1984)</f>
        <v/>
      </c>
      <c r="M1984" s="9"/>
      <c r="N1984" s="10" t="str">
        <f aca="false">IF($B1984="","",$L1984-$M1984)</f>
        <v/>
      </c>
      <c r="O1984" s="10" t="str">
        <f aca="false">IF($B1984="","",IFERROR(INDEX(Drinks!$E$4:$E$53,MATCH($B1984,Drinks!$A$4:$A$53,0)),0))</f>
        <v/>
      </c>
      <c r="P1984" s="10" t="str">
        <f aca="false">IF($B1984="","",$N1984*$O1984)</f>
        <v/>
      </c>
      <c r="Q1984" s="10" t="str">
        <f aca="false">IF($B1984="","",$N1984*IFERROR(INDEX(Drinks!$D$4:$D$53,MATCH($B1984,Drinks!$A$4:$A$53,0)),0))</f>
        <v/>
      </c>
      <c r="R1984" s="10" t="str">
        <f aca="false">IF($B1984="","",$P1984-$Q1984)</f>
        <v/>
      </c>
      <c r="S1984" s="23" t="str">
        <f aca="false">IF($B1984="","",IF(COUNTIFS($A$4:$A$2003,$A1984-1,$B$4:$B$2003,$B1984)=0,"first day",IF(SUMIFS($M$4:$M$2003,$A$4:$A$2003,$A1984-1,$B$4:$B$2003,$B1984)=$J1984,"OK","CHECK")))</f>
        <v/>
      </c>
      <c r="T1984" s="10" t="str">
        <f aca="false">IF($B1984="","",IFERROR(INDEX(Drinks!$D$4:$D$53,MATCH($B1984,Drinks!$A$4:$A$53,0)),0))</f>
        <v/>
      </c>
    </row>
    <row r="1985" customFormat="false" ht="15" hidden="false" customHeight="false" outlineLevel="0" collapsed="false">
      <c r="A1985" s="22"/>
      <c r="B1985" s="9"/>
      <c r="C1985" s="9"/>
      <c r="D1985" s="9"/>
      <c r="E1985" s="9"/>
      <c r="F1985" s="10" t="str">
        <f aca="false">IF($B1985="","",$C1985+$D1985-$E1985)</f>
        <v/>
      </c>
      <c r="G1985" s="10" t="str">
        <f aca="false">IF($B1985="","",IFERROR(INDEX(Drinks!$C$4:$C$53,MATCH($B1985,Drinks!$A$4:$A$53,0)),0))</f>
        <v/>
      </c>
      <c r="H1985" s="10" t="str">
        <f aca="false">IF($B1985="","",$D1985*$G1985)</f>
        <v/>
      </c>
      <c r="I1985" s="10" t="str">
        <f aca="false">IF($B1985="","",$F1985*$G1985)</f>
        <v/>
      </c>
      <c r="J1985" s="9"/>
      <c r="K1985" s="10" t="str">
        <f aca="false">IF($B1985="","",$E1985*IFERROR(INDEX(Drinks!$B$4:$B$53,MATCH($B1985,Drinks!$A$4:$A$53,0)),0))</f>
        <v/>
      </c>
      <c r="L1985" s="10" t="str">
        <f aca="false">IF($B1985="","",$J1985+$K1985)</f>
        <v/>
      </c>
      <c r="M1985" s="9"/>
      <c r="N1985" s="10" t="str">
        <f aca="false">IF($B1985="","",$L1985-$M1985)</f>
        <v/>
      </c>
      <c r="O1985" s="10" t="str">
        <f aca="false">IF($B1985="","",IFERROR(INDEX(Drinks!$E$4:$E$53,MATCH($B1985,Drinks!$A$4:$A$53,0)),0))</f>
        <v/>
      </c>
      <c r="P1985" s="10" t="str">
        <f aca="false">IF($B1985="","",$N1985*$O1985)</f>
        <v/>
      </c>
      <c r="Q1985" s="10" t="str">
        <f aca="false">IF($B1985="","",$N1985*IFERROR(INDEX(Drinks!$D$4:$D$53,MATCH($B1985,Drinks!$A$4:$A$53,0)),0))</f>
        <v/>
      </c>
      <c r="R1985" s="10" t="str">
        <f aca="false">IF($B1985="","",$P1985-$Q1985)</f>
        <v/>
      </c>
      <c r="S1985" s="23" t="str">
        <f aca="false">IF($B1985="","",IF(COUNTIFS($A$4:$A$2003,$A1985-1,$B$4:$B$2003,$B1985)=0,"first day",IF(SUMIFS($M$4:$M$2003,$A$4:$A$2003,$A1985-1,$B$4:$B$2003,$B1985)=$J1985,"OK","CHECK")))</f>
        <v/>
      </c>
      <c r="T1985" s="10" t="str">
        <f aca="false">IF($B1985="","",IFERROR(INDEX(Drinks!$D$4:$D$53,MATCH($B1985,Drinks!$A$4:$A$53,0)),0))</f>
        <v/>
      </c>
    </row>
    <row r="1986" customFormat="false" ht="15" hidden="false" customHeight="false" outlineLevel="0" collapsed="false">
      <c r="A1986" s="22"/>
      <c r="B1986" s="9"/>
      <c r="C1986" s="9"/>
      <c r="D1986" s="9"/>
      <c r="E1986" s="9"/>
      <c r="F1986" s="10" t="str">
        <f aca="false">IF($B1986="","",$C1986+$D1986-$E1986)</f>
        <v/>
      </c>
      <c r="G1986" s="10" t="str">
        <f aca="false">IF($B1986="","",IFERROR(INDEX(Drinks!$C$4:$C$53,MATCH($B1986,Drinks!$A$4:$A$53,0)),0))</f>
        <v/>
      </c>
      <c r="H1986" s="10" t="str">
        <f aca="false">IF($B1986="","",$D1986*$G1986)</f>
        <v/>
      </c>
      <c r="I1986" s="10" t="str">
        <f aca="false">IF($B1986="","",$F1986*$G1986)</f>
        <v/>
      </c>
      <c r="J1986" s="9"/>
      <c r="K1986" s="10" t="str">
        <f aca="false">IF($B1986="","",$E1986*IFERROR(INDEX(Drinks!$B$4:$B$53,MATCH($B1986,Drinks!$A$4:$A$53,0)),0))</f>
        <v/>
      </c>
      <c r="L1986" s="10" t="str">
        <f aca="false">IF($B1986="","",$J1986+$K1986)</f>
        <v/>
      </c>
      <c r="M1986" s="9"/>
      <c r="N1986" s="10" t="str">
        <f aca="false">IF($B1986="","",$L1986-$M1986)</f>
        <v/>
      </c>
      <c r="O1986" s="10" t="str">
        <f aca="false">IF($B1986="","",IFERROR(INDEX(Drinks!$E$4:$E$53,MATCH($B1986,Drinks!$A$4:$A$53,0)),0))</f>
        <v/>
      </c>
      <c r="P1986" s="10" t="str">
        <f aca="false">IF($B1986="","",$N1986*$O1986)</f>
        <v/>
      </c>
      <c r="Q1986" s="10" t="str">
        <f aca="false">IF($B1986="","",$N1986*IFERROR(INDEX(Drinks!$D$4:$D$53,MATCH($B1986,Drinks!$A$4:$A$53,0)),0))</f>
        <v/>
      </c>
      <c r="R1986" s="10" t="str">
        <f aca="false">IF($B1986="","",$P1986-$Q1986)</f>
        <v/>
      </c>
      <c r="S1986" s="23" t="str">
        <f aca="false">IF($B1986="","",IF(COUNTIFS($A$4:$A$2003,$A1986-1,$B$4:$B$2003,$B1986)=0,"first day",IF(SUMIFS($M$4:$M$2003,$A$4:$A$2003,$A1986-1,$B$4:$B$2003,$B1986)=$J1986,"OK","CHECK")))</f>
        <v/>
      </c>
      <c r="T1986" s="10" t="str">
        <f aca="false">IF($B1986="","",IFERROR(INDEX(Drinks!$D$4:$D$53,MATCH($B1986,Drinks!$A$4:$A$53,0)),0))</f>
        <v/>
      </c>
    </row>
    <row r="1987" customFormat="false" ht="15" hidden="false" customHeight="false" outlineLevel="0" collapsed="false">
      <c r="A1987" s="22"/>
      <c r="B1987" s="9"/>
      <c r="C1987" s="9"/>
      <c r="D1987" s="9"/>
      <c r="E1987" s="9"/>
      <c r="F1987" s="10" t="str">
        <f aca="false">IF($B1987="","",$C1987+$D1987-$E1987)</f>
        <v/>
      </c>
      <c r="G1987" s="10" t="str">
        <f aca="false">IF($B1987="","",IFERROR(INDEX(Drinks!$C$4:$C$53,MATCH($B1987,Drinks!$A$4:$A$53,0)),0))</f>
        <v/>
      </c>
      <c r="H1987" s="10" t="str">
        <f aca="false">IF($B1987="","",$D1987*$G1987)</f>
        <v/>
      </c>
      <c r="I1987" s="10" t="str">
        <f aca="false">IF($B1987="","",$F1987*$G1987)</f>
        <v/>
      </c>
      <c r="J1987" s="9"/>
      <c r="K1987" s="10" t="str">
        <f aca="false">IF($B1987="","",$E1987*IFERROR(INDEX(Drinks!$B$4:$B$53,MATCH($B1987,Drinks!$A$4:$A$53,0)),0))</f>
        <v/>
      </c>
      <c r="L1987" s="10" t="str">
        <f aca="false">IF($B1987="","",$J1987+$K1987)</f>
        <v/>
      </c>
      <c r="M1987" s="9"/>
      <c r="N1987" s="10" t="str">
        <f aca="false">IF($B1987="","",$L1987-$M1987)</f>
        <v/>
      </c>
      <c r="O1987" s="10" t="str">
        <f aca="false">IF($B1987="","",IFERROR(INDEX(Drinks!$E$4:$E$53,MATCH($B1987,Drinks!$A$4:$A$53,0)),0))</f>
        <v/>
      </c>
      <c r="P1987" s="10" t="str">
        <f aca="false">IF($B1987="","",$N1987*$O1987)</f>
        <v/>
      </c>
      <c r="Q1987" s="10" t="str">
        <f aca="false">IF($B1987="","",$N1987*IFERROR(INDEX(Drinks!$D$4:$D$53,MATCH($B1987,Drinks!$A$4:$A$53,0)),0))</f>
        <v/>
      </c>
      <c r="R1987" s="10" t="str">
        <f aca="false">IF($B1987="","",$P1987-$Q1987)</f>
        <v/>
      </c>
      <c r="S1987" s="23" t="str">
        <f aca="false">IF($B1987="","",IF(COUNTIFS($A$4:$A$2003,$A1987-1,$B$4:$B$2003,$B1987)=0,"first day",IF(SUMIFS($M$4:$M$2003,$A$4:$A$2003,$A1987-1,$B$4:$B$2003,$B1987)=$J1987,"OK","CHECK")))</f>
        <v/>
      </c>
      <c r="T1987" s="10" t="str">
        <f aca="false">IF($B1987="","",IFERROR(INDEX(Drinks!$D$4:$D$53,MATCH($B1987,Drinks!$A$4:$A$53,0)),0))</f>
        <v/>
      </c>
    </row>
    <row r="1988" customFormat="false" ht="15" hidden="false" customHeight="false" outlineLevel="0" collapsed="false">
      <c r="A1988" s="22"/>
      <c r="B1988" s="9"/>
      <c r="C1988" s="9"/>
      <c r="D1988" s="9"/>
      <c r="E1988" s="9"/>
      <c r="F1988" s="10" t="str">
        <f aca="false">IF($B1988="","",$C1988+$D1988-$E1988)</f>
        <v/>
      </c>
      <c r="G1988" s="10" t="str">
        <f aca="false">IF($B1988="","",IFERROR(INDEX(Drinks!$C$4:$C$53,MATCH($B1988,Drinks!$A$4:$A$53,0)),0))</f>
        <v/>
      </c>
      <c r="H1988" s="10" t="str">
        <f aca="false">IF($B1988="","",$D1988*$G1988)</f>
        <v/>
      </c>
      <c r="I1988" s="10" t="str">
        <f aca="false">IF($B1988="","",$F1988*$G1988)</f>
        <v/>
      </c>
      <c r="J1988" s="9"/>
      <c r="K1988" s="10" t="str">
        <f aca="false">IF($B1988="","",$E1988*IFERROR(INDEX(Drinks!$B$4:$B$53,MATCH($B1988,Drinks!$A$4:$A$53,0)),0))</f>
        <v/>
      </c>
      <c r="L1988" s="10" t="str">
        <f aca="false">IF($B1988="","",$J1988+$K1988)</f>
        <v/>
      </c>
      <c r="M1988" s="9"/>
      <c r="N1988" s="10" t="str">
        <f aca="false">IF($B1988="","",$L1988-$M1988)</f>
        <v/>
      </c>
      <c r="O1988" s="10" t="str">
        <f aca="false">IF($B1988="","",IFERROR(INDEX(Drinks!$E$4:$E$53,MATCH($B1988,Drinks!$A$4:$A$53,0)),0))</f>
        <v/>
      </c>
      <c r="P1988" s="10" t="str">
        <f aca="false">IF($B1988="","",$N1988*$O1988)</f>
        <v/>
      </c>
      <c r="Q1988" s="10" t="str">
        <f aca="false">IF($B1988="","",$N1988*IFERROR(INDEX(Drinks!$D$4:$D$53,MATCH($B1988,Drinks!$A$4:$A$53,0)),0))</f>
        <v/>
      </c>
      <c r="R1988" s="10" t="str">
        <f aca="false">IF($B1988="","",$P1988-$Q1988)</f>
        <v/>
      </c>
      <c r="S1988" s="23" t="str">
        <f aca="false">IF($B1988="","",IF(COUNTIFS($A$4:$A$2003,$A1988-1,$B$4:$B$2003,$B1988)=0,"first day",IF(SUMIFS($M$4:$M$2003,$A$4:$A$2003,$A1988-1,$B$4:$B$2003,$B1988)=$J1988,"OK","CHECK")))</f>
        <v/>
      </c>
      <c r="T1988" s="10" t="str">
        <f aca="false">IF($B1988="","",IFERROR(INDEX(Drinks!$D$4:$D$53,MATCH($B1988,Drinks!$A$4:$A$53,0)),0))</f>
        <v/>
      </c>
    </row>
    <row r="1989" customFormat="false" ht="15" hidden="false" customHeight="false" outlineLevel="0" collapsed="false">
      <c r="A1989" s="22"/>
      <c r="B1989" s="9"/>
      <c r="C1989" s="9"/>
      <c r="D1989" s="9"/>
      <c r="E1989" s="9"/>
      <c r="F1989" s="10" t="str">
        <f aca="false">IF($B1989="","",$C1989+$D1989-$E1989)</f>
        <v/>
      </c>
      <c r="G1989" s="10" t="str">
        <f aca="false">IF($B1989="","",IFERROR(INDEX(Drinks!$C$4:$C$53,MATCH($B1989,Drinks!$A$4:$A$53,0)),0))</f>
        <v/>
      </c>
      <c r="H1989" s="10" t="str">
        <f aca="false">IF($B1989="","",$D1989*$G1989)</f>
        <v/>
      </c>
      <c r="I1989" s="10" t="str">
        <f aca="false">IF($B1989="","",$F1989*$G1989)</f>
        <v/>
      </c>
      <c r="J1989" s="9"/>
      <c r="K1989" s="10" t="str">
        <f aca="false">IF($B1989="","",$E1989*IFERROR(INDEX(Drinks!$B$4:$B$53,MATCH($B1989,Drinks!$A$4:$A$53,0)),0))</f>
        <v/>
      </c>
      <c r="L1989" s="10" t="str">
        <f aca="false">IF($B1989="","",$J1989+$K1989)</f>
        <v/>
      </c>
      <c r="M1989" s="9"/>
      <c r="N1989" s="10" t="str">
        <f aca="false">IF($B1989="","",$L1989-$M1989)</f>
        <v/>
      </c>
      <c r="O1989" s="10" t="str">
        <f aca="false">IF($B1989="","",IFERROR(INDEX(Drinks!$E$4:$E$53,MATCH($B1989,Drinks!$A$4:$A$53,0)),0))</f>
        <v/>
      </c>
      <c r="P1989" s="10" t="str">
        <f aca="false">IF($B1989="","",$N1989*$O1989)</f>
        <v/>
      </c>
      <c r="Q1989" s="10" t="str">
        <f aca="false">IF($B1989="","",$N1989*IFERROR(INDEX(Drinks!$D$4:$D$53,MATCH($B1989,Drinks!$A$4:$A$53,0)),0))</f>
        <v/>
      </c>
      <c r="R1989" s="10" t="str">
        <f aca="false">IF($B1989="","",$P1989-$Q1989)</f>
        <v/>
      </c>
      <c r="S1989" s="23" t="str">
        <f aca="false">IF($B1989="","",IF(COUNTIFS($A$4:$A$2003,$A1989-1,$B$4:$B$2003,$B1989)=0,"first day",IF(SUMIFS($M$4:$M$2003,$A$4:$A$2003,$A1989-1,$B$4:$B$2003,$B1989)=$J1989,"OK","CHECK")))</f>
        <v/>
      </c>
      <c r="T1989" s="10" t="str">
        <f aca="false">IF($B1989="","",IFERROR(INDEX(Drinks!$D$4:$D$53,MATCH($B1989,Drinks!$A$4:$A$53,0)),0))</f>
        <v/>
      </c>
    </row>
    <row r="1990" customFormat="false" ht="15" hidden="false" customHeight="false" outlineLevel="0" collapsed="false">
      <c r="A1990" s="22"/>
      <c r="B1990" s="9"/>
      <c r="C1990" s="9"/>
      <c r="D1990" s="9"/>
      <c r="E1990" s="9"/>
      <c r="F1990" s="10" t="str">
        <f aca="false">IF($B1990="","",$C1990+$D1990-$E1990)</f>
        <v/>
      </c>
      <c r="G1990" s="10" t="str">
        <f aca="false">IF($B1990="","",IFERROR(INDEX(Drinks!$C$4:$C$53,MATCH($B1990,Drinks!$A$4:$A$53,0)),0))</f>
        <v/>
      </c>
      <c r="H1990" s="10" t="str">
        <f aca="false">IF($B1990="","",$D1990*$G1990)</f>
        <v/>
      </c>
      <c r="I1990" s="10" t="str">
        <f aca="false">IF($B1990="","",$F1990*$G1990)</f>
        <v/>
      </c>
      <c r="J1990" s="9"/>
      <c r="K1990" s="10" t="str">
        <f aca="false">IF($B1990="","",$E1990*IFERROR(INDEX(Drinks!$B$4:$B$53,MATCH($B1990,Drinks!$A$4:$A$53,0)),0))</f>
        <v/>
      </c>
      <c r="L1990" s="10" t="str">
        <f aca="false">IF($B1990="","",$J1990+$K1990)</f>
        <v/>
      </c>
      <c r="M1990" s="9"/>
      <c r="N1990" s="10" t="str">
        <f aca="false">IF($B1990="","",$L1990-$M1990)</f>
        <v/>
      </c>
      <c r="O1990" s="10" t="str">
        <f aca="false">IF($B1990="","",IFERROR(INDEX(Drinks!$E$4:$E$53,MATCH($B1990,Drinks!$A$4:$A$53,0)),0))</f>
        <v/>
      </c>
      <c r="P1990" s="10" t="str">
        <f aca="false">IF($B1990="","",$N1990*$O1990)</f>
        <v/>
      </c>
      <c r="Q1990" s="10" t="str">
        <f aca="false">IF($B1990="","",$N1990*IFERROR(INDEX(Drinks!$D$4:$D$53,MATCH($B1990,Drinks!$A$4:$A$53,0)),0))</f>
        <v/>
      </c>
      <c r="R1990" s="10" t="str">
        <f aca="false">IF($B1990="","",$P1990-$Q1990)</f>
        <v/>
      </c>
      <c r="S1990" s="23" t="str">
        <f aca="false">IF($B1990="","",IF(COUNTIFS($A$4:$A$2003,$A1990-1,$B$4:$B$2003,$B1990)=0,"first day",IF(SUMIFS($M$4:$M$2003,$A$4:$A$2003,$A1990-1,$B$4:$B$2003,$B1990)=$J1990,"OK","CHECK")))</f>
        <v/>
      </c>
      <c r="T1990" s="10" t="str">
        <f aca="false">IF($B1990="","",IFERROR(INDEX(Drinks!$D$4:$D$53,MATCH($B1990,Drinks!$A$4:$A$53,0)),0))</f>
        <v/>
      </c>
    </row>
    <row r="1991" customFormat="false" ht="15" hidden="false" customHeight="false" outlineLevel="0" collapsed="false">
      <c r="A1991" s="22"/>
      <c r="B1991" s="9"/>
      <c r="C1991" s="9"/>
      <c r="D1991" s="9"/>
      <c r="E1991" s="9"/>
      <c r="F1991" s="10" t="str">
        <f aca="false">IF($B1991="","",$C1991+$D1991-$E1991)</f>
        <v/>
      </c>
      <c r="G1991" s="10" t="str">
        <f aca="false">IF($B1991="","",IFERROR(INDEX(Drinks!$C$4:$C$53,MATCH($B1991,Drinks!$A$4:$A$53,0)),0))</f>
        <v/>
      </c>
      <c r="H1991" s="10" t="str">
        <f aca="false">IF($B1991="","",$D1991*$G1991)</f>
        <v/>
      </c>
      <c r="I1991" s="10" t="str">
        <f aca="false">IF($B1991="","",$F1991*$G1991)</f>
        <v/>
      </c>
      <c r="J1991" s="9"/>
      <c r="K1991" s="10" t="str">
        <f aca="false">IF($B1991="","",$E1991*IFERROR(INDEX(Drinks!$B$4:$B$53,MATCH($B1991,Drinks!$A$4:$A$53,0)),0))</f>
        <v/>
      </c>
      <c r="L1991" s="10" t="str">
        <f aca="false">IF($B1991="","",$J1991+$K1991)</f>
        <v/>
      </c>
      <c r="M1991" s="9"/>
      <c r="N1991" s="10" t="str">
        <f aca="false">IF($B1991="","",$L1991-$M1991)</f>
        <v/>
      </c>
      <c r="O1991" s="10" t="str">
        <f aca="false">IF($B1991="","",IFERROR(INDEX(Drinks!$E$4:$E$53,MATCH($B1991,Drinks!$A$4:$A$53,0)),0))</f>
        <v/>
      </c>
      <c r="P1991" s="10" t="str">
        <f aca="false">IF($B1991="","",$N1991*$O1991)</f>
        <v/>
      </c>
      <c r="Q1991" s="10" t="str">
        <f aca="false">IF($B1991="","",$N1991*IFERROR(INDEX(Drinks!$D$4:$D$53,MATCH($B1991,Drinks!$A$4:$A$53,0)),0))</f>
        <v/>
      </c>
      <c r="R1991" s="10" t="str">
        <f aca="false">IF($B1991="","",$P1991-$Q1991)</f>
        <v/>
      </c>
      <c r="S1991" s="23" t="str">
        <f aca="false">IF($B1991="","",IF(COUNTIFS($A$4:$A$2003,$A1991-1,$B$4:$B$2003,$B1991)=0,"first day",IF(SUMIFS($M$4:$M$2003,$A$4:$A$2003,$A1991-1,$B$4:$B$2003,$B1991)=$J1991,"OK","CHECK")))</f>
        <v/>
      </c>
      <c r="T1991" s="10" t="str">
        <f aca="false">IF($B1991="","",IFERROR(INDEX(Drinks!$D$4:$D$53,MATCH($B1991,Drinks!$A$4:$A$53,0)),0))</f>
        <v/>
      </c>
    </row>
    <row r="1992" customFormat="false" ht="15" hidden="false" customHeight="false" outlineLevel="0" collapsed="false">
      <c r="A1992" s="22"/>
      <c r="B1992" s="9"/>
      <c r="C1992" s="9"/>
      <c r="D1992" s="9"/>
      <c r="E1992" s="9"/>
      <c r="F1992" s="10" t="str">
        <f aca="false">IF($B1992="","",$C1992+$D1992-$E1992)</f>
        <v/>
      </c>
      <c r="G1992" s="10" t="str">
        <f aca="false">IF($B1992="","",IFERROR(INDEX(Drinks!$C$4:$C$53,MATCH($B1992,Drinks!$A$4:$A$53,0)),0))</f>
        <v/>
      </c>
      <c r="H1992" s="10" t="str">
        <f aca="false">IF($B1992="","",$D1992*$G1992)</f>
        <v/>
      </c>
      <c r="I1992" s="10" t="str">
        <f aca="false">IF($B1992="","",$F1992*$G1992)</f>
        <v/>
      </c>
      <c r="J1992" s="9"/>
      <c r="K1992" s="10" t="str">
        <f aca="false">IF($B1992="","",$E1992*IFERROR(INDEX(Drinks!$B$4:$B$53,MATCH($B1992,Drinks!$A$4:$A$53,0)),0))</f>
        <v/>
      </c>
      <c r="L1992" s="10" t="str">
        <f aca="false">IF($B1992="","",$J1992+$K1992)</f>
        <v/>
      </c>
      <c r="M1992" s="9"/>
      <c r="N1992" s="10" t="str">
        <f aca="false">IF($B1992="","",$L1992-$M1992)</f>
        <v/>
      </c>
      <c r="O1992" s="10" t="str">
        <f aca="false">IF($B1992="","",IFERROR(INDEX(Drinks!$E$4:$E$53,MATCH($B1992,Drinks!$A$4:$A$53,0)),0))</f>
        <v/>
      </c>
      <c r="P1992" s="10" t="str">
        <f aca="false">IF($B1992="","",$N1992*$O1992)</f>
        <v/>
      </c>
      <c r="Q1992" s="10" t="str">
        <f aca="false">IF($B1992="","",$N1992*IFERROR(INDEX(Drinks!$D$4:$D$53,MATCH($B1992,Drinks!$A$4:$A$53,0)),0))</f>
        <v/>
      </c>
      <c r="R1992" s="10" t="str">
        <f aca="false">IF($B1992="","",$P1992-$Q1992)</f>
        <v/>
      </c>
      <c r="S1992" s="23" t="str">
        <f aca="false">IF($B1992="","",IF(COUNTIFS($A$4:$A$2003,$A1992-1,$B$4:$B$2003,$B1992)=0,"first day",IF(SUMIFS($M$4:$M$2003,$A$4:$A$2003,$A1992-1,$B$4:$B$2003,$B1992)=$J1992,"OK","CHECK")))</f>
        <v/>
      </c>
      <c r="T1992" s="10" t="str">
        <f aca="false">IF($B1992="","",IFERROR(INDEX(Drinks!$D$4:$D$53,MATCH($B1992,Drinks!$A$4:$A$53,0)),0))</f>
        <v/>
      </c>
    </row>
    <row r="1993" customFormat="false" ht="15" hidden="false" customHeight="false" outlineLevel="0" collapsed="false">
      <c r="A1993" s="22"/>
      <c r="B1993" s="9"/>
      <c r="C1993" s="9"/>
      <c r="D1993" s="9"/>
      <c r="E1993" s="9"/>
      <c r="F1993" s="10" t="str">
        <f aca="false">IF($B1993="","",$C1993+$D1993-$E1993)</f>
        <v/>
      </c>
      <c r="G1993" s="10" t="str">
        <f aca="false">IF($B1993="","",IFERROR(INDEX(Drinks!$C$4:$C$53,MATCH($B1993,Drinks!$A$4:$A$53,0)),0))</f>
        <v/>
      </c>
      <c r="H1993" s="10" t="str">
        <f aca="false">IF($B1993="","",$D1993*$G1993)</f>
        <v/>
      </c>
      <c r="I1993" s="10" t="str">
        <f aca="false">IF($B1993="","",$F1993*$G1993)</f>
        <v/>
      </c>
      <c r="J1993" s="9"/>
      <c r="K1993" s="10" t="str">
        <f aca="false">IF($B1993="","",$E1993*IFERROR(INDEX(Drinks!$B$4:$B$53,MATCH($B1993,Drinks!$A$4:$A$53,0)),0))</f>
        <v/>
      </c>
      <c r="L1993" s="10" t="str">
        <f aca="false">IF($B1993="","",$J1993+$K1993)</f>
        <v/>
      </c>
      <c r="M1993" s="9"/>
      <c r="N1993" s="10" t="str">
        <f aca="false">IF($B1993="","",$L1993-$M1993)</f>
        <v/>
      </c>
      <c r="O1993" s="10" t="str">
        <f aca="false">IF($B1993="","",IFERROR(INDEX(Drinks!$E$4:$E$53,MATCH($B1993,Drinks!$A$4:$A$53,0)),0))</f>
        <v/>
      </c>
      <c r="P1993" s="10" t="str">
        <f aca="false">IF($B1993="","",$N1993*$O1993)</f>
        <v/>
      </c>
      <c r="Q1993" s="10" t="str">
        <f aca="false">IF($B1993="","",$N1993*IFERROR(INDEX(Drinks!$D$4:$D$53,MATCH($B1993,Drinks!$A$4:$A$53,0)),0))</f>
        <v/>
      </c>
      <c r="R1993" s="10" t="str">
        <f aca="false">IF($B1993="","",$P1993-$Q1993)</f>
        <v/>
      </c>
      <c r="S1993" s="23" t="str">
        <f aca="false">IF($B1993="","",IF(COUNTIFS($A$4:$A$2003,$A1993-1,$B$4:$B$2003,$B1993)=0,"first day",IF(SUMIFS($M$4:$M$2003,$A$4:$A$2003,$A1993-1,$B$4:$B$2003,$B1993)=$J1993,"OK","CHECK")))</f>
        <v/>
      </c>
      <c r="T1993" s="10" t="str">
        <f aca="false">IF($B1993="","",IFERROR(INDEX(Drinks!$D$4:$D$53,MATCH($B1993,Drinks!$A$4:$A$53,0)),0))</f>
        <v/>
      </c>
    </row>
    <row r="1994" customFormat="false" ht="15" hidden="false" customHeight="false" outlineLevel="0" collapsed="false">
      <c r="A1994" s="22"/>
      <c r="B1994" s="9"/>
      <c r="C1994" s="9"/>
      <c r="D1994" s="9"/>
      <c r="E1994" s="9"/>
      <c r="F1994" s="10" t="str">
        <f aca="false">IF($B1994="","",$C1994+$D1994-$E1994)</f>
        <v/>
      </c>
      <c r="G1994" s="10" t="str">
        <f aca="false">IF($B1994="","",IFERROR(INDEX(Drinks!$C$4:$C$53,MATCH($B1994,Drinks!$A$4:$A$53,0)),0))</f>
        <v/>
      </c>
      <c r="H1994" s="10" t="str">
        <f aca="false">IF($B1994="","",$D1994*$G1994)</f>
        <v/>
      </c>
      <c r="I1994" s="10" t="str">
        <f aca="false">IF($B1994="","",$F1994*$G1994)</f>
        <v/>
      </c>
      <c r="J1994" s="9"/>
      <c r="K1994" s="10" t="str">
        <f aca="false">IF($B1994="","",$E1994*IFERROR(INDEX(Drinks!$B$4:$B$53,MATCH($B1994,Drinks!$A$4:$A$53,0)),0))</f>
        <v/>
      </c>
      <c r="L1994" s="10" t="str">
        <f aca="false">IF($B1994="","",$J1994+$K1994)</f>
        <v/>
      </c>
      <c r="M1994" s="9"/>
      <c r="N1994" s="10" t="str">
        <f aca="false">IF($B1994="","",$L1994-$M1994)</f>
        <v/>
      </c>
      <c r="O1994" s="10" t="str">
        <f aca="false">IF($B1994="","",IFERROR(INDEX(Drinks!$E$4:$E$53,MATCH($B1994,Drinks!$A$4:$A$53,0)),0))</f>
        <v/>
      </c>
      <c r="P1994" s="10" t="str">
        <f aca="false">IF($B1994="","",$N1994*$O1994)</f>
        <v/>
      </c>
      <c r="Q1994" s="10" t="str">
        <f aca="false">IF($B1994="","",$N1994*IFERROR(INDEX(Drinks!$D$4:$D$53,MATCH($B1994,Drinks!$A$4:$A$53,0)),0))</f>
        <v/>
      </c>
      <c r="R1994" s="10" t="str">
        <f aca="false">IF($B1994="","",$P1994-$Q1994)</f>
        <v/>
      </c>
      <c r="S1994" s="23" t="str">
        <f aca="false">IF($B1994="","",IF(COUNTIFS($A$4:$A$2003,$A1994-1,$B$4:$B$2003,$B1994)=0,"first day",IF(SUMIFS($M$4:$M$2003,$A$4:$A$2003,$A1994-1,$B$4:$B$2003,$B1994)=$J1994,"OK","CHECK")))</f>
        <v/>
      </c>
      <c r="T1994" s="10" t="str">
        <f aca="false">IF($B1994="","",IFERROR(INDEX(Drinks!$D$4:$D$53,MATCH($B1994,Drinks!$A$4:$A$53,0)),0))</f>
        <v/>
      </c>
    </row>
    <row r="1995" customFormat="false" ht="15" hidden="false" customHeight="false" outlineLevel="0" collapsed="false">
      <c r="A1995" s="22"/>
      <c r="B1995" s="9"/>
      <c r="C1995" s="9"/>
      <c r="D1995" s="9"/>
      <c r="E1995" s="9"/>
      <c r="F1995" s="10" t="str">
        <f aca="false">IF($B1995="","",$C1995+$D1995-$E1995)</f>
        <v/>
      </c>
      <c r="G1995" s="10" t="str">
        <f aca="false">IF($B1995="","",IFERROR(INDEX(Drinks!$C$4:$C$53,MATCH($B1995,Drinks!$A$4:$A$53,0)),0))</f>
        <v/>
      </c>
      <c r="H1995" s="10" t="str">
        <f aca="false">IF($B1995="","",$D1995*$G1995)</f>
        <v/>
      </c>
      <c r="I1995" s="10" t="str">
        <f aca="false">IF($B1995="","",$F1995*$G1995)</f>
        <v/>
      </c>
      <c r="J1995" s="9"/>
      <c r="K1995" s="10" t="str">
        <f aca="false">IF($B1995="","",$E1995*IFERROR(INDEX(Drinks!$B$4:$B$53,MATCH($B1995,Drinks!$A$4:$A$53,0)),0))</f>
        <v/>
      </c>
      <c r="L1995" s="10" t="str">
        <f aca="false">IF($B1995="","",$J1995+$K1995)</f>
        <v/>
      </c>
      <c r="M1995" s="9"/>
      <c r="N1995" s="10" t="str">
        <f aca="false">IF($B1995="","",$L1995-$M1995)</f>
        <v/>
      </c>
      <c r="O1995" s="10" t="str">
        <f aca="false">IF($B1995="","",IFERROR(INDEX(Drinks!$E$4:$E$53,MATCH($B1995,Drinks!$A$4:$A$53,0)),0))</f>
        <v/>
      </c>
      <c r="P1995" s="10" t="str">
        <f aca="false">IF($B1995="","",$N1995*$O1995)</f>
        <v/>
      </c>
      <c r="Q1995" s="10" t="str">
        <f aca="false">IF($B1995="","",$N1995*IFERROR(INDEX(Drinks!$D$4:$D$53,MATCH($B1995,Drinks!$A$4:$A$53,0)),0))</f>
        <v/>
      </c>
      <c r="R1995" s="10" t="str">
        <f aca="false">IF($B1995="","",$P1995-$Q1995)</f>
        <v/>
      </c>
      <c r="S1995" s="23" t="str">
        <f aca="false">IF($B1995="","",IF(COUNTIFS($A$4:$A$2003,$A1995-1,$B$4:$B$2003,$B1995)=0,"first day",IF(SUMIFS($M$4:$M$2003,$A$4:$A$2003,$A1995-1,$B$4:$B$2003,$B1995)=$J1995,"OK","CHECK")))</f>
        <v/>
      </c>
      <c r="T1995" s="10" t="str">
        <f aca="false">IF($B1995="","",IFERROR(INDEX(Drinks!$D$4:$D$53,MATCH($B1995,Drinks!$A$4:$A$53,0)),0))</f>
        <v/>
      </c>
    </row>
    <row r="1996" customFormat="false" ht="15" hidden="false" customHeight="false" outlineLevel="0" collapsed="false">
      <c r="A1996" s="22"/>
      <c r="B1996" s="9"/>
      <c r="C1996" s="9"/>
      <c r="D1996" s="9"/>
      <c r="E1996" s="9"/>
      <c r="F1996" s="10" t="str">
        <f aca="false">IF($B1996="","",$C1996+$D1996-$E1996)</f>
        <v/>
      </c>
      <c r="G1996" s="10" t="str">
        <f aca="false">IF($B1996="","",IFERROR(INDEX(Drinks!$C$4:$C$53,MATCH($B1996,Drinks!$A$4:$A$53,0)),0))</f>
        <v/>
      </c>
      <c r="H1996" s="10" t="str">
        <f aca="false">IF($B1996="","",$D1996*$G1996)</f>
        <v/>
      </c>
      <c r="I1996" s="10" t="str">
        <f aca="false">IF($B1996="","",$F1996*$G1996)</f>
        <v/>
      </c>
      <c r="J1996" s="9"/>
      <c r="K1996" s="10" t="str">
        <f aca="false">IF($B1996="","",$E1996*IFERROR(INDEX(Drinks!$B$4:$B$53,MATCH($B1996,Drinks!$A$4:$A$53,0)),0))</f>
        <v/>
      </c>
      <c r="L1996" s="10" t="str">
        <f aca="false">IF($B1996="","",$J1996+$K1996)</f>
        <v/>
      </c>
      <c r="M1996" s="9"/>
      <c r="N1996" s="10" t="str">
        <f aca="false">IF($B1996="","",$L1996-$M1996)</f>
        <v/>
      </c>
      <c r="O1996" s="10" t="str">
        <f aca="false">IF($B1996="","",IFERROR(INDEX(Drinks!$E$4:$E$53,MATCH($B1996,Drinks!$A$4:$A$53,0)),0))</f>
        <v/>
      </c>
      <c r="P1996" s="10" t="str">
        <f aca="false">IF($B1996="","",$N1996*$O1996)</f>
        <v/>
      </c>
      <c r="Q1996" s="10" t="str">
        <f aca="false">IF($B1996="","",$N1996*IFERROR(INDEX(Drinks!$D$4:$D$53,MATCH($B1996,Drinks!$A$4:$A$53,0)),0))</f>
        <v/>
      </c>
      <c r="R1996" s="10" t="str">
        <f aca="false">IF($B1996="","",$P1996-$Q1996)</f>
        <v/>
      </c>
      <c r="S1996" s="23" t="str">
        <f aca="false">IF($B1996="","",IF(COUNTIFS($A$4:$A$2003,$A1996-1,$B$4:$B$2003,$B1996)=0,"first day",IF(SUMIFS($M$4:$M$2003,$A$4:$A$2003,$A1996-1,$B$4:$B$2003,$B1996)=$J1996,"OK","CHECK")))</f>
        <v/>
      </c>
      <c r="T1996" s="10" t="str">
        <f aca="false">IF($B1996="","",IFERROR(INDEX(Drinks!$D$4:$D$53,MATCH($B1996,Drinks!$A$4:$A$53,0)),0))</f>
        <v/>
      </c>
    </row>
    <row r="1997" customFormat="false" ht="15" hidden="false" customHeight="false" outlineLevel="0" collapsed="false">
      <c r="A1997" s="22"/>
      <c r="B1997" s="9"/>
      <c r="C1997" s="9"/>
      <c r="D1997" s="9"/>
      <c r="E1997" s="9"/>
      <c r="F1997" s="10" t="str">
        <f aca="false">IF($B1997="","",$C1997+$D1997-$E1997)</f>
        <v/>
      </c>
      <c r="G1997" s="10" t="str">
        <f aca="false">IF($B1997="","",IFERROR(INDEX(Drinks!$C$4:$C$53,MATCH($B1997,Drinks!$A$4:$A$53,0)),0))</f>
        <v/>
      </c>
      <c r="H1997" s="10" t="str">
        <f aca="false">IF($B1997="","",$D1997*$G1997)</f>
        <v/>
      </c>
      <c r="I1997" s="10" t="str">
        <f aca="false">IF($B1997="","",$F1997*$G1997)</f>
        <v/>
      </c>
      <c r="J1997" s="9"/>
      <c r="K1997" s="10" t="str">
        <f aca="false">IF($B1997="","",$E1997*IFERROR(INDEX(Drinks!$B$4:$B$53,MATCH($B1997,Drinks!$A$4:$A$53,0)),0))</f>
        <v/>
      </c>
      <c r="L1997" s="10" t="str">
        <f aca="false">IF($B1997="","",$J1997+$K1997)</f>
        <v/>
      </c>
      <c r="M1997" s="9"/>
      <c r="N1997" s="10" t="str">
        <f aca="false">IF($B1997="","",$L1997-$M1997)</f>
        <v/>
      </c>
      <c r="O1997" s="10" t="str">
        <f aca="false">IF($B1997="","",IFERROR(INDEX(Drinks!$E$4:$E$53,MATCH($B1997,Drinks!$A$4:$A$53,0)),0))</f>
        <v/>
      </c>
      <c r="P1997" s="10" t="str">
        <f aca="false">IF($B1997="","",$N1997*$O1997)</f>
        <v/>
      </c>
      <c r="Q1997" s="10" t="str">
        <f aca="false">IF($B1997="","",$N1997*IFERROR(INDEX(Drinks!$D$4:$D$53,MATCH($B1997,Drinks!$A$4:$A$53,0)),0))</f>
        <v/>
      </c>
      <c r="R1997" s="10" t="str">
        <f aca="false">IF($B1997="","",$P1997-$Q1997)</f>
        <v/>
      </c>
      <c r="S1997" s="23" t="str">
        <f aca="false">IF($B1997="","",IF(COUNTIFS($A$4:$A$2003,$A1997-1,$B$4:$B$2003,$B1997)=0,"first day",IF(SUMIFS($M$4:$M$2003,$A$4:$A$2003,$A1997-1,$B$4:$B$2003,$B1997)=$J1997,"OK","CHECK")))</f>
        <v/>
      </c>
      <c r="T1997" s="10" t="str">
        <f aca="false">IF($B1997="","",IFERROR(INDEX(Drinks!$D$4:$D$53,MATCH($B1997,Drinks!$A$4:$A$53,0)),0))</f>
        <v/>
      </c>
    </row>
    <row r="1998" customFormat="false" ht="15" hidden="false" customHeight="false" outlineLevel="0" collapsed="false">
      <c r="A1998" s="22"/>
      <c r="B1998" s="9"/>
      <c r="C1998" s="9"/>
      <c r="D1998" s="9"/>
      <c r="E1998" s="9"/>
      <c r="F1998" s="10" t="str">
        <f aca="false">IF($B1998="","",$C1998+$D1998-$E1998)</f>
        <v/>
      </c>
      <c r="G1998" s="10" t="str">
        <f aca="false">IF($B1998="","",IFERROR(INDEX(Drinks!$C$4:$C$53,MATCH($B1998,Drinks!$A$4:$A$53,0)),0))</f>
        <v/>
      </c>
      <c r="H1998" s="10" t="str">
        <f aca="false">IF($B1998="","",$D1998*$G1998)</f>
        <v/>
      </c>
      <c r="I1998" s="10" t="str">
        <f aca="false">IF($B1998="","",$F1998*$G1998)</f>
        <v/>
      </c>
      <c r="J1998" s="9"/>
      <c r="K1998" s="10" t="str">
        <f aca="false">IF($B1998="","",$E1998*IFERROR(INDEX(Drinks!$B$4:$B$53,MATCH($B1998,Drinks!$A$4:$A$53,0)),0))</f>
        <v/>
      </c>
      <c r="L1998" s="10" t="str">
        <f aca="false">IF($B1998="","",$J1998+$K1998)</f>
        <v/>
      </c>
      <c r="M1998" s="9"/>
      <c r="N1998" s="10" t="str">
        <f aca="false">IF($B1998="","",$L1998-$M1998)</f>
        <v/>
      </c>
      <c r="O1998" s="10" t="str">
        <f aca="false">IF($B1998="","",IFERROR(INDEX(Drinks!$E$4:$E$53,MATCH($B1998,Drinks!$A$4:$A$53,0)),0))</f>
        <v/>
      </c>
      <c r="P1998" s="10" t="str">
        <f aca="false">IF($B1998="","",$N1998*$O1998)</f>
        <v/>
      </c>
      <c r="Q1998" s="10" t="str">
        <f aca="false">IF($B1998="","",$N1998*IFERROR(INDEX(Drinks!$D$4:$D$53,MATCH($B1998,Drinks!$A$4:$A$53,0)),0))</f>
        <v/>
      </c>
      <c r="R1998" s="10" t="str">
        <f aca="false">IF($B1998="","",$P1998-$Q1998)</f>
        <v/>
      </c>
      <c r="S1998" s="23" t="str">
        <f aca="false">IF($B1998="","",IF(COUNTIFS($A$4:$A$2003,$A1998-1,$B$4:$B$2003,$B1998)=0,"first day",IF(SUMIFS($M$4:$M$2003,$A$4:$A$2003,$A1998-1,$B$4:$B$2003,$B1998)=$J1998,"OK","CHECK")))</f>
        <v/>
      </c>
      <c r="T1998" s="10" t="str">
        <f aca="false">IF($B1998="","",IFERROR(INDEX(Drinks!$D$4:$D$53,MATCH($B1998,Drinks!$A$4:$A$53,0)),0))</f>
        <v/>
      </c>
    </row>
    <row r="1999" customFormat="false" ht="15" hidden="false" customHeight="false" outlineLevel="0" collapsed="false">
      <c r="A1999" s="22"/>
      <c r="B1999" s="9"/>
      <c r="C1999" s="9"/>
      <c r="D1999" s="9"/>
      <c r="E1999" s="9"/>
      <c r="F1999" s="10" t="str">
        <f aca="false">IF($B1999="","",$C1999+$D1999-$E1999)</f>
        <v/>
      </c>
      <c r="G1999" s="10" t="str">
        <f aca="false">IF($B1999="","",IFERROR(INDEX(Drinks!$C$4:$C$53,MATCH($B1999,Drinks!$A$4:$A$53,0)),0))</f>
        <v/>
      </c>
      <c r="H1999" s="10" t="str">
        <f aca="false">IF($B1999="","",$D1999*$G1999)</f>
        <v/>
      </c>
      <c r="I1999" s="10" t="str">
        <f aca="false">IF($B1999="","",$F1999*$G1999)</f>
        <v/>
      </c>
      <c r="J1999" s="9"/>
      <c r="K1999" s="10" t="str">
        <f aca="false">IF($B1999="","",$E1999*IFERROR(INDEX(Drinks!$B$4:$B$53,MATCH($B1999,Drinks!$A$4:$A$53,0)),0))</f>
        <v/>
      </c>
      <c r="L1999" s="10" t="str">
        <f aca="false">IF($B1999="","",$J1999+$K1999)</f>
        <v/>
      </c>
      <c r="M1999" s="9"/>
      <c r="N1999" s="10" t="str">
        <f aca="false">IF($B1999="","",$L1999-$M1999)</f>
        <v/>
      </c>
      <c r="O1999" s="10" t="str">
        <f aca="false">IF($B1999="","",IFERROR(INDEX(Drinks!$E$4:$E$53,MATCH($B1999,Drinks!$A$4:$A$53,0)),0))</f>
        <v/>
      </c>
      <c r="P1999" s="10" t="str">
        <f aca="false">IF($B1999="","",$N1999*$O1999)</f>
        <v/>
      </c>
      <c r="Q1999" s="10" t="str">
        <f aca="false">IF($B1999="","",$N1999*IFERROR(INDEX(Drinks!$D$4:$D$53,MATCH($B1999,Drinks!$A$4:$A$53,0)),0))</f>
        <v/>
      </c>
      <c r="R1999" s="10" t="str">
        <f aca="false">IF($B1999="","",$P1999-$Q1999)</f>
        <v/>
      </c>
      <c r="S1999" s="23" t="str">
        <f aca="false">IF($B1999="","",IF(COUNTIFS($A$4:$A$2003,$A1999-1,$B$4:$B$2003,$B1999)=0,"first day",IF(SUMIFS($M$4:$M$2003,$A$4:$A$2003,$A1999-1,$B$4:$B$2003,$B1999)=$J1999,"OK","CHECK")))</f>
        <v/>
      </c>
      <c r="T1999" s="10" t="str">
        <f aca="false">IF($B1999="","",IFERROR(INDEX(Drinks!$D$4:$D$53,MATCH($B1999,Drinks!$A$4:$A$53,0)),0))</f>
        <v/>
      </c>
    </row>
    <row r="2000" customFormat="false" ht="15" hidden="false" customHeight="false" outlineLevel="0" collapsed="false">
      <c r="A2000" s="22"/>
      <c r="B2000" s="9"/>
      <c r="C2000" s="9"/>
      <c r="D2000" s="9"/>
      <c r="E2000" s="9"/>
      <c r="F2000" s="10" t="str">
        <f aca="false">IF($B2000="","",$C2000+$D2000-$E2000)</f>
        <v/>
      </c>
      <c r="G2000" s="10" t="str">
        <f aca="false">IF($B2000="","",IFERROR(INDEX(Drinks!$C$4:$C$53,MATCH($B2000,Drinks!$A$4:$A$53,0)),0))</f>
        <v/>
      </c>
      <c r="H2000" s="10" t="str">
        <f aca="false">IF($B2000="","",$D2000*$G2000)</f>
        <v/>
      </c>
      <c r="I2000" s="10" t="str">
        <f aca="false">IF($B2000="","",$F2000*$G2000)</f>
        <v/>
      </c>
      <c r="J2000" s="9"/>
      <c r="K2000" s="10" t="str">
        <f aca="false">IF($B2000="","",$E2000*IFERROR(INDEX(Drinks!$B$4:$B$53,MATCH($B2000,Drinks!$A$4:$A$53,0)),0))</f>
        <v/>
      </c>
      <c r="L2000" s="10" t="str">
        <f aca="false">IF($B2000="","",$J2000+$K2000)</f>
        <v/>
      </c>
      <c r="M2000" s="9"/>
      <c r="N2000" s="10" t="str">
        <f aca="false">IF($B2000="","",$L2000-$M2000)</f>
        <v/>
      </c>
      <c r="O2000" s="10" t="str">
        <f aca="false">IF($B2000="","",IFERROR(INDEX(Drinks!$E$4:$E$53,MATCH($B2000,Drinks!$A$4:$A$53,0)),0))</f>
        <v/>
      </c>
      <c r="P2000" s="10" t="str">
        <f aca="false">IF($B2000="","",$N2000*$O2000)</f>
        <v/>
      </c>
      <c r="Q2000" s="10" t="str">
        <f aca="false">IF($B2000="","",$N2000*IFERROR(INDEX(Drinks!$D$4:$D$53,MATCH($B2000,Drinks!$A$4:$A$53,0)),0))</f>
        <v/>
      </c>
      <c r="R2000" s="10" t="str">
        <f aca="false">IF($B2000="","",$P2000-$Q2000)</f>
        <v/>
      </c>
      <c r="S2000" s="23" t="str">
        <f aca="false">IF($B2000="","",IF(COUNTIFS($A$4:$A$2003,$A2000-1,$B$4:$B$2003,$B2000)=0,"first day",IF(SUMIFS($M$4:$M$2003,$A$4:$A$2003,$A2000-1,$B$4:$B$2003,$B2000)=$J2000,"OK","CHECK")))</f>
        <v/>
      </c>
      <c r="T2000" s="10" t="str">
        <f aca="false">IF($B2000="","",IFERROR(INDEX(Drinks!$D$4:$D$53,MATCH($B2000,Drinks!$A$4:$A$53,0)),0))</f>
        <v/>
      </c>
    </row>
    <row r="2001" customFormat="false" ht="15" hidden="false" customHeight="false" outlineLevel="0" collapsed="false">
      <c r="A2001" s="22"/>
      <c r="B2001" s="9"/>
      <c r="C2001" s="9"/>
      <c r="D2001" s="9"/>
      <c r="E2001" s="9"/>
      <c r="F2001" s="10" t="str">
        <f aca="false">IF($B2001="","",$C2001+$D2001-$E2001)</f>
        <v/>
      </c>
      <c r="G2001" s="10" t="str">
        <f aca="false">IF($B2001="","",IFERROR(INDEX(Drinks!$C$4:$C$53,MATCH($B2001,Drinks!$A$4:$A$53,0)),0))</f>
        <v/>
      </c>
      <c r="H2001" s="10" t="str">
        <f aca="false">IF($B2001="","",$D2001*$G2001)</f>
        <v/>
      </c>
      <c r="I2001" s="10" t="str">
        <f aca="false">IF($B2001="","",$F2001*$G2001)</f>
        <v/>
      </c>
      <c r="J2001" s="9"/>
      <c r="K2001" s="10" t="str">
        <f aca="false">IF($B2001="","",$E2001*IFERROR(INDEX(Drinks!$B$4:$B$53,MATCH($B2001,Drinks!$A$4:$A$53,0)),0))</f>
        <v/>
      </c>
      <c r="L2001" s="10" t="str">
        <f aca="false">IF($B2001="","",$J2001+$K2001)</f>
        <v/>
      </c>
      <c r="M2001" s="9"/>
      <c r="N2001" s="10" t="str">
        <f aca="false">IF($B2001="","",$L2001-$M2001)</f>
        <v/>
      </c>
      <c r="O2001" s="10" t="str">
        <f aca="false">IF($B2001="","",IFERROR(INDEX(Drinks!$E$4:$E$53,MATCH($B2001,Drinks!$A$4:$A$53,0)),0))</f>
        <v/>
      </c>
      <c r="P2001" s="10" t="str">
        <f aca="false">IF($B2001="","",$N2001*$O2001)</f>
        <v/>
      </c>
      <c r="Q2001" s="10" t="str">
        <f aca="false">IF($B2001="","",$N2001*IFERROR(INDEX(Drinks!$D$4:$D$53,MATCH($B2001,Drinks!$A$4:$A$53,0)),0))</f>
        <v/>
      </c>
      <c r="R2001" s="10" t="str">
        <f aca="false">IF($B2001="","",$P2001-$Q2001)</f>
        <v/>
      </c>
      <c r="S2001" s="23" t="str">
        <f aca="false">IF($B2001="","",IF(COUNTIFS($A$4:$A$2003,$A2001-1,$B$4:$B$2003,$B2001)=0,"first day",IF(SUMIFS($M$4:$M$2003,$A$4:$A$2003,$A2001-1,$B$4:$B$2003,$B2001)=$J2001,"OK","CHECK")))</f>
        <v/>
      </c>
      <c r="T2001" s="10" t="str">
        <f aca="false">IF($B2001="","",IFERROR(INDEX(Drinks!$D$4:$D$53,MATCH($B2001,Drinks!$A$4:$A$53,0)),0))</f>
        <v/>
      </c>
    </row>
    <row r="2002" customFormat="false" ht="15" hidden="false" customHeight="false" outlineLevel="0" collapsed="false">
      <c r="A2002" s="22"/>
      <c r="B2002" s="9"/>
      <c r="C2002" s="9"/>
      <c r="D2002" s="9"/>
      <c r="E2002" s="9"/>
      <c r="F2002" s="10" t="str">
        <f aca="false">IF($B2002="","",$C2002+$D2002-$E2002)</f>
        <v/>
      </c>
      <c r="G2002" s="10" t="str">
        <f aca="false">IF($B2002="","",IFERROR(INDEX(Drinks!$C$4:$C$53,MATCH($B2002,Drinks!$A$4:$A$53,0)),0))</f>
        <v/>
      </c>
      <c r="H2002" s="10" t="str">
        <f aca="false">IF($B2002="","",$D2002*$G2002)</f>
        <v/>
      </c>
      <c r="I2002" s="10" t="str">
        <f aca="false">IF($B2002="","",$F2002*$G2002)</f>
        <v/>
      </c>
      <c r="J2002" s="9"/>
      <c r="K2002" s="10" t="str">
        <f aca="false">IF($B2002="","",$E2002*IFERROR(INDEX(Drinks!$B$4:$B$53,MATCH($B2002,Drinks!$A$4:$A$53,0)),0))</f>
        <v/>
      </c>
      <c r="L2002" s="10" t="str">
        <f aca="false">IF($B2002="","",$J2002+$K2002)</f>
        <v/>
      </c>
      <c r="M2002" s="9"/>
      <c r="N2002" s="10" t="str">
        <f aca="false">IF($B2002="","",$L2002-$M2002)</f>
        <v/>
      </c>
      <c r="O2002" s="10" t="str">
        <f aca="false">IF($B2002="","",IFERROR(INDEX(Drinks!$E$4:$E$53,MATCH($B2002,Drinks!$A$4:$A$53,0)),0))</f>
        <v/>
      </c>
      <c r="P2002" s="10" t="str">
        <f aca="false">IF($B2002="","",$N2002*$O2002)</f>
        <v/>
      </c>
      <c r="Q2002" s="10" t="str">
        <f aca="false">IF($B2002="","",$N2002*IFERROR(INDEX(Drinks!$D$4:$D$53,MATCH($B2002,Drinks!$A$4:$A$53,0)),0))</f>
        <v/>
      </c>
      <c r="R2002" s="10" t="str">
        <f aca="false">IF($B2002="","",$P2002-$Q2002)</f>
        <v/>
      </c>
      <c r="S2002" s="23" t="str">
        <f aca="false">IF($B2002="","",IF(COUNTIFS($A$4:$A$2003,$A2002-1,$B$4:$B$2003,$B2002)=0,"first day",IF(SUMIFS($M$4:$M$2003,$A$4:$A$2003,$A2002-1,$B$4:$B$2003,$B2002)=$J2002,"OK","CHECK")))</f>
        <v/>
      </c>
      <c r="T2002" s="10" t="str">
        <f aca="false">IF($B2002="","",IFERROR(INDEX(Drinks!$D$4:$D$53,MATCH($B2002,Drinks!$A$4:$A$53,0)),0))</f>
        <v/>
      </c>
    </row>
    <row r="2003" customFormat="false" ht="15" hidden="false" customHeight="false" outlineLevel="0" collapsed="false">
      <c r="A2003" s="22"/>
      <c r="B2003" s="9"/>
      <c r="C2003" s="9"/>
      <c r="D2003" s="9"/>
      <c r="E2003" s="9"/>
      <c r="F2003" s="10" t="str">
        <f aca="false">IF($B2003="","",$C2003+$D2003-$E2003)</f>
        <v/>
      </c>
      <c r="G2003" s="10" t="str">
        <f aca="false">IF($B2003="","",IFERROR(INDEX(Drinks!$C$4:$C$53,MATCH($B2003,Drinks!$A$4:$A$53,0)),0))</f>
        <v/>
      </c>
      <c r="H2003" s="10" t="str">
        <f aca="false">IF($B2003="","",$D2003*$G2003)</f>
        <v/>
      </c>
      <c r="I2003" s="10" t="str">
        <f aca="false">IF($B2003="","",$F2003*$G2003)</f>
        <v/>
      </c>
      <c r="J2003" s="9"/>
      <c r="K2003" s="10" t="str">
        <f aca="false">IF($B2003="","",$E2003*IFERROR(INDEX(Drinks!$B$4:$B$53,MATCH($B2003,Drinks!$A$4:$A$53,0)),0))</f>
        <v/>
      </c>
      <c r="L2003" s="10" t="str">
        <f aca="false">IF($B2003="","",$J2003+$K2003)</f>
        <v/>
      </c>
      <c r="M2003" s="9"/>
      <c r="N2003" s="10" t="str">
        <f aca="false">IF($B2003="","",$L2003-$M2003)</f>
        <v/>
      </c>
      <c r="O2003" s="10" t="str">
        <f aca="false">IF($B2003="","",IFERROR(INDEX(Drinks!$E$4:$E$53,MATCH($B2003,Drinks!$A$4:$A$53,0)),0))</f>
        <v/>
      </c>
      <c r="P2003" s="10" t="str">
        <f aca="false">IF($B2003="","",$N2003*$O2003)</f>
        <v/>
      </c>
      <c r="Q2003" s="10" t="str">
        <f aca="false">IF($B2003="","",$N2003*IFERROR(INDEX(Drinks!$D$4:$D$53,MATCH($B2003,Drinks!$A$4:$A$53,0)),0))</f>
        <v/>
      </c>
      <c r="R2003" s="10" t="str">
        <f aca="false">IF($B2003="","",$P2003-$Q2003)</f>
        <v/>
      </c>
      <c r="S2003" s="23" t="str">
        <f aca="false">IF($B2003="","",IF(COUNTIFS($A$4:$A$2003,$A2003-1,$B$4:$B$2003,$B2003)=0,"first day",IF(SUMIFS($M$4:$M$2003,$A$4:$A$2003,$A2003-1,$B$4:$B$2003,$B2003)=$J2003,"OK","CHECK")))</f>
        <v/>
      </c>
      <c r="T2003" s="10" t="str">
        <f aca="false">IF($B2003="","",IFERROR(INDEX(Drinks!$D$4:$D$53,MATCH($B2003,Drinks!$A$4:$A$53,0)),0))</f>
        <v/>
      </c>
    </row>
  </sheetData>
  <autoFilter ref="A4:T2003"/>
  <mergeCells count="2">
    <mergeCell ref="C3:I3"/>
    <mergeCell ref="J3:R3"/>
  </mergeCells>
  <conditionalFormatting sqref="S4:S2003">
    <cfRule type="cellIs" priority="2" operator="equal" aboveAverage="0" equalAverage="0" bottom="0" percent="0" rank="0" text="" dxfId="5">
      <formula>"CHECK"</formula>
    </cfRule>
    <cfRule type="cellIs" priority="3" operator="equal" aboveAverage="0" equalAverage="0" bottom="0" percent="0" rank="0" text="" dxfId="6">
      <formula>"OK"</formula>
    </cfRule>
  </conditionalFormatting>
  <conditionalFormatting sqref="N4:N2003">
    <cfRule type="cellIs" priority="4" operator="lessThan" aboveAverage="0" equalAverage="0" bottom="0" percent="0" rank="0" text="" dxfId="5">
      <formula>0</formula>
    </cfRule>
  </conditionalFormatting>
  <dataValidations count="1">
    <dataValidation allowBlank="true" error="Add the drink to the Drinks sheet first." errorStyle="stop" errorTitle="Unknown drink" operator="between" showDropDown="false" showErrorMessage="false" showInputMessage="false" sqref="B4:B2003" type="list">
      <formula1>DrinkList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2"/>
    <col collapsed="false" customWidth="true" hidden="false" outlineLevel="0" max="5" min="4" style="0" width="11"/>
    <col collapsed="false" customWidth="true" hidden="false" outlineLevel="0" max="6" min="6" style="0" width="20"/>
    <col collapsed="false" customWidth="true" hidden="false" outlineLevel="0" max="8" min="7" style="0" width="11"/>
    <col collapsed="false" customWidth="true" hidden="false" outlineLevel="0" max="9" min="9" style="0" width="18"/>
    <col collapsed="false" customWidth="true" hidden="false" outlineLevel="0" max="10" min="10" style="0" width="16"/>
    <col collapsed="false" customWidth="true" hidden="false" outlineLevel="0" max="13" min="11" style="0" width="13"/>
    <col collapsed="false" customWidth="true" hidden="false" outlineLevel="0" max="16" min="14" style="0" width="14"/>
  </cols>
  <sheetData>
    <row r="1" customFormat="false" ht="17.35" hidden="false" customHeight="false" outlineLevel="0" collapsed="false">
      <c r="A1" s="1" t="s">
        <v>103</v>
      </c>
    </row>
    <row r="2" customFormat="false" ht="15" hidden="false" customHeight="false" outlineLevel="0" collapsed="false">
      <c r="A2" s="2" t="s">
        <v>104</v>
      </c>
    </row>
    <row r="3" customFormat="false" ht="33.75" hidden="false" customHeight="true" outlineLevel="0" collapsed="false">
      <c r="A3" s="7" t="s">
        <v>105</v>
      </c>
      <c r="B3" s="7" t="s">
        <v>106</v>
      </c>
      <c r="C3" s="7" t="s">
        <v>107</v>
      </c>
      <c r="D3" s="7" t="s">
        <v>108</v>
      </c>
      <c r="E3" s="7" t="s">
        <v>109</v>
      </c>
      <c r="F3" s="7" t="s">
        <v>110</v>
      </c>
      <c r="G3" s="7" t="s">
        <v>111</v>
      </c>
      <c r="H3" s="7" t="s">
        <v>112</v>
      </c>
      <c r="I3" s="7" t="s">
        <v>113</v>
      </c>
      <c r="J3" s="7" t="s">
        <v>114</v>
      </c>
      <c r="K3" s="7" t="s">
        <v>115</v>
      </c>
      <c r="L3" s="7" t="s">
        <v>116</v>
      </c>
      <c r="M3" s="7" t="s">
        <v>117</v>
      </c>
      <c r="N3" s="7" t="s">
        <v>118</v>
      </c>
      <c r="O3" s="7" t="s">
        <v>119</v>
      </c>
      <c r="P3" s="7" t="s">
        <v>120</v>
      </c>
    </row>
    <row r="4" customFormat="false" ht="15" hidden="false" customHeight="false" outlineLevel="0" collapsed="false">
      <c r="A4" s="24" t="n">
        <v>46256</v>
      </c>
      <c r="B4" s="21" t="n">
        <f aca="false">IF($A4="","",SUMIFS('Daily Entry'!$P$4:$P$2003,'Daily Entry'!$A$4:$A$2003,$A4))</f>
        <v>272500</v>
      </c>
      <c r="C4" s="20"/>
      <c r="D4" s="20"/>
      <c r="E4" s="20" t="n">
        <v>500</v>
      </c>
      <c r="F4" s="25" t="s">
        <v>121</v>
      </c>
      <c r="G4" s="20"/>
      <c r="H4" s="20" t="n">
        <v>11000</v>
      </c>
      <c r="I4" s="25" t="s">
        <v>122</v>
      </c>
      <c r="J4" s="26" t="n">
        <f aca="false">IF($A4="","",$B4+$C4-$D4-$E4-$G4-$H4)</f>
        <v>261000</v>
      </c>
      <c r="K4" s="21" t="n">
        <f aca="false">IF($A4="","",SUMIFS('Daily Entry'!$Q$4:$Q$2003,'Daily Entry'!$A$4:$A$2003,$A4))</f>
        <v>196216.666666667</v>
      </c>
      <c r="L4" s="21" t="n">
        <f aca="false">IF($A4="","",$B4-$K4)</f>
        <v>76283.3333333333</v>
      </c>
      <c r="M4" s="26" t="n">
        <f aca="false">IF($A4="","",$L4-$D4-$E4-$G4)</f>
        <v>75783.3333333333</v>
      </c>
      <c r="N4" s="21" t="n">
        <f aca="false">IF($A4="","",SUMIFS('Daily Entry'!$H$4:$H$2003,'Daily Entry'!$A$4:$A$2003,$A4))</f>
        <v>210500</v>
      </c>
      <c r="O4" s="21" t="n">
        <f aca="false">IF($A4="","",SUMIFS('Daily Entry'!$I$4:$I$2003,'Daily Entry'!$A$4:$A$2003,$A4))</f>
        <v>189200</v>
      </c>
      <c r="P4" s="21" t="n">
        <f aca="false">IF($A4="","",SUMPRODUCT(('Daily Entry'!$A$4:$A$2003=$A4)*('Daily Entry'!$M$4:$M$2003)*('Daily Entry'!$D$4:$D$2003)))</f>
        <v>1240</v>
      </c>
    </row>
    <row r="5" customFormat="false" ht="15" hidden="false" customHeight="false" outlineLevel="0" collapsed="false">
      <c r="A5" s="27"/>
      <c r="B5" s="10" t="str">
        <f aca="false">IF($A5="","",SUMIFS('Daily Entry'!$P$4:$P$2003,'Daily Entry'!$A$4:$A$2003,$A5))</f>
        <v/>
      </c>
      <c r="C5" s="9"/>
      <c r="D5" s="9"/>
      <c r="E5" s="9"/>
      <c r="F5" s="8"/>
      <c r="G5" s="9"/>
      <c r="H5" s="9"/>
      <c r="I5" s="8"/>
      <c r="J5" s="28" t="str">
        <f aca="false">IF($A5="","",$B5+$C5-$D5-$E5-$G5-$H5)</f>
        <v/>
      </c>
      <c r="K5" s="10" t="str">
        <f aca="false">IF($A5="","",SUMIFS('Daily Entry'!$Q$4:$Q$2003,'Daily Entry'!$A$4:$A$2003,$A5))</f>
        <v/>
      </c>
      <c r="L5" s="10" t="str">
        <f aca="false">IF($A5="","",$B5-$K5)</f>
        <v/>
      </c>
      <c r="M5" s="28" t="str">
        <f aca="false">IF($A5="","",$L5-$D5-$E5-$G5)</f>
        <v/>
      </c>
      <c r="N5" s="10" t="str">
        <f aca="false">IF($A5="","",SUMIFS('Daily Entry'!$H$4:$H$2003,'Daily Entry'!$A$4:$A$2003,$A5))</f>
        <v/>
      </c>
      <c r="O5" s="10" t="str">
        <f aca="false">IF($A5="","",SUMIFS('Daily Entry'!$I$4:$I$2003,'Daily Entry'!$A$4:$A$2003,$A5))</f>
        <v/>
      </c>
      <c r="P5" s="10" t="str">
        <f aca="false">IF($A5="","",SUMPRODUCT(('Daily Entry'!$A$4:$A$2003=$A5)*('Daily Entry'!$M$4:$M$2003)*('Daily Entry'!$D$4:$D$2003)))</f>
        <v/>
      </c>
    </row>
    <row r="6" customFormat="false" ht="15" hidden="false" customHeight="false" outlineLevel="0" collapsed="false">
      <c r="A6" s="27"/>
      <c r="B6" s="10" t="str">
        <f aca="false">IF($A6="","",SUMIFS('Daily Entry'!$P$4:$P$2003,'Daily Entry'!$A$4:$A$2003,$A6))</f>
        <v/>
      </c>
      <c r="C6" s="9"/>
      <c r="D6" s="9"/>
      <c r="E6" s="9"/>
      <c r="F6" s="8"/>
      <c r="G6" s="9"/>
      <c r="H6" s="9"/>
      <c r="I6" s="8"/>
      <c r="J6" s="28" t="str">
        <f aca="false">IF($A6="","",$B6+$C6-$D6-$E6-$G6-$H6)</f>
        <v/>
      </c>
      <c r="K6" s="10" t="str">
        <f aca="false">IF($A6="","",SUMIFS('Daily Entry'!$Q$4:$Q$2003,'Daily Entry'!$A$4:$A$2003,$A6))</f>
        <v/>
      </c>
      <c r="L6" s="10" t="str">
        <f aca="false">IF($A6="","",$B6-$K6)</f>
        <v/>
      </c>
      <c r="M6" s="28" t="str">
        <f aca="false">IF($A6="","",$L6-$D6-$E6-$G6)</f>
        <v/>
      </c>
      <c r="N6" s="10" t="str">
        <f aca="false">IF($A6="","",SUMIFS('Daily Entry'!$H$4:$H$2003,'Daily Entry'!$A$4:$A$2003,$A6))</f>
        <v/>
      </c>
      <c r="O6" s="10" t="str">
        <f aca="false">IF($A6="","",SUMIFS('Daily Entry'!$I$4:$I$2003,'Daily Entry'!$A$4:$A$2003,$A6))</f>
        <v/>
      </c>
      <c r="P6" s="10" t="str">
        <f aca="false">IF($A6="","",SUMPRODUCT(('Daily Entry'!$A$4:$A$2003=$A6)*('Daily Entry'!$M$4:$M$2003)*('Daily Entry'!$D$4:$D$2003)))</f>
        <v/>
      </c>
    </row>
    <row r="7" customFormat="false" ht="15" hidden="false" customHeight="false" outlineLevel="0" collapsed="false">
      <c r="A7" s="27"/>
      <c r="B7" s="10" t="str">
        <f aca="false">IF($A7="","",SUMIFS('Daily Entry'!$P$4:$P$2003,'Daily Entry'!$A$4:$A$2003,$A7))</f>
        <v/>
      </c>
      <c r="C7" s="9"/>
      <c r="D7" s="9"/>
      <c r="E7" s="9"/>
      <c r="F7" s="8"/>
      <c r="G7" s="9"/>
      <c r="H7" s="9"/>
      <c r="I7" s="8"/>
      <c r="J7" s="28" t="str">
        <f aca="false">IF($A7="","",$B7+$C7-$D7-$E7-$G7-$H7)</f>
        <v/>
      </c>
      <c r="K7" s="10" t="str">
        <f aca="false">IF($A7="","",SUMIFS('Daily Entry'!$Q$4:$Q$2003,'Daily Entry'!$A$4:$A$2003,$A7))</f>
        <v/>
      </c>
      <c r="L7" s="10" t="str">
        <f aca="false">IF($A7="","",$B7-$K7)</f>
        <v/>
      </c>
      <c r="M7" s="28" t="str">
        <f aca="false">IF($A7="","",$L7-$D7-$E7-$G7)</f>
        <v/>
      </c>
      <c r="N7" s="10" t="str">
        <f aca="false">IF($A7="","",SUMIFS('Daily Entry'!$H$4:$H$2003,'Daily Entry'!$A$4:$A$2003,$A7))</f>
        <v/>
      </c>
      <c r="O7" s="10" t="str">
        <f aca="false">IF($A7="","",SUMIFS('Daily Entry'!$I$4:$I$2003,'Daily Entry'!$A$4:$A$2003,$A7))</f>
        <v/>
      </c>
      <c r="P7" s="10" t="str">
        <f aca="false">IF($A7="","",SUMPRODUCT(('Daily Entry'!$A$4:$A$2003=$A7)*('Daily Entry'!$M$4:$M$2003)*('Daily Entry'!$D$4:$D$2003)))</f>
        <v/>
      </c>
    </row>
    <row r="8" customFormat="false" ht="15" hidden="false" customHeight="false" outlineLevel="0" collapsed="false">
      <c r="A8" s="27"/>
      <c r="B8" s="10" t="str">
        <f aca="false">IF($A8="","",SUMIFS('Daily Entry'!$P$4:$P$2003,'Daily Entry'!$A$4:$A$2003,$A8))</f>
        <v/>
      </c>
      <c r="C8" s="9"/>
      <c r="D8" s="9"/>
      <c r="E8" s="9"/>
      <c r="F8" s="8"/>
      <c r="G8" s="9"/>
      <c r="H8" s="9"/>
      <c r="I8" s="8"/>
      <c r="J8" s="28" t="str">
        <f aca="false">IF($A8="","",$B8+$C8-$D8-$E8-$G8-$H8)</f>
        <v/>
      </c>
      <c r="K8" s="10" t="str">
        <f aca="false">IF($A8="","",SUMIFS('Daily Entry'!$Q$4:$Q$2003,'Daily Entry'!$A$4:$A$2003,$A8))</f>
        <v/>
      </c>
      <c r="L8" s="10" t="str">
        <f aca="false">IF($A8="","",$B8-$K8)</f>
        <v/>
      </c>
      <c r="M8" s="28" t="str">
        <f aca="false">IF($A8="","",$L8-$D8-$E8-$G8)</f>
        <v/>
      </c>
      <c r="N8" s="10" t="str">
        <f aca="false">IF($A8="","",SUMIFS('Daily Entry'!$H$4:$H$2003,'Daily Entry'!$A$4:$A$2003,$A8))</f>
        <v/>
      </c>
      <c r="O8" s="10" t="str">
        <f aca="false">IF($A8="","",SUMIFS('Daily Entry'!$I$4:$I$2003,'Daily Entry'!$A$4:$A$2003,$A8))</f>
        <v/>
      </c>
      <c r="P8" s="10" t="str">
        <f aca="false">IF($A8="","",SUMPRODUCT(('Daily Entry'!$A$4:$A$2003=$A8)*('Daily Entry'!$M$4:$M$2003)*('Daily Entry'!$D$4:$D$2003)))</f>
        <v/>
      </c>
    </row>
    <row r="9" customFormat="false" ht="15" hidden="false" customHeight="false" outlineLevel="0" collapsed="false">
      <c r="A9" s="27"/>
      <c r="B9" s="10" t="str">
        <f aca="false">IF($A9="","",SUMIFS('Daily Entry'!$P$4:$P$2003,'Daily Entry'!$A$4:$A$2003,$A9))</f>
        <v/>
      </c>
      <c r="C9" s="9"/>
      <c r="D9" s="9"/>
      <c r="E9" s="9"/>
      <c r="F9" s="8"/>
      <c r="G9" s="9"/>
      <c r="H9" s="9"/>
      <c r="I9" s="8"/>
      <c r="J9" s="28" t="str">
        <f aca="false">IF($A9="","",$B9+$C9-$D9-$E9-$G9-$H9)</f>
        <v/>
      </c>
      <c r="K9" s="10" t="str">
        <f aca="false">IF($A9="","",SUMIFS('Daily Entry'!$Q$4:$Q$2003,'Daily Entry'!$A$4:$A$2003,$A9))</f>
        <v/>
      </c>
      <c r="L9" s="10" t="str">
        <f aca="false">IF($A9="","",$B9-$K9)</f>
        <v/>
      </c>
      <c r="M9" s="28" t="str">
        <f aca="false">IF($A9="","",$L9-$D9-$E9-$G9)</f>
        <v/>
      </c>
      <c r="N9" s="10" t="str">
        <f aca="false">IF($A9="","",SUMIFS('Daily Entry'!$H$4:$H$2003,'Daily Entry'!$A$4:$A$2003,$A9))</f>
        <v/>
      </c>
      <c r="O9" s="10" t="str">
        <f aca="false">IF($A9="","",SUMIFS('Daily Entry'!$I$4:$I$2003,'Daily Entry'!$A$4:$A$2003,$A9))</f>
        <v/>
      </c>
      <c r="P9" s="10" t="str">
        <f aca="false">IF($A9="","",SUMPRODUCT(('Daily Entry'!$A$4:$A$2003=$A9)*('Daily Entry'!$M$4:$M$2003)*('Daily Entry'!$D$4:$D$2003)))</f>
        <v/>
      </c>
    </row>
    <row r="10" customFormat="false" ht="15" hidden="false" customHeight="false" outlineLevel="0" collapsed="false">
      <c r="A10" s="27"/>
      <c r="B10" s="10" t="str">
        <f aca="false">IF($A10="","",SUMIFS('Daily Entry'!$P$4:$P$2003,'Daily Entry'!$A$4:$A$2003,$A10))</f>
        <v/>
      </c>
      <c r="C10" s="9"/>
      <c r="D10" s="9"/>
      <c r="E10" s="9"/>
      <c r="F10" s="8"/>
      <c r="G10" s="9"/>
      <c r="H10" s="9"/>
      <c r="I10" s="8"/>
      <c r="J10" s="28" t="str">
        <f aca="false">IF($A10="","",$B10+$C10-$D10-$E10-$G10-$H10)</f>
        <v/>
      </c>
      <c r="K10" s="10" t="str">
        <f aca="false">IF($A10="","",SUMIFS('Daily Entry'!$Q$4:$Q$2003,'Daily Entry'!$A$4:$A$2003,$A10))</f>
        <v/>
      </c>
      <c r="L10" s="10" t="str">
        <f aca="false">IF($A10="","",$B10-$K10)</f>
        <v/>
      </c>
      <c r="M10" s="28" t="str">
        <f aca="false">IF($A10="","",$L10-$D10-$E10-$G10)</f>
        <v/>
      </c>
      <c r="N10" s="10" t="str">
        <f aca="false">IF($A10="","",SUMIFS('Daily Entry'!$H$4:$H$2003,'Daily Entry'!$A$4:$A$2003,$A10))</f>
        <v/>
      </c>
      <c r="O10" s="10" t="str">
        <f aca="false">IF($A10="","",SUMIFS('Daily Entry'!$I$4:$I$2003,'Daily Entry'!$A$4:$A$2003,$A10))</f>
        <v/>
      </c>
      <c r="P10" s="10" t="str">
        <f aca="false">IF($A10="","",SUMPRODUCT(('Daily Entry'!$A$4:$A$2003=$A10)*('Daily Entry'!$M$4:$M$2003)*('Daily Entry'!$D$4:$D$2003)))</f>
        <v/>
      </c>
    </row>
    <row r="11" customFormat="false" ht="15" hidden="false" customHeight="false" outlineLevel="0" collapsed="false">
      <c r="A11" s="27"/>
      <c r="B11" s="10" t="str">
        <f aca="false">IF($A11="","",SUMIFS('Daily Entry'!$P$4:$P$2003,'Daily Entry'!$A$4:$A$2003,$A11))</f>
        <v/>
      </c>
      <c r="C11" s="9"/>
      <c r="D11" s="9"/>
      <c r="E11" s="9"/>
      <c r="F11" s="8"/>
      <c r="G11" s="9"/>
      <c r="H11" s="9"/>
      <c r="I11" s="8"/>
      <c r="J11" s="28" t="str">
        <f aca="false">IF($A11="","",$B11+$C11-$D11-$E11-$G11-$H11)</f>
        <v/>
      </c>
      <c r="K11" s="10" t="str">
        <f aca="false">IF($A11="","",SUMIFS('Daily Entry'!$Q$4:$Q$2003,'Daily Entry'!$A$4:$A$2003,$A11))</f>
        <v/>
      </c>
      <c r="L11" s="10" t="str">
        <f aca="false">IF($A11="","",$B11-$K11)</f>
        <v/>
      </c>
      <c r="M11" s="28" t="str">
        <f aca="false">IF($A11="","",$L11-$D11-$E11-$G11)</f>
        <v/>
      </c>
      <c r="N11" s="10" t="str">
        <f aca="false">IF($A11="","",SUMIFS('Daily Entry'!$H$4:$H$2003,'Daily Entry'!$A$4:$A$2003,$A11))</f>
        <v/>
      </c>
      <c r="O11" s="10" t="str">
        <f aca="false">IF($A11="","",SUMIFS('Daily Entry'!$I$4:$I$2003,'Daily Entry'!$A$4:$A$2003,$A11))</f>
        <v/>
      </c>
      <c r="P11" s="10" t="str">
        <f aca="false">IF($A11="","",SUMPRODUCT(('Daily Entry'!$A$4:$A$2003=$A11)*('Daily Entry'!$M$4:$M$2003)*('Daily Entry'!$D$4:$D$2003)))</f>
        <v/>
      </c>
    </row>
    <row r="12" customFormat="false" ht="15" hidden="false" customHeight="false" outlineLevel="0" collapsed="false">
      <c r="A12" s="27"/>
      <c r="B12" s="10" t="str">
        <f aca="false">IF($A12="","",SUMIFS('Daily Entry'!$P$4:$P$2003,'Daily Entry'!$A$4:$A$2003,$A12))</f>
        <v/>
      </c>
      <c r="C12" s="9"/>
      <c r="D12" s="9"/>
      <c r="E12" s="9"/>
      <c r="F12" s="8"/>
      <c r="G12" s="9"/>
      <c r="H12" s="9"/>
      <c r="I12" s="8"/>
      <c r="J12" s="28" t="str">
        <f aca="false">IF($A12="","",$B12+$C12-$D12-$E12-$G12-$H12)</f>
        <v/>
      </c>
      <c r="K12" s="10" t="str">
        <f aca="false">IF($A12="","",SUMIFS('Daily Entry'!$Q$4:$Q$2003,'Daily Entry'!$A$4:$A$2003,$A12))</f>
        <v/>
      </c>
      <c r="L12" s="10" t="str">
        <f aca="false">IF($A12="","",$B12-$K12)</f>
        <v/>
      </c>
      <c r="M12" s="28" t="str">
        <f aca="false">IF($A12="","",$L12-$D12-$E12-$G12)</f>
        <v/>
      </c>
      <c r="N12" s="10" t="str">
        <f aca="false">IF($A12="","",SUMIFS('Daily Entry'!$H$4:$H$2003,'Daily Entry'!$A$4:$A$2003,$A12))</f>
        <v/>
      </c>
      <c r="O12" s="10" t="str">
        <f aca="false">IF($A12="","",SUMIFS('Daily Entry'!$I$4:$I$2003,'Daily Entry'!$A$4:$A$2003,$A12))</f>
        <v/>
      </c>
      <c r="P12" s="10" t="str">
        <f aca="false">IF($A12="","",SUMPRODUCT(('Daily Entry'!$A$4:$A$2003=$A12)*('Daily Entry'!$M$4:$M$2003)*('Daily Entry'!$D$4:$D$2003)))</f>
        <v/>
      </c>
    </row>
    <row r="13" customFormat="false" ht="15" hidden="false" customHeight="false" outlineLevel="0" collapsed="false">
      <c r="A13" s="27"/>
      <c r="B13" s="10" t="str">
        <f aca="false">IF($A13="","",SUMIFS('Daily Entry'!$P$4:$P$2003,'Daily Entry'!$A$4:$A$2003,$A13))</f>
        <v/>
      </c>
      <c r="C13" s="9"/>
      <c r="D13" s="9"/>
      <c r="E13" s="9"/>
      <c r="F13" s="8"/>
      <c r="G13" s="9"/>
      <c r="H13" s="9"/>
      <c r="I13" s="8"/>
      <c r="J13" s="28" t="str">
        <f aca="false">IF($A13="","",$B13+$C13-$D13-$E13-$G13-$H13)</f>
        <v/>
      </c>
      <c r="K13" s="10" t="str">
        <f aca="false">IF($A13="","",SUMIFS('Daily Entry'!$Q$4:$Q$2003,'Daily Entry'!$A$4:$A$2003,$A13))</f>
        <v/>
      </c>
      <c r="L13" s="10" t="str">
        <f aca="false">IF($A13="","",$B13-$K13)</f>
        <v/>
      </c>
      <c r="M13" s="28" t="str">
        <f aca="false">IF($A13="","",$L13-$D13-$E13-$G13)</f>
        <v/>
      </c>
      <c r="N13" s="10" t="str">
        <f aca="false">IF($A13="","",SUMIFS('Daily Entry'!$H$4:$H$2003,'Daily Entry'!$A$4:$A$2003,$A13))</f>
        <v/>
      </c>
      <c r="O13" s="10" t="str">
        <f aca="false">IF($A13="","",SUMIFS('Daily Entry'!$I$4:$I$2003,'Daily Entry'!$A$4:$A$2003,$A13))</f>
        <v/>
      </c>
      <c r="P13" s="10" t="str">
        <f aca="false">IF($A13="","",SUMPRODUCT(('Daily Entry'!$A$4:$A$2003=$A13)*('Daily Entry'!$M$4:$M$2003)*('Daily Entry'!$D$4:$D$2003)))</f>
        <v/>
      </c>
    </row>
    <row r="14" customFormat="false" ht="15" hidden="false" customHeight="false" outlineLevel="0" collapsed="false">
      <c r="A14" s="27"/>
      <c r="B14" s="10" t="str">
        <f aca="false">IF($A14="","",SUMIFS('Daily Entry'!$P$4:$P$2003,'Daily Entry'!$A$4:$A$2003,$A14))</f>
        <v/>
      </c>
      <c r="C14" s="9"/>
      <c r="D14" s="9"/>
      <c r="E14" s="9"/>
      <c r="F14" s="8"/>
      <c r="G14" s="9"/>
      <c r="H14" s="9"/>
      <c r="I14" s="8"/>
      <c r="J14" s="28" t="str">
        <f aca="false">IF($A14="","",$B14+$C14-$D14-$E14-$G14-$H14)</f>
        <v/>
      </c>
      <c r="K14" s="10" t="str">
        <f aca="false">IF($A14="","",SUMIFS('Daily Entry'!$Q$4:$Q$2003,'Daily Entry'!$A$4:$A$2003,$A14))</f>
        <v/>
      </c>
      <c r="L14" s="10" t="str">
        <f aca="false">IF($A14="","",$B14-$K14)</f>
        <v/>
      </c>
      <c r="M14" s="28" t="str">
        <f aca="false">IF($A14="","",$L14-$D14-$E14-$G14)</f>
        <v/>
      </c>
      <c r="N14" s="10" t="str">
        <f aca="false">IF($A14="","",SUMIFS('Daily Entry'!$H$4:$H$2003,'Daily Entry'!$A$4:$A$2003,$A14))</f>
        <v/>
      </c>
      <c r="O14" s="10" t="str">
        <f aca="false">IF($A14="","",SUMIFS('Daily Entry'!$I$4:$I$2003,'Daily Entry'!$A$4:$A$2003,$A14))</f>
        <v/>
      </c>
      <c r="P14" s="10" t="str">
        <f aca="false">IF($A14="","",SUMPRODUCT(('Daily Entry'!$A$4:$A$2003=$A14)*('Daily Entry'!$M$4:$M$2003)*('Daily Entry'!$D$4:$D$2003)))</f>
        <v/>
      </c>
    </row>
    <row r="15" customFormat="false" ht="15" hidden="false" customHeight="false" outlineLevel="0" collapsed="false">
      <c r="A15" s="27"/>
      <c r="B15" s="10" t="str">
        <f aca="false">IF($A15="","",SUMIFS('Daily Entry'!$P$4:$P$2003,'Daily Entry'!$A$4:$A$2003,$A15))</f>
        <v/>
      </c>
      <c r="C15" s="9"/>
      <c r="D15" s="9"/>
      <c r="E15" s="9"/>
      <c r="F15" s="8"/>
      <c r="G15" s="9"/>
      <c r="H15" s="9"/>
      <c r="I15" s="8"/>
      <c r="J15" s="28" t="str">
        <f aca="false">IF($A15="","",$B15+$C15-$D15-$E15-$G15-$H15)</f>
        <v/>
      </c>
      <c r="K15" s="10" t="str">
        <f aca="false">IF($A15="","",SUMIFS('Daily Entry'!$Q$4:$Q$2003,'Daily Entry'!$A$4:$A$2003,$A15))</f>
        <v/>
      </c>
      <c r="L15" s="10" t="str">
        <f aca="false">IF($A15="","",$B15-$K15)</f>
        <v/>
      </c>
      <c r="M15" s="28" t="str">
        <f aca="false">IF($A15="","",$L15-$D15-$E15-$G15)</f>
        <v/>
      </c>
      <c r="N15" s="10" t="str">
        <f aca="false">IF($A15="","",SUMIFS('Daily Entry'!$H$4:$H$2003,'Daily Entry'!$A$4:$A$2003,$A15))</f>
        <v/>
      </c>
      <c r="O15" s="10" t="str">
        <f aca="false">IF($A15="","",SUMIFS('Daily Entry'!$I$4:$I$2003,'Daily Entry'!$A$4:$A$2003,$A15))</f>
        <v/>
      </c>
      <c r="P15" s="10" t="str">
        <f aca="false">IF($A15="","",SUMPRODUCT(('Daily Entry'!$A$4:$A$2003=$A15)*('Daily Entry'!$M$4:$M$2003)*('Daily Entry'!$D$4:$D$2003)))</f>
        <v/>
      </c>
    </row>
    <row r="16" customFormat="false" ht="15" hidden="false" customHeight="false" outlineLevel="0" collapsed="false">
      <c r="A16" s="27"/>
      <c r="B16" s="10" t="str">
        <f aca="false">IF($A16="","",SUMIFS('Daily Entry'!$P$4:$P$2003,'Daily Entry'!$A$4:$A$2003,$A16))</f>
        <v/>
      </c>
      <c r="C16" s="9"/>
      <c r="D16" s="9"/>
      <c r="E16" s="9"/>
      <c r="F16" s="8"/>
      <c r="G16" s="9"/>
      <c r="H16" s="9"/>
      <c r="I16" s="8"/>
      <c r="J16" s="28" t="str">
        <f aca="false">IF($A16="","",$B16+$C16-$D16-$E16-$G16-$H16)</f>
        <v/>
      </c>
      <c r="K16" s="10" t="str">
        <f aca="false">IF($A16="","",SUMIFS('Daily Entry'!$Q$4:$Q$2003,'Daily Entry'!$A$4:$A$2003,$A16))</f>
        <v/>
      </c>
      <c r="L16" s="10" t="str">
        <f aca="false">IF($A16="","",$B16-$K16)</f>
        <v/>
      </c>
      <c r="M16" s="28" t="str">
        <f aca="false">IF($A16="","",$L16-$D16-$E16-$G16)</f>
        <v/>
      </c>
      <c r="N16" s="10" t="str">
        <f aca="false">IF($A16="","",SUMIFS('Daily Entry'!$H$4:$H$2003,'Daily Entry'!$A$4:$A$2003,$A16))</f>
        <v/>
      </c>
      <c r="O16" s="10" t="str">
        <f aca="false">IF($A16="","",SUMIFS('Daily Entry'!$I$4:$I$2003,'Daily Entry'!$A$4:$A$2003,$A16))</f>
        <v/>
      </c>
      <c r="P16" s="10" t="str">
        <f aca="false">IF($A16="","",SUMPRODUCT(('Daily Entry'!$A$4:$A$2003=$A16)*('Daily Entry'!$M$4:$M$2003)*('Daily Entry'!$D$4:$D$2003)))</f>
        <v/>
      </c>
    </row>
    <row r="17" customFormat="false" ht="15" hidden="false" customHeight="false" outlineLevel="0" collapsed="false">
      <c r="A17" s="27"/>
      <c r="B17" s="10" t="str">
        <f aca="false">IF($A17="","",SUMIFS('Daily Entry'!$P$4:$P$2003,'Daily Entry'!$A$4:$A$2003,$A17))</f>
        <v/>
      </c>
      <c r="C17" s="9"/>
      <c r="D17" s="9"/>
      <c r="E17" s="9"/>
      <c r="F17" s="8"/>
      <c r="G17" s="9"/>
      <c r="H17" s="9"/>
      <c r="I17" s="8"/>
      <c r="J17" s="28" t="str">
        <f aca="false">IF($A17="","",$B17+$C17-$D17-$E17-$G17-$H17)</f>
        <v/>
      </c>
      <c r="K17" s="10" t="str">
        <f aca="false">IF($A17="","",SUMIFS('Daily Entry'!$Q$4:$Q$2003,'Daily Entry'!$A$4:$A$2003,$A17))</f>
        <v/>
      </c>
      <c r="L17" s="10" t="str">
        <f aca="false">IF($A17="","",$B17-$K17)</f>
        <v/>
      </c>
      <c r="M17" s="28" t="str">
        <f aca="false">IF($A17="","",$L17-$D17-$E17-$G17)</f>
        <v/>
      </c>
      <c r="N17" s="10" t="str">
        <f aca="false">IF($A17="","",SUMIFS('Daily Entry'!$H$4:$H$2003,'Daily Entry'!$A$4:$A$2003,$A17))</f>
        <v/>
      </c>
      <c r="O17" s="10" t="str">
        <f aca="false">IF($A17="","",SUMIFS('Daily Entry'!$I$4:$I$2003,'Daily Entry'!$A$4:$A$2003,$A17))</f>
        <v/>
      </c>
      <c r="P17" s="10" t="str">
        <f aca="false">IF($A17="","",SUMPRODUCT(('Daily Entry'!$A$4:$A$2003=$A17)*('Daily Entry'!$M$4:$M$2003)*('Daily Entry'!$D$4:$D$2003)))</f>
        <v/>
      </c>
    </row>
    <row r="18" customFormat="false" ht="15" hidden="false" customHeight="false" outlineLevel="0" collapsed="false">
      <c r="A18" s="27"/>
      <c r="B18" s="10" t="str">
        <f aca="false">IF($A18="","",SUMIFS('Daily Entry'!$P$4:$P$2003,'Daily Entry'!$A$4:$A$2003,$A18))</f>
        <v/>
      </c>
      <c r="C18" s="9"/>
      <c r="D18" s="9"/>
      <c r="E18" s="9"/>
      <c r="F18" s="8"/>
      <c r="G18" s="9"/>
      <c r="H18" s="9"/>
      <c r="I18" s="8"/>
      <c r="J18" s="28" t="str">
        <f aca="false">IF($A18="","",$B18+$C18-$D18-$E18-$G18-$H18)</f>
        <v/>
      </c>
      <c r="K18" s="10" t="str">
        <f aca="false">IF($A18="","",SUMIFS('Daily Entry'!$Q$4:$Q$2003,'Daily Entry'!$A$4:$A$2003,$A18))</f>
        <v/>
      </c>
      <c r="L18" s="10" t="str">
        <f aca="false">IF($A18="","",$B18-$K18)</f>
        <v/>
      </c>
      <c r="M18" s="28" t="str">
        <f aca="false">IF($A18="","",$L18-$D18-$E18-$G18)</f>
        <v/>
      </c>
      <c r="N18" s="10" t="str">
        <f aca="false">IF($A18="","",SUMIFS('Daily Entry'!$H$4:$H$2003,'Daily Entry'!$A$4:$A$2003,$A18))</f>
        <v/>
      </c>
      <c r="O18" s="10" t="str">
        <f aca="false">IF($A18="","",SUMIFS('Daily Entry'!$I$4:$I$2003,'Daily Entry'!$A$4:$A$2003,$A18))</f>
        <v/>
      </c>
      <c r="P18" s="10" t="str">
        <f aca="false">IF($A18="","",SUMPRODUCT(('Daily Entry'!$A$4:$A$2003=$A18)*('Daily Entry'!$M$4:$M$2003)*('Daily Entry'!$D$4:$D$2003)))</f>
        <v/>
      </c>
    </row>
    <row r="19" customFormat="false" ht="15" hidden="false" customHeight="false" outlineLevel="0" collapsed="false">
      <c r="A19" s="27"/>
      <c r="B19" s="10" t="str">
        <f aca="false">IF($A19="","",SUMIFS('Daily Entry'!$P$4:$P$2003,'Daily Entry'!$A$4:$A$2003,$A19))</f>
        <v/>
      </c>
      <c r="C19" s="9"/>
      <c r="D19" s="9"/>
      <c r="E19" s="9"/>
      <c r="F19" s="8"/>
      <c r="G19" s="9"/>
      <c r="H19" s="9"/>
      <c r="I19" s="8"/>
      <c r="J19" s="28" t="str">
        <f aca="false">IF($A19="","",$B19+$C19-$D19-$E19-$G19-$H19)</f>
        <v/>
      </c>
      <c r="K19" s="10" t="str">
        <f aca="false">IF($A19="","",SUMIFS('Daily Entry'!$Q$4:$Q$2003,'Daily Entry'!$A$4:$A$2003,$A19))</f>
        <v/>
      </c>
      <c r="L19" s="10" t="str">
        <f aca="false">IF($A19="","",$B19-$K19)</f>
        <v/>
      </c>
      <c r="M19" s="28" t="str">
        <f aca="false">IF($A19="","",$L19-$D19-$E19-$G19)</f>
        <v/>
      </c>
      <c r="N19" s="10" t="str">
        <f aca="false">IF($A19="","",SUMIFS('Daily Entry'!$H$4:$H$2003,'Daily Entry'!$A$4:$A$2003,$A19))</f>
        <v/>
      </c>
      <c r="O19" s="10" t="str">
        <f aca="false">IF($A19="","",SUMIFS('Daily Entry'!$I$4:$I$2003,'Daily Entry'!$A$4:$A$2003,$A19))</f>
        <v/>
      </c>
      <c r="P19" s="10" t="str">
        <f aca="false">IF($A19="","",SUMPRODUCT(('Daily Entry'!$A$4:$A$2003=$A19)*('Daily Entry'!$M$4:$M$2003)*('Daily Entry'!$D$4:$D$2003)))</f>
        <v/>
      </c>
    </row>
    <row r="20" customFormat="false" ht="15" hidden="false" customHeight="false" outlineLevel="0" collapsed="false">
      <c r="A20" s="27"/>
      <c r="B20" s="10" t="str">
        <f aca="false">IF($A20="","",SUMIFS('Daily Entry'!$P$4:$P$2003,'Daily Entry'!$A$4:$A$2003,$A20))</f>
        <v/>
      </c>
      <c r="C20" s="9"/>
      <c r="D20" s="9"/>
      <c r="E20" s="9"/>
      <c r="F20" s="8"/>
      <c r="G20" s="9"/>
      <c r="H20" s="9"/>
      <c r="I20" s="8"/>
      <c r="J20" s="28" t="str">
        <f aca="false">IF($A20="","",$B20+$C20-$D20-$E20-$G20-$H20)</f>
        <v/>
      </c>
      <c r="K20" s="10" t="str">
        <f aca="false">IF($A20="","",SUMIFS('Daily Entry'!$Q$4:$Q$2003,'Daily Entry'!$A$4:$A$2003,$A20))</f>
        <v/>
      </c>
      <c r="L20" s="10" t="str">
        <f aca="false">IF($A20="","",$B20-$K20)</f>
        <v/>
      </c>
      <c r="M20" s="28" t="str">
        <f aca="false">IF($A20="","",$L20-$D20-$E20-$G20)</f>
        <v/>
      </c>
      <c r="N20" s="10" t="str">
        <f aca="false">IF($A20="","",SUMIFS('Daily Entry'!$H$4:$H$2003,'Daily Entry'!$A$4:$A$2003,$A20))</f>
        <v/>
      </c>
      <c r="O20" s="10" t="str">
        <f aca="false">IF($A20="","",SUMIFS('Daily Entry'!$I$4:$I$2003,'Daily Entry'!$A$4:$A$2003,$A20))</f>
        <v/>
      </c>
      <c r="P20" s="10" t="str">
        <f aca="false">IF($A20="","",SUMPRODUCT(('Daily Entry'!$A$4:$A$2003=$A20)*('Daily Entry'!$M$4:$M$2003)*('Daily Entry'!$D$4:$D$2003)))</f>
        <v/>
      </c>
    </row>
    <row r="21" customFormat="false" ht="15" hidden="false" customHeight="false" outlineLevel="0" collapsed="false">
      <c r="A21" s="27"/>
      <c r="B21" s="10" t="str">
        <f aca="false">IF($A21="","",SUMIFS('Daily Entry'!$P$4:$P$2003,'Daily Entry'!$A$4:$A$2003,$A21))</f>
        <v/>
      </c>
      <c r="C21" s="9"/>
      <c r="D21" s="9"/>
      <c r="E21" s="9"/>
      <c r="F21" s="8"/>
      <c r="G21" s="9"/>
      <c r="H21" s="9"/>
      <c r="I21" s="8"/>
      <c r="J21" s="28" t="str">
        <f aca="false">IF($A21="","",$B21+$C21-$D21-$E21-$G21-$H21)</f>
        <v/>
      </c>
      <c r="K21" s="10" t="str">
        <f aca="false">IF($A21="","",SUMIFS('Daily Entry'!$Q$4:$Q$2003,'Daily Entry'!$A$4:$A$2003,$A21))</f>
        <v/>
      </c>
      <c r="L21" s="10" t="str">
        <f aca="false">IF($A21="","",$B21-$K21)</f>
        <v/>
      </c>
      <c r="M21" s="28" t="str">
        <f aca="false">IF($A21="","",$L21-$D21-$E21-$G21)</f>
        <v/>
      </c>
      <c r="N21" s="10" t="str">
        <f aca="false">IF($A21="","",SUMIFS('Daily Entry'!$H$4:$H$2003,'Daily Entry'!$A$4:$A$2003,$A21))</f>
        <v/>
      </c>
      <c r="O21" s="10" t="str">
        <f aca="false">IF($A21="","",SUMIFS('Daily Entry'!$I$4:$I$2003,'Daily Entry'!$A$4:$A$2003,$A21))</f>
        <v/>
      </c>
      <c r="P21" s="10" t="str">
        <f aca="false">IF($A21="","",SUMPRODUCT(('Daily Entry'!$A$4:$A$2003=$A21)*('Daily Entry'!$M$4:$M$2003)*('Daily Entry'!$D$4:$D$2003)))</f>
        <v/>
      </c>
    </row>
    <row r="22" customFormat="false" ht="15" hidden="false" customHeight="false" outlineLevel="0" collapsed="false">
      <c r="A22" s="27"/>
      <c r="B22" s="10" t="str">
        <f aca="false">IF($A22="","",SUMIFS('Daily Entry'!$P$4:$P$2003,'Daily Entry'!$A$4:$A$2003,$A22))</f>
        <v/>
      </c>
      <c r="C22" s="9"/>
      <c r="D22" s="9"/>
      <c r="E22" s="9"/>
      <c r="F22" s="8"/>
      <c r="G22" s="9"/>
      <c r="H22" s="9"/>
      <c r="I22" s="8"/>
      <c r="J22" s="28" t="str">
        <f aca="false">IF($A22="","",$B22+$C22-$D22-$E22-$G22-$H22)</f>
        <v/>
      </c>
      <c r="K22" s="10" t="str">
        <f aca="false">IF($A22="","",SUMIFS('Daily Entry'!$Q$4:$Q$2003,'Daily Entry'!$A$4:$A$2003,$A22))</f>
        <v/>
      </c>
      <c r="L22" s="10" t="str">
        <f aca="false">IF($A22="","",$B22-$K22)</f>
        <v/>
      </c>
      <c r="M22" s="28" t="str">
        <f aca="false">IF($A22="","",$L22-$D22-$E22-$G22)</f>
        <v/>
      </c>
      <c r="N22" s="10" t="str">
        <f aca="false">IF($A22="","",SUMIFS('Daily Entry'!$H$4:$H$2003,'Daily Entry'!$A$4:$A$2003,$A22))</f>
        <v/>
      </c>
      <c r="O22" s="10" t="str">
        <f aca="false">IF($A22="","",SUMIFS('Daily Entry'!$I$4:$I$2003,'Daily Entry'!$A$4:$A$2003,$A22))</f>
        <v/>
      </c>
      <c r="P22" s="10" t="str">
        <f aca="false">IF($A22="","",SUMPRODUCT(('Daily Entry'!$A$4:$A$2003=$A22)*('Daily Entry'!$M$4:$M$2003)*('Daily Entry'!$D$4:$D$2003)))</f>
        <v/>
      </c>
    </row>
    <row r="23" customFormat="false" ht="15" hidden="false" customHeight="false" outlineLevel="0" collapsed="false">
      <c r="A23" s="27"/>
      <c r="B23" s="10" t="str">
        <f aca="false">IF($A23="","",SUMIFS('Daily Entry'!$P$4:$P$2003,'Daily Entry'!$A$4:$A$2003,$A23))</f>
        <v/>
      </c>
      <c r="C23" s="9"/>
      <c r="D23" s="9"/>
      <c r="E23" s="9"/>
      <c r="F23" s="8"/>
      <c r="G23" s="9"/>
      <c r="H23" s="9"/>
      <c r="I23" s="8"/>
      <c r="J23" s="28" t="str">
        <f aca="false">IF($A23="","",$B23+$C23-$D23-$E23-$G23-$H23)</f>
        <v/>
      </c>
      <c r="K23" s="10" t="str">
        <f aca="false">IF($A23="","",SUMIFS('Daily Entry'!$Q$4:$Q$2003,'Daily Entry'!$A$4:$A$2003,$A23))</f>
        <v/>
      </c>
      <c r="L23" s="10" t="str">
        <f aca="false">IF($A23="","",$B23-$K23)</f>
        <v/>
      </c>
      <c r="M23" s="28" t="str">
        <f aca="false">IF($A23="","",$L23-$D23-$E23-$G23)</f>
        <v/>
      </c>
      <c r="N23" s="10" t="str">
        <f aca="false">IF($A23="","",SUMIFS('Daily Entry'!$H$4:$H$2003,'Daily Entry'!$A$4:$A$2003,$A23))</f>
        <v/>
      </c>
      <c r="O23" s="10" t="str">
        <f aca="false">IF($A23="","",SUMIFS('Daily Entry'!$I$4:$I$2003,'Daily Entry'!$A$4:$A$2003,$A23))</f>
        <v/>
      </c>
      <c r="P23" s="10" t="str">
        <f aca="false">IF($A23="","",SUMPRODUCT(('Daily Entry'!$A$4:$A$2003=$A23)*('Daily Entry'!$M$4:$M$2003)*('Daily Entry'!$D$4:$D$2003)))</f>
        <v/>
      </c>
    </row>
    <row r="24" customFormat="false" ht="15" hidden="false" customHeight="false" outlineLevel="0" collapsed="false">
      <c r="A24" s="27"/>
      <c r="B24" s="10" t="str">
        <f aca="false">IF($A24="","",SUMIFS('Daily Entry'!$P$4:$P$2003,'Daily Entry'!$A$4:$A$2003,$A24))</f>
        <v/>
      </c>
      <c r="C24" s="9"/>
      <c r="D24" s="9"/>
      <c r="E24" s="9"/>
      <c r="F24" s="8"/>
      <c r="G24" s="9"/>
      <c r="H24" s="9"/>
      <c r="I24" s="8"/>
      <c r="J24" s="28" t="str">
        <f aca="false">IF($A24="","",$B24+$C24-$D24-$E24-$G24-$H24)</f>
        <v/>
      </c>
      <c r="K24" s="10" t="str">
        <f aca="false">IF($A24="","",SUMIFS('Daily Entry'!$Q$4:$Q$2003,'Daily Entry'!$A$4:$A$2003,$A24))</f>
        <v/>
      </c>
      <c r="L24" s="10" t="str">
        <f aca="false">IF($A24="","",$B24-$K24)</f>
        <v/>
      </c>
      <c r="M24" s="28" t="str">
        <f aca="false">IF($A24="","",$L24-$D24-$E24-$G24)</f>
        <v/>
      </c>
      <c r="N24" s="10" t="str">
        <f aca="false">IF($A24="","",SUMIFS('Daily Entry'!$H$4:$H$2003,'Daily Entry'!$A$4:$A$2003,$A24))</f>
        <v/>
      </c>
      <c r="O24" s="10" t="str">
        <f aca="false">IF($A24="","",SUMIFS('Daily Entry'!$I$4:$I$2003,'Daily Entry'!$A$4:$A$2003,$A24))</f>
        <v/>
      </c>
      <c r="P24" s="10" t="str">
        <f aca="false">IF($A24="","",SUMPRODUCT(('Daily Entry'!$A$4:$A$2003=$A24)*('Daily Entry'!$M$4:$M$2003)*('Daily Entry'!$D$4:$D$2003)))</f>
        <v/>
      </c>
    </row>
    <row r="25" customFormat="false" ht="15" hidden="false" customHeight="false" outlineLevel="0" collapsed="false">
      <c r="A25" s="27"/>
      <c r="B25" s="10" t="str">
        <f aca="false">IF($A25="","",SUMIFS('Daily Entry'!$P$4:$P$2003,'Daily Entry'!$A$4:$A$2003,$A25))</f>
        <v/>
      </c>
      <c r="C25" s="9"/>
      <c r="D25" s="9"/>
      <c r="E25" s="9"/>
      <c r="F25" s="8"/>
      <c r="G25" s="9"/>
      <c r="H25" s="9"/>
      <c r="I25" s="8"/>
      <c r="J25" s="28" t="str">
        <f aca="false">IF($A25="","",$B25+$C25-$D25-$E25-$G25-$H25)</f>
        <v/>
      </c>
      <c r="K25" s="10" t="str">
        <f aca="false">IF($A25="","",SUMIFS('Daily Entry'!$Q$4:$Q$2003,'Daily Entry'!$A$4:$A$2003,$A25))</f>
        <v/>
      </c>
      <c r="L25" s="10" t="str">
        <f aca="false">IF($A25="","",$B25-$K25)</f>
        <v/>
      </c>
      <c r="M25" s="28" t="str">
        <f aca="false">IF($A25="","",$L25-$D25-$E25-$G25)</f>
        <v/>
      </c>
      <c r="N25" s="10" t="str">
        <f aca="false">IF($A25="","",SUMIFS('Daily Entry'!$H$4:$H$2003,'Daily Entry'!$A$4:$A$2003,$A25))</f>
        <v/>
      </c>
      <c r="O25" s="10" t="str">
        <f aca="false">IF($A25="","",SUMIFS('Daily Entry'!$I$4:$I$2003,'Daily Entry'!$A$4:$A$2003,$A25))</f>
        <v/>
      </c>
      <c r="P25" s="10" t="str">
        <f aca="false">IF($A25="","",SUMPRODUCT(('Daily Entry'!$A$4:$A$2003=$A25)*('Daily Entry'!$M$4:$M$2003)*('Daily Entry'!$D$4:$D$2003)))</f>
        <v/>
      </c>
    </row>
    <row r="26" customFormat="false" ht="15" hidden="false" customHeight="false" outlineLevel="0" collapsed="false">
      <c r="A26" s="27"/>
      <c r="B26" s="10" t="str">
        <f aca="false">IF($A26="","",SUMIFS('Daily Entry'!$P$4:$P$2003,'Daily Entry'!$A$4:$A$2003,$A26))</f>
        <v/>
      </c>
      <c r="C26" s="9"/>
      <c r="D26" s="9"/>
      <c r="E26" s="9"/>
      <c r="F26" s="8"/>
      <c r="G26" s="9"/>
      <c r="H26" s="9"/>
      <c r="I26" s="8"/>
      <c r="J26" s="28" t="str">
        <f aca="false">IF($A26="","",$B26+$C26-$D26-$E26-$G26-$H26)</f>
        <v/>
      </c>
      <c r="K26" s="10" t="str">
        <f aca="false">IF($A26="","",SUMIFS('Daily Entry'!$Q$4:$Q$2003,'Daily Entry'!$A$4:$A$2003,$A26))</f>
        <v/>
      </c>
      <c r="L26" s="10" t="str">
        <f aca="false">IF($A26="","",$B26-$K26)</f>
        <v/>
      </c>
      <c r="M26" s="28" t="str">
        <f aca="false">IF($A26="","",$L26-$D26-$E26-$G26)</f>
        <v/>
      </c>
      <c r="N26" s="10" t="str">
        <f aca="false">IF($A26="","",SUMIFS('Daily Entry'!$H$4:$H$2003,'Daily Entry'!$A$4:$A$2003,$A26))</f>
        <v/>
      </c>
      <c r="O26" s="10" t="str">
        <f aca="false">IF($A26="","",SUMIFS('Daily Entry'!$I$4:$I$2003,'Daily Entry'!$A$4:$A$2003,$A26))</f>
        <v/>
      </c>
      <c r="P26" s="10" t="str">
        <f aca="false">IF($A26="","",SUMPRODUCT(('Daily Entry'!$A$4:$A$2003=$A26)*('Daily Entry'!$M$4:$M$2003)*('Daily Entry'!$D$4:$D$2003)))</f>
        <v/>
      </c>
    </row>
    <row r="27" customFormat="false" ht="15" hidden="false" customHeight="false" outlineLevel="0" collapsed="false">
      <c r="A27" s="27"/>
      <c r="B27" s="10" t="str">
        <f aca="false">IF($A27="","",SUMIFS('Daily Entry'!$P$4:$P$2003,'Daily Entry'!$A$4:$A$2003,$A27))</f>
        <v/>
      </c>
      <c r="C27" s="9"/>
      <c r="D27" s="9"/>
      <c r="E27" s="9"/>
      <c r="F27" s="8"/>
      <c r="G27" s="9"/>
      <c r="H27" s="9"/>
      <c r="I27" s="8"/>
      <c r="J27" s="28" t="str">
        <f aca="false">IF($A27="","",$B27+$C27-$D27-$E27-$G27-$H27)</f>
        <v/>
      </c>
      <c r="K27" s="10" t="str">
        <f aca="false">IF($A27="","",SUMIFS('Daily Entry'!$Q$4:$Q$2003,'Daily Entry'!$A$4:$A$2003,$A27))</f>
        <v/>
      </c>
      <c r="L27" s="10" t="str">
        <f aca="false">IF($A27="","",$B27-$K27)</f>
        <v/>
      </c>
      <c r="M27" s="28" t="str">
        <f aca="false">IF($A27="","",$L27-$D27-$E27-$G27)</f>
        <v/>
      </c>
      <c r="N27" s="10" t="str">
        <f aca="false">IF($A27="","",SUMIFS('Daily Entry'!$H$4:$H$2003,'Daily Entry'!$A$4:$A$2003,$A27))</f>
        <v/>
      </c>
      <c r="O27" s="10" t="str">
        <f aca="false">IF($A27="","",SUMIFS('Daily Entry'!$I$4:$I$2003,'Daily Entry'!$A$4:$A$2003,$A27))</f>
        <v/>
      </c>
      <c r="P27" s="10" t="str">
        <f aca="false">IF($A27="","",SUMPRODUCT(('Daily Entry'!$A$4:$A$2003=$A27)*('Daily Entry'!$M$4:$M$2003)*('Daily Entry'!$D$4:$D$2003)))</f>
        <v/>
      </c>
    </row>
    <row r="28" customFormat="false" ht="15" hidden="false" customHeight="false" outlineLevel="0" collapsed="false">
      <c r="A28" s="27"/>
      <c r="B28" s="10" t="str">
        <f aca="false">IF($A28="","",SUMIFS('Daily Entry'!$P$4:$P$2003,'Daily Entry'!$A$4:$A$2003,$A28))</f>
        <v/>
      </c>
      <c r="C28" s="9"/>
      <c r="D28" s="9"/>
      <c r="E28" s="9"/>
      <c r="F28" s="8"/>
      <c r="G28" s="9"/>
      <c r="H28" s="9"/>
      <c r="I28" s="8"/>
      <c r="J28" s="28" t="str">
        <f aca="false">IF($A28="","",$B28+$C28-$D28-$E28-$G28-$H28)</f>
        <v/>
      </c>
      <c r="K28" s="10" t="str">
        <f aca="false">IF($A28="","",SUMIFS('Daily Entry'!$Q$4:$Q$2003,'Daily Entry'!$A$4:$A$2003,$A28))</f>
        <v/>
      </c>
      <c r="L28" s="10" t="str">
        <f aca="false">IF($A28="","",$B28-$K28)</f>
        <v/>
      </c>
      <c r="M28" s="28" t="str">
        <f aca="false">IF($A28="","",$L28-$D28-$E28-$G28)</f>
        <v/>
      </c>
      <c r="N28" s="10" t="str">
        <f aca="false">IF($A28="","",SUMIFS('Daily Entry'!$H$4:$H$2003,'Daily Entry'!$A$4:$A$2003,$A28))</f>
        <v/>
      </c>
      <c r="O28" s="10" t="str">
        <f aca="false">IF($A28="","",SUMIFS('Daily Entry'!$I$4:$I$2003,'Daily Entry'!$A$4:$A$2003,$A28))</f>
        <v/>
      </c>
      <c r="P28" s="10" t="str">
        <f aca="false">IF($A28="","",SUMPRODUCT(('Daily Entry'!$A$4:$A$2003=$A28)*('Daily Entry'!$M$4:$M$2003)*('Daily Entry'!$D$4:$D$2003)))</f>
        <v/>
      </c>
    </row>
    <row r="29" customFormat="false" ht="15" hidden="false" customHeight="false" outlineLevel="0" collapsed="false">
      <c r="A29" s="27"/>
      <c r="B29" s="10" t="str">
        <f aca="false">IF($A29="","",SUMIFS('Daily Entry'!$P$4:$P$2003,'Daily Entry'!$A$4:$A$2003,$A29))</f>
        <v/>
      </c>
      <c r="C29" s="9"/>
      <c r="D29" s="9"/>
      <c r="E29" s="9"/>
      <c r="F29" s="8"/>
      <c r="G29" s="9"/>
      <c r="H29" s="9"/>
      <c r="I29" s="8"/>
      <c r="J29" s="28" t="str">
        <f aca="false">IF($A29="","",$B29+$C29-$D29-$E29-$G29-$H29)</f>
        <v/>
      </c>
      <c r="K29" s="10" t="str">
        <f aca="false">IF($A29="","",SUMIFS('Daily Entry'!$Q$4:$Q$2003,'Daily Entry'!$A$4:$A$2003,$A29))</f>
        <v/>
      </c>
      <c r="L29" s="10" t="str">
        <f aca="false">IF($A29="","",$B29-$K29)</f>
        <v/>
      </c>
      <c r="M29" s="28" t="str">
        <f aca="false">IF($A29="","",$L29-$D29-$E29-$G29)</f>
        <v/>
      </c>
      <c r="N29" s="10" t="str">
        <f aca="false">IF($A29="","",SUMIFS('Daily Entry'!$H$4:$H$2003,'Daily Entry'!$A$4:$A$2003,$A29))</f>
        <v/>
      </c>
      <c r="O29" s="10" t="str">
        <f aca="false">IF($A29="","",SUMIFS('Daily Entry'!$I$4:$I$2003,'Daily Entry'!$A$4:$A$2003,$A29))</f>
        <v/>
      </c>
      <c r="P29" s="10" t="str">
        <f aca="false">IF($A29="","",SUMPRODUCT(('Daily Entry'!$A$4:$A$2003=$A29)*('Daily Entry'!$M$4:$M$2003)*('Daily Entry'!$D$4:$D$2003)))</f>
        <v/>
      </c>
    </row>
    <row r="30" customFormat="false" ht="15" hidden="false" customHeight="false" outlineLevel="0" collapsed="false">
      <c r="A30" s="27"/>
      <c r="B30" s="10" t="str">
        <f aca="false">IF($A30="","",SUMIFS('Daily Entry'!$P$4:$P$2003,'Daily Entry'!$A$4:$A$2003,$A30))</f>
        <v/>
      </c>
      <c r="C30" s="9"/>
      <c r="D30" s="9"/>
      <c r="E30" s="9"/>
      <c r="F30" s="8"/>
      <c r="G30" s="9"/>
      <c r="H30" s="9"/>
      <c r="I30" s="8"/>
      <c r="J30" s="28" t="str">
        <f aca="false">IF($A30="","",$B30+$C30-$D30-$E30-$G30-$H30)</f>
        <v/>
      </c>
      <c r="K30" s="10" t="str">
        <f aca="false">IF($A30="","",SUMIFS('Daily Entry'!$Q$4:$Q$2003,'Daily Entry'!$A$4:$A$2003,$A30))</f>
        <v/>
      </c>
      <c r="L30" s="10" t="str">
        <f aca="false">IF($A30="","",$B30-$K30)</f>
        <v/>
      </c>
      <c r="M30" s="28" t="str">
        <f aca="false">IF($A30="","",$L30-$D30-$E30-$G30)</f>
        <v/>
      </c>
      <c r="N30" s="10" t="str">
        <f aca="false">IF($A30="","",SUMIFS('Daily Entry'!$H$4:$H$2003,'Daily Entry'!$A$4:$A$2003,$A30))</f>
        <v/>
      </c>
      <c r="O30" s="10" t="str">
        <f aca="false">IF($A30="","",SUMIFS('Daily Entry'!$I$4:$I$2003,'Daily Entry'!$A$4:$A$2003,$A30))</f>
        <v/>
      </c>
      <c r="P30" s="10" t="str">
        <f aca="false">IF($A30="","",SUMPRODUCT(('Daily Entry'!$A$4:$A$2003=$A30)*('Daily Entry'!$M$4:$M$2003)*('Daily Entry'!$D$4:$D$2003)))</f>
        <v/>
      </c>
    </row>
    <row r="31" customFormat="false" ht="15" hidden="false" customHeight="false" outlineLevel="0" collapsed="false">
      <c r="A31" s="27"/>
      <c r="B31" s="10" t="str">
        <f aca="false">IF($A31="","",SUMIFS('Daily Entry'!$P$4:$P$2003,'Daily Entry'!$A$4:$A$2003,$A31))</f>
        <v/>
      </c>
      <c r="C31" s="9"/>
      <c r="D31" s="9"/>
      <c r="E31" s="9"/>
      <c r="F31" s="8"/>
      <c r="G31" s="9"/>
      <c r="H31" s="9"/>
      <c r="I31" s="8"/>
      <c r="J31" s="28" t="str">
        <f aca="false">IF($A31="","",$B31+$C31-$D31-$E31-$G31-$H31)</f>
        <v/>
      </c>
      <c r="K31" s="10" t="str">
        <f aca="false">IF($A31="","",SUMIFS('Daily Entry'!$Q$4:$Q$2003,'Daily Entry'!$A$4:$A$2003,$A31))</f>
        <v/>
      </c>
      <c r="L31" s="10" t="str">
        <f aca="false">IF($A31="","",$B31-$K31)</f>
        <v/>
      </c>
      <c r="M31" s="28" t="str">
        <f aca="false">IF($A31="","",$L31-$D31-$E31-$G31)</f>
        <v/>
      </c>
      <c r="N31" s="10" t="str">
        <f aca="false">IF($A31="","",SUMIFS('Daily Entry'!$H$4:$H$2003,'Daily Entry'!$A$4:$A$2003,$A31))</f>
        <v/>
      </c>
      <c r="O31" s="10" t="str">
        <f aca="false">IF($A31="","",SUMIFS('Daily Entry'!$I$4:$I$2003,'Daily Entry'!$A$4:$A$2003,$A31))</f>
        <v/>
      </c>
      <c r="P31" s="10" t="str">
        <f aca="false">IF($A31="","",SUMPRODUCT(('Daily Entry'!$A$4:$A$2003=$A31)*('Daily Entry'!$M$4:$M$2003)*('Daily Entry'!$D$4:$D$2003)))</f>
        <v/>
      </c>
    </row>
    <row r="32" customFormat="false" ht="15" hidden="false" customHeight="false" outlineLevel="0" collapsed="false">
      <c r="A32" s="27"/>
      <c r="B32" s="10" t="str">
        <f aca="false">IF($A32="","",SUMIFS('Daily Entry'!$P$4:$P$2003,'Daily Entry'!$A$4:$A$2003,$A32))</f>
        <v/>
      </c>
      <c r="C32" s="9"/>
      <c r="D32" s="9"/>
      <c r="E32" s="9"/>
      <c r="F32" s="8"/>
      <c r="G32" s="9"/>
      <c r="H32" s="9"/>
      <c r="I32" s="8"/>
      <c r="J32" s="28" t="str">
        <f aca="false">IF($A32="","",$B32+$C32-$D32-$E32-$G32-$H32)</f>
        <v/>
      </c>
      <c r="K32" s="10" t="str">
        <f aca="false">IF($A32="","",SUMIFS('Daily Entry'!$Q$4:$Q$2003,'Daily Entry'!$A$4:$A$2003,$A32))</f>
        <v/>
      </c>
      <c r="L32" s="10" t="str">
        <f aca="false">IF($A32="","",$B32-$K32)</f>
        <v/>
      </c>
      <c r="M32" s="28" t="str">
        <f aca="false">IF($A32="","",$L32-$D32-$E32-$G32)</f>
        <v/>
      </c>
      <c r="N32" s="10" t="str">
        <f aca="false">IF($A32="","",SUMIFS('Daily Entry'!$H$4:$H$2003,'Daily Entry'!$A$4:$A$2003,$A32))</f>
        <v/>
      </c>
      <c r="O32" s="10" t="str">
        <f aca="false">IF($A32="","",SUMIFS('Daily Entry'!$I$4:$I$2003,'Daily Entry'!$A$4:$A$2003,$A32))</f>
        <v/>
      </c>
      <c r="P32" s="10" t="str">
        <f aca="false">IF($A32="","",SUMPRODUCT(('Daily Entry'!$A$4:$A$2003=$A32)*('Daily Entry'!$M$4:$M$2003)*('Daily Entry'!$D$4:$D$2003)))</f>
        <v/>
      </c>
    </row>
    <row r="33" customFormat="false" ht="15" hidden="false" customHeight="false" outlineLevel="0" collapsed="false">
      <c r="A33" s="27"/>
      <c r="B33" s="10" t="str">
        <f aca="false">IF($A33="","",SUMIFS('Daily Entry'!$P$4:$P$2003,'Daily Entry'!$A$4:$A$2003,$A33))</f>
        <v/>
      </c>
      <c r="C33" s="9"/>
      <c r="D33" s="9"/>
      <c r="E33" s="9"/>
      <c r="F33" s="8"/>
      <c r="G33" s="9"/>
      <c r="H33" s="9"/>
      <c r="I33" s="8"/>
      <c r="J33" s="28" t="str">
        <f aca="false">IF($A33="","",$B33+$C33-$D33-$E33-$G33-$H33)</f>
        <v/>
      </c>
      <c r="K33" s="10" t="str">
        <f aca="false">IF($A33="","",SUMIFS('Daily Entry'!$Q$4:$Q$2003,'Daily Entry'!$A$4:$A$2003,$A33))</f>
        <v/>
      </c>
      <c r="L33" s="10" t="str">
        <f aca="false">IF($A33="","",$B33-$K33)</f>
        <v/>
      </c>
      <c r="M33" s="28" t="str">
        <f aca="false">IF($A33="","",$L33-$D33-$E33-$G33)</f>
        <v/>
      </c>
      <c r="N33" s="10" t="str">
        <f aca="false">IF($A33="","",SUMIFS('Daily Entry'!$H$4:$H$2003,'Daily Entry'!$A$4:$A$2003,$A33))</f>
        <v/>
      </c>
      <c r="O33" s="10" t="str">
        <f aca="false">IF($A33="","",SUMIFS('Daily Entry'!$I$4:$I$2003,'Daily Entry'!$A$4:$A$2003,$A33))</f>
        <v/>
      </c>
      <c r="P33" s="10" t="str">
        <f aca="false">IF($A33="","",SUMPRODUCT(('Daily Entry'!$A$4:$A$2003=$A33)*('Daily Entry'!$M$4:$M$2003)*('Daily Entry'!$D$4:$D$2003)))</f>
        <v/>
      </c>
    </row>
    <row r="34" customFormat="false" ht="15" hidden="false" customHeight="false" outlineLevel="0" collapsed="false">
      <c r="A34" s="27"/>
      <c r="B34" s="10" t="str">
        <f aca="false">IF($A34="","",SUMIFS('Daily Entry'!$P$4:$P$2003,'Daily Entry'!$A$4:$A$2003,$A34))</f>
        <v/>
      </c>
      <c r="C34" s="9"/>
      <c r="D34" s="9"/>
      <c r="E34" s="9"/>
      <c r="F34" s="8"/>
      <c r="G34" s="9"/>
      <c r="H34" s="9"/>
      <c r="I34" s="8"/>
      <c r="J34" s="28" t="str">
        <f aca="false">IF($A34="","",$B34+$C34-$D34-$E34-$G34-$H34)</f>
        <v/>
      </c>
      <c r="K34" s="10" t="str">
        <f aca="false">IF($A34="","",SUMIFS('Daily Entry'!$Q$4:$Q$2003,'Daily Entry'!$A$4:$A$2003,$A34))</f>
        <v/>
      </c>
      <c r="L34" s="10" t="str">
        <f aca="false">IF($A34="","",$B34-$K34)</f>
        <v/>
      </c>
      <c r="M34" s="28" t="str">
        <f aca="false">IF($A34="","",$L34-$D34-$E34-$G34)</f>
        <v/>
      </c>
      <c r="N34" s="10" t="str">
        <f aca="false">IF($A34="","",SUMIFS('Daily Entry'!$H$4:$H$2003,'Daily Entry'!$A$4:$A$2003,$A34))</f>
        <v/>
      </c>
      <c r="O34" s="10" t="str">
        <f aca="false">IF($A34="","",SUMIFS('Daily Entry'!$I$4:$I$2003,'Daily Entry'!$A$4:$A$2003,$A34))</f>
        <v/>
      </c>
      <c r="P34" s="10" t="str">
        <f aca="false">IF($A34="","",SUMPRODUCT(('Daily Entry'!$A$4:$A$2003=$A34)*('Daily Entry'!$M$4:$M$2003)*('Daily Entry'!$D$4:$D$2003)))</f>
        <v/>
      </c>
    </row>
    <row r="35" customFormat="false" ht="15" hidden="false" customHeight="false" outlineLevel="0" collapsed="false">
      <c r="A35" s="27"/>
      <c r="B35" s="10" t="str">
        <f aca="false">IF($A35="","",SUMIFS('Daily Entry'!$P$4:$P$2003,'Daily Entry'!$A$4:$A$2003,$A35))</f>
        <v/>
      </c>
      <c r="C35" s="9"/>
      <c r="D35" s="9"/>
      <c r="E35" s="9"/>
      <c r="F35" s="8"/>
      <c r="G35" s="9"/>
      <c r="H35" s="9"/>
      <c r="I35" s="8"/>
      <c r="J35" s="28" t="str">
        <f aca="false">IF($A35="","",$B35+$C35-$D35-$E35-$G35-$H35)</f>
        <v/>
      </c>
      <c r="K35" s="10" t="str">
        <f aca="false">IF($A35="","",SUMIFS('Daily Entry'!$Q$4:$Q$2003,'Daily Entry'!$A$4:$A$2003,$A35))</f>
        <v/>
      </c>
      <c r="L35" s="10" t="str">
        <f aca="false">IF($A35="","",$B35-$K35)</f>
        <v/>
      </c>
      <c r="M35" s="28" t="str">
        <f aca="false">IF($A35="","",$L35-$D35-$E35-$G35)</f>
        <v/>
      </c>
      <c r="N35" s="10" t="str">
        <f aca="false">IF($A35="","",SUMIFS('Daily Entry'!$H$4:$H$2003,'Daily Entry'!$A$4:$A$2003,$A35))</f>
        <v/>
      </c>
      <c r="O35" s="10" t="str">
        <f aca="false">IF($A35="","",SUMIFS('Daily Entry'!$I$4:$I$2003,'Daily Entry'!$A$4:$A$2003,$A35))</f>
        <v/>
      </c>
      <c r="P35" s="10" t="str">
        <f aca="false">IF($A35="","",SUMPRODUCT(('Daily Entry'!$A$4:$A$2003=$A35)*('Daily Entry'!$M$4:$M$2003)*('Daily Entry'!$D$4:$D$2003)))</f>
        <v/>
      </c>
    </row>
    <row r="36" customFormat="false" ht="15" hidden="false" customHeight="false" outlineLevel="0" collapsed="false">
      <c r="A36" s="27"/>
      <c r="B36" s="10" t="str">
        <f aca="false">IF($A36="","",SUMIFS('Daily Entry'!$P$4:$P$2003,'Daily Entry'!$A$4:$A$2003,$A36))</f>
        <v/>
      </c>
      <c r="C36" s="9"/>
      <c r="D36" s="9"/>
      <c r="E36" s="9"/>
      <c r="F36" s="8"/>
      <c r="G36" s="9"/>
      <c r="H36" s="9"/>
      <c r="I36" s="8"/>
      <c r="J36" s="28" t="str">
        <f aca="false">IF($A36="","",$B36+$C36-$D36-$E36-$G36-$H36)</f>
        <v/>
      </c>
      <c r="K36" s="10" t="str">
        <f aca="false">IF($A36="","",SUMIFS('Daily Entry'!$Q$4:$Q$2003,'Daily Entry'!$A$4:$A$2003,$A36))</f>
        <v/>
      </c>
      <c r="L36" s="10" t="str">
        <f aca="false">IF($A36="","",$B36-$K36)</f>
        <v/>
      </c>
      <c r="M36" s="28" t="str">
        <f aca="false">IF($A36="","",$L36-$D36-$E36-$G36)</f>
        <v/>
      </c>
      <c r="N36" s="10" t="str">
        <f aca="false">IF($A36="","",SUMIFS('Daily Entry'!$H$4:$H$2003,'Daily Entry'!$A$4:$A$2003,$A36))</f>
        <v/>
      </c>
      <c r="O36" s="10" t="str">
        <f aca="false">IF($A36="","",SUMIFS('Daily Entry'!$I$4:$I$2003,'Daily Entry'!$A$4:$A$2003,$A36))</f>
        <v/>
      </c>
      <c r="P36" s="10" t="str">
        <f aca="false">IF($A36="","",SUMPRODUCT(('Daily Entry'!$A$4:$A$2003=$A36)*('Daily Entry'!$M$4:$M$2003)*('Daily Entry'!$D$4:$D$2003)))</f>
        <v/>
      </c>
    </row>
    <row r="37" customFormat="false" ht="15" hidden="false" customHeight="false" outlineLevel="0" collapsed="false">
      <c r="A37" s="27"/>
      <c r="B37" s="10" t="str">
        <f aca="false">IF($A37="","",SUMIFS('Daily Entry'!$P$4:$P$2003,'Daily Entry'!$A$4:$A$2003,$A37))</f>
        <v/>
      </c>
      <c r="C37" s="9"/>
      <c r="D37" s="9"/>
      <c r="E37" s="9"/>
      <c r="F37" s="8"/>
      <c r="G37" s="9"/>
      <c r="H37" s="9"/>
      <c r="I37" s="8"/>
      <c r="J37" s="28" t="str">
        <f aca="false">IF($A37="","",$B37+$C37-$D37-$E37-$G37-$H37)</f>
        <v/>
      </c>
      <c r="K37" s="10" t="str">
        <f aca="false">IF($A37="","",SUMIFS('Daily Entry'!$Q$4:$Q$2003,'Daily Entry'!$A$4:$A$2003,$A37))</f>
        <v/>
      </c>
      <c r="L37" s="10" t="str">
        <f aca="false">IF($A37="","",$B37-$K37)</f>
        <v/>
      </c>
      <c r="M37" s="28" t="str">
        <f aca="false">IF($A37="","",$L37-$D37-$E37-$G37)</f>
        <v/>
      </c>
      <c r="N37" s="10" t="str">
        <f aca="false">IF($A37="","",SUMIFS('Daily Entry'!$H$4:$H$2003,'Daily Entry'!$A$4:$A$2003,$A37))</f>
        <v/>
      </c>
      <c r="O37" s="10" t="str">
        <f aca="false">IF($A37="","",SUMIFS('Daily Entry'!$I$4:$I$2003,'Daily Entry'!$A$4:$A$2003,$A37))</f>
        <v/>
      </c>
      <c r="P37" s="10" t="str">
        <f aca="false">IF($A37="","",SUMPRODUCT(('Daily Entry'!$A$4:$A$2003=$A37)*('Daily Entry'!$M$4:$M$2003)*('Daily Entry'!$D$4:$D$2003)))</f>
        <v/>
      </c>
    </row>
    <row r="38" customFormat="false" ht="15" hidden="false" customHeight="false" outlineLevel="0" collapsed="false">
      <c r="A38" s="27"/>
      <c r="B38" s="10" t="str">
        <f aca="false">IF($A38="","",SUMIFS('Daily Entry'!$P$4:$P$2003,'Daily Entry'!$A$4:$A$2003,$A38))</f>
        <v/>
      </c>
      <c r="C38" s="9"/>
      <c r="D38" s="9"/>
      <c r="E38" s="9"/>
      <c r="F38" s="8"/>
      <c r="G38" s="9"/>
      <c r="H38" s="9"/>
      <c r="I38" s="8"/>
      <c r="J38" s="28" t="str">
        <f aca="false">IF($A38="","",$B38+$C38-$D38-$E38-$G38-$H38)</f>
        <v/>
      </c>
      <c r="K38" s="10" t="str">
        <f aca="false">IF($A38="","",SUMIFS('Daily Entry'!$Q$4:$Q$2003,'Daily Entry'!$A$4:$A$2003,$A38))</f>
        <v/>
      </c>
      <c r="L38" s="10" t="str">
        <f aca="false">IF($A38="","",$B38-$K38)</f>
        <v/>
      </c>
      <c r="M38" s="28" t="str">
        <f aca="false">IF($A38="","",$L38-$D38-$E38-$G38)</f>
        <v/>
      </c>
      <c r="N38" s="10" t="str">
        <f aca="false">IF($A38="","",SUMIFS('Daily Entry'!$H$4:$H$2003,'Daily Entry'!$A$4:$A$2003,$A38))</f>
        <v/>
      </c>
      <c r="O38" s="10" t="str">
        <f aca="false">IF($A38="","",SUMIFS('Daily Entry'!$I$4:$I$2003,'Daily Entry'!$A$4:$A$2003,$A38))</f>
        <v/>
      </c>
      <c r="P38" s="10" t="str">
        <f aca="false">IF($A38="","",SUMPRODUCT(('Daily Entry'!$A$4:$A$2003=$A38)*('Daily Entry'!$M$4:$M$2003)*('Daily Entry'!$D$4:$D$2003)))</f>
        <v/>
      </c>
    </row>
    <row r="39" customFormat="false" ht="15" hidden="false" customHeight="false" outlineLevel="0" collapsed="false">
      <c r="A39" s="27"/>
      <c r="B39" s="10" t="str">
        <f aca="false">IF($A39="","",SUMIFS('Daily Entry'!$P$4:$P$2003,'Daily Entry'!$A$4:$A$2003,$A39))</f>
        <v/>
      </c>
      <c r="C39" s="9"/>
      <c r="D39" s="9"/>
      <c r="E39" s="9"/>
      <c r="F39" s="8"/>
      <c r="G39" s="9"/>
      <c r="H39" s="9"/>
      <c r="I39" s="8"/>
      <c r="J39" s="28" t="str">
        <f aca="false">IF($A39="","",$B39+$C39-$D39-$E39-$G39-$H39)</f>
        <v/>
      </c>
      <c r="K39" s="10" t="str">
        <f aca="false">IF($A39="","",SUMIFS('Daily Entry'!$Q$4:$Q$2003,'Daily Entry'!$A$4:$A$2003,$A39))</f>
        <v/>
      </c>
      <c r="L39" s="10" t="str">
        <f aca="false">IF($A39="","",$B39-$K39)</f>
        <v/>
      </c>
      <c r="M39" s="28" t="str">
        <f aca="false">IF($A39="","",$L39-$D39-$E39-$G39)</f>
        <v/>
      </c>
      <c r="N39" s="10" t="str">
        <f aca="false">IF($A39="","",SUMIFS('Daily Entry'!$H$4:$H$2003,'Daily Entry'!$A$4:$A$2003,$A39))</f>
        <v/>
      </c>
      <c r="O39" s="10" t="str">
        <f aca="false">IF($A39="","",SUMIFS('Daily Entry'!$I$4:$I$2003,'Daily Entry'!$A$4:$A$2003,$A39))</f>
        <v/>
      </c>
      <c r="P39" s="10" t="str">
        <f aca="false">IF($A39="","",SUMPRODUCT(('Daily Entry'!$A$4:$A$2003=$A39)*('Daily Entry'!$M$4:$M$2003)*('Daily Entry'!$D$4:$D$2003)))</f>
        <v/>
      </c>
    </row>
    <row r="40" customFormat="false" ht="15" hidden="false" customHeight="false" outlineLevel="0" collapsed="false">
      <c r="A40" s="27"/>
      <c r="B40" s="10" t="str">
        <f aca="false">IF($A40="","",SUMIFS('Daily Entry'!$P$4:$P$2003,'Daily Entry'!$A$4:$A$2003,$A40))</f>
        <v/>
      </c>
      <c r="C40" s="9"/>
      <c r="D40" s="9"/>
      <c r="E40" s="9"/>
      <c r="F40" s="8"/>
      <c r="G40" s="9"/>
      <c r="H40" s="9"/>
      <c r="I40" s="8"/>
      <c r="J40" s="28" t="str">
        <f aca="false">IF($A40="","",$B40+$C40-$D40-$E40-$G40-$H40)</f>
        <v/>
      </c>
      <c r="K40" s="10" t="str">
        <f aca="false">IF($A40="","",SUMIFS('Daily Entry'!$Q$4:$Q$2003,'Daily Entry'!$A$4:$A$2003,$A40))</f>
        <v/>
      </c>
      <c r="L40" s="10" t="str">
        <f aca="false">IF($A40="","",$B40-$K40)</f>
        <v/>
      </c>
      <c r="M40" s="28" t="str">
        <f aca="false">IF($A40="","",$L40-$D40-$E40-$G40)</f>
        <v/>
      </c>
      <c r="N40" s="10" t="str">
        <f aca="false">IF($A40="","",SUMIFS('Daily Entry'!$H$4:$H$2003,'Daily Entry'!$A$4:$A$2003,$A40))</f>
        <v/>
      </c>
      <c r="O40" s="10" t="str">
        <f aca="false">IF($A40="","",SUMIFS('Daily Entry'!$I$4:$I$2003,'Daily Entry'!$A$4:$A$2003,$A40))</f>
        <v/>
      </c>
      <c r="P40" s="10" t="str">
        <f aca="false">IF($A40="","",SUMPRODUCT(('Daily Entry'!$A$4:$A$2003=$A40)*('Daily Entry'!$M$4:$M$2003)*('Daily Entry'!$D$4:$D$2003)))</f>
        <v/>
      </c>
    </row>
    <row r="41" customFormat="false" ht="15" hidden="false" customHeight="false" outlineLevel="0" collapsed="false">
      <c r="A41" s="27"/>
      <c r="B41" s="10" t="str">
        <f aca="false">IF($A41="","",SUMIFS('Daily Entry'!$P$4:$P$2003,'Daily Entry'!$A$4:$A$2003,$A41))</f>
        <v/>
      </c>
      <c r="C41" s="9"/>
      <c r="D41" s="9"/>
      <c r="E41" s="9"/>
      <c r="F41" s="8"/>
      <c r="G41" s="9"/>
      <c r="H41" s="9"/>
      <c r="I41" s="8"/>
      <c r="J41" s="28" t="str">
        <f aca="false">IF($A41="","",$B41+$C41-$D41-$E41-$G41-$H41)</f>
        <v/>
      </c>
      <c r="K41" s="10" t="str">
        <f aca="false">IF($A41="","",SUMIFS('Daily Entry'!$Q$4:$Q$2003,'Daily Entry'!$A$4:$A$2003,$A41))</f>
        <v/>
      </c>
      <c r="L41" s="10" t="str">
        <f aca="false">IF($A41="","",$B41-$K41)</f>
        <v/>
      </c>
      <c r="M41" s="28" t="str">
        <f aca="false">IF($A41="","",$L41-$D41-$E41-$G41)</f>
        <v/>
      </c>
      <c r="N41" s="10" t="str">
        <f aca="false">IF($A41="","",SUMIFS('Daily Entry'!$H$4:$H$2003,'Daily Entry'!$A$4:$A$2003,$A41))</f>
        <v/>
      </c>
      <c r="O41" s="10" t="str">
        <f aca="false">IF($A41="","",SUMIFS('Daily Entry'!$I$4:$I$2003,'Daily Entry'!$A$4:$A$2003,$A41))</f>
        <v/>
      </c>
      <c r="P41" s="10" t="str">
        <f aca="false">IF($A41="","",SUMPRODUCT(('Daily Entry'!$A$4:$A$2003=$A41)*('Daily Entry'!$M$4:$M$2003)*('Daily Entry'!$D$4:$D$2003)))</f>
        <v/>
      </c>
    </row>
    <row r="42" customFormat="false" ht="15" hidden="false" customHeight="false" outlineLevel="0" collapsed="false">
      <c r="A42" s="27"/>
      <c r="B42" s="10" t="str">
        <f aca="false">IF($A42="","",SUMIFS('Daily Entry'!$P$4:$P$2003,'Daily Entry'!$A$4:$A$2003,$A42))</f>
        <v/>
      </c>
      <c r="C42" s="9"/>
      <c r="D42" s="9"/>
      <c r="E42" s="9"/>
      <c r="F42" s="8"/>
      <c r="G42" s="9"/>
      <c r="H42" s="9"/>
      <c r="I42" s="8"/>
      <c r="J42" s="28" t="str">
        <f aca="false">IF($A42="","",$B42+$C42-$D42-$E42-$G42-$H42)</f>
        <v/>
      </c>
      <c r="K42" s="10" t="str">
        <f aca="false">IF($A42="","",SUMIFS('Daily Entry'!$Q$4:$Q$2003,'Daily Entry'!$A$4:$A$2003,$A42))</f>
        <v/>
      </c>
      <c r="L42" s="10" t="str">
        <f aca="false">IF($A42="","",$B42-$K42)</f>
        <v/>
      </c>
      <c r="M42" s="28" t="str">
        <f aca="false">IF($A42="","",$L42-$D42-$E42-$G42)</f>
        <v/>
      </c>
      <c r="N42" s="10" t="str">
        <f aca="false">IF($A42="","",SUMIFS('Daily Entry'!$H$4:$H$2003,'Daily Entry'!$A$4:$A$2003,$A42))</f>
        <v/>
      </c>
      <c r="O42" s="10" t="str">
        <f aca="false">IF($A42="","",SUMIFS('Daily Entry'!$I$4:$I$2003,'Daily Entry'!$A$4:$A$2003,$A42))</f>
        <v/>
      </c>
      <c r="P42" s="10" t="str">
        <f aca="false">IF($A42="","",SUMPRODUCT(('Daily Entry'!$A$4:$A$2003=$A42)*('Daily Entry'!$M$4:$M$2003)*('Daily Entry'!$D$4:$D$2003)))</f>
        <v/>
      </c>
    </row>
    <row r="43" customFormat="false" ht="15" hidden="false" customHeight="false" outlineLevel="0" collapsed="false">
      <c r="A43" s="27"/>
      <c r="B43" s="10" t="str">
        <f aca="false">IF($A43="","",SUMIFS('Daily Entry'!$P$4:$P$2003,'Daily Entry'!$A$4:$A$2003,$A43))</f>
        <v/>
      </c>
      <c r="C43" s="9"/>
      <c r="D43" s="9"/>
      <c r="E43" s="9"/>
      <c r="F43" s="8"/>
      <c r="G43" s="9"/>
      <c r="H43" s="9"/>
      <c r="I43" s="8"/>
      <c r="J43" s="28" t="str">
        <f aca="false">IF($A43="","",$B43+$C43-$D43-$E43-$G43-$H43)</f>
        <v/>
      </c>
      <c r="K43" s="10" t="str">
        <f aca="false">IF($A43="","",SUMIFS('Daily Entry'!$Q$4:$Q$2003,'Daily Entry'!$A$4:$A$2003,$A43))</f>
        <v/>
      </c>
      <c r="L43" s="10" t="str">
        <f aca="false">IF($A43="","",$B43-$K43)</f>
        <v/>
      </c>
      <c r="M43" s="28" t="str">
        <f aca="false">IF($A43="","",$L43-$D43-$E43-$G43)</f>
        <v/>
      </c>
      <c r="N43" s="10" t="str">
        <f aca="false">IF($A43="","",SUMIFS('Daily Entry'!$H$4:$H$2003,'Daily Entry'!$A$4:$A$2003,$A43))</f>
        <v/>
      </c>
      <c r="O43" s="10" t="str">
        <f aca="false">IF($A43="","",SUMIFS('Daily Entry'!$I$4:$I$2003,'Daily Entry'!$A$4:$A$2003,$A43))</f>
        <v/>
      </c>
      <c r="P43" s="10" t="str">
        <f aca="false">IF($A43="","",SUMPRODUCT(('Daily Entry'!$A$4:$A$2003=$A43)*('Daily Entry'!$M$4:$M$2003)*('Daily Entry'!$D$4:$D$2003)))</f>
        <v/>
      </c>
    </row>
    <row r="44" customFormat="false" ht="15" hidden="false" customHeight="false" outlineLevel="0" collapsed="false">
      <c r="A44" s="27"/>
      <c r="B44" s="10" t="str">
        <f aca="false">IF($A44="","",SUMIFS('Daily Entry'!$P$4:$P$2003,'Daily Entry'!$A$4:$A$2003,$A44))</f>
        <v/>
      </c>
      <c r="C44" s="9"/>
      <c r="D44" s="9"/>
      <c r="E44" s="9"/>
      <c r="F44" s="8"/>
      <c r="G44" s="9"/>
      <c r="H44" s="9"/>
      <c r="I44" s="8"/>
      <c r="J44" s="28" t="str">
        <f aca="false">IF($A44="","",$B44+$C44-$D44-$E44-$G44-$H44)</f>
        <v/>
      </c>
      <c r="K44" s="10" t="str">
        <f aca="false">IF($A44="","",SUMIFS('Daily Entry'!$Q$4:$Q$2003,'Daily Entry'!$A$4:$A$2003,$A44))</f>
        <v/>
      </c>
      <c r="L44" s="10" t="str">
        <f aca="false">IF($A44="","",$B44-$K44)</f>
        <v/>
      </c>
      <c r="M44" s="28" t="str">
        <f aca="false">IF($A44="","",$L44-$D44-$E44-$G44)</f>
        <v/>
      </c>
      <c r="N44" s="10" t="str">
        <f aca="false">IF($A44="","",SUMIFS('Daily Entry'!$H$4:$H$2003,'Daily Entry'!$A$4:$A$2003,$A44))</f>
        <v/>
      </c>
      <c r="O44" s="10" t="str">
        <f aca="false">IF($A44="","",SUMIFS('Daily Entry'!$I$4:$I$2003,'Daily Entry'!$A$4:$A$2003,$A44))</f>
        <v/>
      </c>
      <c r="P44" s="10" t="str">
        <f aca="false">IF($A44="","",SUMPRODUCT(('Daily Entry'!$A$4:$A$2003=$A44)*('Daily Entry'!$M$4:$M$2003)*('Daily Entry'!$D$4:$D$2003)))</f>
        <v/>
      </c>
    </row>
    <row r="45" customFormat="false" ht="15" hidden="false" customHeight="false" outlineLevel="0" collapsed="false">
      <c r="A45" s="27"/>
      <c r="B45" s="10" t="str">
        <f aca="false">IF($A45="","",SUMIFS('Daily Entry'!$P$4:$P$2003,'Daily Entry'!$A$4:$A$2003,$A45))</f>
        <v/>
      </c>
      <c r="C45" s="9"/>
      <c r="D45" s="9"/>
      <c r="E45" s="9"/>
      <c r="F45" s="8"/>
      <c r="G45" s="9"/>
      <c r="H45" s="9"/>
      <c r="I45" s="8"/>
      <c r="J45" s="28" t="str">
        <f aca="false">IF($A45="","",$B45+$C45-$D45-$E45-$G45-$H45)</f>
        <v/>
      </c>
      <c r="K45" s="10" t="str">
        <f aca="false">IF($A45="","",SUMIFS('Daily Entry'!$Q$4:$Q$2003,'Daily Entry'!$A$4:$A$2003,$A45))</f>
        <v/>
      </c>
      <c r="L45" s="10" t="str">
        <f aca="false">IF($A45="","",$B45-$K45)</f>
        <v/>
      </c>
      <c r="M45" s="28" t="str">
        <f aca="false">IF($A45="","",$L45-$D45-$E45-$G45)</f>
        <v/>
      </c>
      <c r="N45" s="10" t="str">
        <f aca="false">IF($A45="","",SUMIFS('Daily Entry'!$H$4:$H$2003,'Daily Entry'!$A$4:$A$2003,$A45))</f>
        <v/>
      </c>
      <c r="O45" s="10" t="str">
        <f aca="false">IF($A45="","",SUMIFS('Daily Entry'!$I$4:$I$2003,'Daily Entry'!$A$4:$A$2003,$A45))</f>
        <v/>
      </c>
      <c r="P45" s="10" t="str">
        <f aca="false">IF($A45="","",SUMPRODUCT(('Daily Entry'!$A$4:$A$2003=$A45)*('Daily Entry'!$M$4:$M$2003)*('Daily Entry'!$D$4:$D$2003)))</f>
        <v/>
      </c>
    </row>
    <row r="46" customFormat="false" ht="15" hidden="false" customHeight="false" outlineLevel="0" collapsed="false">
      <c r="A46" s="27"/>
      <c r="B46" s="10" t="str">
        <f aca="false">IF($A46="","",SUMIFS('Daily Entry'!$P$4:$P$2003,'Daily Entry'!$A$4:$A$2003,$A46))</f>
        <v/>
      </c>
      <c r="C46" s="9"/>
      <c r="D46" s="9"/>
      <c r="E46" s="9"/>
      <c r="F46" s="8"/>
      <c r="G46" s="9"/>
      <c r="H46" s="9"/>
      <c r="I46" s="8"/>
      <c r="J46" s="28" t="str">
        <f aca="false">IF($A46="","",$B46+$C46-$D46-$E46-$G46-$H46)</f>
        <v/>
      </c>
      <c r="K46" s="10" t="str">
        <f aca="false">IF($A46="","",SUMIFS('Daily Entry'!$Q$4:$Q$2003,'Daily Entry'!$A$4:$A$2003,$A46))</f>
        <v/>
      </c>
      <c r="L46" s="10" t="str">
        <f aca="false">IF($A46="","",$B46-$K46)</f>
        <v/>
      </c>
      <c r="M46" s="28" t="str">
        <f aca="false">IF($A46="","",$L46-$D46-$E46-$G46)</f>
        <v/>
      </c>
      <c r="N46" s="10" t="str">
        <f aca="false">IF($A46="","",SUMIFS('Daily Entry'!$H$4:$H$2003,'Daily Entry'!$A$4:$A$2003,$A46))</f>
        <v/>
      </c>
      <c r="O46" s="10" t="str">
        <f aca="false">IF($A46="","",SUMIFS('Daily Entry'!$I$4:$I$2003,'Daily Entry'!$A$4:$A$2003,$A46))</f>
        <v/>
      </c>
      <c r="P46" s="10" t="str">
        <f aca="false">IF($A46="","",SUMPRODUCT(('Daily Entry'!$A$4:$A$2003=$A46)*('Daily Entry'!$M$4:$M$2003)*('Daily Entry'!$D$4:$D$2003)))</f>
        <v/>
      </c>
    </row>
    <row r="47" customFormat="false" ht="15" hidden="false" customHeight="false" outlineLevel="0" collapsed="false">
      <c r="A47" s="27"/>
      <c r="B47" s="10" t="str">
        <f aca="false">IF($A47="","",SUMIFS('Daily Entry'!$P$4:$P$2003,'Daily Entry'!$A$4:$A$2003,$A47))</f>
        <v/>
      </c>
      <c r="C47" s="9"/>
      <c r="D47" s="9"/>
      <c r="E47" s="9"/>
      <c r="F47" s="8"/>
      <c r="G47" s="9"/>
      <c r="H47" s="9"/>
      <c r="I47" s="8"/>
      <c r="J47" s="28" t="str">
        <f aca="false">IF($A47="","",$B47+$C47-$D47-$E47-$G47-$H47)</f>
        <v/>
      </c>
      <c r="K47" s="10" t="str">
        <f aca="false">IF($A47="","",SUMIFS('Daily Entry'!$Q$4:$Q$2003,'Daily Entry'!$A$4:$A$2003,$A47))</f>
        <v/>
      </c>
      <c r="L47" s="10" t="str">
        <f aca="false">IF($A47="","",$B47-$K47)</f>
        <v/>
      </c>
      <c r="M47" s="28" t="str">
        <f aca="false">IF($A47="","",$L47-$D47-$E47-$G47)</f>
        <v/>
      </c>
      <c r="N47" s="10" t="str">
        <f aca="false">IF($A47="","",SUMIFS('Daily Entry'!$H$4:$H$2003,'Daily Entry'!$A$4:$A$2003,$A47))</f>
        <v/>
      </c>
      <c r="O47" s="10" t="str">
        <f aca="false">IF($A47="","",SUMIFS('Daily Entry'!$I$4:$I$2003,'Daily Entry'!$A$4:$A$2003,$A47))</f>
        <v/>
      </c>
      <c r="P47" s="10" t="str">
        <f aca="false">IF($A47="","",SUMPRODUCT(('Daily Entry'!$A$4:$A$2003=$A47)*('Daily Entry'!$M$4:$M$2003)*('Daily Entry'!$D$4:$D$2003)))</f>
        <v/>
      </c>
    </row>
    <row r="48" customFormat="false" ht="15" hidden="false" customHeight="false" outlineLevel="0" collapsed="false">
      <c r="A48" s="27"/>
      <c r="B48" s="10" t="str">
        <f aca="false">IF($A48="","",SUMIFS('Daily Entry'!$P$4:$P$2003,'Daily Entry'!$A$4:$A$2003,$A48))</f>
        <v/>
      </c>
      <c r="C48" s="9"/>
      <c r="D48" s="9"/>
      <c r="E48" s="9"/>
      <c r="F48" s="8"/>
      <c r="G48" s="9"/>
      <c r="H48" s="9"/>
      <c r="I48" s="8"/>
      <c r="J48" s="28" t="str">
        <f aca="false">IF($A48="","",$B48+$C48-$D48-$E48-$G48-$H48)</f>
        <v/>
      </c>
      <c r="K48" s="10" t="str">
        <f aca="false">IF($A48="","",SUMIFS('Daily Entry'!$Q$4:$Q$2003,'Daily Entry'!$A$4:$A$2003,$A48))</f>
        <v/>
      </c>
      <c r="L48" s="10" t="str">
        <f aca="false">IF($A48="","",$B48-$K48)</f>
        <v/>
      </c>
      <c r="M48" s="28" t="str">
        <f aca="false">IF($A48="","",$L48-$D48-$E48-$G48)</f>
        <v/>
      </c>
      <c r="N48" s="10" t="str">
        <f aca="false">IF($A48="","",SUMIFS('Daily Entry'!$H$4:$H$2003,'Daily Entry'!$A$4:$A$2003,$A48))</f>
        <v/>
      </c>
      <c r="O48" s="10" t="str">
        <f aca="false">IF($A48="","",SUMIFS('Daily Entry'!$I$4:$I$2003,'Daily Entry'!$A$4:$A$2003,$A48))</f>
        <v/>
      </c>
      <c r="P48" s="10" t="str">
        <f aca="false">IF($A48="","",SUMPRODUCT(('Daily Entry'!$A$4:$A$2003=$A48)*('Daily Entry'!$M$4:$M$2003)*('Daily Entry'!$D$4:$D$2003)))</f>
        <v/>
      </c>
    </row>
    <row r="49" customFormat="false" ht="15" hidden="false" customHeight="false" outlineLevel="0" collapsed="false">
      <c r="A49" s="27"/>
      <c r="B49" s="10" t="str">
        <f aca="false">IF($A49="","",SUMIFS('Daily Entry'!$P$4:$P$2003,'Daily Entry'!$A$4:$A$2003,$A49))</f>
        <v/>
      </c>
      <c r="C49" s="9"/>
      <c r="D49" s="9"/>
      <c r="E49" s="9"/>
      <c r="F49" s="8"/>
      <c r="G49" s="9"/>
      <c r="H49" s="9"/>
      <c r="I49" s="8"/>
      <c r="J49" s="28" t="str">
        <f aca="false">IF($A49="","",$B49+$C49-$D49-$E49-$G49-$H49)</f>
        <v/>
      </c>
      <c r="K49" s="10" t="str">
        <f aca="false">IF($A49="","",SUMIFS('Daily Entry'!$Q$4:$Q$2003,'Daily Entry'!$A$4:$A$2003,$A49))</f>
        <v/>
      </c>
      <c r="L49" s="10" t="str">
        <f aca="false">IF($A49="","",$B49-$K49)</f>
        <v/>
      </c>
      <c r="M49" s="28" t="str">
        <f aca="false">IF($A49="","",$L49-$D49-$E49-$G49)</f>
        <v/>
      </c>
      <c r="N49" s="10" t="str">
        <f aca="false">IF($A49="","",SUMIFS('Daily Entry'!$H$4:$H$2003,'Daily Entry'!$A$4:$A$2003,$A49))</f>
        <v/>
      </c>
      <c r="O49" s="10" t="str">
        <f aca="false">IF($A49="","",SUMIFS('Daily Entry'!$I$4:$I$2003,'Daily Entry'!$A$4:$A$2003,$A49))</f>
        <v/>
      </c>
      <c r="P49" s="10" t="str">
        <f aca="false">IF($A49="","",SUMPRODUCT(('Daily Entry'!$A$4:$A$2003=$A49)*('Daily Entry'!$M$4:$M$2003)*('Daily Entry'!$D$4:$D$2003)))</f>
        <v/>
      </c>
    </row>
    <row r="50" customFormat="false" ht="15" hidden="false" customHeight="false" outlineLevel="0" collapsed="false">
      <c r="A50" s="27"/>
      <c r="B50" s="10" t="str">
        <f aca="false">IF($A50="","",SUMIFS('Daily Entry'!$P$4:$P$2003,'Daily Entry'!$A$4:$A$2003,$A50))</f>
        <v/>
      </c>
      <c r="C50" s="9"/>
      <c r="D50" s="9"/>
      <c r="E50" s="9"/>
      <c r="F50" s="8"/>
      <c r="G50" s="9"/>
      <c r="H50" s="9"/>
      <c r="I50" s="8"/>
      <c r="J50" s="28" t="str">
        <f aca="false">IF($A50="","",$B50+$C50-$D50-$E50-$G50-$H50)</f>
        <v/>
      </c>
      <c r="K50" s="10" t="str">
        <f aca="false">IF($A50="","",SUMIFS('Daily Entry'!$Q$4:$Q$2003,'Daily Entry'!$A$4:$A$2003,$A50))</f>
        <v/>
      </c>
      <c r="L50" s="10" t="str">
        <f aca="false">IF($A50="","",$B50-$K50)</f>
        <v/>
      </c>
      <c r="M50" s="28" t="str">
        <f aca="false">IF($A50="","",$L50-$D50-$E50-$G50)</f>
        <v/>
      </c>
      <c r="N50" s="10" t="str">
        <f aca="false">IF($A50="","",SUMIFS('Daily Entry'!$H$4:$H$2003,'Daily Entry'!$A$4:$A$2003,$A50))</f>
        <v/>
      </c>
      <c r="O50" s="10" t="str">
        <f aca="false">IF($A50="","",SUMIFS('Daily Entry'!$I$4:$I$2003,'Daily Entry'!$A$4:$A$2003,$A50))</f>
        <v/>
      </c>
      <c r="P50" s="10" t="str">
        <f aca="false">IF($A50="","",SUMPRODUCT(('Daily Entry'!$A$4:$A$2003=$A50)*('Daily Entry'!$M$4:$M$2003)*('Daily Entry'!$D$4:$D$2003)))</f>
        <v/>
      </c>
    </row>
    <row r="51" customFormat="false" ht="15" hidden="false" customHeight="false" outlineLevel="0" collapsed="false">
      <c r="A51" s="27"/>
      <c r="B51" s="10" t="str">
        <f aca="false">IF($A51="","",SUMIFS('Daily Entry'!$P$4:$P$2003,'Daily Entry'!$A$4:$A$2003,$A51))</f>
        <v/>
      </c>
      <c r="C51" s="9"/>
      <c r="D51" s="9"/>
      <c r="E51" s="9"/>
      <c r="F51" s="8"/>
      <c r="G51" s="9"/>
      <c r="H51" s="9"/>
      <c r="I51" s="8"/>
      <c r="J51" s="28" t="str">
        <f aca="false">IF($A51="","",$B51+$C51-$D51-$E51-$G51-$H51)</f>
        <v/>
      </c>
      <c r="K51" s="10" t="str">
        <f aca="false">IF($A51="","",SUMIFS('Daily Entry'!$Q$4:$Q$2003,'Daily Entry'!$A$4:$A$2003,$A51))</f>
        <v/>
      </c>
      <c r="L51" s="10" t="str">
        <f aca="false">IF($A51="","",$B51-$K51)</f>
        <v/>
      </c>
      <c r="M51" s="28" t="str">
        <f aca="false">IF($A51="","",$L51-$D51-$E51-$G51)</f>
        <v/>
      </c>
      <c r="N51" s="10" t="str">
        <f aca="false">IF($A51="","",SUMIFS('Daily Entry'!$H$4:$H$2003,'Daily Entry'!$A$4:$A$2003,$A51))</f>
        <v/>
      </c>
      <c r="O51" s="10" t="str">
        <f aca="false">IF($A51="","",SUMIFS('Daily Entry'!$I$4:$I$2003,'Daily Entry'!$A$4:$A$2003,$A51))</f>
        <v/>
      </c>
      <c r="P51" s="10" t="str">
        <f aca="false">IF($A51="","",SUMPRODUCT(('Daily Entry'!$A$4:$A$2003=$A51)*('Daily Entry'!$M$4:$M$2003)*('Daily Entry'!$D$4:$D$2003)))</f>
        <v/>
      </c>
    </row>
    <row r="52" customFormat="false" ht="15" hidden="false" customHeight="false" outlineLevel="0" collapsed="false">
      <c r="A52" s="27"/>
      <c r="B52" s="10" t="str">
        <f aca="false">IF($A52="","",SUMIFS('Daily Entry'!$P$4:$P$2003,'Daily Entry'!$A$4:$A$2003,$A52))</f>
        <v/>
      </c>
      <c r="C52" s="9"/>
      <c r="D52" s="9"/>
      <c r="E52" s="9"/>
      <c r="F52" s="8"/>
      <c r="G52" s="9"/>
      <c r="H52" s="9"/>
      <c r="I52" s="8"/>
      <c r="J52" s="28" t="str">
        <f aca="false">IF($A52="","",$B52+$C52-$D52-$E52-$G52-$H52)</f>
        <v/>
      </c>
      <c r="K52" s="10" t="str">
        <f aca="false">IF($A52="","",SUMIFS('Daily Entry'!$Q$4:$Q$2003,'Daily Entry'!$A$4:$A$2003,$A52))</f>
        <v/>
      </c>
      <c r="L52" s="10" t="str">
        <f aca="false">IF($A52="","",$B52-$K52)</f>
        <v/>
      </c>
      <c r="M52" s="28" t="str">
        <f aca="false">IF($A52="","",$L52-$D52-$E52-$G52)</f>
        <v/>
      </c>
      <c r="N52" s="10" t="str">
        <f aca="false">IF($A52="","",SUMIFS('Daily Entry'!$H$4:$H$2003,'Daily Entry'!$A$4:$A$2003,$A52))</f>
        <v/>
      </c>
      <c r="O52" s="10" t="str">
        <f aca="false">IF($A52="","",SUMIFS('Daily Entry'!$I$4:$I$2003,'Daily Entry'!$A$4:$A$2003,$A52))</f>
        <v/>
      </c>
      <c r="P52" s="10" t="str">
        <f aca="false">IF($A52="","",SUMPRODUCT(('Daily Entry'!$A$4:$A$2003=$A52)*('Daily Entry'!$M$4:$M$2003)*('Daily Entry'!$D$4:$D$2003)))</f>
        <v/>
      </c>
    </row>
    <row r="53" customFormat="false" ht="15" hidden="false" customHeight="false" outlineLevel="0" collapsed="false">
      <c r="A53" s="27"/>
      <c r="B53" s="10" t="str">
        <f aca="false">IF($A53="","",SUMIFS('Daily Entry'!$P$4:$P$2003,'Daily Entry'!$A$4:$A$2003,$A53))</f>
        <v/>
      </c>
      <c r="C53" s="9"/>
      <c r="D53" s="9"/>
      <c r="E53" s="9"/>
      <c r="F53" s="8"/>
      <c r="G53" s="9"/>
      <c r="H53" s="9"/>
      <c r="I53" s="8"/>
      <c r="J53" s="28" t="str">
        <f aca="false">IF($A53="","",$B53+$C53-$D53-$E53-$G53-$H53)</f>
        <v/>
      </c>
      <c r="K53" s="10" t="str">
        <f aca="false">IF($A53="","",SUMIFS('Daily Entry'!$Q$4:$Q$2003,'Daily Entry'!$A$4:$A$2003,$A53))</f>
        <v/>
      </c>
      <c r="L53" s="10" t="str">
        <f aca="false">IF($A53="","",$B53-$K53)</f>
        <v/>
      </c>
      <c r="M53" s="28" t="str">
        <f aca="false">IF($A53="","",$L53-$D53-$E53-$G53)</f>
        <v/>
      </c>
      <c r="N53" s="10" t="str">
        <f aca="false">IF($A53="","",SUMIFS('Daily Entry'!$H$4:$H$2003,'Daily Entry'!$A$4:$A$2003,$A53))</f>
        <v/>
      </c>
      <c r="O53" s="10" t="str">
        <f aca="false">IF($A53="","",SUMIFS('Daily Entry'!$I$4:$I$2003,'Daily Entry'!$A$4:$A$2003,$A53))</f>
        <v/>
      </c>
      <c r="P53" s="10" t="str">
        <f aca="false">IF($A53="","",SUMPRODUCT(('Daily Entry'!$A$4:$A$2003=$A53)*('Daily Entry'!$M$4:$M$2003)*('Daily Entry'!$D$4:$D$2003)))</f>
        <v/>
      </c>
    </row>
    <row r="54" customFormat="false" ht="15" hidden="false" customHeight="false" outlineLevel="0" collapsed="false">
      <c r="A54" s="27"/>
      <c r="B54" s="10" t="str">
        <f aca="false">IF($A54="","",SUMIFS('Daily Entry'!$P$4:$P$2003,'Daily Entry'!$A$4:$A$2003,$A54))</f>
        <v/>
      </c>
      <c r="C54" s="9"/>
      <c r="D54" s="9"/>
      <c r="E54" s="9"/>
      <c r="F54" s="8"/>
      <c r="G54" s="9"/>
      <c r="H54" s="9"/>
      <c r="I54" s="8"/>
      <c r="J54" s="28" t="str">
        <f aca="false">IF($A54="","",$B54+$C54-$D54-$E54-$G54-$H54)</f>
        <v/>
      </c>
      <c r="K54" s="10" t="str">
        <f aca="false">IF($A54="","",SUMIFS('Daily Entry'!$Q$4:$Q$2003,'Daily Entry'!$A$4:$A$2003,$A54))</f>
        <v/>
      </c>
      <c r="L54" s="10" t="str">
        <f aca="false">IF($A54="","",$B54-$K54)</f>
        <v/>
      </c>
      <c r="M54" s="28" t="str">
        <f aca="false">IF($A54="","",$L54-$D54-$E54-$G54)</f>
        <v/>
      </c>
      <c r="N54" s="10" t="str">
        <f aca="false">IF($A54="","",SUMIFS('Daily Entry'!$H$4:$H$2003,'Daily Entry'!$A$4:$A$2003,$A54))</f>
        <v/>
      </c>
      <c r="O54" s="10" t="str">
        <f aca="false">IF($A54="","",SUMIFS('Daily Entry'!$I$4:$I$2003,'Daily Entry'!$A$4:$A$2003,$A54))</f>
        <v/>
      </c>
      <c r="P54" s="10" t="str">
        <f aca="false">IF($A54="","",SUMPRODUCT(('Daily Entry'!$A$4:$A$2003=$A54)*('Daily Entry'!$M$4:$M$2003)*('Daily Entry'!$D$4:$D$2003)))</f>
        <v/>
      </c>
    </row>
    <row r="55" customFormat="false" ht="15" hidden="false" customHeight="false" outlineLevel="0" collapsed="false">
      <c r="A55" s="27"/>
      <c r="B55" s="10" t="str">
        <f aca="false">IF($A55="","",SUMIFS('Daily Entry'!$P$4:$P$2003,'Daily Entry'!$A$4:$A$2003,$A55))</f>
        <v/>
      </c>
      <c r="C55" s="9"/>
      <c r="D55" s="9"/>
      <c r="E55" s="9"/>
      <c r="F55" s="8"/>
      <c r="G55" s="9"/>
      <c r="H55" s="9"/>
      <c r="I55" s="8"/>
      <c r="J55" s="28" t="str">
        <f aca="false">IF($A55="","",$B55+$C55-$D55-$E55-$G55-$H55)</f>
        <v/>
      </c>
      <c r="K55" s="10" t="str">
        <f aca="false">IF($A55="","",SUMIFS('Daily Entry'!$Q$4:$Q$2003,'Daily Entry'!$A$4:$A$2003,$A55))</f>
        <v/>
      </c>
      <c r="L55" s="10" t="str">
        <f aca="false">IF($A55="","",$B55-$K55)</f>
        <v/>
      </c>
      <c r="M55" s="28" t="str">
        <f aca="false">IF($A55="","",$L55-$D55-$E55-$G55)</f>
        <v/>
      </c>
      <c r="N55" s="10" t="str">
        <f aca="false">IF($A55="","",SUMIFS('Daily Entry'!$H$4:$H$2003,'Daily Entry'!$A$4:$A$2003,$A55))</f>
        <v/>
      </c>
      <c r="O55" s="10" t="str">
        <f aca="false">IF($A55="","",SUMIFS('Daily Entry'!$I$4:$I$2003,'Daily Entry'!$A$4:$A$2003,$A55))</f>
        <v/>
      </c>
      <c r="P55" s="10" t="str">
        <f aca="false">IF($A55="","",SUMPRODUCT(('Daily Entry'!$A$4:$A$2003=$A55)*('Daily Entry'!$M$4:$M$2003)*('Daily Entry'!$D$4:$D$2003)))</f>
        <v/>
      </c>
    </row>
    <row r="56" customFormat="false" ht="15" hidden="false" customHeight="false" outlineLevel="0" collapsed="false">
      <c r="A56" s="27"/>
      <c r="B56" s="10" t="str">
        <f aca="false">IF($A56="","",SUMIFS('Daily Entry'!$P$4:$P$2003,'Daily Entry'!$A$4:$A$2003,$A56))</f>
        <v/>
      </c>
      <c r="C56" s="9"/>
      <c r="D56" s="9"/>
      <c r="E56" s="9"/>
      <c r="F56" s="8"/>
      <c r="G56" s="9"/>
      <c r="H56" s="9"/>
      <c r="I56" s="8"/>
      <c r="J56" s="28" t="str">
        <f aca="false">IF($A56="","",$B56+$C56-$D56-$E56-$G56-$H56)</f>
        <v/>
      </c>
      <c r="K56" s="10" t="str">
        <f aca="false">IF($A56="","",SUMIFS('Daily Entry'!$Q$4:$Q$2003,'Daily Entry'!$A$4:$A$2003,$A56))</f>
        <v/>
      </c>
      <c r="L56" s="10" t="str">
        <f aca="false">IF($A56="","",$B56-$K56)</f>
        <v/>
      </c>
      <c r="M56" s="28" t="str">
        <f aca="false">IF($A56="","",$L56-$D56-$E56-$G56)</f>
        <v/>
      </c>
      <c r="N56" s="10" t="str">
        <f aca="false">IF($A56="","",SUMIFS('Daily Entry'!$H$4:$H$2003,'Daily Entry'!$A$4:$A$2003,$A56))</f>
        <v/>
      </c>
      <c r="O56" s="10" t="str">
        <f aca="false">IF($A56="","",SUMIFS('Daily Entry'!$I$4:$I$2003,'Daily Entry'!$A$4:$A$2003,$A56))</f>
        <v/>
      </c>
      <c r="P56" s="10" t="str">
        <f aca="false">IF($A56="","",SUMPRODUCT(('Daily Entry'!$A$4:$A$2003=$A56)*('Daily Entry'!$M$4:$M$2003)*('Daily Entry'!$D$4:$D$2003)))</f>
        <v/>
      </c>
    </row>
    <row r="57" customFormat="false" ht="15" hidden="false" customHeight="false" outlineLevel="0" collapsed="false">
      <c r="A57" s="27"/>
      <c r="B57" s="10" t="str">
        <f aca="false">IF($A57="","",SUMIFS('Daily Entry'!$P$4:$P$2003,'Daily Entry'!$A$4:$A$2003,$A57))</f>
        <v/>
      </c>
      <c r="C57" s="9"/>
      <c r="D57" s="9"/>
      <c r="E57" s="9"/>
      <c r="F57" s="8"/>
      <c r="G57" s="9"/>
      <c r="H57" s="9"/>
      <c r="I57" s="8"/>
      <c r="J57" s="28" t="str">
        <f aca="false">IF($A57="","",$B57+$C57-$D57-$E57-$G57-$H57)</f>
        <v/>
      </c>
      <c r="K57" s="10" t="str">
        <f aca="false">IF($A57="","",SUMIFS('Daily Entry'!$Q$4:$Q$2003,'Daily Entry'!$A$4:$A$2003,$A57))</f>
        <v/>
      </c>
      <c r="L57" s="10" t="str">
        <f aca="false">IF($A57="","",$B57-$K57)</f>
        <v/>
      </c>
      <c r="M57" s="28" t="str">
        <f aca="false">IF($A57="","",$L57-$D57-$E57-$G57)</f>
        <v/>
      </c>
      <c r="N57" s="10" t="str">
        <f aca="false">IF($A57="","",SUMIFS('Daily Entry'!$H$4:$H$2003,'Daily Entry'!$A$4:$A$2003,$A57))</f>
        <v/>
      </c>
      <c r="O57" s="10" t="str">
        <f aca="false">IF($A57="","",SUMIFS('Daily Entry'!$I$4:$I$2003,'Daily Entry'!$A$4:$A$2003,$A57))</f>
        <v/>
      </c>
      <c r="P57" s="10" t="str">
        <f aca="false">IF($A57="","",SUMPRODUCT(('Daily Entry'!$A$4:$A$2003=$A57)*('Daily Entry'!$M$4:$M$2003)*('Daily Entry'!$D$4:$D$2003)))</f>
        <v/>
      </c>
    </row>
    <row r="58" customFormat="false" ht="15" hidden="false" customHeight="false" outlineLevel="0" collapsed="false">
      <c r="A58" s="27"/>
      <c r="B58" s="10" t="str">
        <f aca="false">IF($A58="","",SUMIFS('Daily Entry'!$P$4:$P$2003,'Daily Entry'!$A$4:$A$2003,$A58))</f>
        <v/>
      </c>
      <c r="C58" s="9"/>
      <c r="D58" s="9"/>
      <c r="E58" s="9"/>
      <c r="F58" s="8"/>
      <c r="G58" s="9"/>
      <c r="H58" s="9"/>
      <c r="I58" s="8"/>
      <c r="J58" s="28" t="str">
        <f aca="false">IF($A58="","",$B58+$C58-$D58-$E58-$G58-$H58)</f>
        <v/>
      </c>
      <c r="K58" s="10" t="str">
        <f aca="false">IF($A58="","",SUMIFS('Daily Entry'!$Q$4:$Q$2003,'Daily Entry'!$A$4:$A$2003,$A58))</f>
        <v/>
      </c>
      <c r="L58" s="10" t="str">
        <f aca="false">IF($A58="","",$B58-$K58)</f>
        <v/>
      </c>
      <c r="M58" s="28" t="str">
        <f aca="false">IF($A58="","",$L58-$D58-$E58-$G58)</f>
        <v/>
      </c>
      <c r="N58" s="10" t="str">
        <f aca="false">IF($A58="","",SUMIFS('Daily Entry'!$H$4:$H$2003,'Daily Entry'!$A$4:$A$2003,$A58))</f>
        <v/>
      </c>
      <c r="O58" s="10" t="str">
        <f aca="false">IF($A58="","",SUMIFS('Daily Entry'!$I$4:$I$2003,'Daily Entry'!$A$4:$A$2003,$A58))</f>
        <v/>
      </c>
      <c r="P58" s="10" t="str">
        <f aca="false">IF($A58="","",SUMPRODUCT(('Daily Entry'!$A$4:$A$2003=$A58)*('Daily Entry'!$M$4:$M$2003)*('Daily Entry'!$D$4:$D$2003)))</f>
        <v/>
      </c>
    </row>
    <row r="59" customFormat="false" ht="15" hidden="false" customHeight="false" outlineLevel="0" collapsed="false">
      <c r="A59" s="27"/>
      <c r="B59" s="10" t="str">
        <f aca="false">IF($A59="","",SUMIFS('Daily Entry'!$P$4:$P$2003,'Daily Entry'!$A$4:$A$2003,$A59))</f>
        <v/>
      </c>
      <c r="C59" s="9"/>
      <c r="D59" s="9"/>
      <c r="E59" s="9"/>
      <c r="F59" s="8"/>
      <c r="G59" s="9"/>
      <c r="H59" s="9"/>
      <c r="I59" s="8"/>
      <c r="J59" s="28" t="str">
        <f aca="false">IF($A59="","",$B59+$C59-$D59-$E59-$G59-$H59)</f>
        <v/>
      </c>
      <c r="K59" s="10" t="str">
        <f aca="false">IF($A59="","",SUMIFS('Daily Entry'!$Q$4:$Q$2003,'Daily Entry'!$A$4:$A$2003,$A59))</f>
        <v/>
      </c>
      <c r="L59" s="10" t="str">
        <f aca="false">IF($A59="","",$B59-$K59)</f>
        <v/>
      </c>
      <c r="M59" s="28" t="str">
        <f aca="false">IF($A59="","",$L59-$D59-$E59-$G59)</f>
        <v/>
      </c>
      <c r="N59" s="10" t="str">
        <f aca="false">IF($A59="","",SUMIFS('Daily Entry'!$H$4:$H$2003,'Daily Entry'!$A$4:$A$2003,$A59))</f>
        <v/>
      </c>
      <c r="O59" s="10" t="str">
        <f aca="false">IF($A59="","",SUMIFS('Daily Entry'!$I$4:$I$2003,'Daily Entry'!$A$4:$A$2003,$A59))</f>
        <v/>
      </c>
      <c r="P59" s="10" t="str">
        <f aca="false">IF($A59="","",SUMPRODUCT(('Daily Entry'!$A$4:$A$2003=$A59)*('Daily Entry'!$M$4:$M$2003)*('Daily Entry'!$D$4:$D$2003)))</f>
        <v/>
      </c>
    </row>
    <row r="60" customFormat="false" ht="15" hidden="false" customHeight="false" outlineLevel="0" collapsed="false">
      <c r="A60" s="27"/>
      <c r="B60" s="10" t="str">
        <f aca="false">IF($A60="","",SUMIFS('Daily Entry'!$P$4:$P$2003,'Daily Entry'!$A$4:$A$2003,$A60))</f>
        <v/>
      </c>
      <c r="C60" s="9"/>
      <c r="D60" s="9"/>
      <c r="E60" s="9"/>
      <c r="F60" s="8"/>
      <c r="G60" s="9"/>
      <c r="H60" s="9"/>
      <c r="I60" s="8"/>
      <c r="J60" s="28" t="str">
        <f aca="false">IF($A60="","",$B60+$C60-$D60-$E60-$G60-$H60)</f>
        <v/>
      </c>
      <c r="K60" s="10" t="str">
        <f aca="false">IF($A60="","",SUMIFS('Daily Entry'!$Q$4:$Q$2003,'Daily Entry'!$A$4:$A$2003,$A60))</f>
        <v/>
      </c>
      <c r="L60" s="10" t="str">
        <f aca="false">IF($A60="","",$B60-$K60)</f>
        <v/>
      </c>
      <c r="M60" s="28" t="str">
        <f aca="false">IF($A60="","",$L60-$D60-$E60-$G60)</f>
        <v/>
      </c>
      <c r="N60" s="10" t="str">
        <f aca="false">IF($A60="","",SUMIFS('Daily Entry'!$H$4:$H$2003,'Daily Entry'!$A$4:$A$2003,$A60))</f>
        <v/>
      </c>
      <c r="O60" s="10" t="str">
        <f aca="false">IF($A60="","",SUMIFS('Daily Entry'!$I$4:$I$2003,'Daily Entry'!$A$4:$A$2003,$A60))</f>
        <v/>
      </c>
      <c r="P60" s="10" t="str">
        <f aca="false">IF($A60="","",SUMPRODUCT(('Daily Entry'!$A$4:$A$2003=$A60)*('Daily Entry'!$M$4:$M$2003)*('Daily Entry'!$D$4:$D$2003)))</f>
        <v/>
      </c>
    </row>
    <row r="61" customFormat="false" ht="15" hidden="false" customHeight="false" outlineLevel="0" collapsed="false">
      <c r="A61" s="27"/>
      <c r="B61" s="10" t="str">
        <f aca="false">IF($A61="","",SUMIFS('Daily Entry'!$P$4:$P$2003,'Daily Entry'!$A$4:$A$2003,$A61))</f>
        <v/>
      </c>
      <c r="C61" s="9"/>
      <c r="D61" s="9"/>
      <c r="E61" s="9"/>
      <c r="F61" s="8"/>
      <c r="G61" s="9"/>
      <c r="H61" s="9"/>
      <c r="I61" s="8"/>
      <c r="J61" s="28" t="str">
        <f aca="false">IF($A61="","",$B61+$C61-$D61-$E61-$G61-$H61)</f>
        <v/>
      </c>
      <c r="K61" s="10" t="str">
        <f aca="false">IF($A61="","",SUMIFS('Daily Entry'!$Q$4:$Q$2003,'Daily Entry'!$A$4:$A$2003,$A61))</f>
        <v/>
      </c>
      <c r="L61" s="10" t="str">
        <f aca="false">IF($A61="","",$B61-$K61)</f>
        <v/>
      </c>
      <c r="M61" s="28" t="str">
        <f aca="false">IF($A61="","",$L61-$D61-$E61-$G61)</f>
        <v/>
      </c>
      <c r="N61" s="10" t="str">
        <f aca="false">IF($A61="","",SUMIFS('Daily Entry'!$H$4:$H$2003,'Daily Entry'!$A$4:$A$2003,$A61))</f>
        <v/>
      </c>
      <c r="O61" s="10" t="str">
        <f aca="false">IF($A61="","",SUMIFS('Daily Entry'!$I$4:$I$2003,'Daily Entry'!$A$4:$A$2003,$A61))</f>
        <v/>
      </c>
      <c r="P61" s="10" t="str">
        <f aca="false">IF($A61="","",SUMPRODUCT(('Daily Entry'!$A$4:$A$2003=$A61)*('Daily Entry'!$M$4:$M$2003)*('Daily Entry'!$D$4:$D$2003)))</f>
        <v/>
      </c>
    </row>
    <row r="62" customFormat="false" ht="15" hidden="false" customHeight="false" outlineLevel="0" collapsed="false">
      <c r="A62" s="27"/>
      <c r="B62" s="10" t="str">
        <f aca="false">IF($A62="","",SUMIFS('Daily Entry'!$P$4:$P$2003,'Daily Entry'!$A$4:$A$2003,$A62))</f>
        <v/>
      </c>
      <c r="C62" s="9"/>
      <c r="D62" s="9"/>
      <c r="E62" s="9"/>
      <c r="F62" s="8"/>
      <c r="G62" s="9"/>
      <c r="H62" s="9"/>
      <c r="I62" s="8"/>
      <c r="J62" s="28" t="str">
        <f aca="false">IF($A62="","",$B62+$C62-$D62-$E62-$G62-$H62)</f>
        <v/>
      </c>
      <c r="K62" s="10" t="str">
        <f aca="false">IF($A62="","",SUMIFS('Daily Entry'!$Q$4:$Q$2003,'Daily Entry'!$A$4:$A$2003,$A62))</f>
        <v/>
      </c>
      <c r="L62" s="10" t="str">
        <f aca="false">IF($A62="","",$B62-$K62)</f>
        <v/>
      </c>
      <c r="M62" s="28" t="str">
        <f aca="false">IF($A62="","",$L62-$D62-$E62-$G62)</f>
        <v/>
      </c>
      <c r="N62" s="10" t="str">
        <f aca="false">IF($A62="","",SUMIFS('Daily Entry'!$H$4:$H$2003,'Daily Entry'!$A$4:$A$2003,$A62))</f>
        <v/>
      </c>
      <c r="O62" s="10" t="str">
        <f aca="false">IF($A62="","",SUMIFS('Daily Entry'!$I$4:$I$2003,'Daily Entry'!$A$4:$A$2003,$A62))</f>
        <v/>
      </c>
      <c r="P62" s="10" t="str">
        <f aca="false">IF($A62="","",SUMPRODUCT(('Daily Entry'!$A$4:$A$2003=$A62)*('Daily Entry'!$M$4:$M$2003)*('Daily Entry'!$D$4:$D$2003)))</f>
        <v/>
      </c>
    </row>
    <row r="63" customFormat="false" ht="15" hidden="false" customHeight="false" outlineLevel="0" collapsed="false">
      <c r="A63" s="27"/>
      <c r="B63" s="10" t="str">
        <f aca="false">IF($A63="","",SUMIFS('Daily Entry'!$P$4:$P$2003,'Daily Entry'!$A$4:$A$2003,$A63))</f>
        <v/>
      </c>
      <c r="C63" s="9"/>
      <c r="D63" s="9"/>
      <c r="E63" s="9"/>
      <c r="F63" s="8"/>
      <c r="G63" s="9"/>
      <c r="H63" s="9"/>
      <c r="I63" s="8"/>
      <c r="J63" s="28" t="str">
        <f aca="false">IF($A63="","",$B63+$C63-$D63-$E63-$G63-$H63)</f>
        <v/>
      </c>
      <c r="K63" s="10" t="str">
        <f aca="false">IF($A63="","",SUMIFS('Daily Entry'!$Q$4:$Q$2003,'Daily Entry'!$A$4:$A$2003,$A63))</f>
        <v/>
      </c>
      <c r="L63" s="10" t="str">
        <f aca="false">IF($A63="","",$B63-$K63)</f>
        <v/>
      </c>
      <c r="M63" s="28" t="str">
        <f aca="false">IF($A63="","",$L63-$D63-$E63-$G63)</f>
        <v/>
      </c>
      <c r="N63" s="10" t="str">
        <f aca="false">IF($A63="","",SUMIFS('Daily Entry'!$H$4:$H$2003,'Daily Entry'!$A$4:$A$2003,$A63))</f>
        <v/>
      </c>
      <c r="O63" s="10" t="str">
        <f aca="false">IF($A63="","",SUMIFS('Daily Entry'!$I$4:$I$2003,'Daily Entry'!$A$4:$A$2003,$A63))</f>
        <v/>
      </c>
      <c r="P63" s="10" t="str">
        <f aca="false">IF($A63="","",SUMPRODUCT(('Daily Entry'!$A$4:$A$2003=$A63)*('Daily Entry'!$M$4:$M$2003)*('Daily Entry'!$D$4:$D$2003)))</f>
        <v/>
      </c>
    </row>
    <row r="64" customFormat="false" ht="15" hidden="false" customHeight="false" outlineLevel="0" collapsed="false">
      <c r="A64" s="27"/>
      <c r="B64" s="10" t="str">
        <f aca="false">IF($A64="","",SUMIFS('Daily Entry'!$P$4:$P$2003,'Daily Entry'!$A$4:$A$2003,$A64))</f>
        <v/>
      </c>
      <c r="C64" s="9"/>
      <c r="D64" s="9"/>
      <c r="E64" s="9"/>
      <c r="F64" s="8"/>
      <c r="G64" s="9"/>
      <c r="H64" s="9"/>
      <c r="I64" s="8"/>
      <c r="J64" s="28" t="str">
        <f aca="false">IF($A64="","",$B64+$C64-$D64-$E64-$G64-$H64)</f>
        <v/>
      </c>
      <c r="K64" s="10" t="str">
        <f aca="false">IF($A64="","",SUMIFS('Daily Entry'!$Q$4:$Q$2003,'Daily Entry'!$A$4:$A$2003,$A64))</f>
        <v/>
      </c>
      <c r="L64" s="10" t="str">
        <f aca="false">IF($A64="","",$B64-$K64)</f>
        <v/>
      </c>
      <c r="M64" s="28" t="str">
        <f aca="false">IF($A64="","",$L64-$D64-$E64-$G64)</f>
        <v/>
      </c>
      <c r="N64" s="10" t="str">
        <f aca="false">IF($A64="","",SUMIFS('Daily Entry'!$H$4:$H$2003,'Daily Entry'!$A$4:$A$2003,$A64))</f>
        <v/>
      </c>
      <c r="O64" s="10" t="str">
        <f aca="false">IF($A64="","",SUMIFS('Daily Entry'!$I$4:$I$2003,'Daily Entry'!$A$4:$A$2003,$A64))</f>
        <v/>
      </c>
      <c r="P64" s="10" t="str">
        <f aca="false">IF($A64="","",SUMPRODUCT(('Daily Entry'!$A$4:$A$2003=$A64)*('Daily Entry'!$M$4:$M$2003)*('Daily Entry'!$D$4:$D$2003)))</f>
        <v/>
      </c>
    </row>
    <row r="65" customFormat="false" ht="15" hidden="false" customHeight="false" outlineLevel="0" collapsed="false">
      <c r="A65" s="27"/>
      <c r="B65" s="10" t="str">
        <f aca="false">IF($A65="","",SUMIFS('Daily Entry'!$P$4:$P$2003,'Daily Entry'!$A$4:$A$2003,$A65))</f>
        <v/>
      </c>
      <c r="C65" s="9"/>
      <c r="D65" s="9"/>
      <c r="E65" s="9"/>
      <c r="F65" s="8"/>
      <c r="G65" s="9"/>
      <c r="H65" s="9"/>
      <c r="I65" s="8"/>
      <c r="J65" s="28" t="str">
        <f aca="false">IF($A65="","",$B65+$C65-$D65-$E65-$G65-$H65)</f>
        <v/>
      </c>
      <c r="K65" s="10" t="str">
        <f aca="false">IF($A65="","",SUMIFS('Daily Entry'!$Q$4:$Q$2003,'Daily Entry'!$A$4:$A$2003,$A65))</f>
        <v/>
      </c>
      <c r="L65" s="10" t="str">
        <f aca="false">IF($A65="","",$B65-$K65)</f>
        <v/>
      </c>
      <c r="M65" s="28" t="str">
        <f aca="false">IF($A65="","",$L65-$D65-$E65-$G65)</f>
        <v/>
      </c>
      <c r="N65" s="10" t="str">
        <f aca="false">IF($A65="","",SUMIFS('Daily Entry'!$H$4:$H$2003,'Daily Entry'!$A$4:$A$2003,$A65))</f>
        <v/>
      </c>
      <c r="O65" s="10" t="str">
        <f aca="false">IF($A65="","",SUMIFS('Daily Entry'!$I$4:$I$2003,'Daily Entry'!$A$4:$A$2003,$A65))</f>
        <v/>
      </c>
      <c r="P65" s="10" t="str">
        <f aca="false">IF($A65="","",SUMPRODUCT(('Daily Entry'!$A$4:$A$2003=$A65)*('Daily Entry'!$M$4:$M$2003)*('Daily Entry'!$D$4:$D$2003)))</f>
        <v/>
      </c>
    </row>
    <row r="66" customFormat="false" ht="15" hidden="false" customHeight="false" outlineLevel="0" collapsed="false">
      <c r="A66" s="27"/>
      <c r="B66" s="10" t="str">
        <f aca="false">IF($A66="","",SUMIFS('Daily Entry'!$P$4:$P$2003,'Daily Entry'!$A$4:$A$2003,$A66))</f>
        <v/>
      </c>
      <c r="C66" s="9"/>
      <c r="D66" s="9"/>
      <c r="E66" s="9"/>
      <c r="F66" s="8"/>
      <c r="G66" s="9"/>
      <c r="H66" s="9"/>
      <c r="I66" s="8"/>
      <c r="J66" s="28" t="str">
        <f aca="false">IF($A66="","",$B66+$C66-$D66-$E66-$G66-$H66)</f>
        <v/>
      </c>
      <c r="K66" s="10" t="str">
        <f aca="false">IF($A66="","",SUMIFS('Daily Entry'!$Q$4:$Q$2003,'Daily Entry'!$A$4:$A$2003,$A66))</f>
        <v/>
      </c>
      <c r="L66" s="10" t="str">
        <f aca="false">IF($A66="","",$B66-$K66)</f>
        <v/>
      </c>
      <c r="M66" s="28" t="str">
        <f aca="false">IF($A66="","",$L66-$D66-$E66-$G66)</f>
        <v/>
      </c>
      <c r="N66" s="10" t="str">
        <f aca="false">IF($A66="","",SUMIFS('Daily Entry'!$H$4:$H$2003,'Daily Entry'!$A$4:$A$2003,$A66))</f>
        <v/>
      </c>
      <c r="O66" s="10" t="str">
        <f aca="false">IF($A66="","",SUMIFS('Daily Entry'!$I$4:$I$2003,'Daily Entry'!$A$4:$A$2003,$A66))</f>
        <v/>
      </c>
      <c r="P66" s="10" t="str">
        <f aca="false">IF($A66="","",SUMPRODUCT(('Daily Entry'!$A$4:$A$2003=$A66)*('Daily Entry'!$M$4:$M$2003)*('Daily Entry'!$D$4:$D$2003)))</f>
        <v/>
      </c>
    </row>
    <row r="67" customFormat="false" ht="15" hidden="false" customHeight="false" outlineLevel="0" collapsed="false">
      <c r="A67" s="27"/>
      <c r="B67" s="10" t="str">
        <f aca="false">IF($A67="","",SUMIFS('Daily Entry'!$P$4:$P$2003,'Daily Entry'!$A$4:$A$2003,$A67))</f>
        <v/>
      </c>
      <c r="C67" s="9"/>
      <c r="D67" s="9"/>
      <c r="E67" s="9"/>
      <c r="F67" s="8"/>
      <c r="G67" s="9"/>
      <c r="H67" s="9"/>
      <c r="I67" s="8"/>
      <c r="J67" s="28" t="str">
        <f aca="false">IF($A67="","",$B67+$C67-$D67-$E67-$G67-$H67)</f>
        <v/>
      </c>
      <c r="K67" s="10" t="str">
        <f aca="false">IF($A67="","",SUMIFS('Daily Entry'!$Q$4:$Q$2003,'Daily Entry'!$A$4:$A$2003,$A67))</f>
        <v/>
      </c>
      <c r="L67" s="10" t="str">
        <f aca="false">IF($A67="","",$B67-$K67)</f>
        <v/>
      </c>
      <c r="M67" s="28" t="str">
        <f aca="false">IF($A67="","",$L67-$D67-$E67-$G67)</f>
        <v/>
      </c>
      <c r="N67" s="10" t="str">
        <f aca="false">IF($A67="","",SUMIFS('Daily Entry'!$H$4:$H$2003,'Daily Entry'!$A$4:$A$2003,$A67))</f>
        <v/>
      </c>
      <c r="O67" s="10" t="str">
        <f aca="false">IF($A67="","",SUMIFS('Daily Entry'!$I$4:$I$2003,'Daily Entry'!$A$4:$A$2003,$A67))</f>
        <v/>
      </c>
      <c r="P67" s="10" t="str">
        <f aca="false">IF($A67="","",SUMPRODUCT(('Daily Entry'!$A$4:$A$2003=$A67)*('Daily Entry'!$M$4:$M$2003)*('Daily Entry'!$D$4:$D$2003)))</f>
        <v/>
      </c>
    </row>
    <row r="68" customFormat="false" ht="15" hidden="false" customHeight="false" outlineLevel="0" collapsed="false">
      <c r="A68" s="27"/>
      <c r="B68" s="10" t="str">
        <f aca="false">IF($A68="","",SUMIFS('Daily Entry'!$P$4:$P$2003,'Daily Entry'!$A$4:$A$2003,$A68))</f>
        <v/>
      </c>
      <c r="C68" s="9"/>
      <c r="D68" s="9"/>
      <c r="E68" s="9"/>
      <c r="F68" s="8"/>
      <c r="G68" s="9"/>
      <c r="H68" s="9"/>
      <c r="I68" s="8"/>
      <c r="J68" s="28" t="str">
        <f aca="false">IF($A68="","",$B68+$C68-$D68-$E68-$G68-$H68)</f>
        <v/>
      </c>
      <c r="K68" s="10" t="str">
        <f aca="false">IF($A68="","",SUMIFS('Daily Entry'!$Q$4:$Q$2003,'Daily Entry'!$A$4:$A$2003,$A68))</f>
        <v/>
      </c>
      <c r="L68" s="10" t="str">
        <f aca="false">IF($A68="","",$B68-$K68)</f>
        <v/>
      </c>
      <c r="M68" s="28" t="str">
        <f aca="false">IF($A68="","",$L68-$D68-$E68-$G68)</f>
        <v/>
      </c>
      <c r="N68" s="10" t="str">
        <f aca="false">IF($A68="","",SUMIFS('Daily Entry'!$H$4:$H$2003,'Daily Entry'!$A$4:$A$2003,$A68))</f>
        <v/>
      </c>
      <c r="O68" s="10" t="str">
        <f aca="false">IF($A68="","",SUMIFS('Daily Entry'!$I$4:$I$2003,'Daily Entry'!$A$4:$A$2003,$A68))</f>
        <v/>
      </c>
      <c r="P68" s="10" t="str">
        <f aca="false">IF($A68="","",SUMPRODUCT(('Daily Entry'!$A$4:$A$2003=$A68)*('Daily Entry'!$M$4:$M$2003)*('Daily Entry'!$D$4:$D$2003)))</f>
        <v/>
      </c>
    </row>
    <row r="69" customFormat="false" ht="15" hidden="false" customHeight="false" outlineLevel="0" collapsed="false">
      <c r="A69" s="27"/>
      <c r="B69" s="10" t="str">
        <f aca="false">IF($A69="","",SUMIFS('Daily Entry'!$P$4:$P$2003,'Daily Entry'!$A$4:$A$2003,$A69))</f>
        <v/>
      </c>
      <c r="C69" s="9"/>
      <c r="D69" s="9"/>
      <c r="E69" s="9"/>
      <c r="F69" s="8"/>
      <c r="G69" s="9"/>
      <c r="H69" s="9"/>
      <c r="I69" s="8"/>
      <c r="J69" s="28" t="str">
        <f aca="false">IF($A69="","",$B69+$C69-$D69-$E69-$G69-$H69)</f>
        <v/>
      </c>
      <c r="K69" s="10" t="str">
        <f aca="false">IF($A69="","",SUMIFS('Daily Entry'!$Q$4:$Q$2003,'Daily Entry'!$A$4:$A$2003,$A69))</f>
        <v/>
      </c>
      <c r="L69" s="10" t="str">
        <f aca="false">IF($A69="","",$B69-$K69)</f>
        <v/>
      </c>
      <c r="M69" s="28" t="str">
        <f aca="false">IF($A69="","",$L69-$D69-$E69-$G69)</f>
        <v/>
      </c>
      <c r="N69" s="10" t="str">
        <f aca="false">IF($A69="","",SUMIFS('Daily Entry'!$H$4:$H$2003,'Daily Entry'!$A$4:$A$2003,$A69))</f>
        <v/>
      </c>
      <c r="O69" s="10" t="str">
        <f aca="false">IF($A69="","",SUMIFS('Daily Entry'!$I$4:$I$2003,'Daily Entry'!$A$4:$A$2003,$A69))</f>
        <v/>
      </c>
      <c r="P69" s="10" t="str">
        <f aca="false">IF($A69="","",SUMPRODUCT(('Daily Entry'!$A$4:$A$2003=$A69)*('Daily Entry'!$M$4:$M$2003)*('Daily Entry'!$D$4:$D$2003)))</f>
        <v/>
      </c>
    </row>
    <row r="70" customFormat="false" ht="15" hidden="false" customHeight="false" outlineLevel="0" collapsed="false">
      <c r="A70" s="27"/>
      <c r="B70" s="10" t="str">
        <f aca="false">IF($A70="","",SUMIFS('Daily Entry'!$P$4:$P$2003,'Daily Entry'!$A$4:$A$2003,$A70))</f>
        <v/>
      </c>
      <c r="C70" s="9"/>
      <c r="D70" s="9"/>
      <c r="E70" s="9"/>
      <c r="F70" s="8"/>
      <c r="G70" s="9"/>
      <c r="H70" s="9"/>
      <c r="I70" s="8"/>
      <c r="J70" s="28" t="str">
        <f aca="false">IF($A70="","",$B70+$C70-$D70-$E70-$G70-$H70)</f>
        <v/>
      </c>
      <c r="K70" s="10" t="str">
        <f aca="false">IF($A70="","",SUMIFS('Daily Entry'!$Q$4:$Q$2003,'Daily Entry'!$A$4:$A$2003,$A70))</f>
        <v/>
      </c>
      <c r="L70" s="10" t="str">
        <f aca="false">IF($A70="","",$B70-$K70)</f>
        <v/>
      </c>
      <c r="M70" s="28" t="str">
        <f aca="false">IF($A70="","",$L70-$D70-$E70-$G70)</f>
        <v/>
      </c>
      <c r="N70" s="10" t="str">
        <f aca="false">IF($A70="","",SUMIFS('Daily Entry'!$H$4:$H$2003,'Daily Entry'!$A$4:$A$2003,$A70))</f>
        <v/>
      </c>
      <c r="O70" s="10" t="str">
        <f aca="false">IF($A70="","",SUMIFS('Daily Entry'!$I$4:$I$2003,'Daily Entry'!$A$4:$A$2003,$A70))</f>
        <v/>
      </c>
      <c r="P70" s="10" t="str">
        <f aca="false">IF($A70="","",SUMPRODUCT(('Daily Entry'!$A$4:$A$2003=$A70)*('Daily Entry'!$M$4:$M$2003)*('Daily Entry'!$D$4:$D$2003)))</f>
        <v/>
      </c>
    </row>
    <row r="71" customFormat="false" ht="15" hidden="false" customHeight="false" outlineLevel="0" collapsed="false">
      <c r="A71" s="27"/>
      <c r="B71" s="10" t="str">
        <f aca="false">IF($A71="","",SUMIFS('Daily Entry'!$P$4:$P$2003,'Daily Entry'!$A$4:$A$2003,$A71))</f>
        <v/>
      </c>
      <c r="C71" s="9"/>
      <c r="D71" s="9"/>
      <c r="E71" s="9"/>
      <c r="F71" s="8"/>
      <c r="G71" s="9"/>
      <c r="H71" s="9"/>
      <c r="I71" s="8"/>
      <c r="J71" s="28" t="str">
        <f aca="false">IF($A71="","",$B71+$C71-$D71-$E71-$G71-$H71)</f>
        <v/>
      </c>
      <c r="K71" s="10" t="str">
        <f aca="false">IF($A71="","",SUMIFS('Daily Entry'!$Q$4:$Q$2003,'Daily Entry'!$A$4:$A$2003,$A71))</f>
        <v/>
      </c>
      <c r="L71" s="10" t="str">
        <f aca="false">IF($A71="","",$B71-$K71)</f>
        <v/>
      </c>
      <c r="M71" s="28" t="str">
        <f aca="false">IF($A71="","",$L71-$D71-$E71-$G71)</f>
        <v/>
      </c>
      <c r="N71" s="10" t="str">
        <f aca="false">IF($A71="","",SUMIFS('Daily Entry'!$H$4:$H$2003,'Daily Entry'!$A$4:$A$2003,$A71))</f>
        <v/>
      </c>
      <c r="O71" s="10" t="str">
        <f aca="false">IF($A71="","",SUMIFS('Daily Entry'!$I$4:$I$2003,'Daily Entry'!$A$4:$A$2003,$A71))</f>
        <v/>
      </c>
      <c r="P71" s="10" t="str">
        <f aca="false">IF($A71="","",SUMPRODUCT(('Daily Entry'!$A$4:$A$2003=$A71)*('Daily Entry'!$M$4:$M$2003)*('Daily Entry'!$D$4:$D$2003)))</f>
        <v/>
      </c>
    </row>
    <row r="72" customFormat="false" ht="15" hidden="false" customHeight="false" outlineLevel="0" collapsed="false">
      <c r="A72" s="27"/>
      <c r="B72" s="10" t="str">
        <f aca="false">IF($A72="","",SUMIFS('Daily Entry'!$P$4:$P$2003,'Daily Entry'!$A$4:$A$2003,$A72))</f>
        <v/>
      </c>
      <c r="C72" s="9"/>
      <c r="D72" s="9"/>
      <c r="E72" s="9"/>
      <c r="F72" s="8"/>
      <c r="G72" s="9"/>
      <c r="H72" s="9"/>
      <c r="I72" s="8"/>
      <c r="J72" s="28" t="str">
        <f aca="false">IF($A72="","",$B72+$C72-$D72-$E72-$G72-$H72)</f>
        <v/>
      </c>
      <c r="K72" s="10" t="str">
        <f aca="false">IF($A72="","",SUMIFS('Daily Entry'!$Q$4:$Q$2003,'Daily Entry'!$A$4:$A$2003,$A72))</f>
        <v/>
      </c>
      <c r="L72" s="10" t="str">
        <f aca="false">IF($A72="","",$B72-$K72)</f>
        <v/>
      </c>
      <c r="M72" s="28" t="str">
        <f aca="false">IF($A72="","",$L72-$D72-$E72-$G72)</f>
        <v/>
      </c>
      <c r="N72" s="10" t="str">
        <f aca="false">IF($A72="","",SUMIFS('Daily Entry'!$H$4:$H$2003,'Daily Entry'!$A$4:$A$2003,$A72))</f>
        <v/>
      </c>
      <c r="O72" s="10" t="str">
        <f aca="false">IF($A72="","",SUMIFS('Daily Entry'!$I$4:$I$2003,'Daily Entry'!$A$4:$A$2003,$A72))</f>
        <v/>
      </c>
      <c r="P72" s="10" t="str">
        <f aca="false">IF($A72="","",SUMPRODUCT(('Daily Entry'!$A$4:$A$2003=$A72)*('Daily Entry'!$M$4:$M$2003)*('Daily Entry'!$D$4:$D$2003)))</f>
        <v/>
      </c>
    </row>
    <row r="73" customFormat="false" ht="15" hidden="false" customHeight="false" outlineLevel="0" collapsed="false">
      <c r="A73" s="27"/>
      <c r="B73" s="10" t="str">
        <f aca="false">IF($A73="","",SUMIFS('Daily Entry'!$P$4:$P$2003,'Daily Entry'!$A$4:$A$2003,$A73))</f>
        <v/>
      </c>
      <c r="C73" s="9"/>
      <c r="D73" s="9"/>
      <c r="E73" s="9"/>
      <c r="F73" s="8"/>
      <c r="G73" s="9"/>
      <c r="H73" s="9"/>
      <c r="I73" s="8"/>
      <c r="J73" s="28" t="str">
        <f aca="false">IF($A73="","",$B73+$C73-$D73-$E73-$G73-$H73)</f>
        <v/>
      </c>
      <c r="K73" s="10" t="str">
        <f aca="false">IF($A73="","",SUMIFS('Daily Entry'!$Q$4:$Q$2003,'Daily Entry'!$A$4:$A$2003,$A73))</f>
        <v/>
      </c>
      <c r="L73" s="10" t="str">
        <f aca="false">IF($A73="","",$B73-$K73)</f>
        <v/>
      </c>
      <c r="M73" s="28" t="str">
        <f aca="false">IF($A73="","",$L73-$D73-$E73-$G73)</f>
        <v/>
      </c>
      <c r="N73" s="10" t="str">
        <f aca="false">IF($A73="","",SUMIFS('Daily Entry'!$H$4:$H$2003,'Daily Entry'!$A$4:$A$2003,$A73))</f>
        <v/>
      </c>
      <c r="O73" s="10" t="str">
        <f aca="false">IF($A73="","",SUMIFS('Daily Entry'!$I$4:$I$2003,'Daily Entry'!$A$4:$A$2003,$A73))</f>
        <v/>
      </c>
      <c r="P73" s="10" t="str">
        <f aca="false">IF($A73="","",SUMPRODUCT(('Daily Entry'!$A$4:$A$2003=$A73)*('Daily Entry'!$M$4:$M$2003)*('Daily Entry'!$D$4:$D$2003)))</f>
        <v/>
      </c>
    </row>
    <row r="74" customFormat="false" ht="15" hidden="false" customHeight="false" outlineLevel="0" collapsed="false">
      <c r="A74" s="27"/>
      <c r="B74" s="10" t="str">
        <f aca="false">IF($A74="","",SUMIFS('Daily Entry'!$P$4:$P$2003,'Daily Entry'!$A$4:$A$2003,$A74))</f>
        <v/>
      </c>
      <c r="C74" s="9"/>
      <c r="D74" s="9"/>
      <c r="E74" s="9"/>
      <c r="F74" s="8"/>
      <c r="G74" s="9"/>
      <c r="H74" s="9"/>
      <c r="I74" s="8"/>
      <c r="J74" s="28" t="str">
        <f aca="false">IF($A74="","",$B74+$C74-$D74-$E74-$G74-$H74)</f>
        <v/>
      </c>
      <c r="K74" s="10" t="str">
        <f aca="false">IF($A74="","",SUMIFS('Daily Entry'!$Q$4:$Q$2003,'Daily Entry'!$A$4:$A$2003,$A74))</f>
        <v/>
      </c>
      <c r="L74" s="10" t="str">
        <f aca="false">IF($A74="","",$B74-$K74)</f>
        <v/>
      </c>
      <c r="M74" s="28" t="str">
        <f aca="false">IF($A74="","",$L74-$D74-$E74-$G74)</f>
        <v/>
      </c>
      <c r="N74" s="10" t="str">
        <f aca="false">IF($A74="","",SUMIFS('Daily Entry'!$H$4:$H$2003,'Daily Entry'!$A$4:$A$2003,$A74))</f>
        <v/>
      </c>
      <c r="O74" s="10" t="str">
        <f aca="false">IF($A74="","",SUMIFS('Daily Entry'!$I$4:$I$2003,'Daily Entry'!$A$4:$A$2003,$A74))</f>
        <v/>
      </c>
      <c r="P74" s="10" t="str">
        <f aca="false">IF($A74="","",SUMPRODUCT(('Daily Entry'!$A$4:$A$2003=$A74)*('Daily Entry'!$M$4:$M$2003)*('Daily Entry'!$D$4:$D$2003)))</f>
        <v/>
      </c>
    </row>
    <row r="75" customFormat="false" ht="15" hidden="false" customHeight="false" outlineLevel="0" collapsed="false">
      <c r="A75" s="27"/>
      <c r="B75" s="10" t="str">
        <f aca="false">IF($A75="","",SUMIFS('Daily Entry'!$P$4:$P$2003,'Daily Entry'!$A$4:$A$2003,$A75))</f>
        <v/>
      </c>
      <c r="C75" s="9"/>
      <c r="D75" s="9"/>
      <c r="E75" s="9"/>
      <c r="F75" s="8"/>
      <c r="G75" s="9"/>
      <c r="H75" s="9"/>
      <c r="I75" s="8"/>
      <c r="J75" s="28" t="str">
        <f aca="false">IF($A75="","",$B75+$C75-$D75-$E75-$G75-$H75)</f>
        <v/>
      </c>
      <c r="K75" s="10" t="str">
        <f aca="false">IF($A75="","",SUMIFS('Daily Entry'!$Q$4:$Q$2003,'Daily Entry'!$A$4:$A$2003,$A75))</f>
        <v/>
      </c>
      <c r="L75" s="10" t="str">
        <f aca="false">IF($A75="","",$B75-$K75)</f>
        <v/>
      </c>
      <c r="M75" s="28" t="str">
        <f aca="false">IF($A75="","",$L75-$D75-$E75-$G75)</f>
        <v/>
      </c>
      <c r="N75" s="10" t="str">
        <f aca="false">IF($A75="","",SUMIFS('Daily Entry'!$H$4:$H$2003,'Daily Entry'!$A$4:$A$2003,$A75))</f>
        <v/>
      </c>
      <c r="O75" s="10" t="str">
        <f aca="false">IF($A75="","",SUMIFS('Daily Entry'!$I$4:$I$2003,'Daily Entry'!$A$4:$A$2003,$A75))</f>
        <v/>
      </c>
      <c r="P75" s="10" t="str">
        <f aca="false">IF($A75="","",SUMPRODUCT(('Daily Entry'!$A$4:$A$2003=$A75)*('Daily Entry'!$M$4:$M$2003)*('Daily Entry'!$D$4:$D$2003)))</f>
        <v/>
      </c>
    </row>
    <row r="76" customFormat="false" ht="15" hidden="false" customHeight="false" outlineLevel="0" collapsed="false">
      <c r="A76" s="27"/>
      <c r="B76" s="10" t="str">
        <f aca="false">IF($A76="","",SUMIFS('Daily Entry'!$P$4:$P$2003,'Daily Entry'!$A$4:$A$2003,$A76))</f>
        <v/>
      </c>
      <c r="C76" s="9"/>
      <c r="D76" s="9"/>
      <c r="E76" s="9"/>
      <c r="F76" s="8"/>
      <c r="G76" s="9"/>
      <c r="H76" s="9"/>
      <c r="I76" s="8"/>
      <c r="J76" s="28" t="str">
        <f aca="false">IF($A76="","",$B76+$C76-$D76-$E76-$G76-$H76)</f>
        <v/>
      </c>
      <c r="K76" s="10" t="str">
        <f aca="false">IF($A76="","",SUMIFS('Daily Entry'!$Q$4:$Q$2003,'Daily Entry'!$A$4:$A$2003,$A76))</f>
        <v/>
      </c>
      <c r="L76" s="10" t="str">
        <f aca="false">IF($A76="","",$B76-$K76)</f>
        <v/>
      </c>
      <c r="M76" s="28" t="str">
        <f aca="false">IF($A76="","",$L76-$D76-$E76-$G76)</f>
        <v/>
      </c>
      <c r="N76" s="10" t="str">
        <f aca="false">IF($A76="","",SUMIFS('Daily Entry'!$H$4:$H$2003,'Daily Entry'!$A$4:$A$2003,$A76))</f>
        <v/>
      </c>
      <c r="O76" s="10" t="str">
        <f aca="false">IF($A76="","",SUMIFS('Daily Entry'!$I$4:$I$2003,'Daily Entry'!$A$4:$A$2003,$A76))</f>
        <v/>
      </c>
      <c r="P76" s="10" t="str">
        <f aca="false">IF($A76="","",SUMPRODUCT(('Daily Entry'!$A$4:$A$2003=$A76)*('Daily Entry'!$M$4:$M$2003)*('Daily Entry'!$D$4:$D$2003)))</f>
        <v/>
      </c>
    </row>
    <row r="77" customFormat="false" ht="15" hidden="false" customHeight="false" outlineLevel="0" collapsed="false">
      <c r="A77" s="27"/>
      <c r="B77" s="10" t="str">
        <f aca="false">IF($A77="","",SUMIFS('Daily Entry'!$P$4:$P$2003,'Daily Entry'!$A$4:$A$2003,$A77))</f>
        <v/>
      </c>
      <c r="C77" s="9"/>
      <c r="D77" s="9"/>
      <c r="E77" s="9"/>
      <c r="F77" s="8"/>
      <c r="G77" s="9"/>
      <c r="H77" s="9"/>
      <c r="I77" s="8"/>
      <c r="J77" s="28" t="str">
        <f aca="false">IF($A77="","",$B77+$C77-$D77-$E77-$G77-$H77)</f>
        <v/>
      </c>
      <c r="K77" s="10" t="str">
        <f aca="false">IF($A77="","",SUMIFS('Daily Entry'!$Q$4:$Q$2003,'Daily Entry'!$A$4:$A$2003,$A77))</f>
        <v/>
      </c>
      <c r="L77" s="10" t="str">
        <f aca="false">IF($A77="","",$B77-$K77)</f>
        <v/>
      </c>
      <c r="M77" s="28" t="str">
        <f aca="false">IF($A77="","",$L77-$D77-$E77-$G77)</f>
        <v/>
      </c>
      <c r="N77" s="10" t="str">
        <f aca="false">IF($A77="","",SUMIFS('Daily Entry'!$H$4:$H$2003,'Daily Entry'!$A$4:$A$2003,$A77))</f>
        <v/>
      </c>
      <c r="O77" s="10" t="str">
        <f aca="false">IF($A77="","",SUMIFS('Daily Entry'!$I$4:$I$2003,'Daily Entry'!$A$4:$A$2003,$A77))</f>
        <v/>
      </c>
      <c r="P77" s="10" t="str">
        <f aca="false">IF($A77="","",SUMPRODUCT(('Daily Entry'!$A$4:$A$2003=$A77)*('Daily Entry'!$M$4:$M$2003)*('Daily Entry'!$D$4:$D$2003)))</f>
        <v/>
      </c>
    </row>
    <row r="78" customFormat="false" ht="15" hidden="false" customHeight="false" outlineLevel="0" collapsed="false">
      <c r="A78" s="27"/>
      <c r="B78" s="10" t="str">
        <f aca="false">IF($A78="","",SUMIFS('Daily Entry'!$P$4:$P$2003,'Daily Entry'!$A$4:$A$2003,$A78))</f>
        <v/>
      </c>
      <c r="C78" s="9"/>
      <c r="D78" s="9"/>
      <c r="E78" s="9"/>
      <c r="F78" s="8"/>
      <c r="G78" s="9"/>
      <c r="H78" s="9"/>
      <c r="I78" s="8"/>
      <c r="J78" s="28" t="str">
        <f aca="false">IF($A78="","",$B78+$C78-$D78-$E78-$G78-$H78)</f>
        <v/>
      </c>
      <c r="K78" s="10" t="str">
        <f aca="false">IF($A78="","",SUMIFS('Daily Entry'!$Q$4:$Q$2003,'Daily Entry'!$A$4:$A$2003,$A78))</f>
        <v/>
      </c>
      <c r="L78" s="10" t="str">
        <f aca="false">IF($A78="","",$B78-$K78)</f>
        <v/>
      </c>
      <c r="M78" s="28" t="str">
        <f aca="false">IF($A78="","",$L78-$D78-$E78-$G78)</f>
        <v/>
      </c>
      <c r="N78" s="10" t="str">
        <f aca="false">IF($A78="","",SUMIFS('Daily Entry'!$H$4:$H$2003,'Daily Entry'!$A$4:$A$2003,$A78))</f>
        <v/>
      </c>
      <c r="O78" s="10" t="str">
        <f aca="false">IF($A78="","",SUMIFS('Daily Entry'!$I$4:$I$2003,'Daily Entry'!$A$4:$A$2003,$A78))</f>
        <v/>
      </c>
      <c r="P78" s="10" t="str">
        <f aca="false">IF($A78="","",SUMPRODUCT(('Daily Entry'!$A$4:$A$2003=$A78)*('Daily Entry'!$M$4:$M$2003)*('Daily Entry'!$D$4:$D$2003)))</f>
        <v/>
      </c>
    </row>
    <row r="79" customFormat="false" ht="15" hidden="false" customHeight="false" outlineLevel="0" collapsed="false">
      <c r="A79" s="27"/>
      <c r="B79" s="10" t="str">
        <f aca="false">IF($A79="","",SUMIFS('Daily Entry'!$P$4:$P$2003,'Daily Entry'!$A$4:$A$2003,$A79))</f>
        <v/>
      </c>
      <c r="C79" s="9"/>
      <c r="D79" s="9"/>
      <c r="E79" s="9"/>
      <c r="F79" s="8"/>
      <c r="G79" s="9"/>
      <c r="H79" s="9"/>
      <c r="I79" s="8"/>
      <c r="J79" s="28" t="str">
        <f aca="false">IF($A79="","",$B79+$C79-$D79-$E79-$G79-$H79)</f>
        <v/>
      </c>
      <c r="K79" s="10" t="str">
        <f aca="false">IF($A79="","",SUMIFS('Daily Entry'!$Q$4:$Q$2003,'Daily Entry'!$A$4:$A$2003,$A79))</f>
        <v/>
      </c>
      <c r="L79" s="10" t="str">
        <f aca="false">IF($A79="","",$B79-$K79)</f>
        <v/>
      </c>
      <c r="M79" s="28" t="str">
        <f aca="false">IF($A79="","",$L79-$D79-$E79-$G79)</f>
        <v/>
      </c>
      <c r="N79" s="10" t="str">
        <f aca="false">IF($A79="","",SUMIFS('Daily Entry'!$H$4:$H$2003,'Daily Entry'!$A$4:$A$2003,$A79))</f>
        <v/>
      </c>
      <c r="O79" s="10" t="str">
        <f aca="false">IF($A79="","",SUMIFS('Daily Entry'!$I$4:$I$2003,'Daily Entry'!$A$4:$A$2003,$A79))</f>
        <v/>
      </c>
      <c r="P79" s="10" t="str">
        <f aca="false">IF($A79="","",SUMPRODUCT(('Daily Entry'!$A$4:$A$2003=$A79)*('Daily Entry'!$M$4:$M$2003)*('Daily Entry'!$D$4:$D$2003)))</f>
        <v/>
      </c>
    </row>
    <row r="80" customFormat="false" ht="15" hidden="false" customHeight="false" outlineLevel="0" collapsed="false">
      <c r="A80" s="27"/>
      <c r="B80" s="10" t="str">
        <f aca="false">IF($A80="","",SUMIFS('Daily Entry'!$P$4:$P$2003,'Daily Entry'!$A$4:$A$2003,$A80))</f>
        <v/>
      </c>
      <c r="C80" s="9"/>
      <c r="D80" s="9"/>
      <c r="E80" s="9"/>
      <c r="F80" s="8"/>
      <c r="G80" s="9"/>
      <c r="H80" s="9"/>
      <c r="I80" s="8"/>
      <c r="J80" s="28" t="str">
        <f aca="false">IF($A80="","",$B80+$C80-$D80-$E80-$G80-$H80)</f>
        <v/>
      </c>
      <c r="K80" s="10" t="str">
        <f aca="false">IF($A80="","",SUMIFS('Daily Entry'!$Q$4:$Q$2003,'Daily Entry'!$A$4:$A$2003,$A80))</f>
        <v/>
      </c>
      <c r="L80" s="10" t="str">
        <f aca="false">IF($A80="","",$B80-$K80)</f>
        <v/>
      </c>
      <c r="M80" s="28" t="str">
        <f aca="false">IF($A80="","",$L80-$D80-$E80-$G80)</f>
        <v/>
      </c>
      <c r="N80" s="10" t="str">
        <f aca="false">IF($A80="","",SUMIFS('Daily Entry'!$H$4:$H$2003,'Daily Entry'!$A$4:$A$2003,$A80))</f>
        <v/>
      </c>
      <c r="O80" s="10" t="str">
        <f aca="false">IF($A80="","",SUMIFS('Daily Entry'!$I$4:$I$2003,'Daily Entry'!$A$4:$A$2003,$A80))</f>
        <v/>
      </c>
      <c r="P80" s="10" t="str">
        <f aca="false">IF($A80="","",SUMPRODUCT(('Daily Entry'!$A$4:$A$2003=$A80)*('Daily Entry'!$M$4:$M$2003)*('Daily Entry'!$D$4:$D$2003)))</f>
        <v/>
      </c>
    </row>
    <row r="81" customFormat="false" ht="15" hidden="false" customHeight="false" outlineLevel="0" collapsed="false">
      <c r="A81" s="27"/>
      <c r="B81" s="10" t="str">
        <f aca="false">IF($A81="","",SUMIFS('Daily Entry'!$P$4:$P$2003,'Daily Entry'!$A$4:$A$2003,$A81))</f>
        <v/>
      </c>
      <c r="C81" s="9"/>
      <c r="D81" s="9"/>
      <c r="E81" s="9"/>
      <c r="F81" s="8"/>
      <c r="G81" s="9"/>
      <c r="H81" s="9"/>
      <c r="I81" s="8"/>
      <c r="J81" s="28" t="str">
        <f aca="false">IF($A81="","",$B81+$C81-$D81-$E81-$G81-$H81)</f>
        <v/>
      </c>
      <c r="K81" s="10" t="str">
        <f aca="false">IF($A81="","",SUMIFS('Daily Entry'!$Q$4:$Q$2003,'Daily Entry'!$A$4:$A$2003,$A81))</f>
        <v/>
      </c>
      <c r="L81" s="10" t="str">
        <f aca="false">IF($A81="","",$B81-$K81)</f>
        <v/>
      </c>
      <c r="M81" s="28" t="str">
        <f aca="false">IF($A81="","",$L81-$D81-$E81-$G81)</f>
        <v/>
      </c>
      <c r="N81" s="10" t="str">
        <f aca="false">IF($A81="","",SUMIFS('Daily Entry'!$H$4:$H$2003,'Daily Entry'!$A$4:$A$2003,$A81))</f>
        <v/>
      </c>
      <c r="O81" s="10" t="str">
        <f aca="false">IF($A81="","",SUMIFS('Daily Entry'!$I$4:$I$2003,'Daily Entry'!$A$4:$A$2003,$A81))</f>
        <v/>
      </c>
      <c r="P81" s="10" t="str">
        <f aca="false">IF($A81="","",SUMPRODUCT(('Daily Entry'!$A$4:$A$2003=$A81)*('Daily Entry'!$M$4:$M$2003)*('Daily Entry'!$D$4:$D$2003)))</f>
        <v/>
      </c>
    </row>
    <row r="82" customFormat="false" ht="15" hidden="false" customHeight="false" outlineLevel="0" collapsed="false">
      <c r="A82" s="27"/>
      <c r="B82" s="10" t="str">
        <f aca="false">IF($A82="","",SUMIFS('Daily Entry'!$P$4:$P$2003,'Daily Entry'!$A$4:$A$2003,$A82))</f>
        <v/>
      </c>
      <c r="C82" s="9"/>
      <c r="D82" s="9"/>
      <c r="E82" s="9"/>
      <c r="F82" s="8"/>
      <c r="G82" s="9"/>
      <c r="H82" s="9"/>
      <c r="I82" s="8"/>
      <c r="J82" s="28" t="str">
        <f aca="false">IF($A82="","",$B82+$C82-$D82-$E82-$G82-$H82)</f>
        <v/>
      </c>
      <c r="K82" s="10" t="str">
        <f aca="false">IF($A82="","",SUMIFS('Daily Entry'!$Q$4:$Q$2003,'Daily Entry'!$A$4:$A$2003,$A82))</f>
        <v/>
      </c>
      <c r="L82" s="10" t="str">
        <f aca="false">IF($A82="","",$B82-$K82)</f>
        <v/>
      </c>
      <c r="M82" s="28" t="str">
        <f aca="false">IF($A82="","",$L82-$D82-$E82-$G82)</f>
        <v/>
      </c>
      <c r="N82" s="10" t="str">
        <f aca="false">IF($A82="","",SUMIFS('Daily Entry'!$H$4:$H$2003,'Daily Entry'!$A$4:$A$2003,$A82))</f>
        <v/>
      </c>
      <c r="O82" s="10" t="str">
        <f aca="false">IF($A82="","",SUMIFS('Daily Entry'!$I$4:$I$2003,'Daily Entry'!$A$4:$A$2003,$A82))</f>
        <v/>
      </c>
      <c r="P82" s="10" t="str">
        <f aca="false">IF($A82="","",SUMPRODUCT(('Daily Entry'!$A$4:$A$2003=$A82)*('Daily Entry'!$M$4:$M$2003)*('Daily Entry'!$D$4:$D$2003)))</f>
        <v/>
      </c>
    </row>
    <row r="83" customFormat="false" ht="15" hidden="false" customHeight="false" outlineLevel="0" collapsed="false">
      <c r="A83" s="27"/>
      <c r="B83" s="10" t="str">
        <f aca="false">IF($A83="","",SUMIFS('Daily Entry'!$P$4:$P$2003,'Daily Entry'!$A$4:$A$2003,$A83))</f>
        <v/>
      </c>
      <c r="C83" s="9"/>
      <c r="D83" s="9"/>
      <c r="E83" s="9"/>
      <c r="F83" s="8"/>
      <c r="G83" s="9"/>
      <c r="H83" s="9"/>
      <c r="I83" s="8"/>
      <c r="J83" s="28" t="str">
        <f aca="false">IF($A83="","",$B83+$C83-$D83-$E83-$G83-$H83)</f>
        <v/>
      </c>
      <c r="K83" s="10" t="str">
        <f aca="false">IF($A83="","",SUMIFS('Daily Entry'!$Q$4:$Q$2003,'Daily Entry'!$A$4:$A$2003,$A83))</f>
        <v/>
      </c>
      <c r="L83" s="10" t="str">
        <f aca="false">IF($A83="","",$B83-$K83)</f>
        <v/>
      </c>
      <c r="M83" s="28" t="str">
        <f aca="false">IF($A83="","",$L83-$D83-$E83-$G83)</f>
        <v/>
      </c>
      <c r="N83" s="10" t="str">
        <f aca="false">IF($A83="","",SUMIFS('Daily Entry'!$H$4:$H$2003,'Daily Entry'!$A$4:$A$2003,$A83))</f>
        <v/>
      </c>
      <c r="O83" s="10" t="str">
        <f aca="false">IF($A83="","",SUMIFS('Daily Entry'!$I$4:$I$2003,'Daily Entry'!$A$4:$A$2003,$A83))</f>
        <v/>
      </c>
      <c r="P83" s="10" t="str">
        <f aca="false">IF($A83="","",SUMPRODUCT(('Daily Entry'!$A$4:$A$2003=$A83)*('Daily Entry'!$M$4:$M$2003)*('Daily Entry'!$D$4:$D$2003)))</f>
        <v/>
      </c>
    </row>
    <row r="84" customFormat="false" ht="15" hidden="false" customHeight="false" outlineLevel="0" collapsed="false">
      <c r="A84" s="27"/>
      <c r="B84" s="10" t="str">
        <f aca="false">IF($A84="","",SUMIFS('Daily Entry'!$P$4:$P$2003,'Daily Entry'!$A$4:$A$2003,$A84))</f>
        <v/>
      </c>
      <c r="C84" s="9"/>
      <c r="D84" s="9"/>
      <c r="E84" s="9"/>
      <c r="F84" s="8"/>
      <c r="G84" s="9"/>
      <c r="H84" s="9"/>
      <c r="I84" s="8"/>
      <c r="J84" s="28" t="str">
        <f aca="false">IF($A84="","",$B84+$C84-$D84-$E84-$G84-$H84)</f>
        <v/>
      </c>
      <c r="K84" s="10" t="str">
        <f aca="false">IF($A84="","",SUMIFS('Daily Entry'!$Q$4:$Q$2003,'Daily Entry'!$A$4:$A$2003,$A84))</f>
        <v/>
      </c>
      <c r="L84" s="10" t="str">
        <f aca="false">IF($A84="","",$B84-$K84)</f>
        <v/>
      </c>
      <c r="M84" s="28" t="str">
        <f aca="false">IF($A84="","",$L84-$D84-$E84-$G84)</f>
        <v/>
      </c>
      <c r="N84" s="10" t="str">
        <f aca="false">IF($A84="","",SUMIFS('Daily Entry'!$H$4:$H$2003,'Daily Entry'!$A$4:$A$2003,$A84))</f>
        <v/>
      </c>
      <c r="O84" s="10" t="str">
        <f aca="false">IF($A84="","",SUMIFS('Daily Entry'!$I$4:$I$2003,'Daily Entry'!$A$4:$A$2003,$A84))</f>
        <v/>
      </c>
      <c r="P84" s="10" t="str">
        <f aca="false">IF($A84="","",SUMPRODUCT(('Daily Entry'!$A$4:$A$2003=$A84)*('Daily Entry'!$M$4:$M$2003)*('Daily Entry'!$D$4:$D$2003)))</f>
        <v/>
      </c>
    </row>
    <row r="85" customFormat="false" ht="15" hidden="false" customHeight="false" outlineLevel="0" collapsed="false">
      <c r="A85" s="27"/>
      <c r="B85" s="10" t="str">
        <f aca="false">IF($A85="","",SUMIFS('Daily Entry'!$P$4:$P$2003,'Daily Entry'!$A$4:$A$2003,$A85))</f>
        <v/>
      </c>
      <c r="C85" s="9"/>
      <c r="D85" s="9"/>
      <c r="E85" s="9"/>
      <c r="F85" s="8"/>
      <c r="G85" s="9"/>
      <c r="H85" s="9"/>
      <c r="I85" s="8"/>
      <c r="J85" s="28" t="str">
        <f aca="false">IF($A85="","",$B85+$C85-$D85-$E85-$G85-$H85)</f>
        <v/>
      </c>
      <c r="K85" s="10" t="str">
        <f aca="false">IF($A85="","",SUMIFS('Daily Entry'!$Q$4:$Q$2003,'Daily Entry'!$A$4:$A$2003,$A85))</f>
        <v/>
      </c>
      <c r="L85" s="10" t="str">
        <f aca="false">IF($A85="","",$B85-$K85)</f>
        <v/>
      </c>
      <c r="M85" s="28" t="str">
        <f aca="false">IF($A85="","",$L85-$D85-$E85-$G85)</f>
        <v/>
      </c>
      <c r="N85" s="10" t="str">
        <f aca="false">IF($A85="","",SUMIFS('Daily Entry'!$H$4:$H$2003,'Daily Entry'!$A$4:$A$2003,$A85))</f>
        <v/>
      </c>
      <c r="O85" s="10" t="str">
        <f aca="false">IF($A85="","",SUMIFS('Daily Entry'!$I$4:$I$2003,'Daily Entry'!$A$4:$A$2003,$A85))</f>
        <v/>
      </c>
      <c r="P85" s="10" t="str">
        <f aca="false">IF($A85="","",SUMPRODUCT(('Daily Entry'!$A$4:$A$2003=$A85)*('Daily Entry'!$M$4:$M$2003)*('Daily Entry'!$D$4:$D$2003)))</f>
        <v/>
      </c>
    </row>
    <row r="86" customFormat="false" ht="15" hidden="false" customHeight="false" outlineLevel="0" collapsed="false">
      <c r="A86" s="27"/>
      <c r="B86" s="10" t="str">
        <f aca="false">IF($A86="","",SUMIFS('Daily Entry'!$P$4:$P$2003,'Daily Entry'!$A$4:$A$2003,$A86))</f>
        <v/>
      </c>
      <c r="C86" s="9"/>
      <c r="D86" s="9"/>
      <c r="E86" s="9"/>
      <c r="F86" s="8"/>
      <c r="G86" s="9"/>
      <c r="H86" s="9"/>
      <c r="I86" s="8"/>
      <c r="J86" s="28" t="str">
        <f aca="false">IF($A86="","",$B86+$C86-$D86-$E86-$G86-$H86)</f>
        <v/>
      </c>
      <c r="K86" s="10" t="str">
        <f aca="false">IF($A86="","",SUMIFS('Daily Entry'!$Q$4:$Q$2003,'Daily Entry'!$A$4:$A$2003,$A86))</f>
        <v/>
      </c>
      <c r="L86" s="10" t="str">
        <f aca="false">IF($A86="","",$B86-$K86)</f>
        <v/>
      </c>
      <c r="M86" s="28" t="str">
        <f aca="false">IF($A86="","",$L86-$D86-$E86-$G86)</f>
        <v/>
      </c>
      <c r="N86" s="10" t="str">
        <f aca="false">IF($A86="","",SUMIFS('Daily Entry'!$H$4:$H$2003,'Daily Entry'!$A$4:$A$2003,$A86))</f>
        <v/>
      </c>
      <c r="O86" s="10" t="str">
        <f aca="false">IF($A86="","",SUMIFS('Daily Entry'!$I$4:$I$2003,'Daily Entry'!$A$4:$A$2003,$A86))</f>
        <v/>
      </c>
      <c r="P86" s="10" t="str">
        <f aca="false">IF($A86="","",SUMPRODUCT(('Daily Entry'!$A$4:$A$2003=$A86)*('Daily Entry'!$M$4:$M$2003)*('Daily Entry'!$D$4:$D$2003)))</f>
        <v/>
      </c>
    </row>
    <row r="87" customFormat="false" ht="15" hidden="false" customHeight="false" outlineLevel="0" collapsed="false">
      <c r="A87" s="27"/>
      <c r="B87" s="10" t="str">
        <f aca="false">IF($A87="","",SUMIFS('Daily Entry'!$P$4:$P$2003,'Daily Entry'!$A$4:$A$2003,$A87))</f>
        <v/>
      </c>
      <c r="C87" s="9"/>
      <c r="D87" s="9"/>
      <c r="E87" s="9"/>
      <c r="F87" s="8"/>
      <c r="G87" s="9"/>
      <c r="H87" s="9"/>
      <c r="I87" s="8"/>
      <c r="J87" s="28" t="str">
        <f aca="false">IF($A87="","",$B87+$C87-$D87-$E87-$G87-$H87)</f>
        <v/>
      </c>
      <c r="K87" s="10" t="str">
        <f aca="false">IF($A87="","",SUMIFS('Daily Entry'!$Q$4:$Q$2003,'Daily Entry'!$A$4:$A$2003,$A87))</f>
        <v/>
      </c>
      <c r="L87" s="10" t="str">
        <f aca="false">IF($A87="","",$B87-$K87)</f>
        <v/>
      </c>
      <c r="M87" s="28" t="str">
        <f aca="false">IF($A87="","",$L87-$D87-$E87-$G87)</f>
        <v/>
      </c>
      <c r="N87" s="10" t="str">
        <f aca="false">IF($A87="","",SUMIFS('Daily Entry'!$H$4:$H$2003,'Daily Entry'!$A$4:$A$2003,$A87))</f>
        <v/>
      </c>
      <c r="O87" s="10" t="str">
        <f aca="false">IF($A87="","",SUMIFS('Daily Entry'!$I$4:$I$2003,'Daily Entry'!$A$4:$A$2003,$A87))</f>
        <v/>
      </c>
      <c r="P87" s="10" t="str">
        <f aca="false">IF($A87="","",SUMPRODUCT(('Daily Entry'!$A$4:$A$2003=$A87)*('Daily Entry'!$M$4:$M$2003)*('Daily Entry'!$D$4:$D$2003)))</f>
        <v/>
      </c>
    </row>
    <row r="88" customFormat="false" ht="15" hidden="false" customHeight="false" outlineLevel="0" collapsed="false">
      <c r="A88" s="27"/>
      <c r="B88" s="10" t="str">
        <f aca="false">IF($A88="","",SUMIFS('Daily Entry'!$P$4:$P$2003,'Daily Entry'!$A$4:$A$2003,$A88))</f>
        <v/>
      </c>
      <c r="C88" s="9"/>
      <c r="D88" s="9"/>
      <c r="E88" s="9"/>
      <c r="F88" s="8"/>
      <c r="G88" s="9"/>
      <c r="H88" s="9"/>
      <c r="I88" s="8"/>
      <c r="J88" s="28" t="str">
        <f aca="false">IF($A88="","",$B88+$C88-$D88-$E88-$G88-$H88)</f>
        <v/>
      </c>
      <c r="K88" s="10" t="str">
        <f aca="false">IF($A88="","",SUMIFS('Daily Entry'!$Q$4:$Q$2003,'Daily Entry'!$A$4:$A$2003,$A88))</f>
        <v/>
      </c>
      <c r="L88" s="10" t="str">
        <f aca="false">IF($A88="","",$B88-$K88)</f>
        <v/>
      </c>
      <c r="M88" s="28" t="str">
        <f aca="false">IF($A88="","",$L88-$D88-$E88-$G88)</f>
        <v/>
      </c>
      <c r="N88" s="10" t="str">
        <f aca="false">IF($A88="","",SUMIFS('Daily Entry'!$H$4:$H$2003,'Daily Entry'!$A$4:$A$2003,$A88))</f>
        <v/>
      </c>
      <c r="O88" s="10" t="str">
        <f aca="false">IF($A88="","",SUMIFS('Daily Entry'!$I$4:$I$2003,'Daily Entry'!$A$4:$A$2003,$A88))</f>
        <v/>
      </c>
      <c r="P88" s="10" t="str">
        <f aca="false">IF($A88="","",SUMPRODUCT(('Daily Entry'!$A$4:$A$2003=$A88)*('Daily Entry'!$M$4:$M$2003)*('Daily Entry'!$D$4:$D$2003)))</f>
        <v/>
      </c>
    </row>
    <row r="89" customFormat="false" ht="15" hidden="false" customHeight="false" outlineLevel="0" collapsed="false">
      <c r="A89" s="27"/>
      <c r="B89" s="10" t="str">
        <f aca="false">IF($A89="","",SUMIFS('Daily Entry'!$P$4:$P$2003,'Daily Entry'!$A$4:$A$2003,$A89))</f>
        <v/>
      </c>
      <c r="C89" s="9"/>
      <c r="D89" s="9"/>
      <c r="E89" s="9"/>
      <c r="F89" s="8"/>
      <c r="G89" s="9"/>
      <c r="H89" s="9"/>
      <c r="I89" s="8"/>
      <c r="J89" s="28" t="str">
        <f aca="false">IF($A89="","",$B89+$C89-$D89-$E89-$G89-$H89)</f>
        <v/>
      </c>
      <c r="K89" s="10" t="str">
        <f aca="false">IF($A89="","",SUMIFS('Daily Entry'!$Q$4:$Q$2003,'Daily Entry'!$A$4:$A$2003,$A89))</f>
        <v/>
      </c>
      <c r="L89" s="10" t="str">
        <f aca="false">IF($A89="","",$B89-$K89)</f>
        <v/>
      </c>
      <c r="M89" s="28" t="str">
        <f aca="false">IF($A89="","",$L89-$D89-$E89-$G89)</f>
        <v/>
      </c>
      <c r="N89" s="10" t="str">
        <f aca="false">IF($A89="","",SUMIFS('Daily Entry'!$H$4:$H$2003,'Daily Entry'!$A$4:$A$2003,$A89))</f>
        <v/>
      </c>
      <c r="O89" s="10" t="str">
        <f aca="false">IF($A89="","",SUMIFS('Daily Entry'!$I$4:$I$2003,'Daily Entry'!$A$4:$A$2003,$A89))</f>
        <v/>
      </c>
      <c r="P89" s="10" t="str">
        <f aca="false">IF($A89="","",SUMPRODUCT(('Daily Entry'!$A$4:$A$2003=$A89)*('Daily Entry'!$M$4:$M$2003)*('Daily Entry'!$D$4:$D$2003)))</f>
        <v/>
      </c>
    </row>
    <row r="90" customFormat="false" ht="15" hidden="false" customHeight="false" outlineLevel="0" collapsed="false">
      <c r="A90" s="27"/>
      <c r="B90" s="10" t="str">
        <f aca="false">IF($A90="","",SUMIFS('Daily Entry'!$P$4:$P$2003,'Daily Entry'!$A$4:$A$2003,$A90))</f>
        <v/>
      </c>
      <c r="C90" s="9"/>
      <c r="D90" s="9"/>
      <c r="E90" s="9"/>
      <c r="F90" s="8"/>
      <c r="G90" s="9"/>
      <c r="H90" s="9"/>
      <c r="I90" s="8"/>
      <c r="J90" s="28" t="str">
        <f aca="false">IF($A90="","",$B90+$C90-$D90-$E90-$G90-$H90)</f>
        <v/>
      </c>
      <c r="K90" s="10" t="str">
        <f aca="false">IF($A90="","",SUMIFS('Daily Entry'!$Q$4:$Q$2003,'Daily Entry'!$A$4:$A$2003,$A90))</f>
        <v/>
      </c>
      <c r="L90" s="10" t="str">
        <f aca="false">IF($A90="","",$B90-$K90)</f>
        <v/>
      </c>
      <c r="M90" s="28" t="str">
        <f aca="false">IF($A90="","",$L90-$D90-$E90-$G90)</f>
        <v/>
      </c>
      <c r="N90" s="10" t="str">
        <f aca="false">IF($A90="","",SUMIFS('Daily Entry'!$H$4:$H$2003,'Daily Entry'!$A$4:$A$2003,$A90))</f>
        <v/>
      </c>
      <c r="O90" s="10" t="str">
        <f aca="false">IF($A90="","",SUMIFS('Daily Entry'!$I$4:$I$2003,'Daily Entry'!$A$4:$A$2003,$A90))</f>
        <v/>
      </c>
      <c r="P90" s="10" t="str">
        <f aca="false">IF($A90="","",SUMPRODUCT(('Daily Entry'!$A$4:$A$2003=$A90)*('Daily Entry'!$M$4:$M$2003)*('Daily Entry'!$D$4:$D$2003)))</f>
        <v/>
      </c>
    </row>
    <row r="91" customFormat="false" ht="15" hidden="false" customHeight="false" outlineLevel="0" collapsed="false">
      <c r="A91" s="27"/>
      <c r="B91" s="10" t="str">
        <f aca="false">IF($A91="","",SUMIFS('Daily Entry'!$P$4:$P$2003,'Daily Entry'!$A$4:$A$2003,$A91))</f>
        <v/>
      </c>
      <c r="C91" s="9"/>
      <c r="D91" s="9"/>
      <c r="E91" s="9"/>
      <c r="F91" s="8"/>
      <c r="G91" s="9"/>
      <c r="H91" s="9"/>
      <c r="I91" s="8"/>
      <c r="J91" s="28" t="str">
        <f aca="false">IF($A91="","",$B91+$C91-$D91-$E91-$G91-$H91)</f>
        <v/>
      </c>
      <c r="K91" s="10" t="str">
        <f aca="false">IF($A91="","",SUMIFS('Daily Entry'!$Q$4:$Q$2003,'Daily Entry'!$A$4:$A$2003,$A91))</f>
        <v/>
      </c>
      <c r="L91" s="10" t="str">
        <f aca="false">IF($A91="","",$B91-$K91)</f>
        <v/>
      </c>
      <c r="M91" s="28" t="str">
        <f aca="false">IF($A91="","",$L91-$D91-$E91-$G91)</f>
        <v/>
      </c>
      <c r="N91" s="10" t="str">
        <f aca="false">IF($A91="","",SUMIFS('Daily Entry'!$H$4:$H$2003,'Daily Entry'!$A$4:$A$2003,$A91))</f>
        <v/>
      </c>
      <c r="O91" s="10" t="str">
        <f aca="false">IF($A91="","",SUMIFS('Daily Entry'!$I$4:$I$2003,'Daily Entry'!$A$4:$A$2003,$A91))</f>
        <v/>
      </c>
      <c r="P91" s="10" t="str">
        <f aca="false">IF($A91="","",SUMPRODUCT(('Daily Entry'!$A$4:$A$2003=$A91)*('Daily Entry'!$M$4:$M$2003)*('Daily Entry'!$D$4:$D$2003)))</f>
        <v/>
      </c>
    </row>
    <row r="92" customFormat="false" ht="15" hidden="false" customHeight="false" outlineLevel="0" collapsed="false">
      <c r="A92" s="27"/>
      <c r="B92" s="10" t="str">
        <f aca="false">IF($A92="","",SUMIFS('Daily Entry'!$P$4:$P$2003,'Daily Entry'!$A$4:$A$2003,$A92))</f>
        <v/>
      </c>
      <c r="C92" s="9"/>
      <c r="D92" s="9"/>
      <c r="E92" s="9"/>
      <c r="F92" s="8"/>
      <c r="G92" s="9"/>
      <c r="H92" s="9"/>
      <c r="I92" s="8"/>
      <c r="J92" s="28" t="str">
        <f aca="false">IF($A92="","",$B92+$C92-$D92-$E92-$G92-$H92)</f>
        <v/>
      </c>
      <c r="K92" s="10" t="str">
        <f aca="false">IF($A92="","",SUMIFS('Daily Entry'!$Q$4:$Q$2003,'Daily Entry'!$A$4:$A$2003,$A92))</f>
        <v/>
      </c>
      <c r="L92" s="10" t="str">
        <f aca="false">IF($A92="","",$B92-$K92)</f>
        <v/>
      </c>
      <c r="M92" s="28" t="str">
        <f aca="false">IF($A92="","",$L92-$D92-$E92-$G92)</f>
        <v/>
      </c>
      <c r="N92" s="10" t="str">
        <f aca="false">IF($A92="","",SUMIFS('Daily Entry'!$H$4:$H$2003,'Daily Entry'!$A$4:$A$2003,$A92))</f>
        <v/>
      </c>
      <c r="O92" s="10" t="str">
        <f aca="false">IF($A92="","",SUMIFS('Daily Entry'!$I$4:$I$2003,'Daily Entry'!$A$4:$A$2003,$A92))</f>
        <v/>
      </c>
      <c r="P92" s="10" t="str">
        <f aca="false">IF($A92="","",SUMPRODUCT(('Daily Entry'!$A$4:$A$2003=$A92)*('Daily Entry'!$M$4:$M$2003)*('Daily Entry'!$D$4:$D$2003)))</f>
        <v/>
      </c>
    </row>
    <row r="93" customFormat="false" ht="15" hidden="false" customHeight="false" outlineLevel="0" collapsed="false">
      <c r="A93" s="27"/>
      <c r="B93" s="10" t="str">
        <f aca="false">IF($A93="","",SUMIFS('Daily Entry'!$P$4:$P$2003,'Daily Entry'!$A$4:$A$2003,$A93))</f>
        <v/>
      </c>
      <c r="C93" s="9"/>
      <c r="D93" s="9"/>
      <c r="E93" s="9"/>
      <c r="F93" s="8"/>
      <c r="G93" s="9"/>
      <c r="H93" s="9"/>
      <c r="I93" s="8"/>
      <c r="J93" s="28" t="str">
        <f aca="false">IF($A93="","",$B93+$C93-$D93-$E93-$G93-$H93)</f>
        <v/>
      </c>
      <c r="K93" s="10" t="str">
        <f aca="false">IF($A93="","",SUMIFS('Daily Entry'!$Q$4:$Q$2003,'Daily Entry'!$A$4:$A$2003,$A93))</f>
        <v/>
      </c>
      <c r="L93" s="10" t="str">
        <f aca="false">IF($A93="","",$B93-$K93)</f>
        <v/>
      </c>
      <c r="M93" s="28" t="str">
        <f aca="false">IF($A93="","",$L93-$D93-$E93-$G93)</f>
        <v/>
      </c>
      <c r="N93" s="10" t="str">
        <f aca="false">IF($A93="","",SUMIFS('Daily Entry'!$H$4:$H$2003,'Daily Entry'!$A$4:$A$2003,$A93))</f>
        <v/>
      </c>
      <c r="O93" s="10" t="str">
        <f aca="false">IF($A93="","",SUMIFS('Daily Entry'!$I$4:$I$2003,'Daily Entry'!$A$4:$A$2003,$A93))</f>
        <v/>
      </c>
      <c r="P93" s="10" t="str">
        <f aca="false">IF($A93="","",SUMPRODUCT(('Daily Entry'!$A$4:$A$2003=$A93)*('Daily Entry'!$M$4:$M$2003)*('Daily Entry'!$D$4:$D$2003)))</f>
        <v/>
      </c>
    </row>
    <row r="94" customFormat="false" ht="15" hidden="false" customHeight="false" outlineLevel="0" collapsed="false">
      <c r="A94" s="27"/>
      <c r="B94" s="10" t="str">
        <f aca="false">IF($A94="","",SUMIFS('Daily Entry'!$P$4:$P$2003,'Daily Entry'!$A$4:$A$2003,$A94))</f>
        <v/>
      </c>
      <c r="C94" s="9"/>
      <c r="D94" s="9"/>
      <c r="E94" s="9"/>
      <c r="F94" s="8"/>
      <c r="G94" s="9"/>
      <c r="H94" s="9"/>
      <c r="I94" s="8"/>
      <c r="J94" s="28" t="str">
        <f aca="false">IF($A94="","",$B94+$C94-$D94-$E94-$G94-$H94)</f>
        <v/>
      </c>
      <c r="K94" s="10" t="str">
        <f aca="false">IF($A94="","",SUMIFS('Daily Entry'!$Q$4:$Q$2003,'Daily Entry'!$A$4:$A$2003,$A94))</f>
        <v/>
      </c>
      <c r="L94" s="10" t="str">
        <f aca="false">IF($A94="","",$B94-$K94)</f>
        <v/>
      </c>
      <c r="M94" s="28" t="str">
        <f aca="false">IF($A94="","",$L94-$D94-$E94-$G94)</f>
        <v/>
      </c>
      <c r="N94" s="10" t="str">
        <f aca="false">IF($A94="","",SUMIFS('Daily Entry'!$H$4:$H$2003,'Daily Entry'!$A$4:$A$2003,$A94))</f>
        <v/>
      </c>
      <c r="O94" s="10" t="str">
        <f aca="false">IF($A94="","",SUMIFS('Daily Entry'!$I$4:$I$2003,'Daily Entry'!$A$4:$A$2003,$A94))</f>
        <v/>
      </c>
      <c r="P94" s="10" t="str">
        <f aca="false">IF($A94="","",SUMPRODUCT(('Daily Entry'!$A$4:$A$2003=$A94)*('Daily Entry'!$M$4:$M$2003)*('Daily Entry'!$D$4:$D$2003)))</f>
        <v/>
      </c>
    </row>
    <row r="95" customFormat="false" ht="15" hidden="false" customHeight="false" outlineLevel="0" collapsed="false">
      <c r="A95" s="27"/>
      <c r="B95" s="10" t="str">
        <f aca="false">IF($A95="","",SUMIFS('Daily Entry'!$P$4:$P$2003,'Daily Entry'!$A$4:$A$2003,$A95))</f>
        <v/>
      </c>
      <c r="C95" s="9"/>
      <c r="D95" s="9"/>
      <c r="E95" s="9"/>
      <c r="F95" s="8"/>
      <c r="G95" s="9"/>
      <c r="H95" s="9"/>
      <c r="I95" s="8"/>
      <c r="J95" s="28" t="str">
        <f aca="false">IF($A95="","",$B95+$C95-$D95-$E95-$G95-$H95)</f>
        <v/>
      </c>
      <c r="K95" s="10" t="str">
        <f aca="false">IF($A95="","",SUMIFS('Daily Entry'!$Q$4:$Q$2003,'Daily Entry'!$A$4:$A$2003,$A95))</f>
        <v/>
      </c>
      <c r="L95" s="10" t="str">
        <f aca="false">IF($A95="","",$B95-$K95)</f>
        <v/>
      </c>
      <c r="M95" s="28" t="str">
        <f aca="false">IF($A95="","",$L95-$D95-$E95-$G95)</f>
        <v/>
      </c>
      <c r="N95" s="10" t="str">
        <f aca="false">IF($A95="","",SUMIFS('Daily Entry'!$H$4:$H$2003,'Daily Entry'!$A$4:$A$2003,$A95))</f>
        <v/>
      </c>
      <c r="O95" s="10" t="str">
        <f aca="false">IF($A95="","",SUMIFS('Daily Entry'!$I$4:$I$2003,'Daily Entry'!$A$4:$A$2003,$A95))</f>
        <v/>
      </c>
      <c r="P95" s="10" t="str">
        <f aca="false">IF($A95="","",SUMPRODUCT(('Daily Entry'!$A$4:$A$2003=$A95)*('Daily Entry'!$M$4:$M$2003)*('Daily Entry'!$D$4:$D$2003)))</f>
        <v/>
      </c>
    </row>
    <row r="96" customFormat="false" ht="15" hidden="false" customHeight="false" outlineLevel="0" collapsed="false">
      <c r="A96" s="27"/>
      <c r="B96" s="10" t="str">
        <f aca="false">IF($A96="","",SUMIFS('Daily Entry'!$P$4:$P$2003,'Daily Entry'!$A$4:$A$2003,$A96))</f>
        <v/>
      </c>
      <c r="C96" s="9"/>
      <c r="D96" s="9"/>
      <c r="E96" s="9"/>
      <c r="F96" s="8"/>
      <c r="G96" s="9"/>
      <c r="H96" s="9"/>
      <c r="I96" s="8"/>
      <c r="J96" s="28" t="str">
        <f aca="false">IF($A96="","",$B96+$C96-$D96-$E96-$G96-$H96)</f>
        <v/>
      </c>
      <c r="K96" s="10" t="str">
        <f aca="false">IF($A96="","",SUMIFS('Daily Entry'!$Q$4:$Q$2003,'Daily Entry'!$A$4:$A$2003,$A96))</f>
        <v/>
      </c>
      <c r="L96" s="10" t="str">
        <f aca="false">IF($A96="","",$B96-$K96)</f>
        <v/>
      </c>
      <c r="M96" s="28" t="str">
        <f aca="false">IF($A96="","",$L96-$D96-$E96-$G96)</f>
        <v/>
      </c>
      <c r="N96" s="10" t="str">
        <f aca="false">IF($A96="","",SUMIFS('Daily Entry'!$H$4:$H$2003,'Daily Entry'!$A$4:$A$2003,$A96))</f>
        <v/>
      </c>
      <c r="O96" s="10" t="str">
        <f aca="false">IF($A96="","",SUMIFS('Daily Entry'!$I$4:$I$2003,'Daily Entry'!$A$4:$A$2003,$A96))</f>
        <v/>
      </c>
      <c r="P96" s="10" t="str">
        <f aca="false">IF($A96="","",SUMPRODUCT(('Daily Entry'!$A$4:$A$2003=$A96)*('Daily Entry'!$M$4:$M$2003)*('Daily Entry'!$D$4:$D$2003)))</f>
        <v/>
      </c>
    </row>
    <row r="97" customFormat="false" ht="15" hidden="false" customHeight="false" outlineLevel="0" collapsed="false">
      <c r="A97" s="27"/>
      <c r="B97" s="10" t="str">
        <f aca="false">IF($A97="","",SUMIFS('Daily Entry'!$P$4:$P$2003,'Daily Entry'!$A$4:$A$2003,$A97))</f>
        <v/>
      </c>
      <c r="C97" s="9"/>
      <c r="D97" s="9"/>
      <c r="E97" s="9"/>
      <c r="F97" s="8"/>
      <c r="G97" s="9"/>
      <c r="H97" s="9"/>
      <c r="I97" s="8"/>
      <c r="J97" s="28" t="str">
        <f aca="false">IF($A97="","",$B97+$C97-$D97-$E97-$G97-$H97)</f>
        <v/>
      </c>
      <c r="K97" s="10" t="str">
        <f aca="false">IF($A97="","",SUMIFS('Daily Entry'!$Q$4:$Q$2003,'Daily Entry'!$A$4:$A$2003,$A97))</f>
        <v/>
      </c>
      <c r="L97" s="10" t="str">
        <f aca="false">IF($A97="","",$B97-$K97)</f>
        <v/>
      </c>
      <c r="M97" s="28" t="str">
        <f aca="false">IF($A97="","",$L97-$D97-$E97-$G97)</f>
        <v/>
      </c>
      <c r="N97" s="10" t="str">
        <f aca="false">IF($A97="","",SUMIFS('Daily Entry'!$H$4:$H$2003,'Daily Entry'!$A$4:$A$2003,$A97))</f>
        <v/>
      </c>
      <c r="O97" s="10" t="str">
        <f aca="false">IF($A97="","",SUMIFS('Daily Entry'!$I$4:$I$2003,'Daily Entry'!$A$4:$A$2003,$A97))</f>
        <v/>
      </c>
      <c r="P97" s="10" t="str">
        <f aca="false">IF($A97="","",SUMPRODUCT(('Daily Entry'!$A$4:$A$2003=$A97)*('Daily Entry'!$M$4:$M$2003)*('Daily Entry'!$D$4:$D$2003)))</f>
        <v/>
      </c>
    </row>
    <row r="98" customFormat="false" ht="15" hidden="false" customHeight="false" outlineLevel="0" collapsed="false">
      <c r="A98" s="27"/>
      <c r="B98" s="10" t="str">
        <f aca="false">IF($A98="","",SUMIFS('Daily Entry'!$P$4:$P$2003,'Daily Entry'!$A$4:$A$2003,$A98))</f>
        <v/>
      </c>
      <c r="C98" s="9"/>
      <c r="D98" s="9"/>
      <c r="E98" s="9"/>
      <c r="F98" s="8"/>
      <c r="G98" s="9"/>
      <c r="H98" s="9"/>
      <c r="I98" s="8"/>
      <c r="J98" s="28" t="str">
        <f aca="false">IF($A98="","",$B98+$C98-$D98-$E98-$G98-$H98)</f>
        <v/>
      </c>
      <c r="K98" s="10" t="str">
        <f aca="false">IF($A98="","",SUMIFS('Daily Entry'!$Q$4:$Q$2003,'Daily Entry'!$A$4:$A$2003,$A98))</f>
        <v/>
      </c>
      <c r="L98" s="10" t="str">
        <f aca="false">IF($A98="","",$B98-$K98)</f>
        <v/>
      </c>
      <c r="M98" s="28" t="str">
        <f aca="false">IF($A98="","",$L98-$D98-$E98-$G98)</f>
        <v/>
      </c>
      <c r="N98" s="10" t="str">
        <f aca="false">IF($A98="","",SUMIFS('Daily Entry'!$H$4:$H$2003,'Daily Entry'!$A$4:$A$2003,$A98))</f>
        <v/>
      </c>
      <c r="O98" s="10" t="str">
        <f aca="false">IF($A98="","",SUMIFS('Daily Entry'!$I$4:$I$2003,'Daily Entry'!$A$4:$A$2003,$A98))</f>
        <v/>
      </c>
      <c r="P98" s="10" t="str">
        <f aca="false">IF($A98="","",SUMPRODUCT(('Daily Entry'!$A$4:$A$2003=$A98)*('Daily Entry'!$M$4:$M$2003)*('Daily Entry'!$D$4:$D$2003)))</f>
        <v/>
      </c>
    </row>
    <row r="99" customFormat="false" ht="15" hidden="false" customHeight="false" outlineLevel="0" collapsed="false">
      <c r="A99" s="27"/>
      <c r="B99" s="10" t="str">
        <f aca="false">IF($A99="","",SUMIFS('Daily Entry'!$P$4:$P$2003,'Daily Entry'!$A$4:$A$2003,$A99))</f>
        <v/>
      </c>
      <c r="C99" s="9"/>
      <c r="D99" s="9"/>
      <c r="E99" s="9"/>
      <c r="F99" s="8"/>
      <c r="G99" s="9"/>
      <c r="H99" s="9"/>
      <c r="I99" s="8"/>
      <c r="J99" s="28" t="str">
        <f aca="false">IF($A99="","",$B99+$C99-$D99-$E99-$G99-$H99)</f>
        <v/>
      </c>
      <c r="K99" s="10" t="str">
        <f aca="false">IF($A99="","",SUMIFS('Daily Entry'!$Q$4:$Q$2003,'Daily Entry'!$A$4:$A$2003,$A99))</f>
        <v/>
      </c>
      <c r="L99" s="10" t="str">
        <f aca="false">IF($A99="","",$B99-$K99)</f>
        <v/>
      </c>
      <c r="M99" s="28" t="str">
        <f aca="false">IF($A99="","",$L99-$D99-$E99-$G99)</f>
        <v/>
      </c>
      <c r="N99" s="10" t="str">
        <f aca="false">IF($A99="","",SUMIFS('Daily Entry'!$H$4:$H$2003,'Daily Entry'!$A$4:$A$2003,$A99))</f>
        <v/>
      </c>
      <c r="O99" s="10" t="str">
        <f aca="false">IF($A99="","",SUMIFS('Daily Entry'!$I$4:$I$2003,'Daily Entry'!$A$4:$A$2003,$A99))</f>
        <v/>
      </c>
      <c r="P99" s="10" t="str">
        <f aca="false">IF($A99="","",SUMPRODUCT(('Daily Entry'!$A$4:$A$2003=$A99)*('Daily Entry'!$M$4:$M$2003)*('Daily Entry'!$D$4:$D$2003)))</f>
        <v/>
      </c>
    </row>
    <row r="100" customFormat="false" ht="15" hidden="false" customHeight="false" outlineLevel="0" collapsed="false">
      <c r="A100" s="27"/>
      <c r="B100" s="10" t="str">
        <f aca="false">IF($A100="","",SUMIFS('Daily Entry'!$P$4:$P$2003,'Daily Entry'!$A$4:$A$2003,$A100))</f>
        <v/>
      </c>
      <c r="C100" s="9"/>
      <c r="D100" s="9"/>
      <c r="E100" s="9"/>
      <c r="F100" s="8"/>
      <c r="G100" s="9"/>
      <c r="H100" s="9"/>
      <c r="I100" s="8"/>
      <c r="J100" s="28" t="str">
        <f aca="false">IF($A100="","",$B100+$C100-$D100-$E100-$G100-$H100)</f>
        <v/>
      </c>
      <c r="K100" s="10" t="str">
        <f aca="false">IF($A100="","",SUMIFS('Daily Entry'!$Q$4:$Q$2003,'Daily Entry'!$A$4:$A$2003,$A100))</f>
        <v/>
      </c>
      <c r="L100" s="10" t="str">
        <f aca="false">IF($A100="","",$B100-$K100)</f>
        <v/>
      </c>
      <c r="M100" s="28" t="str">
        <f aca="false">IF($A100="","",$L100-$D100-$E100-$G100)</f>
        <v/>
      </c>
      <c r="N100" s="10" t="str">
        <f aca="false">IF($A100="","",SUMIFS('Daily Entry'!$H$4:$H$2003,'Daily Entry'!$A$4:$A$2003,$A100))</f>
        <v/>
      </c>
      <c r="O100" s="10" t="str">
        <f aca="false">IF($A100="","",SUMIFS('Daily Entry'!$I$4:$I$2003,'Daily Entry'!$A$4:$A$2003,$A100))</f>
        <v/>
      </c>
      <c r="P100" s="10" t="str">
        <f aca="false">IF($A100="","",SUMPRODUCT(('Daily Entry'!$A$4:$A$2003=$A100)*('Daily Entry'!$M$4:$M$2003)*('Daily Entry'!$D$4:$D$2003)))</f>
        <v/>
      </c>
    </row>
    <row r="101" customFormat="false" ht="15" hidden="false" customHeight="false" outlineLevel="0" collapsed="false">
      <c r="A101" s="27"/>
      <c r="B101" s="10" t="str">
        <f aca="false">IF($A101="","",SUMIFS('Daily Entry'!$P$4:$P$2003,'Daily Entry'!$A$4:$A$2003,$A101))</f>
        <v/>
      </c>
      <c r="C101" s="9"/>
      <c r="D101" s="9"/>
      <c r="E101" s="9"/>
      <c r="F101" s="8"/>
      <c r="G101" s="9"/>
      <c r="H101" s="9"/>
      <c r="I101" s="8"/>
      <c r="J101" s="28" t="str">
        <f aca="false">IF($A101="","",$B101+$C101-$D101-$E101-$G101-$H101)</f>
        <v/>
      </c>
      <c r="K101" s="10" t="str">
        <f aca="false">IF($A101="","",SUMIFS('Daily Entry'!$Q$4:$Q$2003,'Daily Entry'!$A$4:$A$2003,$A101))</f>
        <v/>
      </c>
      <c r="L101" s="10" t="str">
        <f aca="false">IF($A101="","",$B101-$K101)</f>
        <v/>
      </c>
      <c r="M101" s="28" t="str">
        <f aca="false">IF($A101="","",$L101-$D101-$E101-$G101)</f>
        <v/>
      </c>
      <c r="N101" s="10" t="str">
        <f aca="false">IF($A101="","",SUMIFS('Daily Entry'!$H$4:$H$2003,'Daily Entry'!$A$4:$A$2003,$A101))</f>
        <v/>
      </c>
      <c r="O101" s="10" t="str">
        <f aca="false">IF($A101="","",SUMIFS('Daily Entry'!$I$4:$I$2003,'Daily Entry'!$A$4:$A$2003,$A101))</f>
        <v/>
      </c>
      <c r="P101" s="10" t="str">
        <f aca="false">IF($A101="","",SUMPRODUCT(('Daily Entry'!$A$4:$A$2003=$A101)*('Daily Entry'!$M$4:$M$2003)*('Daily Entry'!$D$4:$D$2003)))</f>
        <v/>
      </c>
    </row>
    <row r="102" customFormat="false" ht="15" hidden="false" customHeight="false" outlineLevel="0" collapsed="false">
      <c r="A102" s="27"/>
      <c r="B102" s="10" t="str">
        <f aca="false">IF($A102="","",SUMIFS('Daily Entry'!$P$4:$P$2003,'Daily Entry'!$A$4:$A$2003,$A102))</f>
        <v/>
      </c>
      <c r="C102" s="9"/>
      <c r="D102" s="9"/>
      <c r="E102" s="9"/>
      <c r="F102" s="8"/>
      <c r="G102" s="9"/>
      <c r="H102" s="9"/>
      <c r="I102" s="8"/>
      <c r="J102" s="28" t="str">
        <f aca="false">IF($A102="","",$B102+$C102-$D102-$E102-$G102-$H102)</f>
        <v/>
      </c>
      <c r="K102" s="10" t="str">
        <f aca="false">IF($A102="","",SUMIFS('Daily Entry'!$Q$4:$Q$2003,'Daily Entry'!$A$4:$A$2003,$A102))</f>
        <v/>
      </c>
      <c r="L102" s="10" t="str">
        <f aca="false">IF($A102="","",$B102-$K102)</f>
        <v/>
      </c>
      <c r="M102" s="28" t="str">
        <f aca="false">IF($A102="","",$L102-$D102-$E102-$G102)</f>
        <v/>
      </c>
      <c r="N102" s="10" t="str">
        <f aca="false">IF($A102="","",SUMIFS('Daily Entry'!$H$4:$H$2003,'Daily Entry'!$A$4:$A$2003,$A102))</f>
        <v/>
      </c>
      <c r="O102" s="10" t="str">
        <f aca="false">IF($A102="","",SUMIFS('Daily Entry'!$I$4:$I$2003,'Daily Entry'!$A$4:$A$2003,$A102))</f>
        <v/>
      </c>
      <c r="P102" s="10" t="str">
        <f aca="false">IF($A102="","",SUMPRODUCT(('Daily Entry'!$A$4:$A$2003=$A102)*('Daily Entry'!$M$4:$M$2003)*('Daily Entry'!$D$4:$D$2003)))</f>
        <v/>
      </c>
    </row>
    <row r="103" customFormat="false" ht="15" hidden="false" customHeight="false" outlineLevel="0" collapsed="false">
      <c r="A103" s="27"/>
      <c r="B103" s="10" t="str">
        <f aca="false">IF($A103="","",SUMIFS('Daily Entry'!$P$4:$P$2003,'Daily Entry'!$A$4:$A$2003,$A103))</f>
        <v/>
      </c>
      <c r="C103" s="9"/>
      <c r="D103" s="9"/>
      <c r="E103" s="9"/>
      <c r="F103" s="8"/>
      <c r="G103" s="9"/>
      <c r="H103" s="9"/>
      <c r="I103" s="8"/>
      <c r="J103" s="28" t="str">
        <f aca="false">IF($A103="","",$B103+$C103-$D103-$E103-$G103-$H103)</f>
        <v/>
      </c>
      <c r="K103" s="10" t="str">
        <f aca="false">IF($A103="","",SUMIFS('Daily Entry'!$Q$4:$Q$2003,'Daily Entry'!$A$4:$A$2003,$A103))</f>
        <v/>
      </c>
      <c r="L103" s="10" t="str">
        <f aca="false">IF($A103="","",$B103-$K103)</f>
        <v/>
      </c>
      <c r="M103" s="28" t="str">
        <f aca="false">IF($A103="","",$L103-$D103-$E103-$G103)</f>
        <v/>
      </c>
      <c r="N103" s="10" t="str">
        <f aca="false">IF($A103="","",SUMIFS('Daily Entry'!$H$4:$H$2003,'Daily Entry'!$A$4:$A$2003,$A103))</f>
        <v/>
      </c>
      <c r="O103" s="10" t="str">
        <f aca="false">IF($A103="","",SUMIFS('Daily Entry'!$I$4:$I$2003,'Daily Entry'!$A$4:$A$2003,$A103))</f>
        <v/>
      </c>
      <c r="P103" s="10" t="str">
        <f aca="false">IF($A103="","",SUMPRODUCT(('Daily Entry'!$A$4:$A$2003=$A103)*('Daily Entry'!$M$4:$M$2003)*('Daily Entry'!$D$4:$D$2003)))</f>
        <v/>
      </c>
    </row>
    <row r="104" customFormat="false" ht="15" hidden="false" customHeight="false" outlineLevel="0" collapsed="false">
      <c r="A104" s="27"/>
      <c r="B104" s="10" t="str">
        <f aca="false">IF($A104="","",SUMIFS('Daily Entry'!$P$4:$P$2003,'Daily Entry'!$A$4:$A$2003,$A104))</f>
        <v/>
      </c>
      <c r="C104" s="9"/>
      <c r="D104" s="9"/>
      <c r="E104" s="9"/>
      <c r="F104" s="8"/>
      <c r="G104" s="9"/>
      <c r="H104" s="9"/>
      <c r="I104" s="8"/>
      <c r="J104" s="28" t="str">
        <f aca="false">IF($A104="","",$B104+$C104-$D104-$E104-$G104-$H104)</f>
        <v/>
      </c>
      <c r="K104" s="10" t="str">
        <f aca="false">IF($A104="","",SUMIFS('Daily Entry'!$Q$4:$Q$2003,'Daily Entry'!$A$4:$A$2003,$A104))</f>
        <v/>
      </c>
      <c r="L104" s="10" t="str">
        <f aca="false">IF($A104="","",$B104-$K104)</f>
        <v/>
      </c>
      <c r="M104" s="28" t="str">
        <f aca="false">IF($A104="","",$L104-$D104-$E104-$G104)</f>
        <v/>
      </c>
      <c r="N104" s="10" t="str">
        <f aca="false">IF($A104="","",SUMIFS('Daily Entry'!$H$4:$H$2003,'Daily Entry'!$A$4:$A$2003,$A104))</f>
        <v/>
      </c>
      <c r="O104" s="10" t="str">
        <f aca="false">IF($A104="","",SUMIFS('Daily Entry'!$I$4:$I$2003,'Daily Entry'!$A$4:$A$2003,$A104))</f>
        <v/>
      </c>
      <c r="P104" s="10" t="str">
        <f aca="false">IF($A104="","",SUMPRODUCT(('Daily Entry'!$A$4:$A$2003=$A104)*('Daily Entry'!$M$4:$M$2003)*('Daily Entry'!$D$4:$D$2003)))</f>
        <v/>
      </c>
    </row>
    <row r="105" customFormat="false" ht="15" hidden="false" customHeight="false" outlineLevel="0" collapsed="false">
      <c r="A105" s="27"/>
      <c r="B105" s="10" t="str">
        <f aca="false">IF($A105="","",SUMIFS('Daily Entry'!$P$4:$P$2003,'Daily Entry'!$A$4:$A$2003,$A105))</f>
        <v/>
      </c>
      <c r="C105" s="9"/>
      <c r="D105" s="9"/>
      <c r="E105" s="9"/>
      <c r="F105" s="8"/>
      <c r="G105" s="9"/>
      <c r="H105" s="9"/>
      <c r="I105" s="8"/>
      <c r="J105" s="28" t="str">
        <f aca="false">IF($A105="","",$B105+$C105-$D105-$E105-$G105-$H105)</f>
        <v/>
      </c>
      <c r="K105" s="10" t="str">
        <f aca="false">IF($A105="","",SUMIFS('Daily Entry'!$Q$4:$Q$2003,'Daily Entry'!$A$4:$A$2003,$A105))</f>
        <v/>
      </c>
      <c r="L105" s="10" t="str">
        <f aca="false">IF($A105="","",$B105-$K105)</f>
        <v/>
      </c>
      <c r="M105" s="28" t="str">
        <f aca="false">IF($A105="","",$L105-$D105-$E105-$G105)</f>
        <v/>
      </c>
      <c r="N105" s="10" t="str">
        <f aca="false">IF($A105="","",SUMIFS('Daily Entry'!$H$4:$H$2003,'Daily Entry'!$A$4:$A$2003,$A105))</f>
        <v/>
      </c>
      <c r="O105" s="10" t="str">
        <f aca="false">IF($A105="","",SUMIFS('Daily Entry'!$I$4:$I$2003,'Daily Entry'!$A$4:$A$2003,$A105))</f>
        <v/>
      </c>
      <c r="P105" s="10" t="str">
        <f aca="false">IF($A105="","",SUMPRODUCT(('Daily Entry'!$A$4:$A$2003=$A105)*('Daily Entry'!$M$4:$M$2003)*('Daily Entry'!$D$4:$D$2003)))</f>
        <v/>
      </c>
    </row>
    <row r="106" customFormat="false" ht="15" hidden="false" customHeight="false" outlineLevel="0" collapsed="false">
      <c r="A106" s="27"/>
      <c r="B106" s="10" t="str">
        <f aca="false">IF($A106="","",SUMIFS('Daily Entry'!$P$4:$P$2003,'Daily Entry'!$A$4:$A$2003,$A106))</f>
        <v/>
      </c>
      <c r="C106" s="9"/>
      <c r="D106" s="9"/>
      <c r="E106" s="9"/>
      <c r="F106" s="8"/>
      <c r="G106" s="9"/>
      <c r="H106" s="9"/>
      <c r="I106" s="8"/>
      <c r="J106" s="28" t="str">
        <f aca="false">IF($A106="","",$B106+$C106-$D106-$E106-$G106-$H106)</f>
        <v/>
      </c>
      <c r="K106" s="10" t="str">
        <f aca="false">IF($A106="","",SUMIFS('Daily Entry'!$Q$4:$Q$2003,'Daily Entry'!$A$4:$A$2003,$A106))</f>
        <v/>
      </c>
      <c r="L106" s="10" t="str">
        <f aca="false">IF($A106="","",$B106-$K106)</f>
        <v/>
      </c>
      <c r="M106" s="28" t="str">
        <f aca="false">IF($A106="","",$L106-$D106-$E106-$G106)</f>
        <v/>
      </c>
      <c r="N106" s="10" t="str">
        <f aca="false">IF($A106="","",SUMIFS('Daily Entry'!$H$4:$H$2003,'Daily Entry'!$A$4:$A$2003,$A106))</f>
        <v/>
      </c>
      <c r="O106" s="10" t="str">
        <f aca="false">IF($A106="","",SUMIFS('Daily Entry'!$I$4:$I$2003,'Daily Entry'!$A$4:$A$2003,$A106))</f>
        <v/>
      </c>
      <c r="P106" s="10" t="str">
        <f aca="false">IF($A106="","",SUMPRODUCT(('Daily Entry'!$A$4:$A$2003=$A106)*('Daily Entry'!$M$4:$M$2003)*('Daily Entry'!$D$4:$D$2003)))</f>
        <v/>
      </c>
    </row>
    <row r="107" customFormat="false" ht="15" hidden="false" customHeight="false" outlineLevel="0" collapsed="false">
      <c r="A107" s="27"/>
      <c r="B107" s="10" t="str">
        <f aca="false">IF($A107="","",SUMIFS('Daily Entry'!$P$4:$P$2003,'Daily Entry'!$A$4:$A$2003,$A107))</f>
        <v/>
      </c>
      <c r="C107" s="9"/>
      <c r="D107" s="9"/>
      <c r="E107" s="9"/>
      <c r="F107" s="8"/>
      <c r="G107" s="9"/>
      <c r="H107" s="9"/>
      <c r="I107" s="8"/>
      <c r="J107" s="28" t="str">
        <f aca="false">IF($A107="","",$B107+$C107-$D107-$E107-$G107-$H107)</f>
        <v/>
      </c>
      <c r="K107" s="10" t="str">
        <f aca="false">IF($A107="","",SUMIFS('Daily Entry'!$Q$4:$Q$2003,'Daily Entry'!$A$4:$A$2003,$A107))</f>
        <v/>
      </c>
      <c r="L107" s="10" t="str">
        <f aca="false">IF($A107="","",$B107-$K107)</f>
        <v/>
      </c>
      <c r="M107" s="28" t="str">
        <f aca="false">IF($A107="","",$L107-$D107-$E107-$G107)</f>
        <v/>
      </c>
      <c r="N107" s="10" t="str">
        <f aca="false">IF($A107="","",SUMIFS('Daily Entry'!$H$4:$H$2003,'Daily Entry'!$A$4:$A$2003,$A107))</f>
        <v/>
      </c>
      <c r="O107" s="10" t="str">
        <f aca="false">IF($A107="","",SUMIFS('Daily Entry'!$I$4:$I$2003,'Daily Entry'!$A$4:$A$2003,$A107))</f>
        <v/>
      </c>
      <c r="P107" s="10" t="str">
        <f aca="false">IF($A107="","",SUMPRODUCT(('Daily Entry'!$A$4:$A$2003=$A107)*('Daily Entry'!$M$4:$M$2003)*('Daily Entry'!$D$4:$D$2003)))</f>
        <v/>
      </c>
    </row>
    <row r="108" customFormat="false" ht="15" hidden="false" customHeight="false" outlineLevel="0" collapsed="false">
      <c r="A108" s="27"/>
      <c r="B108" s="10" t="str">
        <f aca="false">IF($A108="","",SUMIFS('Daily Entry'!$P$4:$P$2003,'Daily Entry'!$A$4:$A$2003,$A108))</f>
        <v/>
      </c>
      <c r="C108" s="9"/>
      <c r="D108" s="9"/>
      <c r="E108" s="9"/>
      <c r="F108" s="8"/>
      <c r="G108" s="9"/>
      <c r="H108" s="9"/>
      <c r="I108" s="8"/>
      <c r="J108" s="28" t="str">
        <f aca="false">IF($A108="","",$B108+$C108-$D108-$E108-$G108-$H108)</f>
        <v/>
      </c>
      <c r="K108" s="10" t="str">
        <f aca="false">IF($A108="","",SUMIFS('Daily Entry'!$Q$4:$Q$2003,'Daily Entry'!$A$4:$A$2003,$A108))</f>
        <v/>
      </c>
      <c r="L108" s="10" t="str">
        <f aca="false">IF($A108="","",$B108-$K108)</f>
        <v/>
      </c>
      <c r="M108" s="28" t="str">
        <f aca="false">IF($A108="","",$L108-$D108-$E108-$G108)</f>
        <v/>
      </c>
      <c r="N108" s="10" t="str">
        <f aca="false">IF($A108="","",SUMIFS('Daily Entry'!$H$4:$H$2003,'Daily Entry'!$A$4:$A$2003,$A108))</f>
        <v/>
      </c>
      <c r="O108" s="10" t="str">
        <f aca="false">IF($A108="","",SUMIFS('Daily Entry'!$I$4:$I$2003,'Daily Entry'!$A$4:$A$2003,$A108))</f>
        <v/>
      </c>
      <c r="P108" s="10" t="str">
        <f aca="false">IF($A108="","",SUMPRODUCT(('Daily Entry'!$A$4:$A$2003=$A108)*('Daily Entry'!$M$4:$M$2003)*('Daily Entry'!$D$4:$D$2003)))</f>
        <v/>
      </c>
    </row>
    <row r="109" customFormat="false" ht="15" hidden="false" customHeight="false" outlineLevel="0" collapsed="false">
      <c r="A109" s="27"/>
      <c r="B109" s="10" t="str">
        <f aca="false">IF($A109="","",SUMIFS('Daily Entry'!$P$4:$P$2003,'Daily Entry'!$A$4:$A$2003,$A109))</f>
        <v/>
      </c>
      <c r="C109" s="9"/>
      <c r="D109" s="9"/>
      <c r="E109" s="9"/>
      <c r="F109" s="8"/>
      <c r="G109" s="9"/>
      <c r="H109" s="9"/>
      <c r="I109" s="8"/>
      <c r="J109" s="28" t="str">
        <f aca="false">IF($A109="","",$B109+$C109-$D109-$E109-$G109-$H109)</f>
        <v/>
      </c>
      <c r="K109" s="10" t="str">
        <f aca="false">IF($A109="","",SUMIFS('Daily Entry'!$Q$4:$Q$2003,'Daily Entry'!$A$4:$A$2003,$A109))</f>
        <v/>
      </c>
      <c r="L109" s="10" t="str">
        <f aca="false">IF($A109="","",$B109-$K109)</f>
        <v/>
      </c>
      <c r="M109" s="28" t="str">
        <f aca="false">IF($A109="","",$L109-$D109-$E109-$G109)</f>
        <v/>
      </c>
      <c r="N109" s="10" t="str">
        <f aca="false">IF($A109="","",SUMIFS('Daily Entry'!$H$4:$H$2003,'Daily Entry'!$A$4:$A$2003,$A109))</f>
        <v/>
      </c>
      <c r="O109" s="10" t="str">
        <f aca="false">IF($A109="","",SUMIFS('Daily Entry'!$I$4:$I$2003,'Daily Entry'!$A$4:$A$2003,$A109))</f>
        <v/>
      </c>
      <c r="P109" s="10" t="str">
        <f aca="false">IF($A109="","",SUMPRODUCT(('Daily Entry'!$A$4:$A$2003=$A109)*('Daily Entry'!$M$4:$M$2003)*('Daily Entry'!$D$4:$D$2003)))</f>
        <v/>
      </c>
    </row>
    <row r="110" customFormat="false" ht="15" hidden="false" customHeight="false" outlineLevel="0" collapsed="false">
      <c r="A110" s="27"/>
      <c r="B110" s="10" t="str">
        <f aca="false">IF($A110="","",SUMIFS('Daily Entry'!$P$4:$P$2003,'Daily Entry'!$A$4:$A$2003,$A110))</f>
        <v/>
      </c>
      <c r="C110" s="9"/>
      <c r="D110" s="9"/>
      <c r="E110" s="9"/>
      <c r="F110" s="8"/>
      <c r="G110" s="9"/>
      <c r="H110" s="9"/>
      <c r="I110" s="8"/>
      <c r="J110" s="28" t="str">
        <f aca="false">IF($A110="","",$B110+$C110-$D110-$E110-$G110-$H110)</f>
        <v/>
      </c>
      <c r="K110" s="10" t="str">
        <f aca="false">IF($A110="","",SUMIFS('Daily Entry'!$Q$4:$Q$2003,'Daily Entry'!$A$4:$A$2003,$A110))</f>
        <v/>
      </c>
      <c r="L110" s="10" t="str">
        <f aca="false">IF($A110="","",$B110-$K110)</f>
        <v/>
      </c>
      <c r="M110" s="28" t="str">
        <f aca="false">IF($A110="","",$L110-$D110-$E110-$G110)</f>
        <v/>
      </c>
      <c r="N110" s="10" t="str">
        <f aca="false">IF($A110="","",SUMIFS('Daily Entry'!$H$4:$H$2003,'Daily Entry'!$A$4:$A$2003,$A110))</f>
        <v/>
      </c>
      <c r="O110" s="10" t="str">
        <f aca="false">IF($A110="","",SUMIFS('Daily Entry'!$I$4:$I$2003,'Daily Entry'!$A$4:$A$2003,$A110))</f>
        <v/>
      </c>
      <c r="P110" s="10" t="str">
        <f aca="false">IF($A110="","",SUMPRODUCT(('Daily Entry'!$A$4:$A$2003=$A110)*('Daily Entry'!$M$4:$M$2003)*('Daily Entry'!$D$4:$D$2003)))</f>
        <v/>
      </c>
    </row>
    <row r="111" customFormat="false" ht="15" hidden="false" customHeight="false" outlineLevel="0" collapsed="false">
      <c r="A111" s="27"/>
      <c r="B111" s="10" t="str">
        <f aca="false">IF($A111="","",SUMIFS('Daily Entry'!$P$4:$P$2003,'Daily Entry'!$A$4:$A$2003,$A111))</f>
        <v/>
      </c>
      <c r="C111" s="9"/>
      <c r="D111" s="9"/>
      <c r="E111" s="9"/>
      <c r="F111" s="8"/>
      <c r="G111" s="9"/>
      <c r="H111" s="9"/>
      <c r="I111" s="8"/>
      <c r="J111" s="28" t="str">
        <f aca="false">IF($A111="","",$B111+$C111-$D111-$E111-$G111-$H111)</f>
        <v/>
      </c>
      <c r="K111" s="10" t="str">
        <f aca="false">IF($A111="","",SUMIFS('Daily Entry'!$Q$4:$Q$2003,'Daily Entry'!$A$4:$A$2003,$A111))</f>
        <v/>
      </c>
      <c r="L111" s="10" t="str">
        <f aca="false">IF($A111="","",$B111-$K111)</f>
        <v/>
      </c>
      <c r="M111" s="28" t="str">
        <f aca="false">IF($A111="","",$L111-$D111-$E111-$G111)</f>
        <v/>
      </c>
      <c r="N111" s="10" t="str">
        <f aca="false">IF($A111="","",SUMIFS('Daily Entry'!$H$4:$H$2003,'Daily Entry'!$A$4:$A$2003,$A111))</f>
        <v/>
      </c>
      <c r="O111" s="10" t="str">
        <f aca="false">IF($A111="","",SUMIFS('Daily Entry'!$I$4:$I$2003,'Daily Entry'!$A$4:$A$2003,$A111))</f>
        <v/>
      </c>
      <c r="P111" s="10" t="str">
        <f aca="false">IF($A111="","",SUMPRODUCT(('Daily Entry'!$A$4:$A$2003=$A111)*('Daily Entry'!$M$4:$M$2003)*('Daily Entry'!$D$4:$D$2003)))</f>
        <v/>
      </c>
    </row>
    <row r="112" customFormat="false" ht="15" hidden="false" customHeight="false" outlineLevel="0" collapsed="false">
      <c r="A112" s="27"/>
      <c r="B112" s="10" t="str">
        <f aca="false">IF($A112="","",SUMIFS('Daily Entry'!$P$4:$P$2003,'Daily Entry'!$A$4:$A$2003,$A112))</f>
        <v/>
      </c>
      <c r="C112" s="9"/>
      <c r="D112" s="9"/>
      <c r="E112" s="9"/>
      <c r="F112" s="8"/>
      <c r="G112" s="9"/>
      <c r="H112" s="9"/>
      <c r="I112" s="8"/>
      <c r="J112" s="28" t="str">
        <f aca="false">IF($A112="","",$B112+$C112-$D112-$E112-$G112-$H112)</f>
        <v/>
      </c>
      <c r="K112" s="10" t="str">
        <f aca="false">IF($A112="","",SUMIFS('Daily Entry'!$Q$4:$Q$2003,'Daily Entry'!$A$4:$A$2003,$A112))</f>
        <v/>
      </c>
      <c r="L112" s="10" t="str">
        <f aca="false">IF($A112="","",$B112-$K112)</f>
        <v/>
      </c>
      <c r="M112" s="28" t="str">
        <f aca="false">IF($A112="","",$L112-$D112-$E112-$G112)</f>
        <v/>
      </c>
      <c r="N112" s="10" t="str">
        <f aca="false">IF($A112="","",SUMIFS('Daily Entry'!$H$4:$H$2003,'Daily Entry'!$A$4:$A$2003,$A112))</f>
        <v/>
      </c>
      <c r="O112" s="10" t="str">
        <f aca="false">IF($A112="","",SUMIFS('Daily Entry'!$I$4:$I$2003,'Daily Entry'!$A$4:$A$2003,$A112))</f>
        <v/>
      </c>
      <c r="P112" s="10" t="str">
        <f aca="false">IF($A112="","",SUMPRODUCT(('Daily Entry'!$A$4:$A$2003=$A112)*('Daily Entry'!$M$4:$M$2003)*('Daily Entry'!$D$4:$D$2003)))</f>
        <v/>
      </c>
    </row>
    <row r="113" customFormat="false" ht="15" hidden="false" customHeight="false" outlineLevel="0" collapsed="false">
      <c r="A113" s="27"/>
      <c r="B113" s="10" t="str">
        <f aca="false">IF($A113="","",SUMIFS('Daily Entry'!$P$4:$P$2003,'Daily Entry'!$A$4:$A$2003,$A113))</f>
        <v/>
      </c>
      <c r="C113" s="9"/>
      <c r="D113" s="9"/>
      <c r="E113" s="9"/>
      <c r="F113" s="8"/>
      <c r="G113" s="9"/>
      <c r="H113" s="9"/>
      <c r="I113" s="8"/>
      <c r="J113" s="28" t="str">
        <f aca="false">IF($A113="","",$B113+$C113-$D113-$E113-$G113-$H113)</f>
        <v/>
      </c>
      <c r="K113" s="10" t="str">
        <f aca="false">IF($A113="","",SUMIFS('Daily Entry'!$Q$4:$Q$2003,'Daily Entry'!$A$4:$A$2003,$A113))</f>
        <v/>
      </c>
      <c r="L113" s="10" t="str">
        <f aca="false">IF($A113="","",$B113-$K113)</f>
        <v/>
      </c>
      <c r="M113" s="28" t="str">
        <f aca="false">IF($A113="","",$L113-$D113-$E113-$G113)</f>
        <v/>
      </c>
      <c r="N113" s="10" t="str">
        <f aca="false">IF($A113="","",SUMIFS('Daily Entry'!$H$4:$H$2003,'Daily Entry'!$A$4:$A$2003,$A113))</f>
        <v/>
      </c>
      <c r="O113" s="10" t="str">
        <f aca="false">IF($A113="","",SUMIFS('Daily Entry'!$I$4:$I$2003,'Daily Entry'!$A$4:$A$2003,$A113))</f>
        <v/>
      </c>
      <c r="P113" s="10" t="str">
        <f aca="false">IF($A113="","",SUMPRODUCT(('Daily Entry'!$A$4:$A$2003=$A113)*('Daily Entry'!$M$4:$M$2003)*('Daily Entry'!$D$4:$D$2003)))</f>
        <v/>
      </c>
    </row>
    <row r="114" customFormat="false" ht="15" hidden="false" customHeight="false" outlineLevel="0" collapsed="false">
      <c r="A114" s="27"/>
      <c r="B114" s="10" t="str">
        <f aca="false">IF($A114="","",SUMIFS('Daily Entry'!$P$4:$P$2003,'Daily Entry'!$A$4:$A$2003,$A114))</f>
        <v/>
      </c>
      <c r="C114" s="9"/>
      <c r="D114" s="9"/>
      <c r="E114" s="9"/>
      <c r="F114" s="8"/>
      <c r="G114" s="9"/>
      <c r="H114" s="9"/>
      <c r="I114" s="8"/>
      <c r="J114" s="28" t="str">
        <f aca="false">IF($A114="","",$B114+$C114-$D114-$E114-$G114-$H114)</f>
        <v/>
      </c>
      <c r="K114" s="10" t="str">
        <f aca="false">IF($A114="","",SUMIFS('Daily Entry'!$Q$4:$Q$2003,'Daily Entry'!$A$4:$A$2003,$A114))</f>
        <v/>
      </c>
      <c r="L114" s="10" t="str">
        <f aca="false">IF($A114="","",$B114-$K114)</f>
        <v/>
      </c>
      <c r="M114" s="28" t="str">
        <f aca="false">IF($A114="","",$L114-$D114-$E114-$G114)</f>
        <v/>
      </c>
      <c r="N114" s="10" t="str">
        <f aca="false">IF($A114="","",SUMIFS('Daily Entry'!$H$4:$H$2003,'Daily Entry'!$A$4:$A$2003,$A114))</f>
        <v/>
      </c>
      <c r="O114" s="10" t="str">
        <f aca="false">IF($A114="","",SUMIFS('Daily Entry'!$I$4:$I$2003,'Daily Entry'!$A$4:$A$2003,$A114))</f>
        <v/>
      </c>
      <c r="P114" s="10" t="str">
        <f aca="false">IF($A114="","",SUMPRODUCT(('Daily Entry'!$A$4:$A$2003=$A114)*('Daily Entry'!$M$4:$M$2003)*('Daily Entry'!$D$4:$D$2003)))</f>
        <v/>
      </c>
    </row>
    <row r="115" customFormat="false" ht="15" hidden="false" customHeight="false" outlineLevel="0" collapsed="false">
      <c r="A115" s="27"/>
      <c r="B115" s="10" t="str">
        <f aca="false">IF($A115="","",SUMIFS('Daily Entry'!$P$4:$P$2003,'Daily Entry'!$A$4:$A$2003,$A115))</f>
        <v/>
      </c>
      <c r="C115" s="9"/>
      <c r="D115" s="9"/>
      <c r="E115" s="9"/>
      <c r="F115" s="8"/>
      <c r="G115" s="9"/>
      <c r="H115" s="9"/>
      <c r="I115" s="8"/>
      <c r="J115" s="28" t="str">
        <f aca="false">IF($A115="","",$B115+$C115-$D115-$E115-$G115-$H115)</f>
        <v/>
      </c>
      <c r="K115" s="10" t="str">
        <f aca="false">IF($A115="","",SUMIFS('Daily Entry'!$Q$4:$Q$2003,'Daily Entry'!$A$4:$A$2003,$A115))</f>
        <v/>
      </c>
      <c r="L115" s="10" t="str">
        <f aca="false">IF($A115="","",$B115-$K115)</f>
        <v/>
      </c>
      <c r="M115" s="28" t="str">
        <f aca="false">IF($A115="","",$L115-$D115-$E115-$G115)</f>
        <v/>
      </c>
      <c r="N115" s="10" t="str">
        <f aca="false">IF($A115="","",SUMIFS('Daily Entry'!$H$4:$H$2003,'Daily Entry'!$A$4:$A$2003,$A115))</f>
        <v/>
      </c>
      <c r="O115" s="10" t="str">
        <f aca="false">IF($A115="","",SUMIFS('Daily Entry'!$I$4:$I$2003,'Daily Entry'!$A$4:$A$2003,$A115))</f>
        <v/>
      </c>
      <c r="P115" s="10" t="str">
        <f aca="false">IF($A115="","",SUMPRODUCT(('Daily Entry'!$A$4:$A$2003=$A115)*('Daily Entry'!$M$4:$M$2003)*('Daily Entry'!$D$4:$D$2003)))</f>
        <v/>
      </c>
    </row>
    <row r="116" customFormat="false" ht="15" hidden="false" customHeight="false" outlineLevel="0" collapsed="false">
      <c r="A116" s="27"/>
      <c r="B116" s="10" t="str">
        <f aca="false">IF($A116="","",SUMIFS('Daily Entry'!$P$4:$P$2003,'Daily Entry'!$A$4:$A$2003,$A116))</f>
        <v/>
      </c>
      <c r="C116" s="9"/>
      <c r="D116" s="9"/>
      <c r="E116" s="9"/>
      <c r="F116" s="8"/>
      <c r="G116" s="9"/>
      <c r="H116" s="9"/>
      <c r="I116" s="8"/>
      <c r="J116" s="28" t="str">
        <f aca="false">IF($A116="","",$B116+$C116-$D116-$E116-$G116-$H116)</f>
        <v/>
      </c>
      <c r="K116" s="10" t="str">
        <f aca="false">IF($A116="","",SUMIFS('Daily Entry'!$Q$4:$Q$2003,'Daily Entry'!$A$4:$A$2003,$A116))</f>
        <v/>
      </c>
      <c r="L116" s="10" t="str">
        <f aca="false">IF($A116="","",$B116-$K116)</f>
        <v/>
      </c>
      <c r="M116" s="28" t="str">
        <f aca="false">IF($A116="","",$L116-$D116-$E116-$G116)</f>
        <v/>
      </c>
      <c r="N116" s="10" t="str">
        <f aca="false">IF($A116="","",SUMIFS('Daily Entry'!$H$4:$H$2003,'Daily Entry'!$A$4:$A$2003,$A116))</f>
        <v/>
      </c>
      <c r="O116" s="10" t="str">
        <f aca="false">IF($A116="","",SUMIFS('Daily Entry'!$I$4:$I$2003,'Daily Entry'!$A$4:$A$2003,$A116))</f>
        <v/>
      </c>
      <c r="P116" s="10" t="str">
        <f aca="false">IF($A116="","",SUMPRODUCT(('Daily Entry'!$A$4:$A$2003=$A116)*('Daily Entry'!$M$4:$M$2003)*('Daily Entry'!$D$4:$D$2003)))</f>
        <v/>
      </c>
    </row>
    <row r="117" customFormat="false" ht="15" hidden="false" customHeight="false" outlineLevel="0" collapsed="false">
      <c r="A117" s="27"/>
      <c r="B117" s="10" t="str">
        <f aca="false">IF($A117="","",SUMIFS('Daily Entry'!$P$4:$P$2003,'Daily Entry'!$A$4:$A$2003,$A117))</f>
        <v/>
      </c>
      <c r="C117" s="9"/>
      <c r="D117" s="9"/>
      <c r="E117" s="9"/>
      <c r="F117" s="8"/>
      <c r="G117" s="9"/>
      <c r="H117" s="9"/>
      <c r="I117" s="8"/>
      <c r="J117" s="28" t="str">
        <f aca="false">IF($A117="","",$B117+$C117-$D117-$E117-$G117-$H117)</f>
        <v/>
      </c>
      <c r="K117" s="10" t="str">
        <f aca="false">IF($A117="","",SUMIFS('Daily Entry'!$Q$4:$Q$2003,'Daily Entry'!$A$4:$A$2003,$A117))</f>
        <v/>
      </c>
      <c r="L117" s="10" t="str">
        <f aca="false">IF($A117="","",$B117-$K117)</f>
        <v/>
      </c>
      <c r="M117" s="28" t="str">
        <f aca="false">IF($A117="","",$L117-$D117-$E117-$G117)</f>
        <v/>
      </c>
      <c r="N117" s="10" t="str">
        <f aca="false">IF($A117="","",SUMIFS('Daily Entry'!$H$4:$H$2003,'Daily Entry'!$A$4:$A$2003,$A117))</f>
        <v/>
      </c>
      <c r="O117" s="10" t="str">
        <f aca="false">IF($A117="","",SUMIFS('Daily Entry'!$I$4:$I$2003,'Daily Entry'!$A$4:$A$2003,$A117))</f>
        <v/>
      </c>
      <c r="P117" s="10" t="str">
        <f aca="false">IF($A117="","",SUMPRODUCT(('Daily Entry'!$A$4:$A$2003=$A117)*('Daily Entry'!$M$4:$M$2003)*('Daily Entry'!$D$4:$D$2003)))</f>
        <v/>
      </c>
    </row>
    <row r="118" customFormat="false" ht="15" hidden="false" customHeight="false" outlineLevel="0" collapsed="false">
      <c r="A118" s="27"/>
      <c r="B118" s="10" t="str">
        <f aca="false">IF($A118="","",SUMIFS('Daily Entry'!$P$4:$P$2003,'Daily Entry'!$A$4:$A$2003,$A118))</f>
        <v/>
      </c>
      <c r="C118" s="9"/>
      <c r="D118" s="9"/>
      <c r="E118" s="9"/>
      <c r="F118" s="8"/>
      <c r="G118" s="9"/>
      <c r="H118" s="9"/>
      <c r="I118" s="8"/>
      <c r="J118" s="28" t="str">
        <f aca="false">IF($A118="","",$B118+$C118-$D118-$E118-$G118-$H118)</f>
        <v/>
      </c>
      <c r="K118" s="10" t="str">
        <f aca="false">IF($A118="","",SUMIFS('Daily Entry'!$Q$4:$Q$2003,'Daily Entry'!$A$4:$A$2003,$A118))</f>
        <v/>
      </c>
      <c r="L118" s="10" t="str">
        <f aca="false">IF($A118="","",$B118-$K118)</f>
        <v/>
      </c>
      <c r="M118" s="28" t="str">
        <f aca="false">IF($A118="","",$L118-$D118-$E118-$G118)</f>
        <v/>
      </c>
      <c r="N118" s="10" t="str">
        <f aca="false">IF($A118="","",SUMIFS('Daily Entry'!$H$4:$H$2003,'Daily Entry'!$A$4:$A$2003,$A118))</f>
        <v/>
      </c>
      <c r="O118" s="10" t="str">
        <f aca="false">IF($A118="","",SUMIFS('Daily Entry'!$I$4:$I$2003,'Daily Entry'!$A$4:$A$2003,$A118))</f>
        <v/>
      </c>
      <c r="P118" s="10" t="str">
        <f aca="false">IF($A118="","",SUMPRODUCT(('Daily Entry'!$A$4:$A$2003=$A118)*('Daily Entry'!$M$4:$M$2003)*('Daily Entry'!$D$4:$D$2003)))</f>
        <v/>
      </c>
    </row>
    <row r="119" customFormat="false" ht="15" hidden="false" customHeight="false" outlineLevel="0" collapsed="false">
      <c r="A119" s="27"/>
      <c r="B119" s="10" t="str">
        <f aca="false">IF($A119="","",SUMIFS('Daily Entry'!$P$4:$P$2003,'Daily Entry'!$A$4:$A$2003,$A119))</f>
        <v/>
      </c>
      <c r="C119" s="9"/>
      <c r="D119" s="9"/>
      <c r="E119" s="9"/>
      <c r="F119" s="8"/>
      <c r="G119" s="9"/>
      <c r="H119" s="9"/>
      <c r="I119" s="8"/>
      <c r="J119" s="28" t="str">
        <f aca="false">IF($A119="","",$B119+$C119-$D119-$E119-$G119-$H119)</f>
        <v/>
      </c>
      <c r="K119" s="10" t="str">
        <f aca="false">IF($A119="","",SUMIFS('Daily Entry'!$Q$4:$Q$2003,'Daily Entry'!$A$4:$A$2003,$A119))</f>
        <v/>
      </c>
      <c r="L119" s="10" t="str">
        <f aca="false">IF($A119="","",$B119-$K119)</f>
        <v/>
      </c>
      <c r="M119" s="28" t="str">
        <f aca="false">IF($A119="","",$L119-$D119-$E119-$G119)</f>
        <v/>
      </c>
      <c r="N119" s="10" t="str">
        <f aca="false">IF($A119="","",SUMIFS('Daily Entry'!$H$4:$H$2003,'Daily Entry'!$A$4:$A$2003,$A119))</f>
        <v/>
      </c>
      <c r="O119" s="10" t="str">
        <f aca="false">IF($A119="","",SUMIFS('Daily Entry'!$I$4:$I$2003,'Daily Entry'!$A$4:$A$2003,$A119))</f>
        <v/>
      </c>
      <c r="P119" s="10" t="str">
        <f aca="false">IF($A119="","",SUMPRODUCT(('Daily Entry'!$A$4:$A$2003=$A119)*('Daily Entry'!$M$4:$M$2003)*('Daily Entry'!$D$4:$D$2003)))</f>
        <v/>
      </c>
    </row>
    <row r="120" customFormat="false" ht="15" hidden="false" customHeight="false" outlineLevel="0" collapsed="false">
      <c r="A120" s="27"/>
      <c r="B120" s="10" t="str">
        <f aca="false">IF($A120="","",SUMIFS('Daily Entry'!$P$4:$P$2003,'Daily Entry'!$A$4:$A$2003,$A120))</f>
        <v/>
      </c>
      <c r="C120" s="9"/>
      <c r="D120" s="9"/>
      <c r="E120" s="9"/>
      <c r="F120" s="8"/>
      <c r="G120" s="9"/>
      <c r="H120" s="9"/>
      <c r="I120" s="8"/>
      <c r="J120" s="28" t="str">
        <f aca="false">IF($A120="","",$B120+$C120-$D120-$E120-$G120-$H120)</f>
        <v/>
      </c>
      <c r="K120" s="10" t="str">
        <f aca="false">IF($A120="","",SUMIFS('Daily Entry'!$Q$4:$Q$2003,'Daily Entry'!$A$4:$A$2003,$A120))</f>
        <v/>
      </c>
      <c r="L120" s="10" t="str">
        <f aca="false">IF($A120="","",$B120-$K120)</f>
        <v/>
      </c>
      <c r="M120" s="28" t="str">
        <f aca="false">IF($A120="","",$L120-$D120-$E120-$G120)</f>
        <v/>
      </c>
      <c r="N120" s="10" t="str">
        <f aca="false">IF($A120="","",SUMIFS('Daily Entry'!$H$4:$H$2003,'Daily Entry'!$A$4:$A$2003,$A120))</f>
        <v/>
      </c>
      <c r="O120" s="10" t="str">
        <f aca="false">IF($A120="","",SUMIFS('Daily Entry'!$I$4:$I$2003,'Daily Entry'!$A$4:$A$2003,$A120))</f>
        <v/>
      </c>
      <c r="P120" s="10" t="str">
        <f aca="false">IF($A120="","",SUMPRODUCT(('Daily Entry'!$A$4:$A$2003=$A120)*('Daily Entry'!$M$4:$M$2003)*('Daily Entry'!$D$4:$D$2003)))</f>
        <v/>
      </c>
    </row>
    <row r="121" customFormat="false" ht="15" hidden="false" customHeight="false" outlineLevel="0" collapsed="false">
      <c r="A121" s="27"/>
      <c r="B121" s="10" t="str">
        <f aca="false">IF($A121="","",SUMIFS('Daily Entry'!$P$4:$P$2003,'Daily Entry'!$A$4:$A$2003,$A121))</f>
        <v/>
      </c>
      <c r="C121" s="9"/>
      <c r="D121" s="9"/>
      <c r="E121" s="9"/>
      <c r="F121" s="8"/>
      <c r="G121" s="9"/>
      <c r="H121" s="9"/>
      <c r="I121" s="8"/>
      <c r="J121" s="28" t="str">
        <f aca="false">IF($A121="","",$B121+$C121-$D121-$E121-$G121-$H121)</f>
        <v/>
      </c>
      <c r="K121" s="10" t="str">
        <f aca="false">IF($A121="","",SUMIFS('Daily Entry'!$Q$4:$Q$2003,'Daily Entry'!$A$4:$A$2003,$A121))</f>
        <v/>
      </c>
      <c r="L121" s="10" t="str">
        <f aca="false">IF($A121="","",$B121-$K121)</f>
        <v/>
      </c>
      <c r="M121" s="28" t="str">
        <f aca="false">IF($A121="","",$L121-$D121-$E121-$G121)</f>
        <v/>
      </c>
      <c r="N121" s="10" t="str">
        <f aca="false">IF($A121="","",SUMIFS('Daily Entry'!$H$4:$H$2003,'Daily Entry'!$A$4:$A$2003,$A121))</f>
        <v/>
      </c>
      <c r="O121" s="10" t="str">
        <f aca="false">IF($A121="","",SUMIFS('Daily Entry'!$I$4:$I$2003,'Daily Entry'!$A$4:$A$2003,$A121))</f>
        <v/>
      </c>
      <c r="P121" s="10" t="str">
        <f aca="false">IF($A121="","",SUMPRODUCT(('Daily Entry'!$A$4:$A$2003=$A121)*('Daily Entry'!$M$4:$M$2003)*('Daily Entry'!$D$4:$D$2003)))</f>
        <v/>
      </c>
    </row>
    <row r="122" customFormat="false" ht="15" hidden="false" customHeight="false" outlineLevel="0" collapsed="false">
      <c r="A122" s="27"/>
      <c r="B122" s="10" t="str">
        <f aca="false">IF($A122="","",SUMIFS('Daily Entry'!$P$4:$P$2003,'Daily Entry'!$A$4:$A$2003,$A122))</f>
        <v/>
      </c>
      <c r="C122" s="9"/>
      <c r="D122" s="9"/>
      <c r="E122" s="9"/>
      <c r="F122" s="8"/>
      <c r="G122" s="9"/>
      <c r="H122" s="9"/>
      <c r="I122" s="8"/>
      <c r="J122" s="28" t="str">
        <f aca="false">IF($A122="","",$B122+$C122-$D122-$E122-$G122-$H122)</f>
        <v/>
      </c>
      <c r="K122" s="10" t="str">
        <f aca="false">IF($A122="","",SUMIFS('Daily Entry'!$Q$4:$Q$2003,'Daily Entry'!$A$4:$A$2003,$A122))</f>
        <v/>
      </c>
      <c r="L122" s="10" t="str">
        <f aca="false">IF($A122="","",$B122-$K122)</f>
        <v/>
      </c>
      <c r="M122" s="28" t="str">
        <f aca="false">IF($A122="","",$L122-$D122-$E122-$G122)</f>
        <v/>
      </c>
      <c r="N122" s="10" t="str">
        <f aca="false">IF($A122="","",SUMIFS('Daily Entry'!$H$4:$H$2003,'Daily Entry'!$A$4:$A$2003,$A122))</f>
        <v/>
      </c>
      <c r="O122" s="10" t="str">
        <f aca="false">IF($A122="","",SUMIFS('Daily Entry'!$I$4:$I$2003,'Daily Entry'!$A$4:$A$2003,$A122))</f>
        <v/>
      </c>
      <c r="P122" s="10" t="str">
        <f aca="false">IF($A122="","",SUMPRODUCT(('Daily Entry'!$A$4:$A$2003=$A122)*('Daily Entry'!$M$4:$M$2003)*('Daily Entry'!$D$4:$D$2003)))</f>
        <v/>
      </c>
    </row>
    <row r="123" customFormat="false" ht="15" hidden="false" customHeight="false" outlineLevel="0" collapsed="false">
      <c r="A123" s="27"/>
      <c r="B123" s="10" t="str">
        <f aca="false">IF($A123="","",SUMIFS('Daily Entry'!$P$4:$P$2003,'Daily Entry'!$A$4:$A$2003,$A123))</f>
        <v/>
      </c>
      <c r="C123" s="9"/>
      <c r="D123" s="9"/>
      <c r="E123" s="9"/>
      <c r="F123" s="8"/>
      <c r="G123" s="9"/>
      <c r="H123" s="9"/>
      <c r="I123" s="8"/>
      <c r="J123" s="28" t="str">
        <f aca="false">IF($A123="","",$B123+$C123-$D123-$E123-$G123-$H123)</f>
        <v/>
      </c>
      <c r="K123" s="10" t="str">
        <f aca="false">IF($A123="","",SUMIFS('Daily Entry'!$Q$4:$Q$2003,'Daily Entry'!$A$4:$A$2003,$A123))</f>
        <v/>
      </c>
      <c r="L123" s="10" t="str">
        <f aca="false">IF($A123="","",$B123-$K123)</f>
        <v/>
      </c>
      <c r="M123" s="28" t="str">
        <f aca="false">IF($A123="","",$L123-$D123-$E123-$G123)</f>
        <v/>
      </c>
      <c r="N123" s="10" t="str">
        <f aca="false">IF($A123="","",SUMIFS('Daily Entry'!$H$4:$H$2003,'Daily Entry'!$A$4:$A$2003,$A123))</f>
        <v/>
      </c>
      <c r="O123" s="10" t="str">
        <f aca="false">IF($A123="","",SUMIFS('Daily Entry'!$I$4:$I$2003,'Daily Entry'!$A$4:$A$2003,$A123))</f>
        <v/>
      </c>
      <c r="P123" s="10" t="str">
        <f aca="false">IF($A123="","",SUMPRODUCT(('Daily Entry'!$A$4:$A$2003=$A123)*('Daily Entry'!$M$4:$M$2003)*('Daily Entry'!$D$4:$D$2003)))</f>
        <v/>
      </c>
    </row>
    <row r="124" customFormat="false" ht="15" hidden="false" customHeight="false" outlineLevel="0" collapsed="false">
      <c r="A124" s="27"/>
      <c r="B124" s="10" t="str">
        <f aca="false">IF($A124="","",SUMIFS('Daily Entry'!$P$4:$P$2003,'Daily Entry'!$A$4:$A$2003,$A124))</f>
        <v/>
      </c>
      <c r="C124" s="9"/>
      <c r="D124" s="9"/>
      <c r="E124" s="9"/>
      <c r="F124" s="8"/>
      <c r="G124" s="9"/>
      <c r="H124" s="9"/>
      <c r="I124" s="8"/>
      <c r="J124" s="28" t="str">
        <f aca="false">IF($A124="","",$B124+$C124-$D124-$E124-$G124-$H124)</f>
        <v/>
      </c>
      <c r="K124" s="10" t="str">
        <f aca="false">IF($A124="","",SUMIFS('Daily Entry'!$Q$4:$Q$2003,'Daily Entry'!$A$4:$A$2003,$A124))</f>
        <v/>
      </c>
      <c r="L124" s="10" t="str">
        <f aca="false">IF($A124="","",$B124-$K124)</f>
        <v/>
      </c>
      <c r="M124" s="28" t="str">
        <f aca="false">IF($A124="","",$L124-$D124-$E124-$G124)</f>
        <v/>
      </c>
      <c r="N124" s="10" t="str">
        <f aca="false">IF($A124="","",SUMIFS('Daily Entry'!$H$4:$H$2003,'Daily Entry'!$A$4:$A$2003,$A124))</f>
        <v/>
      </c>
      <c r="O124" s="10" t="str">
        <f aca="false">IF($A124="","",SUMIFS('Daily Entry'!$I$4:$I$2003,'Daily Entry'!$A$4:$A$2003,$A124))</f>
        <v/>
      </c>
      <c r="P124" s="10" t="str">
        <f aca="false">IF($A124="","",SUMPRODUCT(('Daily Entry'!$A$4:$A$2003=$A124)*('Daily Entry'!$M$4:$M$2003)*('Daily Entry'!$D$4:$D$2003)))</f>
        <v/>
      </c>
    </row>
    <row r="125" customFormat="false" ht="15" hidden="false" customHeight="false" outlineLevel="0" collapsed="false">
      <c r="A125" s="27"/>
      <c r="B125" s="10" t="str">
        <f aca="false">IF($A125="","",SUMIFS('Daily Entry'!$P$4:$P$2003,'Daily Entry'!$A$4:$A$2003,$A125))</f>
        <v/>
      </c>
      <c r="C125" s="9"/>
      <c r="D125" s="9"/>
      <c r="E125" s="9"/>
      <c r="F125" s="8"/>
      <c r="G125" s="9"/>
      <c r="H125" s="9"/>
      <c r="I125" s="8"/>
      <c r="J125" s="28" t="str">
        <f aca="false">IF($A125="","",$B125+$C125-$D125-$E125-$G125-$H125)</f>
        <v/>
      </c>
      <c r="K125" s="10" t="str">
        <f aca="false">IF($A125="","",SUMIFS('Daily Entry'!$Q$4:$Q$2003,'Daily Entry'!$A$4:$A$2003,$A125))</f>
        <v/>
      </c>
      <c r="L125" s="10" t="str">
        <f aca="false">IF($A125="","",$B125-$K125)</f>
        <v/>
      </c>
      <c r="M125" s="28" t="str">
        <f aca="false">IF($A125="","",$L125-$D125-$E125-$G125)</f>
        <v/>
      </c>
      <c r="N125" s="10" t="str">
        <f aca="false">IF($A125="","",SUMIFS('Daily Entry'!$H$4:$H$2003,'Daily Entry'!$A$4:$A$2003,$A125))</f>
        <v/>
      </c>
      <c r="O125" s="10" t="str">
        <f aca="false">IF($A125="","",SUMIFS('Daily Entry'!$I$4:$I$2003,'Daily Entry'!$A$4:$A$2003,$A125))</f>
        <v/>
      </c>
      <c r="P125" s="10" t="str">
        <f aca="false">IF($A125="","",SUMPRODUCT(('Daily Entry'!$A$4:$A$2003=$A125)*('Daily Entry'!$M$4:$M$2003)*('Daily Entry'!$D$4:$D$2003)))</f>
        <v/>
      </c>
    </row>
    <row r="126" customFormat="false" ht="15" hidden="false" customHeight="false" outlineLevel="0" collapsed="false">
      <c r="A126" s="27"/>
      <c r="B126" s="10" t="str">
        <f aca="false">IF($A126="","",SUMIFS('Daily Entry'!$P$4:$P$2003,'Daily Entry'!$A$4:$A$2003,$A126))</f>
        <v/>
      </c>
      <c r="C126" s="9"/>
      <c r="D126" s="9"/>
      <c r="E126" s="9"/>
      <c r="F126" s="8"/>
      <c r="G126" s="9"/>
      <c r="H126" s="9"/>
      <c r="I126" s="8"/>
      <c r="J126" s="28" t="str">
        <f aca="false">IF($A126="","",$B126+$C126-$D126-$E126-$G126-$H126)</f>
        <v/>
      </c>
      <c r="K126" s="10" t="str">
        <f aca="false">IF($A126="","",SUMIFS('Daily Entry'!$Q$4:$Q$2003,'Daily Entry'!$A$4:$A$2003,$A126))</f>
        <v/>
      </c>
      <c r="L126" s="10" t="str">
        <f aca="false">IF($A126="","",$B126-$K126)</f>
        <v/>
      </c>
      <c r="M126" s="28" t="str">
        <f aca="false">IF($A126="","",$L126-$D126-$E126-$G126)</f>
        <v/>
      </c>
      <c r="N126" s="10" t="str">
        <f aca="false">IF($A126="","",SUMIFS('Daily Entry'!$H$4:$H$2003,'Daily Entry'!$A$4:$A$2003,$A126))</f>
        <v/>
      </c>
      <c r="O126" s="10" t="str">
        <f aca="false">IF($A126="","",SUMIFS('Daily Entry'!$I$4:$I$2003,'Daily Entry'!$A$4:$A$2003,$A126))</f>
        <v/>
      </c>
      <c r="P126" s="10" t="str">
        <f aca="false">IF($A126="","",SUMPRODUCT(('Daily Entry'!$A$4:$A$2003=$A126)*('Daily Entry'!$M$4:$M$2003)*('Daily Entry'!$D$4:$D$2003)))</f>
        <v/>
      </c>
    </row>
    <row r="127" customFormat="false" ht="15" hidden="false" customHeight="false" outlineLevel="0" collapsed="false">
      <c r="A127" s="27"/>
      <c r="B127" s="10" t="str">
        <f aca="false">IF($A127="","",SUMIFS('Daily Entry'!$P$4:$P$2003,'Daily Entry'!$A$4:$A$2003,$A127))</f>
        <v/>
      </c>
      <c r="C127" s="9"/>
      <c r="D127" s="9"/>
      <c r="E127" s="9"/>
      <c r="F127" s="8"/>
      <c r="G127" s="9"/>
      <c r="H127" s="9"/>
      <c r="I127" s="8"/>
      <c r="J127" s="28" t="str">
        <f aca="false">IF($A127="","",$B127+$C127-$D127-$E127-$G127-$H127)</f>
        <v/>
      </c>
      <c r="K127" s="10" t="str">
        <f aca="false">IF($A127="","",SUMIFS('Daily Entry'!$Q$4:$Q$2003,'Daily Entry'!$A$4:$A$2003,$A127))</f>
        <v/>
      </c>
      <c r="L127" s="10" t="str">
        <f aca="false">IF($A127="","",$B127-$K127)</f>
        <v/>
      </c>
      <c r="M127" s="28" t="str">
        <f aca="false">IF($A127="","",$L127-$D127-$E127-$G127)</f>
        <v/>
      </c>
      <c r="N127" s="10" t="str">
        <f aca="false">IF($A127="","",SUMIFS('Daily Entry'!$H$4:$H$2003,'Daily Entry'!$A$4:$A$2003,$A127))</f>
        <v/>
      </c>
      <c r="O127" s="10" t="str">
        <f aca="false">IF($A127="","",SUMIFS('Daily Entry'!$I$4:$I$2003,'Daily Entry'!$A$4:$A$2003,$A127))</f>
        <v/>
      </c>
      <c r="P127" s="10" t="str">
        <f aca="false">IF($A127="","",SUMPRODUCT(('Daily Entry'!$A$4:$A$2003=$A127)*('Daily Entry'!$M$4:$M$2003)*('Daily Entry'!$D$4:$D$2003)))</f>
        <v/>
      </c>
    </row>
    <row r="128" customFormat="false" ht="15" hidden="false" customHeight="false" outlineLevel="0" collapsed="false">
      <c r="A128" s="27"/>
      <c r="B128" s="10" t="str">
        <f aca="false">IF($A128="","",SUMIFS('Daily Entry'!$P$4:$P$2003,'Daily Entry'!$A$4:$A$2003,$A128))</f>
        <v/>
      </c>
      <c r="C128" s="9"/>
      <c r="D128" s="9"/>
      <c r="E128" s="9"/>
      <c r="F128" s="8"/>
      <c r="G128" s="9"/>
      <c r="H128" s="9"/>
      <c r="I128" s="8"/>
      <c r="J128" s="28" t="str">
        <f aca="false">IF($A128="","",$B128+$C128-$D128-$E128-$G128-$H128)</f>
        <v/>
      </c>
      <c r="K128" s="10" t="str">
        <f aca="false">IF($A128="","",SUMIFS('Daily Entry'!$Q$4:$Q$2003,'Daily Entry'!$A$4:$A$2003,$A128))</f>
        <v/>
      </c>
      <c r="L128" s="10" t="str">
        <f aca="false">IF($A128="","",$B128-$K128)</f>
        <v/>
      </c>
      <c r="M128" s="28" t="str">
        <f aca="false">IF($A128="","",$L128-$D128-$E128-$G128)</f>
        <v/>
      </c>
      <c r="N128" s="10" t="str">
        <f aca="false">IF($A128="","",SUMIFS('Daily Entry'!$H$4:$H$2003,'Daily Entry'!$A$4:$A$2003,$A128))</f>
        <v/>
      </c>
      <c r="O128" s="10" t="str">
        <f aca="false">IF($A128="","",SUMIFS('Daily Entry'!$I$4:$I$2003,'Daily Entry'!$A$4:$A$2003,$A128))</f>
        <v/>
      </c>
      <c r="P128" s="10" t="str">
        <f aca="false">IF($A128="","",SUMPRODUCT(('Daily Entry'!$A$4:$A$2003=$A128)*('Daily Entry'!$M$4:$M$2003)*('Daily Entry'!$D$4:$D$2003)))</f>
        <v/>
      </c>
    </row>
    <row r="129" customFormat="false" ht="15" hidden="false" customHeight="false" outlineLevel="0" collapsed="false">
      <c r="A129" s="27"/>
      <c r="B129" s="10" t="str">
        <f aca="false">IF($A129="","",SUMIFS('Daily Entry'!$P$4:$P$2003,'Daily Entry'!$A$4:$A$2003,$A129))</f>
        <v/>
      </c>
      <c r="C129" s="9"/>
      <c r="D129" s="9"/>
      <c r="E129" s="9"/>
      <c r="F129" s="8"/>
      <c r="G129" s="9"/>
      <c r="H129" s="9"/>
      <c r="I129" s="8"/>
      <c r="J129" s="28" t="str">
        <f aca="false">IF($A129="","",$B129+$C129-$D129-$E129-$G129-$H129)</f>
        <v/>
      </c>
      <c r="K129" s="10" t="str">
        <f aca="false">IF($A129="","",SUMIFS('Daily Entry'!$Q$4:$Q$2003,'Daily Entry'!$A$4:$A$2003,$A129))</f>
        <v/>
      </c>
      <c r="L129" s="10" t="str">
        <f aca="false">IF($A129="","",$B129-$K129)</f>
        <v/>
      </c>
      <c r="M129" s="28" t="str">
        <f aca="false">IF($A129="","",$L129-$D129-$E129-$G129)</f>
        <v/>
      </c>
      <c r="N129" s="10" t="str">
        <f aca="false">IF($A129="","",SUMIFS('Daily Entry'!$H$4:$H$2003,'Daily Entry'!$A$4:$A$2003,$A129))</f>
        <v/>
      </c>
      <c r="O129" s="10" t="str">
        <f aca="false">IF($A129="","",SUMIFS('Daily Entry'!$I$4:$I$2003,'Daily Entry'!$A$4:$A$2003,$A129))</f>
        <v/>
      </c>
      <c r="P129" s="10" t="str">
        <f aca="false">IF($A129="","",SUMPRODUCT(('Daily Entry'!$A$4:$A$2003=$A129)*('Daily Entry'!$M$4:$M$2003)*('Daily Entry'!$D$4:$D$2003)))</f>
        <v/>
      </c>
    </row>
    <row r="130" customFormat="false" ht="15" hidden="false" customHeight="false" outlineLevel="0" collapsed="false">
      <c r="A130" s="27"/>
      <c r="B130" s="10" t="str">
        <f aca="false">IF($A130="","",SUMIFS('Daily Entry'!$P$4:$P$2003,'Daily Entry'!$A$4:$A$2003,$A130))</f>
        <v/>
      </c>
      <c r="C130" s="9"/>
      <c r="D130" s="9"/>
      <c r="E130" s="9"/>
      <c r="F130" s="8"/>
      <c r="G130" s="9"/>
      <c r="H130" s="9"/>
      <c r="I130" s="8"/>
      <c r="J130" s="28" t="str">
        <f aca="false">IF($A130="","",$B130+$C130-$D130-$E130-$G130-$H130)</f>
        <v/>
      </c>
      <c r="K130" s="10" t="str">
        <f aca="false">IF($A130="","",SUMIFS('Daily Entry'!$Q$4:$Q$2003,'Daily Entry'!$A$4:$A$2003,$A130))</f>
        <v/>
      </c>
      <c r="L130" s="10" t="str">
        <f aca="false">IF($A130="","",$B130-$K130)</f>
        <v/>
      </c>
      <c r="M130" s="28" t="str">
        <f aca="false">IF($A130="","",$L130-$D130-$E130-$G130)</f>
        <v/>
      </c>
      <c r="N130" s="10" t="str">
        <f aca="false">IF($A130="","",SUMIFS('Daily Entry'!$H$4:$H$2003,'Daily Entry'!$A$4:$A$2003,$A130))</f>
        <v/>
      </c>
      <c r="O130" s="10" t="str">
        <f aca="false">IF($A130="","",SUMIFS('Daily Entry'!$I$4:$I$2003,'Daily Entry'!$A$4:$A$2003,$A130))</f>
        <v/>
      </c>
      <c r="P130" s="10" t="str">
        <f aca="false">IF($A130="","",SUMPRODUCT(('Daily Entry'!$A$4:$A$2003=$A130)*('Daily Entry'!$M$4:$M$2003)*('Daily Entry'!$D$4:$D$2003)))</f>
        <v/>
      </c>
    </row>
    <row r="131" customFormat="false" ht="15" hidden="false" customHeight="false" outlineLevel="0" collapsed="false">
      <c r="A131" s="27"/>
      <c r="B131" s="10" t="str">
        <f aca="false">IF($A131="","",SUMIFS('Daily Entry'!$P$4:$P$2003,'Daily Entry'!$A$4:$A$2003,$A131))</f>
        <v/>
      </c>
      <c r="C131" s="9"/>
      <c r="D131" s="9"/>
      <c r="E131" s="9"/>
      <c r="F131" s="8"/>
      <c r="G131" s="9"/>
      <c r="H131" s="9"/>
      <c r="I131" s="8"/>
      <c r="J131" s="28" t="str">
        <f aca="false">IF($A131="","",$B131+$C131-$D131-$E131-$G131-$H131)</f>
        <v/>
      </c>
      <c r="K131" s="10" t="str">
        <f aca="false">IF($A131="","",SUMIFS('Daily Entry'!$Q$4:$Q$2003,'Daily Entry'!$A$4:$A$2003,$A131))</f>
        <v/>
      </c>
      <c r="L131" s="10" t="str">
        <f aca="false">IF($A131="","",$B131-$K131)</f>
        <v/>
      </c>
      <c r="M131" s="28" t="str">
        <f aca="false">IF($A131="","",$L131-$D131-$E131-$G131)</f>
        <v/>
      </c>
      <c r="N131" s="10" t="str">
        <f aca="false">IF($A131="","",SUMIFS('Daily Entry'!$H$4:$H$2003,'Daily Entry'!$A$4:$A$2003,$A131))</f>
        <v/>
      </c>
      <c r="O131" s="10" t="str">
        <f aca="false">IF($A131="","",SUMIFS('Daily Entry'!$I$4:$I$2003,'Daily Entry'!$A$4:$A$2003,$A131))</f>
        <v/>
      </c>
      <c r="P131" s="10" t="str">
        <f aca="false">IF($A131="","",SUMPRODUCT(('Daily Entry'!$A$4:$A$2003=$A131)*('Daily Entry'!$M$4:$M$2003)*('Daily Entry'!$D$4:$D$2003)))</f>
        <v/>
      </c>
    </row>
    <row r="132" customFormat="false" ht="15" hidden="false" customHeight="false" outlineLevel="0" collapsed="false">
      <c r="A132" s="27"/>
      <c r="B132" s="10" t="str">
        <f aca="false">IF($A132="","",SUMIFS('Daily Entry'!$P$4:$P$2003,'Daily Entry'!$A$4:$A$2003,$A132))</f>
        <v/>
      </c>
      <c r="C132" s="9"/>
      <c r="D132" s="9"/>
      <c r="E132" s="9"/>
      <c r="F132" s="8"/>
      <c r="G132" s="9"/>
      <c r="H132" s="9"/>
      <c r="I132" s="8"/>
      <c r="J132" s="28" t="str">
        <f aca="false">IF($A132="","",$B132+$C132-$D132-$E132-$G132-$H132)</f>
        <v/>
      </c>
      <c r="K132" s="10" t="str">
        <f aca="false">IF($A132="","",SUMIFS('Daily Entry'!$Q$4:$Q$2003,'Daily Entry'!$A$4:$A$2003,$A132))</f>
        <v/>
      </c>
      <c r="L132" s="10" t="str">
        <f aca="false">IF($A132="","",$B132-$K132)</f>
        <v/>
      </c>
      <c r="M132" s="28" t="str">
        <f aca="false">IF($A132="","",$L132-$D132-$E132-$G132)</f>
        <v/>
      </c>
      <c r="N132" s="10" t="str">
        <f aca="false">IF($A132="","",SUMIFS('Daily Entry'!$H$4:$H$2003,'Daily Entry'!$A$4:$A$2003,$A132))</f>
        <v/>
      </c>
      <c r="O132" s="10" t="str">
        <f aca="false">IF($A132="","",SUMIFS('Daily Entry'!$I$4:$I$2003,'Daily Entry'!$A$4:$A$2003,$A132))</f>
        <v/>
      </c>
      <c r="P132" s="10" t="str">
        <f aca="false">IF($A132="","",SUMPRODUCT(('Daily Entry'!$A$4:$A$2003=$A132)*('Daily Entry'!$M$4:$M$2003)*('Daily Entry'!$D$4:$D$2003)))</f>
        <v/>
      </c>
    </row>
    <row r="133" customFormat="false" ht="15" hidden="false" customHeight="false" outlineLevel="0" collapsed="false">
      <c r="A133" s="27"/>
      <c r="B133" s="10" t="str">
        <f aca="false">IF($A133="","",SUMIFS('Daily Entry'!$P$4:$P$2003,'Daily Entry'!$A$4:$A$2003,$A133))</f>
        <v/>
      </c>
      <c r="C133" s="9"/>
      <c r="D133" s="9"/>
      <c r="E133" s="9"/>
      <c r="F133" s="8"/>
      <c r="G133" s="9"/>
      <c r="H133" s="9"/>
      <c r="I133" s="8"/>
      <c r="J133" s="28" t="str">
        <f aca="false">IF($A133="","",$B133+$C133-$D133-$E133-$G133-$H133)</f>
        <v/>
      </c>
      <c r="K133" s="10" t="str">
        <f aca="false">IF($A133="","",SUMIFS('Daily Entry'!$Q$4:$Q$2003,'Daily Entry'!$A$4:$A$2003,$A133))</f>
        <v/>
      </c>
      <c r="L133" s="10" t="str">
        <f aca="false">IF($A133="","",$B133-$K133)</f>
        <v/>
      </c>
      <c r="M133" s="28" t="str">
        <f aca="false">IF($A133="","",$L133-$D133-$E133-$G133)</f>
        <v/>
      </c>
      <c r="N133" s="10" t="str">
        <f aca="false">IF($A133="","",SUMIFS('Daily Entry'!$H$4:$H$2003,'Daily Entry'!$A$4:$A$2003,$A133))</f>
        <v/>
      </c>
      <c r="O133" s="10" t="str">
        <f aca="false">IF($A133="","",SUMIFS('Daily Entry'!$I$4:$I$2003,'Daily Entry'!$A$4:$A$2003,$A133))</f>
        <v/>
      </c>
      <c r="P133" s="10" t="str">
        <f aca="false">IF($A133="","",SUMPRODUCT(('Daily Entry'!$A$4:$A$2003=$A133)*('Daily Entry'!$M$4:$M$2003)*('Daily Entry'!$D$4:$D$2003)))</f>
        <v/>
      </c>
    </row>
    <row r="134" customFormat="false" ht="15" hidden="false" customHeight="false" outlineLevel="0" collapsed="false">
      <c r="A134" s="27"/>
      <c r="B134" s="10" t="str">
        <f aca="false">IF($A134="","",SUMIFS('Daily Entry'!$P$4:$P$2003,'Daily Entry'!$A$4:$A$2003,$A134))</f>
        <v/>
      </c>
      <c r="C134" s="9"/>
      <c r="D134" s="9"/>
      <c r="E134" s="9"/>
      <c r="F134" s="8"/>
      <c r="G134" s="9"/>
      <c r="H134" s="9"/>
      <c r="I134" s="8"/>
      <c r="J134" s="28" t="str">
        <f aca="false">IF($A134="","",$B134+$C134-$D134-$E134-$G134-$H134)</f>
        <v/>
      </c>
      <c r="K134" s="10" t="str">
        <f aca="false">IF($A134="","",SUMIFS('Daily Entry'!$Q$4:$Q$2003,'Daily Entry'!$A$4:$A$2003,$A134))</f>
        <v/>
      </c>
      <c r="L134" s="10" t="str">
        <f aca="false">IF($A134="","",$B134-$K134)</f>
        <v/>
      </c>
      <c r="M134" s="28" t="str">
        <f aca="false">IF($A134="","",$L134-$D134-$E134-$G134)</f>
        <v/>
      </c>
      <c r="N134" s="10" t="str">
        <f aca="false">IF($A134="","",SUMIFS('Daily Entry'!$H$4:$H$2003,'Daily Entry'!$A$4:$A$2003,$A134))</f>
        <v/>
      </c>
      <c r="O134" s="10" t="str">
        <f aca="false">IF($A134="","",SUMIFS('Daily Entry'!$I$4:$I$2003,'Daily Entry'!$A$4:$A$2003,$A134))</f>
        <v/>
      </c>
      <c r="P134" s="10" t="str">
        <f aca="false">IF($A134="","",SUMPRODUCT(('Daily Entry'!$A$4:$A$2003=$A134)*('Daily Entry'!$M$4:$M$2003)*('Daily Entry'!$D$4:$D$2003)))</f>
        <v/>
      </c>
    </row>
    <row r="135" customFormat="false" ht="15" hidden="false" customHeight="false" outlineLevel="0" collapsed="false">
      <c r="A135" s="27"/>
      <c r="B135" s="10" t="str">
        <f aca="false">IF($A135="","",SUMIFS('Daily Entry'!$P$4:$P$2003,'Daily Entry'!$A$4:$A$2003,$A135))</f>
        <v/>
      </c>
      <c r="C135" s="9"/>
      <c r="D135" s="9"/>
      <c r="E135" s="9"/>
      <c r="F135" s="8"/>
      <c r="G135" s="9"/>
      <c r="H135" s="9"/>
      <c r="I135" s="8"/>
      <c r="J135" s="28" t="str">
        <f aca="false">IF($A135="","",$B135+$C135-$D135-$E135-$G135-$H135)</f>
        <v/>
      </c>
      <c r="K135" s="10" t="str">
        <f aca="false">IF($A135="","",SUMIFS('Daily Entry'!$Q$4:$Q$2003,'Daily Entry'!$A$4:$A$2003,$A135))</f>
        <v/>
      </c>
      <c r="L135" s="10" t="str">
        <f aca="false">IF($A135="","",$B135-$K135)</f>
        <v/>
      </c>
      <c r="M135" s="28" t="str">
        <f aca="false">IF($A135="","",$L135-$D135-$E135-$G135)</f>
        <v/>
      </c>
      <c r="N135" s="10" t="str">
        <f aca="false">IF($A135="","",SUMIFS('Daily Entry'!$H$4:$H$2003,'Daily Entry'!$A$4:$A$2003,$A135))</f>
        <v/>
      </c>
      <c r="O135" s="10" t="str">
        <f aca="false">IF($A135="","",SUMIFS('Daily Entry'!$I$4:$I$2003,'Daily Entry'!$A$4:$A$2003,$A135))</f>
        <v/>
      </c>
      <c r="P135" s="10" t="str">
        <f aca="false">IF($A135="","",SUMPRODUCT(('Daily Entry'!$A$4:$A$2003=$A135)*('Daily Entry'!$M$4:$M$2003)*('Daily Entry'!$D$4:$D$2003)))</f>
        <v/>
      </c>
    </row>
    <row r="136" customFormat="false" ht="15" hidden="false" customHeight="false" outlineLevel="0" collapsed="false">
      <c r="A136" s="27"/>
      <c r="B136" s="10" t="str">
        <f aca="false">IF($A136="","",SUMIFS('Daily Entry'!$P$4:$P$2003,'Daily Entry'!$A$4:$A$2003,$A136))</f>
        <v/>
      </c>
      <c r="C136" s="9"/>
      <c r="D136" s="9"/>
      <c r="E136" s="9"/>
      <c r="F136" s="8"/>
      <c r="G136" s="9"/>
      <c r="H136" s="9"/>
      <c r="I136" s="8"/>
      <c r="J136" s="28" t="str">
        <f aca="false">IF($A136="","",$B136+$C136-$D136-$E136-$G136-$H136)</f>
        <v/>
      </c>
      <c r="K136" s="10" t="str">
        <f aca="false">IF($A136="","",SUMIFS('Daily Entry'!$Q$4:$Q$2003,'Daily Entry'!$A$4:$A$2003,$A136))</f>
        <v/>
      </c>
      <c r="L136" s="10" t="str">
        <f aca="false">IF($A136="","",$B136-$K136)</f>
        <v/>
      </c>
      <c r="M136" s="28" t="str">
        <f aca="false">IF($A136="","",$L136-$D136-$E136-$G136)</f>
        <v/>
      </c>
      <c r="N136" s="10" t="str">
        <f aca="false">IF($A136="","",SUMIFS('Daily Entry'!$H$4:$H$2003,'Daily Entry'!$A$4:$A$2003,$A136))</f>
        <v/>
      </c>
      <c r="O136" s="10" t="str">
        <f aca="false">IF($A136="","",SUMIFS('Daily Entry'!$I$4:$I$2003,'Daily Entry'!$A$4:$A$2003,$A136))</f>
        <v/>
      </c>
      <c r="P136" s="10" t="str">
        <f aca="false">IF($A136="","",SUMPRODUCT(('Daily Entry'!$A$4:$A$2003=$A136)*('Daily Entry'!$M$4:$M$2003)*('Daily Entry'!$D$4:$D$2003)))</f>
        <v/>
      </c>
    </row>
    <row r="137" customFormat="false" ht="15" hidden="false" customHeight="false" outlineLevel="0" collapsed="false">
      <c r="A137" s="27"/>
      <c r="B137" s="10" t="str">
        <f aca="false">IF($A137="","",SUMIFS('Daily Entry'!$P$4:$P$2003,'Daily Entry'!$A$4:$A$2003,$A137))</f>
        <v/>
      </c>
      <c r="C137" s="9"/>
      <c r="D137" s="9"/>
      <c r="E137" s="9"/>
      <c r="F137" s="8"/>
      <c r="G137" s="9"/>
      <c r="H137" s="9"/>
      <c r="I137" s="8"/>
      <c r="J137" s="28" t="str">
        <f aca="false">IF($A137="","",$B137+$C137-$D137-$E137-$G137-$H137)</f>
        <v/>
      </c>
      <c r="K137" s="10" t="str">
        <f aca="false">IF($A137="","",SUMIFS('Daily Entry'!$Q$4:$Q$2003,'Daily Entry'!$A$4:$A$2003,$A137))</f>
        <v/>
      </c>
      <c r="L137" s="10" t="str">
        <f aca="false">IF($A137="","",$B137-$K137)</f>
        <v/>
      </c>
      <c r="M137" s="28" t="str">
        <f aca="false">IF($A137="","",$L137-$D137-$E137-$G137)</f>
        <v/>
      </c>
      <c r="N137" s="10" t="str">
        <f aca="false">IF($A137="","",SUMIFS('Daily Entry'!$H$4:$H$2003,'Daily Entry'!$A$4:$A$2003,$A137))</f>
        <v/>
      </c>
      <c r="O137" s="10" t="str">
        <f aca="false">IF($A137="","",SUMIFS('Daily Entry'!$I$4:$I$2003,'Daily Entry'!$A$4:$A$2003,$A137))</f>
        <v/>
      </c>
      <c r="P137" s="10" t="str">
        <f aca="false">IF($A137="","",SUMPRODUCT(('Daily Entry'!$A$4:$A$2003=$A137)*('Daily Entry'!$M$4:$M$2003)*('Daily Entry'!$D$4:$D$2003)))</f>
        <v/>
      </c>
    </row>
    <row r="138" customFormat="false" ht="15" hidden="false" customHeight="false" outlineLevel="0" collapsed="false">
      <c r="A138" s="27"/>
      <c r="B138" s="10" t="str">
        <f aca="false">IF($A138="","",SUMIFS('Daily Entry'!$P$4:$P$2003,'Daily Entry'!$A$4:$A$2003,$A138))</f>
        <v/>
      </c>
      <c r="C138" s="9"/>
      <c r="D138" s="9"/>
      <c r="E138" s="9"/>
      <c r="F138" s="8"/>
      <c r="G138" s="9"/>
      <c r="H138" s="9"/>
      <c r="I138" s="8"/>
      <c r="J138" s="28" t="str">
        <f aca="false">IF($A138="","",$B138+$C138-$D138-$E138-$G138-$H138)</f>
        <v/>
      </c>
      <c r="K138" s="10" t="str">
        <f aca="false">IF($A138="","",SUMIFS('Daily Entry'!$Q$4:$Q$2003,'Daily Entry'!$A$4:$A$2003,$A138))</f>
        <v/>
      </c>
      <c r="L138" s="10" t="str">
        <f aca="false">IF($A138="","",$B138-$K138)</f>
        <v/>
      </c>
      <c r="M138" s="28" t="str">
        <f aca="false">IF($A138="","",$L138-$D138-$E138-$G138)</f>
        <v/>
      </c>
      <c r="N138" s="10" t="str">
        <f aca="false">IF($A138="","",SUMIFS('Daily Entry'!$H$4:$H$2003,'Daily Entry'!$A$4:$A$2003,$A138))</f>
        <v/>
      </c>
      <c r="O138" s="10" t="str">
        <f aca="false">IF($A138="","",SUMIFS('Daily Entry'!$I$4:$I$2003,'Daily Entry'!$A$4:$A$2003,$A138))</f>
        <v/>
      </c>
      <c r="P138" s="10" t="str">
        <f aca="false">IF($A138="","",SUMPRODUCT(('Daily Entry'!$A$4:$A$2003=$A138)*('Daily Entry'!$M$4:$M$2003)*('Daily Entry'!$D$4:$D$2003)))</f>
        <v/>
      </c>
    </row>
    <row r="139" customFormat="false" ht="15" hidden="false" customHeight="false" outlineLevel="0" collapsed="false">
      <c r="A139" s="27"/>
      <c r="B139" s="10" t="str">
        <f aca="false">IF($A139="","",SUMIFS('Daily Entry'!$P$4:$P$2003,'Daily Entry'!$A$4:$A$2003,$A139))</f>
        <v/>
      </c>
      <c r="C139" s="9"/>
      <c r="D139" s="9"/>
      <c r="E139" s="9"/>
      <c r="F139" s="8"/>
      <c r="G139" s="9"/>
      <c r="H139" s="9"/>
      <c r="I139" s="8"/>
      <c r="J139" s="28" t="str">
        <f aca="false">IF($A139="","",$B139+$C139-$D139-$E139-$G139-$H139)</f>
        <v/>
      </c>
      <c r="K139" s="10" t="str">
        <f aca="false">IF($A139="","",SUMIFS('Daily Entry'!$Q$4:$Q$2003,'Daily Entry'!$A$4:$A$2003,$A139))</f>
        <v/>
      </c>
      <c r="L139" s="10" t="str">
        <f aca="false">IF($A139="","",$B139-$K139)</f>
        <v/>
      </c>
      <c r="M139" s="28" t="str">
        <f aca="false">IF($A139="","",$L139-$D139-$E139-$G139)</f>
        <v/>
      </c>
      <c r="N139" s="10" t="str">
        <f aca="false">IF($A139="","",SUMIFS('Daily Entry'!$H$4:$H$2003,'Daily Entry'!$A$4:$A$2003,$A139))</f>
        <v/>
      </c>
      <c r="O139" s="10" t="str">
        <f aca="false">IF($A139="","",SUMIFS('Daily Entry'!$I$4:$I$2003,'Daily Entry'!$A$4:$A$2003,$A139))</f>
        <v/>
      </c>
      <c r="P139" s="10" t="str">
        <f aca="false">IF($A139="","",SUMPRODUCT(('Daily Entry'!$A$4:$A$2003=$A139)*('Daily Entry'!$M$4:$M$2003)*('Daily Entry'!$D$4:$D$2003)))</f>
        <v/>
      </c>
    </row>
    <row r="140" customFormat="false" ht="15" hidden="false" customHeight="false" outlineLevel="0" collapsed="false">
      <c r="A140" s="27"/>
      <c r="B140" s="10" t="str">
        <f aca="false">IF($A140="","",SUMIFS('Daily Entry'!$P$4:$P$2003,'Daily Entry'!$A$4:$A$2003,$A140))</f>
        <v/>
      </c>
      <c r="C140" s="9"/>
      <c r="D140" s="9"/>
      <c r="E140" s="9"/>
      <c r="F140" s="8"/>
      <c r="G140" s="9"/>
      <c r="H140" s="9"/>
      <c r="I140" s="8"/>
      <c r="J140" s="28" t="str">
        <f aca="false">IF($A140="","",$B140+$C140-$D140-$E140-$G140-$H140)</f>
        <v/>
      </c>
      <c r="K140" s="10" t="str">
        <f aca="false">IF($A140="","",SUMIFS('Daily Entry'!$Q$4:$Q$2003,'Daily Entry'!$A$4:$A$2003,$A140))</f>
        <v/>
      </c>
      <c r="L140" s="10" t="str">
        <f aca="false">IF($A140="","",$B140-$K140)</f>
        <v/>
      </c>
      <c r="M140" s="28" t="str">
        <f aca="false">IF($A140="","",$L140-$D140-$E140-$G140)</f>
        <v/>
      </c>
      <c r="N140" s="10" t="str">
        <f aca="false">IF($A140="","",SUMIFS('Daily Entry'!$H$4:$H$2003,'Daily Entry'!$A$4:$A$2003,$A140))</f>
        <v/>
      </c>
      <c r="O140" s="10" t="str">
        <f aca="false">IF($A140="","",SUMIFS('Daily Entry'!$I$4:$I$2003,'Daily Entry'!$A$4:$A$2003,$A140))</f>
        <v/>
      </c>
      <c r="P140" s="10" t="str">
        <f aca="false">IF($A140="","",SUMPRODUCT(('Daily Entry'!$A$4:$A$2003=$A140)*('Daily Entry'!$M$4:$M$2003)*('Daily Entry'!$D$4:$D$2003)))</f>
        <v/>
      </c>
    </row>
    <row r="141" customFormat="false" ht="15" hidden="false" customHeight="false" outlineLevel="0" collapsed="false">
      <c r="A141" s="27"/>
      <c r="B141" s="10" t="str">
        <f aca="false">IF($A141="","",SUMIFS('Daily Entry'!$P$4:$P$2003,'Daily Entry'!$A$4:$A$2003,$A141))</f>
        <v/>
      </c>
      <c r="C141" s="9"/>
      <c r="D141" s="9"/>
      <c r="E141" s="9"/>
      <c r="F141" s="8"/>
      <c r="G141" s="9"/>
      <c r="H141" s="9"/>
      <c r="I141" s="8"/>
      <c r="J141" s="28" t="str">
        <f aca="false">IF($A141="","",$B141+$C141-$D141-$E141-$G141-$H141)</f>
        <v/>
      </c>
      <c r="K141" s="10" t="str">
        <f aca="false">IF($A141="","",SUMIFS('Daily Entry'!$Q$4:$Q$2003,'Daily Entry'!$A$4:$A$2003,$A141))</f>
        <v/>
      </c>
      <c r="L141" s="10" t="str">
        <f aca="false">IF($A141="","",$B141-$K141)</f>
        <v/>
      </c>
      <c r="M141" s="28" t="str">
        <f aca="false">IF($A141="","",$L141-$D141-$E141-$G141)</f>
        <v/>
      </c>
      <c r="N141" s="10" t="str">
        <f aca="false">IF($A141="","",SUMIFS('Daily Entry'!$H$4:$H$2003,'Daily Entry'!$A$4:$A$2003,$A141))</f>
        <v/>
      </c>
      <c r="O141" s="10" t="str">
        <f aca="false">IF($A141="","",SUMIFS('Daily Entry'!$I$4:$I$2003,'Daily Entry'!$A$4:$A$2003,$A141))</f>
        <v/>
      </c>
      <c r="P141" s="10" t="str">
        <f aca="false">IF($A141="","",SUMPRODUCT(('Daily Entry'!$A$4:$A$2003=$A141)*('Daily Entry'!$M$4:$M$2003)*('Daily Entry'!$D$4:$D$2003)))</f>
        <v/>
      </c>
    </row>
    <row r="142" customFormat="false" ht="15" hidden="false" customHeight="false" outlineLevel="0" collapsed="false">
      <c r="A142" s="27"/>
      <c r="B142" s="10" t="str">
        <f aca="false">IF($A142="","",SUMIFS('Daily Entry'!$P$4:$P$2003,'Daily Entry'!$A$4:$A$2003,$A142))</f>
        <v/>
      </c>
      <c r="C142" s="9"/>
      <c r="D142" s="9"/>
      <c r="E142" s="9"/>
      <c r="F142" s="8"/>
      <c r="G142" s="9"/>
      <c r="H142" s="9"/>
      <c r="I142" s="8"/>
      <c r="J142" s="28" t="str">
        <f aca="false">IF($A142="","",$B142+$C142-$D142-$E142-$G142-$H142)</f>
        <v/>
      </c>
      <c r="K142" s="10" t="str">
        <f aca="false">IF($A142="","",SUMIFS('Daily Entry'!$Q$4:$Q$2003,'Daily Entry'!$A$4:$A$2003,$A142))</f>
        <v/>
      </c>
      <c r="L142" s="10" t="str">
        <f aca="false">IF($A142="","",$B142-$K142)</f>
        <v/>
      </c>
      <c r="M142" s="28" t="str">
        <f aca="false">IF($A142="","",$L142-$D142-$E142-$G142)</f>
        <v/>
      </c>
      <c r="N142" s="10" t="str">
        <f aca="false">IF($A142="","",SUMIFS('Daily Entry'!$H$4:$H$2003,'Daily Entry'!$A$4:$A$2003,$A142))</f>
        <v/>
      </c>
      <c r="O142" s="10" t="str">
        <f aca="false">IF($A142="","",SUMIFS('Daily Entry'!$I$4:$I$2003,'Daily Entry'!$A$4:$A$2003,$A142))</f>
        <v/>
      </c>
      <c r="P142" s="10" t="str">
        <f aca="false">IF($A142="","",SUMPRODUCT(('Daily Entry'!$A$4:$A$2003=$A142)*('Daily Entry'!$M$4:$M$2003)*('Daily Entry'!$D$4:$D$2003)))</f>
        <v/>
      </c>
    </row>
    <row r="143" customFormat="false" ht="15" hidden="false" customHeight="false" outlineLevel="0" collapsed="false">
      <c r="A143" s="27"/>
      <c r="B143" s="10" t="str">
        <f aca="false">IF($A143="","",SUMIFS('Daily Entry'!$P$4:$P$2003,'Daily Entry'!$A$4:$A$2003,$A143))</f>
        <v/>
      </c>
      <c r="C143" s="9"/>
      <c r="D143" s="9"/>
      <c r="E143" s="9"/>
      <c r="F143" s="8"/>
      <c r="G143" s="9"/>
      <c r="H143" s="9"/>
      <c r="I143" s="8"/>
      <c r="J143" s="28" t="str">
        <f aca="false">IF($A143="","",$B143+$C143-$D143-$E143-$G143-$H143)</f>
        <v/>
      </c>
      <c r="K143" s="10" t="str">
        <f aca="false">IF($A143="","",SUMIFS('Daily Entry'!$Q$4:$Q$2003,'Daily Entry'!$A$4:$A$2003,$A143))</f>
        <v/>
      </c>
      <c r="L143" s="10" t="str">
        <f aca="false">IF($A143="","",$B143-$K143)</f>
        <v/>
      </c>
      <c r="M143" s="28" t="str">
        <f aca="false">IF($A143="","",$L143-$D143-$E143-$G143)</f>
        <v/>
      </c>
      <c r="N143" s="10" t="str">
        <f aca="false">IF($A143="","",SUMIFS('Daily Entry'!$H$4:$H$2003,'Daily Entry'!$A$4:$A$2003,$A143))</f>
        <v/>
      </c>
      <c r="O143" s="10" t="str">
        <f aca="false">IF($A143="","",SUMIFS('Daily Entry'!$I$4:$I$2003,'Daily Entry'!$A$4:$A$2003,$A143))</f>
        <v/>
      </c>
      <c r="P143" s="10" t="str">
        <f aca="false">IF($A143="","",SUMPRODUCT(('Daily Entry'!$A$4:$A$2003=$A143)*('Daily Entry'!$M$4:$M$2003)*('Daily Entry'!$D$4:$D$2003)))</f>
        <v/>
      </c>
    </row>
    <row r="144" customFormat="false" ht="15" hidden="false" customHeight="false" outlineLevel="0" collapsed="false">
      <c r="A144" s="27"/>
      <c r="B144" s="10" t="str">
        <f aca="false">IF($A144="","",SUMIFS('Daily Entry'!$P$4:$P$2003,'Daily Entry'!$A$4:$A$2003,$A144))</f>
        <v/>
      </c>
      <c r="C144" s="9"/>
      <c r="D144" s="9"/>
      <c r="E144" s="9"/>
      <c r="F144" s="8"/>
      <c r="G144" s="9"/>
      <c r="H144" s="9"/>
      <c r="I144" s="8"/>
      <c r="J144" s="28" t="str">
        <f aca="false">IF($A144="","",$B144+$C144-$D144-$E144-$G144-$H144)</f>
        <v/>
      </c>
      <c r="K144" s="10" t="str">
        <f aca="false">IF($A144="","",SUMIFS('Daily Entry'!$Q$4:$Q$2003,'Daily Entry'!$A$4:$A$2003,$A144))</f>
        <v/>
      </c>
      <c r="L144" s="10" t="str">
        <f aca="false">IF($A144="","",$B144-$K144)</f>
        <v/>
      </c>
      <c r="M144" s="28" t="str">
        <f aca="false">IF($A144="","",$L144-$D144-$E144-$G144)</f>
        <v/>
      </c>
      <c r="N144" s="10" t="str">
        <f aca="false">IF($A144="","",SUMIFS('Daily Entry'!$H$4:$H$2003,'Daily Entry'!$A$4:$A$2003,$A144))</f>
        <v/>
      </c>
      <c r="O144" s="10" t="str">
        <f aca="false">IF($A144="","",SUMIFS('Daily Entry'!$I$4:$I$2003,'Daily Entry'!$A$4:$A$2003,$A144))</f>
        <v/>
      </c>
      <c r="P144" s="10" t="str">
        <f aca="false">IF($A144="","",SUMPRODUCT(('Daily Entry'!$A$4:$A$2003=$A144)*('Daily Entry'!$M$4:$M$2003)*('Daily Entry'!$D$4:$D$2003)))</f>
        <v/>
      </c>
    </row>
    <row r="145" customFormat="false" ht="15" hidden="false" customHeight="false" outlineLevel="0" collapsed="false">
      <c r="A145" s="27"/>
      <c r="B145" s="10" t="str">
        <f aca="false">IF($A145="","",SUMIFS('Daily Entry'!$P$4:$P$2003,'Daily Entry'!$A$4:$A$2003,$A145))</f>
        <v/>
      </c>
      <c r="C145" s="9"/>
      <c r="D145" s="9"/>
      <c r="E145" s="9"/>
      <c r="F145" s="8"/>
      <c r="G145" s="9"/>
      <c r="H145" s="9"/>
      <c r="I145" s="8"/>
      <c r="J145" s="28" t="str">
        <f aca="false">IF($A145="","",$B145+$C145-$D145-$E145-$G145-$H145)</f>
        <v/>
      </c>
      <c r="K145" s="10" t="str">
        <f aca="false">IF($A145="","",SUMIFS('Daily Entry'!$Q$4:$Q$2003,'Daily Entry'!$A$4:$A$2003,$A145))</f>
        <v/>
      </c>
      <c r="L145" s="10" t="str">
        <f aca="false">IF($A145="","",$B145-$K145)</f>
        <v/>
      </c>
      <c r="M145" s="28" t="str">
        <f aca="false">IF($A145="","",$L145-$D145-$E145-$G145)</f>
        <v/>
      </c>
      <c r="N145" s="10" t="str">
        <f aca="false">IF($A145="","",SUMIFS('Daily Entry'!$H$4:$H$2003,'Daily Entry'!$A$4:$A$2003,$A145))</f>
        <v/>
      </c>
      <c r="O145" s="10" t="str">
        <f aca="false">IF($A145="","",SUMIFS('Daily Entry'!$I$4:$I$2003,'Daily Entry'!$A$4:$A$2003,$A145))</f>
        <v/>
      </c>
      <c r="P145" s="10" t="str">
        <f aca="false">IF($A145="","",SUMPRODUCT(('Daily Entry'!$A$4:$A$2003=$A145)*('Daily Entry'!$M$4:$M$2003)*('Daily Entry'!$D$4:$D$2003)))</f>
        <v/>
      </c>
    </row>
    <row r="146" customFormat="false" ht="15" hidden="false" customHeight="false" outlineLevel="0" collapsed="false">
      <c r="A146" s="27"/>
      <c r="B146" s="10" t="str">
        <f aca="false">IF($A146="","",SUMIFS('Daily Entry'!$P$4:$P$2003,'Daily Entry'!$A$4:$A$2003,$A146))</f>
        <v/>
      </c>
      <c r="C146" s="9"/>
      <c r="D146" s="9"/>
      <c r="E146" s="9"/>
      <c r="F146" s="8"/>
      <c r="G146" s="9"/>
      <c r="H146" s="9"/>
      <c r="I146" s="8"/>
      <c r="J146" s="28" t="str">
        <f aca="false">IF($A146="","",$B146+$C146-$D146-$E146-$G146-$H146)</f>
        <v/>
      </c>
      <c r="K146" s="10" t="str">
        <f aca="false">IF($A146="","",SUMIFS('Daily Entry'!$Q$4:$Q$2003,'Daily Entry'!$A$4:$A$2003,$A146))</f>
        <v/>
      </c>
      <c r="L146" s="10" t="str">
        <f aca="false">IF($A146="","",$B146-$K146)</f>
        <v/>
      </c>
      <c r="M146" s="28" t="str">
        <f aca="false">IF($A146="","",$L146-$D146-$E146-$G146)</f>
        <v/>
      </c>
      <c r="N146" s="10" t="str">
        <f aca="false">IF($A146="","",SUMIFS('Daily Entry'!$H$4:$H$2003,'Daily Entry'!$A$4:$A$2003,$A146))</f>
        <v/>
      </c>
      <c r="O146" s="10" t="str">
        <f aca="false">IF($A146="","",SUMIFS('Daily Entry'!$I$4:$I$2003,'Daily Entry'!$A$4:$A$2003,$A146))</f>
        <v/>
      </c>
      <c r="P146" s="10" t="str">
        <f aca="false">IF($A146="","",SUMPRODUCT(('Daily Entry'!$A$4:$A$2003=$A146)*('Daily Entry'!$M$4:$M$2003)*('Daily Entry'!$D$4:$D$2003)))</f>
        <v/>
      </c>
    </row>
    <row r="147" customFormat="false" ht="15" hidden="false" customHeight="false" outlineLevel="0" collapsed="false">
      <c r="A147" s="27"/>
      <c r="B147" s="10" t="str">
        <f aca="false">IF($A147="","",SUMIFS('Daily Entry'!$P$4:$P$2003,'Daily Entry'!$A$4:$A$2003,$A147))</f>
        <v/>
      </c>
      <c r="C147" s="9"/>
      <c r="D147" s="9"/>
      <c r="E147" s="9"/>
      <c r="F147" s="8"/>
      <c r="G147" s="9"/>
      <c r="H147" s="9"/>
      <c r="I147" s="8"/>
      <c r="J147" s="28" t="str">
        <f aca="false">IF($A147="","",$B147+$C147-$D147-$E147-$G147-$H147)</f>
        <v/>
      </c>
      <c r="K147" s="10" t="str">
        <f aca="false">IF($A147="","",SUMIFS('Daily Entry'!$Q$4:$Q$2003,'Daily Entry'!$A$4:$A$2003,$A147))</f>
        <v/>
      </c>
      <c r="L147" s="10" t="str">
        <f aca="false">IF($A147="","",$B147-$K147)</f>
        <v/>
      </c>
      <c r="M147" s="28" t="str">
        <f aca="false">IF($A147="","",$L147-$D147-$E147-$G147)</f>
        <v/>
      </c>
      <c r="N147" s="10" t="str">
        <f aca="false">IF($A147="","",SUMIFS('Daily Entry'!$H$4:$H$2003,'Daily Entry'!$A$4:$A$2003,$A147))</f>
        <v/>
      </c>
      <c r="O147" s="10" t="str">
        <f aca="false">IF($A147="","",SUMIFS('Daily Entry'!$I$4:$I$2003,'Daily Entry'!$A$4:$A$2003,$A147))</f>
        <v/>
      </c>
      <c r="P147" s="10" t="str">
        <f aca="false">IF($A147="","",SUMPRODUCT(('Daily Entry'!$A$4:$A$2003=$A147)*('Daily Entry'!$M$4:$M$2003)*('Daily Entry'!$D$4:$D$2003)))</f>
        <v/>
      </c>
    </row>
    <row r="148" customFormat="false" ht="15" hidden="false" customHeight="false" outlineLevel="0" collapsed="false">
      <c r="A148" s="27"/>
      <c r="B148" s="10" t="str">
        <f aca="false">IF($A148="","",SUMIFS('Daily Entry'!$P$4:$P$2003,'Daily Entry'!$A$4:$A$2003,$A148))</f>
        <v/>
      </c>
      <c r="C148" s="9"/>
      <c r="D148" s="9"/>
      <c r="E148" s="9"/>
      <c r="F148" s="8"/>
      <c r="G148" s="9"/>
      <c r="H148" s="9"/>
      <c r="I148" s="8"/>
      <c r="J148" s="28" t="str">
        <f aca="false">IF($A148="","",$B148+$C148-$D148-$E148-$G148-$H148)</f>
        <v/>
      </c>
      <c r="K148" s="10" t="str">
        <f aca="false">IF($A148="","",SUMIFS('Daily Entry'!$Q$4:$Q$2003,'Daily Entry'!$A$4:$A$2003,$A148))</f>
        <v/>
      </c>
      <c r="L148" s="10" t="str">
        <f aca="false">IF($A148="","",$B148-$K148)</f>
        <v/>
      </c>
      <c r="M148" s="28" t="str">
        <f aca="false">IF($A148="","",$L148-$D148-$E148-$G148)</f>
        <v/>
      </c>
      <c r="N148" s="10" t="str">
        <f aca="false">IF($A148="","",SUMIFS('Daily Entry'!$H$4:$H$2003,'Daily Entry'!$A$4:$A$2003,$A148))</f>
        <v/>
      </c>
      <c r="O148" s="10" t="str">
        <f aca="false">IF($A148="","",SUMIFS('Daily Entry'!$I$4:$I$2003,'Daily Entry'!$A$4:$A$2003,$A148))</f>
        <v/>
      </c>
      <c r="P148" s="10" t="str">
        <f aca="false">IF($A148="","",SUMPRODUCT(('Daily Entry'!$A$4:$A$2003=$A148)*('Daily Entry'!$M$4:$M$2003)*('Daily Entry'!$D$4:$D$2003)))</f>
        <v/>
      </c>
    </row>
    <row r="149" customFormat="false" ht="15" hidden="false" customHeight="false" outlineLevel="0" collapsed="false">
      <c r="A149" s="27"/>
      <c r="B149" s="10" t="str">
        <f aca="false">IF($A149="","",SUMIFS('Daily Entry'!$P$4:$P$2003,'Daily Entry'!$A$4:$A$2003,$A149))</f>
        <v/>
      </c>
      <c r="C149" s="9"/>
      <c r="D149" s="9"/>
      <c r="E149" s="9"/>
      <c r="F149" s="8"/>
      <c r="G149" s="9"/>
      <c r="H149" s="9"/>
      <c r="I149" s="8"/>
      <c r="J149" s="28" t="str">
        <f aca="false">IF($A149="","",$B149+$C149-$D149-$E149-$G149-$H149)</f>
        <v/>
      </c>
      <c r="K149" s="10" t="str">
        <f aca="false">IF($A149="","",SUMIFS('Daily Entry'!$Q$4:$Q$2003,'Daily Entry'!$A$4:$A$2003,$A149))</f>
        <v/>
      </c>
      <c r="L149" s="10" t="str">
        <f aca="false">IF($A149="","",$B149-$K149)</f>
        <v/>
      </c>
      <c r="M149" s="28" t="str">
        <f aca="false">IF($A149="","",$L149-$D149-$E149-$G149)</f>
        <v/>
      </c>
      <c r="N149" s="10" t="str">
        <f aca="false">IF($A149="","",SUMIFS('Daily Entry'!$H$4:$H$2003,'Daily Entry'!$A$4:$A$2003,$A149))</f>
        <v/>
      </c>
      <c r="O149" s="10" t="str">
        <f aca="false">IF($A149="","",SUMIFS('Daily Entry'!$I$4:$I$2003,'Daily Entry'!$A$4:$A$2003,$A149))</f>
        <v/>
      </c>
      <c r="P149" s="10" t="str">
        <f aca="false">IF($A149="","",SUMPRODUCT(('Daily Entry'!$A$4:$A$2003=$A149)*('Daily Entry'!$M$4:$M$2003)*('Daily Entry'!$D$4:$D$2003)))</f>
        <v/>
      </c>
    </row>
    <row r="150" customFormat="false" ht="15" hidden="false" customHeight="false" outlineLevel="0" collapsed="false">
      <c r="A150" s="27"/>
      <c r="B150" s="10" t="str">
        <f aca="false">IF($A150="","",SUMIFS('Daily Entry'!$P$4:$P$2003,'Daily Entry'!$A$4:$A$2003,$A150))</f>
        <v/>
      </c>
      <c r="C150" s="9"/>
      <c r="D150" s="9"/>
      <c r="E150" s="9"/>
      <c r="F150" s="8"/>
      <c r="G150" s="9"/>
      <c r="H150" s="9"/>
      <c r="I150" s="8"/>
      <c r="J150" s="28" t="str">
        <f aca="false">IF($A150="","",$B150+$C150-$D150-$E150-$G150-$H150)</f>
        <v/>
      </c>
      <c r="K150" s="10" t="str">
        <f aca="false">IF($A150="","",SUMIFS('Daily Entry'!$Q$4:$Q$2003,'Daily Entry'!$A$4:$A$2003,$A150))</f>
        <v/>
      </c>
      <c r="L150" s="10" t="str">
        <f aca="false">IF($A150="","",$B150-$K150)</f>
        <v/>
      </c>
      <c r="M150" s="28" t="str">
        <f aca="false">IF($A150="","",$L150-$D150-$E150-$G150)</f>
        <v/>
      </c>
      <c r="N150" s="10" t="str">
        <f aca="false">IF($A150="","",SUMIFS('Daily Entry'!$H$4:$H$2003,'Daily Entry'!$A$4:$A$2003,$A150))</f>
        <v/>
      </c>
      <c r="O150" s="10" t="str">
        <f aca="false">IF($A150="","",SUMIFS('Daily Entry'!$I$4:$I$2003,'Daily Entry'!$A$4:$A$2003,$A150))</f>
        <v/>
      </c>
      <c r="P150" s="10" t="str">
        <f aca="false">IF($A150="","",SUMPRODUCT(('Daily Entry'!$A$4:$A$2003=$A150)*('Daily Entry'!$M$4:$M$2003)*('Daily Entry'!$D$4:$D$2003)))</f>
        <v/>
      </c>
    </row>
    <row r="151" customFormat="false" ht="15" hidden="false" customHeight="false" outlineLevel="0" collapsed="false">
      <c r="A151" s="27"/>
      <c r="B151" s="10" t="str">
        <f aca="false">IF($A151="","",SUMIFS('Daily Entry'!$P$4:$P$2003,'Daily Entry'!$A$4:$A$2003,$A151))</f>
        <v/>
      </c>
      <c r="C151" s="9"/>
      <c r="D151" s="9"/>
      <c r="E151" s="9"/>
      <c r="F151" s="8"/>
      <c r="G151" s="9"/>
      <c r="H151" s="9"/>
      <c r="I151" s="8"/>
      <c r="J151" s="28" t="str">
        <f aca="false">IF($A151="","",$B151+$C151-$D151-$E151-$G151-$H151)</f>
        <v/>
      </c>
      <c r="K151" s="10" t="str">
        <f aca="false">IF($A151="","",SUMIFS('Daily Entry'!$Q$4:$Q$2003,'Daily Entry'!$A$4:$A$2003,$A151))</f>
        <v/>
      </c>
      <c r="L151" s="10" t="str">
        <f aca="false">IF($A151="","",$B151-$K151)</f>
        <v/>
      </c>
      <c r="M151" s="28" t="str">
        <f aca="false">IF($A151="","",$L151-$D151-$E151-$G151)</f>
        <v/>
      </c>
      <c r="N151" s="10" t="str">
        <f aca="false">IF($A151="","",SUMIFS('Daily Entry'!$H$4:$H$2003,'Daily Entry'!$A$4:$A$2003,$A151))</f>
        <v/>
      </c>
      <c r="O151" s="10" t="str">
        <f aca="false">IF($A151="","",SUMIFS('Daily Entry'!$I$4:$I$2003,'Daily Entry'!$A$4:$A$2003,$A151))</f>
        <v/>
      </c>
      <c r="P151" s="10" t="str">
        <f aca="false">IF($A151="","",SUMPRODUCT(('Daily Entry'!$A$4:$A$2003=$A151)*('Daily Entry'!$M$4:$M$2003)*('Daily Entry'!$D$4:$D$2003)))</f>
        <v/>
      </c>
    </row>
    <row r="152" customFormat="false" ht="15" hidden="false" customHeight="false" outlineLevel="0" collapsed="false">
      <c r="A152" s="27"/>
      <c r="B152" s="10" t="str">
        <f aca="false">IF($A152="","",SUMIFS('Daily Entry'!$P$4:$P$2003,'Daily Entry'!$A$4:$A$2003,$A152))</f>
        <v/>
      </c>
      <c r="C152" s="9"/>
      <c r="D152" s="9"/>
      <c r="E152" s="9"/>
      <c r="F152" s="8"/>
      <c r="G152" s="9"/>
      <c r="H152" s="9"/>
      <c r="I152" s="8"/>
      <c r="J152" s="28" t="str">
        <f aca="false">IF($A152="","",$B152+$C152-$D152-$E152-$G152-$H152)</f>
        <v/>
      </c>
      <c r="K152" s="10" t="str">
        <f aca="false">IF($A152="","",SUMIFS('Daily Entry'!$Q$4:$Q$2003,'Daily Entry'!$A$4:$A$2003,$A152))</f>
        <v/>
      </c>
      <c r="L152" s="10" t="str">
        <f aca="false">IF($A152="","",$B152-$K152)</f>
        <v/>
      </c>
      <c r="M152" s="28" t="str">
        <f aca="false">IF($A152="","",$L152-$D152-$E152-$G152)</f>
        <v/>
      </c>
      <c r="N152" s="10" t="str">
        <f aca="false">IF($A152="","",SUMIFS('Daily Entry'!$H$4:$H$2003,'Daily Entry'!$A$4:$A$2003,$A152))</f>
        <v/>
      </c>
      <c r="O152" s="10" t="str">
        <f aca="false">IF($A152="","",SUMIFS('Daily Entry'!$I$4:$I$2003,'Daily Entry'!$A$4:$A$2003,$A152))</f>
        <v/>
      </c>
      <c r="P152" s="10" t="str">
        <f aca="false">IF($A152="","",SUMPRODUCT(('Daily Entry'!$A$4:$A$2003=$A152)*('Daily Entry'!$M$4:$M$2003)*('Daily Entry'!$D$4:$D$2003)))</f>
        <v/>
      </c>
    </row>
    <row r="153" customFormat="false" ht="15" hidden="false" customHeight="false" outlineLevel="0" collapsed="false">
      <c r="A153" s="27"/>
      <c r="B153" s="10" t="str">
        <f aca="false">IF($A153="","",SUMIFS('Daily Entry'!$P$4:$P$2003,'Daily Entry'!$A$4:$A$2003,$A153))</f>
        <v/>
      </c>
      <c r="C153" s="9"/>
      <c r="D153" s="9"/>
      <c r="E153" s="9"/>
      <c r="F153" s="8"/>
      <c r="G153" s="9"/>
      <c r="H153" s="9"/>
      <c r="I153" s="8"/>
      <c r="J153" s="28" t="str">
        <f aca="false">IF($A153="","",$B153+$C153-$D153-$E153-$G153-$H153)</f>
        <v/>
      </c>
      <c r="K153" s="10" t="str">
        <f aca="false">IF($A153="","",SUMIFS('Daily Entry'!$Q$4:$Q$2003,'Daily Entry'!$A$4:$A$2003,$A153))</f>
        <v/>
      </c>
      <c r="L153" s="10" t="str">
        <f aca="false">IF($A153="","",$B153-$K153)</f>
        <v/>
      </c>
      <c r="M153" s="28" t="str">
        <f aca="false">IF($A153="","",$L153-$D153-$E153-$G153)</f>
        <v/>
      </c>
      <c r="N153" s="10" t="str">
        <f aca="false">IF($A153="","",SUMIFS('Daily Entry'!$H$4:$H$2003,'Daily Entry'!$A$4:$A$2003,$A153))</f>
        <v/>
      </c>
      <c r="O153" s="10" t="str">
        <f aca="false">IF($A153="","",SUMIFS('Daily Entry'!$I$4:$I$2003,'Daily Entry'!$A$4:$A$2003,$A153))</f>
        <v/>
      </c>
      <c r="P153" s="10" t="str">
        <f aca="false">IF($A153="","",SUMPRODUCT(('Daily Entry'!$A$4:$A$2003=$A153)*('Daily Entry'!$M$4:$M$2003)*('Daily Entry'!$D$4:$D$2003)))</f>
        <v/>
      </c>
    </row>
    <row r="154" customFormat="false" ht="15" hidden="false" customHeight="false" outlineLevel="0" collapsed="false">
      <c r="A154" s="27"/>
      <c r="B154" s="10" t="str">
        <f aca="false">IF($A154="","",SUMIFS('Daily Entry'!$P$4:$P$2003,'Daily Entry'!$A$4:$A$2003,$A154))</f>
        <v/>
      </c>
      <c r="C154" s="9"/>
      <c r="D154" s="9"/>
      <c r="E154" s="9"/>
      <c r="F154" s="8"/>
      <c r="G154" s="9"/>
      <c r="H154" s="9"/>
      <c r="I154" s="8"/>
      <c r="J154" s="28" t="str">
        <f aca="false">IF($A154="","",$B154+$C154-$D154-$E154-$G154-$H154)</f>
        <v/>
      </c>
      <c r="K154" s="10" t="str">
        <f aca="false">IF($A154="","",SUMIFS('Daily Entry'!$Q$4:$Q$2003,'Daily Entry'!$A$4:$A$2003,$A154))</f>
        <v/>
      </c>
      <c r="L154" s="10" t="str">
        <f aca="false">IF($A154="","",$B154-$K154)</f>
        <v/>
      </c>
      <c r="M154" s="28" t="str">
        <f aca="false">IF($A154="","",$L154-$D154-$E154-$G154)</f>
        <v/>
      </c>
      <c r="N154" s="10" t="str">
        <f aca="false">IF($A154="","",SUMIFS('Daily Entry'!$H$4:$H$2003,'Daily Entry'!$A$4:$A$2003,$A154))</f>
        <v/>
      </c>
      <c r="O154" s="10" t="str">
        <f aca="false">IF($A154="","",SUMIFS('Daily Entry'!$I$4:$I$2003,'Daily Entry'!$A$4:$A$2003,$A154))</f>
        <v/>
      </c>
      <c r="P154" s="10" t="str">
        <f aca="false">IF($A154="","",SUMPRODUCT(('Daily Entry'!$A$4:$A$2003=$A154)*('Daily Entry'!$M$4:$M$2003)*('Daily Entry'!$D$4:$D$2003)))</f>
        <v/>
      </c>
    </row>
    <row r="155" customFormat="false" ht="15" hidden="false" customHeight="false" outlineLevel="0" collapsed="false">
      <c r="A155" s="27"/>
      <c r="B155" s="10" t="str">
        <f aca="false">IF($A155="","",SUMIFS('Daily Entry'!$P$4:$P$2003,'Daily Entry'!$A$4:$A$2003,$A155))</f>
        <v/>
      </c>
      <c r="C155" s="9"/>
      <c r="D155" s="9"/>
      <c r="E155" s="9"/>
      <c r="F155" s="8"/>
      <c r="G155" s="9"/>
      <c r="H155" s="9"/>
      <c r="I155" s="8"/>
      <c r="J155" s="28" t="str">
        <f aca="false">IF($A155="","",$B155+$C155-$D155-$E155-$G155-$H155)</f>
        <v/>
      </c>
      <c r="K155" s="10" t="str">
        <f aca="false">IF($A155="","",SUMIFS('Daily Entry'!$Q$4:$Q$2003,'Daily Entry'!$A$4:$A$2003,$A155))</f>
        <v/>
      </c>
      <c r="L155" s="10" t="str">
        <f aca="false">IF($A155="","",$B155-$K155)</f>
        <v/>
      </c>
      <c r="M155" s="28" t="str">
        <f aca="false">IF($A155="","",$L155-$D155-$E155-$G155)</f>
        <v/>
      </c>
      <c r="N155" s="10" t="str">
        <f aca="false">IF($A155="","",SUMIFS('Daily Entry'!$H$4:$H$2003,'Daily Entry'!$A$4:$A$2003,$A155))</f>
        <v/>
      </c>
      <c r="O155" s="10" t="str">
        <f aca="false">IF($A155="","",SUMIFS('Daily Entry'!$I$4:$I$2003,'Daily Entry'!$A$4:$A$2003,$A155))</f>
        <v/>
      </c>
      <c r="P155" s="10" t="str">
        <f aca="false">IF($A155="","",SUMPRODUCT(('Daily Entry'!$A$4:$A$2003=$A155)*('Daily Entry'!$M$4:$M$2003)*('Daily Entry'!$D$4:$D$2003)))</f>
        <v/>
      </c>
    </row>
    <row r="156" customFormat="false" ht="15" hidden="false" customHeight="false" outlineLevel="0" collapsed="false">
      <c r="A156" s="27"/>
      <c r="B156" s="10" t="str">
        <f aca="false">IF($A156="","",SUMIFS('Daily Entry'!$P$4:$P$2003,'Daily Entry'!$A$4:$A$2003,$A156))</f>
        <v/>
      </c>
      <c r="C156" s="9"/>
      <c r="D156" s="9"/>
      <c r="E156" s="9"/>
      <c r="F156" s="8"/>
      <c r="G156" s="9"/>
      <c r="H156" s="9"/>
      <c r="I156" s="8"/>
      <c r="J156" s="28" t="str">
        <f aca="false">IF($A156="","",$B156+$C156-$D156-$E156-$G156-$H156)</f>
        <v/>
      </c>
      <c r="K156" s="10" t="str">
        <f aca="false">IF($A156="","",SUMIFS('Daily Entry'!$Q$4:$Q$2003,'Daily Entry'!$A$4:$A$2003,$A156))</f>
        <v/>
      </c>
      <c r="L156" s="10" t="str">
        <f aca="false">IF($A156="","",$B156-$K156)</f>
        <v/>
      </c>
      <c r="M156" s="28" t="str">
        <f aca="false">IF($A156="","",$L156-$D156-$E156-$G156)</f>
        <v/>
      </c>
      <c r="N156" s="10" t="str">
        <f aca="false">IF($A156="","",SUMIFS('Daily Entry'!$H$4:$H$2003,'Daily Entry'!$A$4:$A$2003,$A156))</f>
        <v/>
      </c>
      <c r="O156" s="10" t="str">
        <f aca="false">IF($A156="","",SUMIFS('Daily Entry'!$I$4:$I$2003,'Daily Entry'!$A$4:$A$2003,$A156))</f>
        <v/>
      </c>
      <c r="P156" s="10" t="str">
        <f aca="false">IF($A156="","",SUMPRODUCT(('Daily Entry'!$A$4:$A$2003=$A156)*('Daily Entry'!$M$4:$M$2003)*('Daily Entry'!$D$4:$D$2003)))</f>
        <v/>
      </c>
    </row>
    <row r="157" customFormat="false" ht="15" hidden="false" customHeight="false" outlineLevel="0" collapsed="false">
      <c r="A157" s="27"/>
      <c r="B157" s="10" t="str">
        <f aca="false">IF($A157="","",SUMIFS('Daily Entry'!$P$4:$P$2003,'Daily Entry'!$A$4:$A$2003,$A157))</f>
        <v/>
      </c>
      <c r="C157" s="9"/>
      <c r="D157" s="9"/>
      <c r="E157" s="9"/>
      <c r="F157" s="8"/>
      <c r="G157" s="9"/>
      <c r="H157" s="9"/>
      <c r="I157" s="8"/>
      <c r="J157" s="28" t="str">
        <f aca="false">IF($A157="","",$B157+$C157-$D157-$E157-$G157-$H157)</f>
        <v/>
      </c>
      <c r="K157" s="10" t="str">
        <f aca="false">IF($A157="","",SUMIFS('Daily Entry'!$Q$4:$Q$2003,'Daily Entry'!$A$4:$A$2003,$A157))</f>
        <v/>
      </c>
      <c r="L157" s="10" t="str">
        <f aca="false">IF($A157="","",$B157-$K157)</f>
        <v/>
      </c>
      <c r="M157" s="28" t="str">
        <f aca="false">IF($A157="","",$L157-$D157-$E157-$G157)</f>
        <v/>
      </c>
      <c r="N157" s="10" t="str">
        <f aca="false">IF($A157="","",SUMIFS('Daily Entry'!$H$4:$H$2003,'Daily Entry'!$A$4:$A$2003,$A157))</f>
        <v/>
      </c>
      <c r="O157" s="10" t="str">
        <f aca="false">IF($A157="","",SUMIFS('Daily Entry'!$I$4:$I$2003,'Daily Entry'!$A$4:$A$2003,$A157))</f>
        <v/>
      </c>
      <c r="P157" s="10" t="str">
        <f aca="false">IF($A157="","",SUMPRODUCT(('Daily Entry'!$A$4:$A$2003=$A157)*('Daily Entry'!$M$4:$M$2003)*('Daily Entry'!$D$4:$D$2003)))</f>
        <v/>
      </c>
    </row>
    <row r="158" customFormat="false" ht="15" hidden="false" customHeight="false" outlineLevel="0" collapsed="false">
      <c r="A158" s="27"/>
      <c r="B158" s="10" t="str">
        <f aca="false">IF($A158="","",SUMIFS('Daily Entry'!$P$4:$P$2003,'Daily Entry'!$A$4:$A$2003,$A158))</f>
        <v/>
      </c>
      <c r="C158" s="9"/>
      <c r="D158" s="9"/>
      <c r="E158" s="9"/>
      <c r="F158" s="8"/>
      <c r="G158" s="9"/>
      <c r="H158" s="9"/>
      <c r="I158" s="8"/>
      <c r="J158" s="28" t="str">
        <f aca="false">IF($A158="","",$B158+$C158-$D158-$E158-$G158-$H158)</f>
        <v/>
      </c>
      <c r="K158" s="10" t="str">
        <f aca="false">IF($A158="","",SUMIFS('Daily Entry'!$Q$4:$Q$2003,'Daily Entry'!$A$4:$A$2003,$A158))</f>
        <v/>
      </c>
      <c r="L158" s="10" t="str">
        <f aca="false">IF($A158="","",$B158-$K158)</f>
        <v/>
      </c>
      <c r="M158" s="28" t="str">
        <f aca="false">IF($A158="","",$L158-$D158-$E158-$G158)</f>
        <v/>
      </c>
      <c r="N158" s="10" t="str">
        <f aca="false">IF($A158="","",SUMIFS('Daily Entry'!$H$4:$H$2003,'Daily Entry'!$A$4:$A$2003,$A158))</f>
        <v/>
      </c>
      <c r="O158" s="10" t="str">
        <f aca="false">IF($A158="","",SUMIFS('Daily Entry'!$I$4:$I$2003,'Daily Entry'!$A$4:$A$2003,$A158))</f>
        <v/>
      </c>
      <c r="P158" s="10" t="str">
        <f aca="false">IF($A158="","",SUMPRODUCT(('Daily Entry'!$A$4:$A$2003=$A158)*('Daily Entry'!$M$4:$M$2003)*('Daily Entry'!$D$4:$D$2003)))</f>
        <v/>
      </c>
    </row>
    <row r="159" customFormat="false" ht="15" hidden="false" customHeight="false" outlineLevel="0" collapsed="false">
      <c r="A159" s="27"/>
      <c r="B159" s="10" t="str">
        <f aca="false">IF($A159="","",SUMIFS('Daily Entry'!$P$4:$P$2003,'Daily Entry'!$A$4:$A$2003,$A159))</f>
        <v/>
      </c>
      <c r="C159" s="9"/>
      <c r="D159" s="9"/>
      <c r="E159" s="9"/>
      <c r="F159" s="8"/>
      <c r="G159" s="9"/>
      <c r="H159" s="9"/>
      <c r="I159" s="8"/>
      <c r="J159" s="28" t="str">
        <f aca="false">IF($A159="","",$B159+$C159-$D159-$E159-$G159-$H159)</f>
        <v/>
      </c>
      <c r="K159" s="10" t="str">
        <f aca="false">IF($A159="","",SUMIFS('Daily Entry'!$Q$4:$Q$2003,'Daily Entry'!$A$4:$A$2003,$A159))</f>
        <v/>
      </c>
      <c r="L159" s="10" t="str">
        <f aca="false">IF($A159="","",$B159-$K159)</f>
        <v/>
      </c>
      <c r="M159" s="28" t="str">
        <f aca="false">IF($A159="","",$L159-$D159-$E159-$G159)</f>
        <v/>
      </c>
      <c r="N159" s="10" t="str">
        <f aca="false">IF($A159="","",SUMIFS('Daily Entry'!$H$4:$H$2003,'Daily Entry'!$A$4:$A$2003,$A159))</f>
        <v/>
      </c>
      <c r="O159" s="10" t="str">
        <f aca="false">IF($A159="","",SUMIFS('Daily Entry'!$I$4:$I$2003,'Daily Entry'!$A$4:$A$2003,$A159))</f>
        <v/>
      </c>
      <c r="P159" s="10" t="str">
        <f aca="false">IF($A159="","",SUMPRODUCT(('Daily Entry'!$A$4:$A$2003=$A159)*('Daily Entry'!$M$4:$M$2003)*('Daily Entry'!$D$4:$D$2003)))</f>
        <v/>
      </c>
    </row>
    <row r="160" customFormat="false" ht="15" hidden="false" customHeight="false" outlineLevel="0" collapsed="false">
      <c r="A160" s="27"/>
      <c r="B160" s="10" t="str">
        <f aca="false">IF($A160="","",SUMIFS('Daily Entry'!$P$4:$P$2003,'Daily Entry'!$A$4:$A$2003,$A160))</f>
        <v/>
      </c>
      <c r="C160" s="9"/>
      <c r="D160" s="9"/>
      <c r="E160" s="9"/>
      <c r="F160" s="8"/>
      <c r="G160" s="9"/>
      <c r="H160" s="9"/>
      <c r="I160" s="8"/>
      <c r="J160" s="28" t="str">
        <f aca="false">IF($A160="","",$B160+$C160-$D160-$E160-$G160-$H160)</f>
        <v/>
      </c>
      <c r="K160" s="10" t="str">
        <f aca="false">IF($A160="","",SUMIFS('Daily Entry'!$Q$4:$Q$2003,'Daily Entry'!$A$4:$A$2003,$A160))</f>
        <v/>
      </c>
      <c r="L160" s="10" t="str">
        <f aca="false">IF($A160="","",$B160-$K160)</f>
        <v/>
      </c>
      <c r="M160" s="28" t="str">
        <f aca="false">IF($A160="","",$L160-$D160-$E160-$G160)</f>
        <v/>
      </c>
      <c r="N160" s="10" t="str">
        <f aca="false">IF($A160="","",SUMIFS('Daily Entry'!$H$4:$H$2003,'Daily Entry'!$A$4:$A$2003,$A160))</f>
        <v/>
      </c>
      <c r="O160" s="10" t="str">
        <f aca="false">IF($A160="","",SUMIFS('Daily Entry'!$I$4:$I$2003,'Daily Entry'!$A$4:$A$2003,$A160))</f>
        <v/>
      </c>
      <c r="P160" s="10" t="str">
        <f aca="false">IF($A160="","",SUMPRODUCT(('Daily Entry'!$A$4:$A$2003=$A160)*('Daily Entry'!$M$4:$M$2003)*('Daily Entry'!$D$4:$D$2003)))</f>
        <v/>
      </c>
    </row>
    <row r="161" customFormat="false" ht="15" hidden="false" customHeight="false" outlineLevel="0" collapsed="false">
      <c r="A161" s="27"/>
      <c r="B161" s="10" t="str">
        <f aca="false">IF($A161="","",SUMIFS('Daily Entry'!$P$4:$P$2003,'Daily Entry'!$A$4:$A$2003,$A161))</f>
        <v/>
      </c>
      <c r="C161" s="9"/>
      <c r="D161" s="9"/>
      <c r="E161" s="9"/>
      <c r="F161" s="8"/>
      <c r="G161" s="9"/>
      <c r="H161" s="9"/>
      <c r="I161" s="8"/>
      <c r="J161" s="28" t="str">
        <f aca="false">IF($A161="","",$B161+$C161-$D161-$E161-$G161-$H161)</f>
        <v/>
      </c>
      <c r="K161" s="10" t="str">
        <f aca="false">IF($A161="","",SUMIFS('Daily Entry'!$Q$4:$Q$2003,'Daily Entry'!$A$4:$A$2003,$A161))</f>
        <v/>
      </c>
      <c r="L161" s="10" t="str">
        <f aca="false">IF($A161="","",$B161-$K161)</f>
        <v/>
      </c>
      <c r="M161" s="28" t="str">
        <f aca="false">IF($A161="","",$L161-$D161-$E161-$G161)</f>
        <v/>
      </c>
      <c r="N161" s="10" t="str">
        <f aca="false">IF($A161="","",SUMIFS('Daily Entry'!$H$4:$H$2003,'Daily Entry'!$A$4:$A$2003,$A161))</f>
        <v/>
      </c>
      <c r="O161" s="10" t="str">
        <f aca="false">IF($A161="","",SUMIFS('Daily Entry'!$I$4:$I$2003,'Daily Entry'!$A$4:$A$2003,$A161))</f>
        <v/>
      </c>
      <c r="P161" s="10" t="str">
        <f aca="false">IF($A161="","",SUMPRODUCT(('Daily Entry'!$A$4:$A$2003=$A161)*('Daily Entry'!$M$4:$M$2003)*('Daily Entry'!$D$4:$D$2003)))</f>
        <v/>
      </c>
    </row>
    <row r="162" customFormat="false" ht="15" hidden="false" customHeight="false" outlineLevel="0" collapsed="false">
      <c r="A162" s="27"/>
      <c r="B162" s="10" t="str">
        <f aca="false">IF($A162="","",SUMIFS('Daily Entry'!$P$4:$P$2003,'Daily Entry'!$A$4:$A$2003,$A162))</f>
        <v/>
      </c>
      <c r="C162" s="9"/>
      <c r="D162" s="9"/>
      <c r="E162" s="9"/>
      <c r="F162" s="8"/>
      <c r="G162" s="9"/>
      <c r="H162" s="9"/>
      <c r="I162" s="8"/>
      <c r="J162" s="28" t="str">
        <f aca="false">IF($A162="","",$B162+$C162-$D162-$E162-$G162-$H162)</f>
        <v/>
      </c>
      <c r="K162" s="10" t="str">
        <f aca="false">IF($A162="","",SUMIFS('Daily Entry'!$Q$4:$Q$2003,'Daily Entry'!$A$4:$A$2003,$A162))</f>
        <v/>
      </c>
      <c r="L162" s="10" t="str">
        <f aca="false">IF($A162="","",$B162-$K162)</f>
        <v/>
      </c>
      <c r="M162" s="28" t="str">
        <f aca="false">IF($A162="","",$L162-$D162-$E162-$G162)</f>
        <v/>
      </c>
      <c r="N162" s="10" t="str">
        <f aca="false">IF($A162="","",SUMIFS('Daily Entry'!$H$4:$H$2003,'Daily Entry'!$A$4:$A$2003,$A162))</f>
        <v/>
      </c>
      <c r="O162" s="10" t="str">
        <f aca="false">IF($A162="","",SUMIFS('Daily Entry'!$I$4:$I$2003,'Daily Entry'!$A$4:$A$2003,$A162))</f>
        <v/>
      </c>
      <c r="P162" s="10" t="str">
        <f aca="false">IF($A162="","",SUMPRODUCT(('Daily Entry'!$A$4:$A$2003=$A162)*('Daily Entry'!$M$4:$M$2003)*('Daily Entry'!$D$4:$D$2003)))</f>
        <v/>
      </c>
    </row>
    <row r="163" customFormat="false" ht="15" hidden="false" customHeight="false" outlineLevel="0" collapsed="false">
      <c r="A163" s="27"/>
      <c r="B163" s="10" t="str">
        <f aca="false">IF($A163="","",SUMIFS('Daily Entry'!$P$4:$P$2003,'Daily Entry'!$A$4:$A$2003,$A163))</f>
        <v/>
      </c>
      <c r="C163" s="9"/>
      <c r="D163" s="9"/>
      <c r="E163" s="9"/>
      <c r="F163" s="8"/>
      <c r="G163" s="9"/>
      <c r="H163" s="9"/>
      <c r="I163" s="8"/>
      <c r="J163" s="28" t="str">
        <f aca="false">IF($A163="","",$B163+$C163-$D163-$E163-$G163-$H163)</f>
        <v/>
      </c>
      <c r="K163" s="10" t="str">
        <f aca="false">IF($A163="","",SUMIFS('Daily Entry'!$Q$4:$Q$2003,'Daily Entry'!$A$4:$A$2003,$A163))</f>
        <v/>
      </c>
      <c r="L163" s="10" t="str">
        <f aca="false">IF($A163="","",$B163-$K163)</f>
        <v/>
      </c>
      <c r="M163" s="28" t="str">
        <f aca="false">IF($A163="","",$L163-$D163-$E163-$G163)</f>
        <v/>
      </c>
      <c r="N163" s="10" t="str">
        <f aca="false">IF($A163="","",SUMIFS('Daily Entry'!$H$4:$H$2003,'Daily Entry'!$A$4:$A$2003,$A163))</f>
        <v/>
      </c>
      <c r="O163" s="10" t="str">
        <f aca="false">IF($A163="","",SUMIFS('Daily Entry'!$I$4:$I$2003,'Daily Entry'!$A$4:$A$2003,$A163))</f>
        <v/>
      </c>
      <c r="P163" s="10" t="str">
        <f aca="false">IF($A163="","",SUMPRODUCT(('Daily Entry'!$A$4:$A$2003=$A163)*('Daily Entry'!$M$4:$M$2003)*('Daily Entry'!$D$4:$D$2003)))</f>
        <v/>
      </c>
    </row>
    <row r="164" customFormat="false" ht="15" hidden="false" customHeight="false" outlineLevel="0" collapsed="false">
      <c r="A164" s="27"/>
      <c r="B164" s="10" t="str">
        <f aca="false">IF($A164="","",SUMIFS('Daily Entry'!$P$4:$P$2003,'Daily Entry'!$A$4:$A$2003,$A164))</f>
        <v/>
      </c>
      <c r="C164" s="9"/>
      <c r="D164" s="9"/>
      <c r="E164" s="9"/>
      <c r="F164" s="8"/>
      <c r="G164" s="9"/>
      <c r="H164" s="9"/>
      <c r="I164" s="8"/>
      <c r="J164" s="28" t="str">
        <f aca="false">IF($A164="","",$B164+$C164-$D164-$E164-$G164-$H164)</f>
        <v/>
      </c>
      <c r="K164" s="10" t="str">
        <f aca="false">IF($A164="","",SUMIFS('Daily Entry'!$Q$4:$Q$2003,'Daily Entry'!$A$4:$A$2003,$A164))</f>
        <v/>
      </c>
      <c r="L164" s="10" t="str">
        <f aca="false">IF($A164="","",$B164-$K164)</f>
        <v/>
      </c>
      <c r="M164" s="28" t="str">
        <f aca="false">IF($A164="","",$L164-$D164-$E164-$G164)</f>
        <v/>
      </c>
      <c r="N164" s="10" t="str">
        <f aca="false">IF($A164="","",SUMIFS('Daily Entry'!$H$4:$H$2003,'Daily Entry'!$A$4:$A$2003,$A164))</f>
        <v/>
      </c>
      <c r="O164" s="10" t="str">
        <f aca="false">IF($A164="","",SUMIFS('Daily Entry'!$I$4:$I$2003,'Daily Entry'!$A$4:$A$2003,$A164))</f>
        <v/>
      </c>
      <c r="P164" s="10" t="str">
        <f aca="false">IF($A164="","",SUMPRODUCT(('Daily Entry'!$A$4:$A$2003=$A164)*('Daily Entry'!$M$4:$M$2003)*('Daily Entry'!$D$4:$D$2003)))</f>
        <v/>
      </c>
    </row>
    <row r="165" customFormat="false" ht="15" hidden="false" customHeight="false" outlineLevel="0" collapsed="false">
      <c r="A165" s="27"/>
      <c r="B165" s="10" t="str">
        <f aca="false">IF($A165="","",SUMIFS('Daily Entry'!$P$4:$P$2003,'Daily Entry'!$A$4:$A$2003,$A165))</f>
        <v/>
      </c>
      <c r="C165" s="9"/>
      <c r="D165" s="9"/>
      <c r="E165" s="9"/>
      <c r="F165" s="8"/>
      <c r="G165" s="9"/>
      <c r="H165" s="9"/>
      <c r="I165" s="8"/>
      <c r="J165" s="28" t="str">
        <f aca="false">IF($A165="","",$B165+$C165-$D165-$E165-$G165-$H165)</f>
        <v/>
      </c>
      <c r="K165" s="10" t="str">
        <f aca="false">IF($A165="","",SUMIFS('Daily Entry'!$Q$4:$Q$2003,'Daily Entry'!$A$4:$A$2003,$A165))</f>
        <v/>
      </c>
      <c r="L165" s="10" t="str">
        <f aca="false">IF($A165="","",$B165-$K165)</f>
        <v/>
      </c>
      <c r="M165" s="28" t="str">
        <f aca="false">IF($A165="","",$L165-$D165-$E165-$G165)</f>
        <v/>
      </c>
      <c r="N165" s="10" t="str">
        <f aca="false">IF($A165="","",SUMIFS('Daily Entry'!$H$4:$H$2003,'Daily Entry'!$A$4:$A$2003,$A165))</f>
        <v/>
      </c>
      <c r="O165" s="10" t="str">
        <f aca="false">IF($A165="","",SUMIFS('Daily Entry'!$I$4:$I$2003,'Daily Entry'!$A$4:$A$2003,$A165))</f>
        <v/>
      </c>
      <c r="P165" s="10" t="str">
        <f aca="false">IF($A165="","",SUMPRODUCT(('Daily Entry'!$A$4:$A$2003=$A165)*('Daily Entry'!$M$4:$M$2003)*('Daily Entry'!$D$4:$D$2003)))</f>
        <v/>
      </c>
    </row>
    <row r="166" customFormat="false" ht="15" hidden="false" customHeight="false" outlineLevel="0" collapsed="false">
      <c r="A166" s="27"/>
      <c r="B166" s="10" t="str">
        <f aca="false">IF($A166="","",SUMIFS('Daily Entry'!$P$4:$P$2003,'Daily Entry'!$A$4:$A$2003,$A166))</f>
        <v/>
      </c>
      <c r="C166" s="9"/>
      <c r="D166" s="9"/>
      <c r="E166" s="9"/>
      <c r="F166" s="8"/>
      <c r="G166" s="9"/>
      <c r="H166" s="9"/>
      <c r="I166" s="8"/>
      <c r="J166" s="28" t="str">
        <f aca="false">IF($A166="","",$B166+$C166-$D166-$E166-$G166-$H166)</f>
        <v/>
      </c>
      <c r="K166" s="10" t="str">
        <f aca="false">IF($A166="","",SUMIFS('Daily Entry'!$Q$4:$Q$2003,'Daily Entry'!$A$4:$A$2003,$A166))</f>
        <v/>
      </c>
      <c r="L166" s="10" t="str">
        <f aca="false">IF($A166="","",$B166-$K166)</f>
        <v/>
      </c>
      <c r="M166" s="28" t="str">
        <f aca="false">IF($A166="","",$L166-$D166-$E166-$G166)</f>
        <v/>
      </c>
      <c r="N166" s="10" t="str">
        <f aca="false">IF($A166="","",SUMIFS('Daily Entry'!$H$4:$H$2003,'Daily Entry'!$A$4:$A$2003,$A166))</f>
        <v/>
      </c>
      <c r="O166" s="10" t="str">
        <f aca="false">IF($A166="","",SUMIFS('Daily Entry'!$I$4:$I$2003,'Daily Entry'!$A$4:$A$2003,$A166))</f>
        <v/>
      </c>
      <c r="P166" s="10" t="str">
        <f aca="false">IF($A166="","",SUMPRODUCT(('Daily Entry'!$A$4:$A$2003=$A166)*('Daily Entry'!$M$4:$M$2003)*('Daily Entry'!$D$4:$D$2003)))</f>
        <v/>
      </c>
    </row>
    <row r="167" customFormat="false" ht="15" hidden="false" customHeight="false" outlineLevel="0" collapsed="false">
      <c r="A167" s="27"/>
      <c r="B167" s="10" t="str">
        <f aca="false">IF($A167="","",SUMIFS('Daily Entry'!$P$4:$P$2003,'Daily Entry'!$A$4:$A$2003,$A167))</f>
        <v/>
      </c>
      <c r="C167" s="9"/>
      <c r="D167" s="9"/>
      <c r="E167" s="9"/>
      <c r="F167" s="8"/>
      <c r="G167" s="9"/>
      <c r="H167" s="9"/>
      <c r="I167" s="8"/>
      <c r="J167" s="28" t="str">
        <f aca="false">IF($A167="","",$B167+$C167-$D167-$E167-$G167-$H167)</f>
        <v/>
      </c>
      <c r="K167" s="10" t="str">
        <f aca="false">IF($A167="","",SUMIFS('Daily Entry'!$Q$4:$Q$2003,'Daily Entry'!$A$4:$A$2003,$A167))</f>
        <v/>
      </c>
      <c r="L167" s="10" t="str">
        <f aca="false">IF($A167="","",$B167-$K167)</f>
        <v/>
      </c>
      <c r="M167" s="28" t="str">
        <f aca="false">IF($A167="","",$L167-$D167-$E167-$G167)</f>
        <v/>
      </c>
      <c r="N167" s="10" t="str">
        <f aca="false">IF($A167="","",SUMIFS('Daily Entry'!$H$4:$H$2003,'Daily Entry'!$A$4:$A$2003,$A167))</f>
        <v/>
      </c>
      <c r="O167" s="10" t="str">
        <f aca="false">IF($A167="","",SUMIFS('Daily Entry'!$I$4:$I$2003,'Daily Entry'!$A$4:$A$2003,$A167))</f>
        <v/>
      </c>
      <c r="P167" s="10" t="str">
        <f aca="false">IF($A167="","",SUMPRODUCT(('Daily Entry'!$A$4:$A$2003=$A167)*('Daily Entry'!$M$4:$M$2003)*('Daily Entry'!$D$4:$D$2003)))</f>
        <v/>
      </c>
    </row>
    <row r="168" customFormat="false" ht="15" hidden="false" customHeight="false" outlineLevel="0" collapsed="false">
      <c r="A168" s="27"/>
      <c r="B168" s="10" t="str">
        <f aca="false">IF($A168="","",SUMIFS('Daily Entry'!$P$4:$P$2003,'Daily Entry'!$A$4:$A$2003,$A168))</f>
        <v/>
      </c>
      <c r="C168" s="9"/>
      <c r="D168" s="9"/>
      <c r="E168" s="9"/>
      <c r="F168" s="8"/>
      <c r="G168" s="9"/>
      <c r="H168" s="9"/>
      <c r="I168" s="8"/>
      <c r="J168" s="28" t="str">
        <f aca="false">IF($A168="","",$B168+$C168-$D168-$E168-$G168-$H168)</f>
        <v/>
      </c>
      <c r="K168" s="10" t="str">
        <f aca="false">IF($A168="","",SUMIFS('Daily Entry'!$Q$4:$Q$2003,'Daily Entry'!$A$4:$A$2003,$A168))</f>
        <v/>
      </c>
      <c r="L168" s="10" t="str">
        <f aca="false">IF($A168="","",$B168-$K168)</f>
        <v/>
      </c>
      <c r="M168" s="28" t="str">
        <f aca="false">IF($A168="","",$L168-$D168-$E168-$G168)</f>
        <v/>
      </c>
      <c r="N168" s="10" t="str">
        <f aca="false">IF($A168="","",SUMIFS('Daily Entry'!$H$4:$H$2003,'Daily Entry'!$A$4:$A$2003,$A168))</f>
        <v/>
      </c>
      <c r="O168" s="10" t="str">
        <f aca="false">IF($A168="","",SUMIFS('Daily Entry'!$I$4:$I$2003,'Daily Entry'!$A$4:$A$2003,$A168))</f>
        <v/>
      </c>
      <c r="P168" s="10" t="str">
        <f aca="false">IF($A168="","",SUMPRODUCT(('Daily Entry'!$A$4:$A$2003=$A168)*('Daily Entry'!$M$4:$M$2003)*('Daily Entry'!$D$4:$D$2003)))</f>
        <v/>
      </c>
    </row>
    <row r="169" customFormat="false" ht="15" hidden="false" customHeight="false" outlineLevel="0" collapsed="false">
      <c r="A169" s="27"/>
      <c r="B169" s="10" t="str">
        <f aca="false">IF($A169="","",SUMIFS('Daily Entry'!$P$4:$P$2003,'Daily Entry'!$A$4:$A$2003,$A169))</f>
        <v/>
      </c>
      <c r="C169" s="9"/>
      <c r="D169" s="9"/>
      <c r="E169" s="9"/>
      <c r="F169" s="8"/>
      <c r="G169" s="9"/>
      <c r="H169" s="9"/>
      <c r="I169" s="8"/>
      <c r="J169" s="28" t="str">
        <f aca="false">IF($A169="","",$B169+$C169-$D169-$E169-$G169-$H169)</f>
        <v/>
      </c>
      <c r="K169" s="10" t="str">
        <f aca="false">IF($A169="","",SUMIFS('Daily Entry'!$Q$4:$Q$2003,'Daily Entry'!$A$4:$A$2003,$A169))</f>
        <v/>
      </c>
      <c r="L169" s="10" t="str">
        <f aca="false">IF($A169="","",$B169-$K169)</f>
        <v/>
      </c>
      <c r="M169" s="28" t="str">
        <f aca="false">IF($A169="","",$L169-$D169-$E169-$G169)</f>
        <v/>
      </c>
      <c r="N169" s="10" t="str">
        <f aca="false">IF($A169="","",SUMIFS('Daily Entry'!$H$4:$H$2003,'Daily Entry'!$A$4:$A$2003,$A169))</f>
        <v/>
      </c>
      <c r="O169" s="10" t="str">
        <f aca="false">IF($A169="","",SUMIFS('Daily Entry'!$I$4:$I$2003,'Daily Entry'!$A$4:$A$2003,$A169))</f>
        <v/>
      </c>
      <c r="P169" s="10" t="str">
        <f aca="false">IF($A169="","",SUMPRODUCT(('Daily Entry'!$A$4:$A$2003=$A169)*('Daily Entry'!$M$4:$M$2003)*('Daily Entry'!$D$4:$D$2003)))</f>
        <v/>
      </c>
    </row>
    <row r="170" customFormat="false" ht="15" hidden="false" customHeight="false" outlineLevel="0" collapsed="false">
      <c r="A170" s="27"/>
      <c r="B170" s="10" t="str">
        <f aca="false">IF($A170="","",SUMIFS('Daily Entry'!$P$4:$P$2003,'Daily Entry'!$A$4:$A$2003,$A170))</f>
        <v/>
      </c>
      <c r="C170" s="9"/>
      <c r="D170" s="9"/>
      <c r="E170" s="9"/>
      <c r="F170" s="8"/>
      <c r="G170" s="9"/>
      <c r="H170" s="9"/>
      <c r="I170" s="8"/>
      <c r="J170" s="28" t="str">
        <f aca="false">IF($A170="","",$B170+$C170-$D170-$E170-$G170-$H170)</f>
        <v/>
      </c>
      <c r="K170" s="10" t="str">
        <f aca="false">IF($A170="","",SUMIFS('Daily Entry'!$Q$4:$Q$2003,'Daily Entry'!$A$4:$A$2003,$A170))</f>
        <v/>
      </c>
      <c r="L170" s="10" t="str">
        <f aca="false">IF($A170="","",$B170-$K170)</f>
        <v/>
      </c>
      <c r="M170" s="28" t="str">
        <f aca="false">IF($A170="","",$L170-$D170-$E170-$G170)</f>
        <v/>
      </c>
      <c r="N170" s="10" t="str">
        <f aca="false">IF($A170="","",SUMIFS('Daily Entry'!$H$4:$H$2003,'Daily Entry'!$A$4:$A$2003,$A170))</f>
        <v/>
      </c>
      <c r="O170" s="10" t="str">
        <f aca="false">IF($A170="","",SUMIFS('Daily Entry'!$I$4:$I$2003,'Daily Entry'!$A$4:$A$2003,$A170))</f>
        <v/>
      </c>
      <c r="P170" s="10" t="str">
        <f aca="false">IF($A170="","",SUMPRODUCT(('Daily Entry'!$A$4:$A$2003=$A170)*('Daily Entry'!$M$4:$M$2003)*('Daily Entry'!$D$4:$D$2003)))</f>
        <v/>
      </c>
    </row>
    <row r="171" customFormat="false" ht="15" hidden="false" customHeight="false" outlineLevel="0" collapsed="false">
      <c r="A171" s="27"/>
      <c r="B171" s="10" t="str">
        <f aca="false">IF($A171="","",SUMIFS('Daily Entry'!$P$4:$P$2003,'Daily Entry'!$A$4:$A$2003,$A171))</f>
        <v/>
      </c>
      <c r="C171" s="9"/>
      <c r="D171" s="9"/>
      <c r="E171" s="9"/>
      <c r="F171" s="8"/>
      <c r="G171" s="9"/>
      <c r="H171" s="9"/>
      <c r="I171" s="8"/>
      <c r="J171" s="28" t="str">
        <f aca="false">IF($A171="","",$B171+$C171-$D171-$E171-$G171-$H171)</f>
        <v/>
      </c>
      <c r="K171" s="10" t="str">
        <f aca="false">IF($A171="","",SUMIFS('Daily Entry'!$Q$4:$Q$2003,'Daily Entry'!$A$4:$A$2003,$A171))</f>
        <v/>
      </c>
      <c r="L171" s="10" t="str">
        <f aca="false">IF($A171="","",$B171-$K171)</f>
        <v/>
      </c>
      <c r="M171" s="28" t="str">
        <f aca="false">IF($A171="","",$L171-$D171-$E171-$G171)</f>
        <v/>
      </c>
      <c r="N171" s="10" t="str">
        <f aca="false">IF($A171="","",SUMIFS('Daily Entry'!$H$4:$H$2003,'Daily Entry'!$A$4:$A$2003,$A171))</f>
        <v/>
      </c>
      <c r="O171" s="10" t="str">
        <f aca="false">IF($A171="","",SUMIFS('Daily Entry'!$I$4:$I$2003,'Daily Entry'!$A$4:$A$2003,$A171))</f>
        <v/>
      </c>
      <c r="P171" s="10" t="str">
        <f aca="false">IF($A171="","",SUMPRODUCT(('Daily Entry'!$A$4:$A$2003=$A171)*('Daily Entry'!$M$4:$M$2003)*('Daily Entry'!$D$4:$D$2003)))</f>
        <v/>
      </c>
    </row>
    <row r="172" customFormat="false" ht="15" hidden="false" customHeight="false" outlineLevel="0" collapsed="false">
      <c r="A172" s="27"/>
      <c r="B172" s="10" t="str">
        <f aca="false">IF($A172="","",SUMIFS('Daily Entry'!$P$4:$P$2003,'Daily Entry'!$A$4:$A$2003,$A172))</f>
        <v/>
      </c>
      <c r="C172" s="9"/>
      <c r="D172" s="9"/>
      <c r="E172" s="9"/>
      <c r="F172" s="8"/>
      <c r="G172" s="9"/>
      <c r="H172" s="9"/>
      <c r="I172" s="8"/>
      <c r="J172" s="28" t="str">
        <f aca="false">IF($A172="","",$B172+$C172-$D172-$E172-$G172-$H172)</f>
        <v/>
      </c>
      <c r="K172" s="10" t="str">
        <f aca="false">IF($A172="","",SUMIFS('Daily Entry'!$Q$4:$Q$2003,'Daily Entry'!$A$4:$A$2003,$A172))</f>
        <v/>
      </c>
      <c r="L172" s="10" t="str">
        <f aca="false">IF($A172="","",$B172-$K172)</f>
        <v/>
      </c>
      <c r="M172" s="28" t="str">
        <f aca="false">IF($A172="","",$L172-$D172-$E172-$G172)</f>
        <v/>
      </c>
      <c r="N172" s="10" t="str">
        <f aca="false">IF($A172="","",SUMIFS('Daily Entry'!$H$4:$H$2003,'Daily Entry'!$A$4:$A$2003,$A172))</f>
        <v/>
      </c>
      <c r="O172" s="10" t="str">
        <f aca="false">IF($A172="","",SUMIFS('Daily Entry'!$I$4:$I$2003,'Daily Entry'!$A$4:$A$2003,$A172))</f>
        <v/>
      </c>
      <c r="P172" s="10" t="str">
        <f aca="false">IF($A172="","",SUMPRODUCT(('Daily Entry'!$A$4:$A$2003=$A172)*('Daily Entry'!$M$4:$M$2003)*('Daily Entry'!$D$4:$D$2003)))</f>
        <v/>
      </c>
    </row>
    <row r="173" customFormat="false" ht="15" hidden="false" customHeight="false" outlineLevel="0" collapsed="false">
      <c r="A173" s="27"/>
      <c r="B173" s="10" t="str">
        <f aca="false">IF($A173="","",SUMIFS('Daily Entry'!$P$4:$P$2003,'Daily Entry'!$A$4:$A$2003,$A173))</f>
        <v/>
      </c>
      <c r="C173" s="9"/>
      <c r="D173" s="9"/>
      <c r="E173" s="9"/>
      <c r="F173" s="8"/>
      <c r="G173" s="9"/>
      <c r="H173" s="9"/>
      <c r="I173" s="8"/>
      <c r="J173" s="28" t="str">
        <f aca="false">IF($A173="","",$B173+$C173-$D173-$E173-$G173-$H173)</f>
        <v/>
      </c>
      <c r="K173" s="10" t="str">
        <f aca="false">IF($A173="","",SUMIFS('Daily Entry'!$Q$4:$Q$2003,'Daily Entry'!$A$4:$A$2003,$A173))</f>
        <v/>
      </c>
      <c r="L173" s="10" t="str">
        <f aca="false">IF($A173="","",$B173-$K173)</f>
        <v/>
      </c>
      <c r="M173" s="28" t="str">
        <f aca="false">IF($A173="","",$L173-$D173-$E173-$G173)</f>
        <v/>
      </c>
      <c r="N173" s="10" t="str">
        <f aca="false">IF($A173="","",SUMIFS('Daily Entry'!$H$4:$H$2003,'Daily Entry'!$A$4:$A$2003,$A173))</f>
        <v/>
      </c>
      <c r="O173" s="10" t="str">
        <f aca="false">IF($A173="","",SUMIFS('Daily Entry'!$I$4:$I$2003,'Daily Entry'!$A$4:$A$2003,$A173))</f>
        <v/>
      </c>
      <c r="P173" s="10" t="str">
        <f aca="false">IF($A173="","",SUMPRODUCT(('Daily Entry'!$A$4:$A$2003=$A173)*('Daily Entry'!$M$4:$M$2003)*('Daily Entry'!$D$4:$D$2003)))</f>
        <v/>
      </c>
    </row>
    <row r="174" customFormat="false" ht="15" hidden="false" customHeight="false" outlineLevel="0" collapsed="false">
      <c r="A174" s="27"/>
      <c r="B174" s="10" t="str">
        <f aca="false">IF($A174="","",SUMIFS('Daily Entry'!$P$4:$P$2003,'Daily Entry'!$A$4:$A$2003,$A174))</f>
        <v/>
      </c>
      <c r="C174" s="9"/>
      <c r="D174" s="9"/>
      <c r="E174" s="9"/>
      <c r="F174" s="8"/>
      <c r="G174" s="9"/>
      <c r="H174" s="9"/>
      <c r="I174" s="8"/>
      <c r="J174" s="28" t="str">
        <f aca="false">IF($A174="","",$B174+$C174-$D174-$E174-$G174-$H174)</f>
        <v/>
      </c>
      <c r="K174" s="10" t="str">
        <f aca="false">IF($A174="","",SUMIFS('Daily Entry'!$Q$4:$Q$2003,'Daily Entry'!$A$4:$A$2003,$A174))</f>
        <v/>
      </c>
      <c r="L174" s="10" t="str">
        <f aca="false">IF($A174="","",$B174-$K174)</f>
        <v/>
      </c>
      <c r="M174" s="28" t="str">
        <f aca="false">IF($A174="","",$L174-$D174-$E174-$G174)</f>
        <v/>
      </c>
      <c r="N174" s="10" t="str">
        <f aca="false">IF($A174="","",SUMIFS('Daily Entry'!$H$4:$H$2003,'Daily Entry'!$A$4:$A$2003,$A174))</f>
        <v/>
      </c>
      <c r="O174" s="10" t="str">
        <f aca="false">IF($A174="","",SUMIFS('Daily Entry'!$I$4:$I$2003,'Daily Entry'!$A$4:$A$2003,$A174))</f>
        <v/>
      </c>
      <c r="P174" s="10" t="str">
        <f aca="false">IF($A174="","",SUMPRODUCT(('Daily Entry'!$A$4:$A$2003=$A174)*('Daily Entry'!$M$4:$M$2003)*('Daily Entry'!$D$4:$D$2003)))</f>
        <v/>
      </c>
    </row>
    <row r="175" customFormat="false" ht="15" hidden="false" customHeight="false" outlineLevel="0" collapsed="false">
      <c r="A175" s="27"/>
      <c r="B175" s="10" t="str">
        <f aca="false">IF($A175="","",SUMIFS('Daily Entry'!$P$4:$P$2003,'Daily Entry'!$A$4:$A$2003,$A175))</f>
        <v/>
      </c>
      <c r="C175" s="9"/>
      <c r="D175" s="9"/>
      <c r="E175" s="9"/>
      <c r="F175" s="8"/>
      <c r="G175" s="9"/>
      <c r="H175" s="9"/>
      <c r="I175" s="8"/>
      <c r="J175" s="28" t="str">
        <f aca="false">IF($A175="","",$B175+$C175-$D175-$E175-$G175-$H175)</f>
        <v/>
      </c>
      <c r="K175" s="10" t="str">
        <f aca="false">IF($A175="","",SUMIFS('Daily Entry'!$Q$4:$Q$2003,'Daily Entry'!$A$4:$A$2003,$A175))</f>
        <v/>
      </c>
      <c r="L175" s="10" t="str">
        <f aca="false">IF($A175="","",$B175-$K175)</f>
        <v/>
      </c>
      <c r="M175" s="28" t="str">
        <f aca="false">IF($A175="","",$L175-$D175-$E175-$G175)</f>
        <v/>
      </c>
      <c r="N175" s="10" t="str">
        <f aca="false">IF($A175="","",SUMIFS('Daily Entry'!$H$4:$H$2003,'Daily Entry'!$A$4:$A$2003,$A175))</f>
        <v/>
      </c>
      <c r="O175" s="10" t="str">
        <f aca="false">IF($A175="","",SUMIFS('Daily Entry'!$I$4:$I$2003,'Daily Entry'!$A$4:$A$2003,$A175))</f>
        <v/>
      </c>
      <c r="P175" s="10" t="str">
        <f aca="false">IF($A175="","",SUMPRODUCT(('Daily Entry'!$A$4:$A$2003=$A175)*('Daily Entry'!$M$4:$M$2003)*('Daily Entry'!$D$4:$D$2003)))</f>
        <v/>
      </c>
    </row>
    <row r="176" customFormat="false" ht="15" hidden="false" customHeight="false" outlineLevel="0" collapsed="false">
      <c r="A176" s="27"/>
      <c r="B176" s="10" t="str">
        <f aca="false">IF($A176="","",SUMIFS('Daily Entry'!$P$4:$P$2003,'Daily Entry'!$A$4:$A$2003,$A176))</f>
        <v/>
      </c>
      <c r="C176" s="9"/>
      <c r="D176" s="9"/>
      <c r="E176" s="9"/>
      <c r="F176" s="8"/>
      <c r="G176" s="9"/>
      <c r="H176" s="9"/>
      <c r="I176" s="8"/>
      <c r="J176" s="28" t="str">
        <f aca="false">IF($A176="","",$B176+$C176-$D176-$E176-$G176-$H176)</f>
        <v/>
      </c>
      <c r="K176" s="10" t="str">
        <f aca="false">IF($A176="","",SUMIFS('Daily Entry'!$Q$4:$Q$2003,'Daily Entry'!$A$4:$A$2003,$A176))</f>
        <v/>
      </c>
      <c r="L176" s="10" t="str">
        <f aca="false">IF($A176="","",$B176-$K176)</f>
        <v/>
      </c>
      <c r="M176" s="28" t="str">
        <f aca="false">IF($A176="","",$L176-$D176-$E176-$G176)</f>
        <v/>
      </c>
      <c r="N176" s="10" t="str">
        <f aca="false">IF($A176="","",SUMIFS('Daily Entry'!$H$4:$H$2003,'Daily Entry'!$A$4:$A$2003,$A176))</f>
        <v/>
      </c>
      <c r="O176" s="10" t="str">
        <f aca="false">IF($A176="","",SUMIFS('Daily Entry'!$I$4:$I$2003,'Daily Entry'!$A$4:$A$2003,$A176))</f>
        <v/>
      </c>
      <c r="P176" s="10" t="str">
        <f aca="false">IF($A176="","",SUMPRODUCT(('Daily Entry'!$A$4:$A$2003=$A176)*('Daily Entry'!$M$4:$M$2003)*('Daily Entry'!$D$4:$D$2003)))</f>
        <v/>
      </c>
    </row>
    <row r="177" customFormat="false" ht="15" hidden="false" customHeight="false" outlineLevel="0" collapsed="false">
      <c r="A177" s="27"/>
      <c r="B177" s="10" t="str">
        <f aca="false">IF($A177="","",SUMIFS('Daily Entry'!$P$4:$P$2003,'Daily Entry'!$A$4:$A$2003,$A177))</f>
        <v/>
      </c>
      <c r="C177" s="9"/>
      <c r="D177" s="9"/>
      <c r="E177" s="9"/>
      <c r="F177" s="8"/>
      <c r="G177" s="9"/>
      <c r="H177" s="9"/>
      <c r="I177" s="8"/>
      <c r="J177" s="28" t="str">
        <f aca="false">IF($A177="","",$B177+$C177-$D177-$E177-$G177-$H177)</f>
        <v/>
      </c>
      <c r="K177" s="10" t="str">
        <f aca="false">IF($A177="","",SUMIFS('Daily Entry'!$Q$4:$Q$2003,'Daily Entry'!$A$4:$A$2003,$A177))</f>
        <v/>
      </c>
      <c r="L177" s="10" t="str">
        <f aca="false">IF($A177="","",$B177-$K177)</f>
        <v/>
      </c>
      <c r="M177" s="28" t="str">
        <f aca="false">IF($A177="","",$L177-$D177-$E177-$G177)</f>
        <v/>
      </c>
      <c r="N177" s="10" t="str">
        <f aca="false">IF($A177="","",SUMIFS('Daily Entry'!$H$4:$H$2003,'Daily Entry'!$A$4:$A$2003,$A177))</f>
        <v/>
      </c>
      <c r="O177" s="10" t="str">
        <f aca="false">IF($A177="","",SUMIFS('Daily Entry'!$I$4:$I$2003,'Daily Entry'!$A$4:$A$2003,$A177))</f>
        <v/>
      </c>
      <c r="P177" s="10" t="str">
        <f aca="false">IF($A177="","",SUMPRODUCT(('Daily Entry'!$A$4:$A$2003=$A177)*('Daily Entry'!$M$4:$M$2003)*('Daily Entry'!$D$4:$D$2003)))</f>
        <v/>
      </c>
    </row>
    <row r="178" customFormat="false" ht="15" hidden="false" customHeight="false" outlineLevel="0" collapsed="false">
      <c r="A178" s="27"/>
      <c r="B178" s="10" t="str">
        <f aca="false">IF($A178="","",SUMIFS('Daily Entry'!$P$4:$P$2003,'Daily Entry'!$A$4:$A$2003,$A178))</f>
        <v/>
      </c>
      <c r="C178" s="9"/>
      <c r="D178" s="9"/>
      <c r="E178" s="9"/>
      <c r="F178" s="8"/>
      <c r="G178" s="9"/>
      <c r="H178" s="9"/>
      <c r="I178" s="8"/>
      <c r="J178" s="28" t="str">
        <f aca="false">IF($A178="","",$B178+$C178-$D178-$E178-$G178-$H178)</f>
        <v/>
      </c>
      <c r="K178" s="10" t="str">
        <f aca="false">IF($A178="","",SUMIFS('Daily Entry'!$Q$4:$Q$2003,'Daily Entry'!$A$4:$A$2003,$A178))</f>
        <v/>
      </c>
      <c r="L178" s="10" t="str">
        <f aca="false">IF($A178="","",$B178-$K178)</f>
        <v/>
      </c>
      <c r="M178" s="28" t="str">
        <f aca="false">IF($A178="","",$L178-$D178-$E178-$G178)</f>
        <v/>
      </c>
      <c r="N178" s="10" t="str">
        <f aca="false">IF($A178="","",SUMIFS('Daily Entry'!$H$4:$H$2003,'Daily Entry'!$A$4:$A$2003,$A178))</f>
        <v/>
      </c>
      <c r="O178" s="10" t="str">
        <f aca="false">IF($A178="","",SUMIFS('Daily Entry'!$I$4:$I$2003,'Daily Entry'!$A$4:$A$2003,$A178))</f>
        <v/>
      </c>
      <c r="P178" s="10" t="str">
        <f aca="false">IF($A178="","",SUMPRODUCT(('Daily Entry'!$A$4:$A$2003=$A178)*('Daily Entry'!$M$4:$M$2003)*('Daily Entry'!$D$4:$D$2003)))</f>
        <v/>
      </c>
    </row>
    <row r="179" customFormat="false" ht="15" hidden="false" customHeight="false" outlineLevel="0" collapsed="false">
      <c r="A179" s="27"/>
      <c r="B179" s="10" t="str">
        <f aca="false">IF($A179="","",SUMIFS('Daily Entry'!$P$4:$P$2003,'Daily Entry'!$A$4:$A$2003,$A179))</f>
        <v/>
      </c>
      <c r="C179" s="9"/>
      <c r="D179" s="9"/>
      <c r="E179" s="9"/>
      <c r="F179" s="8"/>
      <c r="G179" s="9"/>
      <c r="H179" s="9"/>
      <c r="I179" s="8"/>
      <c r="J179" s="28" t="str">
        <f aca="false">IF($A179="","",$B179+$C179-$D179-$E179-$G179-$H179)</f>
        <v/>
      </c>
      <c r="K179" s="10" t="str">
        <f aca="false">IF($A179="","",SUMIFS('Daily Entry'!$Q$4:$Q$2003,'Daily Entry'!$A$4:$A$2003,$A179))</f>
        <v/>
      </c>
      <c r="L179" s="10" t="str">
        <f aca="false">IF($A179="","",$B179-$K179)</f>
        <v/>
      </c>
      <c r="M179" s="28" t="str">
        <f aca="false">IF($A179="","",$L179-$D179-$E179-$G179)</f>
        <v/>
      </c>
      <c r="N179" s="10" t="str">
        <f aca="false">IF($A179="","",SUMIFS('Daily Entry'!$H$4:$H$2003,'Daily Entry'!$A$4:$A$2003,$A179))</f>
        <v/>
      </c>
      <c r="O179" s="10" t="str">
        <f aca="false">IF($A179="","",SUMIFS('Daily Entry'!$I$4:$I$2003,'Daily Entry'!$A$4:$A$2003,$A179))</f>
        <v/>
      </c>
      <c r="P179" s="10" t="str">
        <f aca="false">IF($A179="","",SUMPRODUCT(('Daily Entry'!$A$4:$A$2003=$A179)*('Daily Entry'!$M$4:$M$2003)*('Daily Entry'!$D$4:$D$2003)))</f>
        <v/>
      </c>
    </row>
    <row r="180" customFormat="false" ht="15" hidden="false" customHeight="false" outlineLevel="0" collapsed="false">
      <c r="A180" s="27"/>
      <c r="B180" s="10" t="str">
        <f aca="false">IF($A180="","",SUMIFS('Daily Entry'!$P$4:$P$2003,'Daily Entry'!$A$4:$A$2003,$A180))</f>
        <v/>
      </c>
      <c r="C180" s="9"/>
      <c r="D180" s="9"/>
      <c r="E180" s="9"/>
      <c r="F180" s="8"/>
      <c r="G180" s="9"/>
      <c r="H180" s="9"/>
      <c r="I180" s="8"/>
      <c r="J180" s="28" t="str">
        <f aca="false">IF($A180="","",$B180+$C180-$D180-$E180-$G180-$H180)</f>
        <v/>
      </c>
      <c r="K180" s="10" t="str">
        <f aca="false">IF($A180="","",SUMIFS('Daily Entry'!$Q$4:$Q$2003,'Daily Entry'!$A$4:$A$2003,$A180))</f>
        <v/>
      </c>
      <c r="L180" s="10" t="str">
        <f aca="false">IF($A180="","",$B180-$K180)</f>
        <v/>
      </c>
      <c r="M180" s="28" t="str">
        <f aca="false">IF($A180="","",$L180-$D180-$E180-$G180)</f>
        <v/>
      </c>
      <c r="N180" s="10" t="str">
        <f aca="false">IF($A180="","",SUMIFS('Daily Entry'!$H$4:$H$2003,'Daily Entry'!$A$4:$A$2003,$A180))</f>
        <v/>
      </c>
      <c r="O180" s="10" t="str">
        <f aca="false">IF($A180="","",SUMIFS('Daily Entry'!$I$4:$I$2003,'Daily Entry'!$A$4:$A$2003,$A180))</f>
        <v/>
      </c>
      <c r="P180" s="10" t="str">
        <f aca="false">IF($A180="","",SUMPRODUCT(('Daily Entry'!$A$4:$A$2003=$A180)*('Daily Entry'!$M$4:$M$2003)*('Daily Entry'!$D$4:$D$2003)))</f>
        <v/>
      </c>
    </row>
    <row r="181" customFormat="false" ht="15" hidden="false" customHeight="false" outlineLevel="0" collapsed="false">
      <c r="A181" s="27"/>
      <c r="B181" s="10" t="str">
        <f aca="false">IF($A181="","",SUMIFS('Daily Entry'!$P$4:$P$2003,'Daily Entry'!$A$4:$A$2003,$A181))</f>
        <v/>
      </c>
      <c r="C181" s="9"/>
      <c r="D181" s="9"/>
      <c r="E181" s="9"/>
      <c r="F181" s="8"/>
      <c r="G181" s="9"/>
      <c r="H181" s="9"/>
      <c r="I181" s="8"/>
      <c r="J181" s="28" t="str">
        <f aca="false">IF($A181="","",$B181+$C181-$D181-$E181-$G181-$H181)</f>
        <v/>
      </c>
      <c r="K181" s="10" t="str">
        <f aca="false">IF($A181="","",SUMIFS('Daily Entry'!$Q$4:$Q$2003,'Daily Entry'!$A$4:$A$2003,$A181))</f>
        <v/>
      </c>
      <c r="L181" s="10" t="str">
        <f aca="false">IF($A181="","",$B181-$K181)</f>
        <v/>
      </c>
      <c r="M181" s="28" t="str">
        <f aca="false">IF($A181="","",$L181-$D181-$E181-$G181)</f>
        <v/>
      </c>
      <c r="N181" s="10" t="str">
        <f aca="false">IF($A181="","",SUMIFS('Daily Entry'!$H$4:$H$2003,'Daily Entry'!$A$4:$A$2003,$A181))</f>
        <v/>
      </c>
      <c r="O181" s="10" t="str">
        <f aca="false">IF($A181="","",SUMIFS('Daily Entry'!$I$4:$I$2003,'Daily Entry'!$A$4:$A$2003,$A181))</f>
        <v/>
      </c>
      <c r="P181" s="10" t="str">
        <f aca="false">IF($A181="","",SUMPRODUCT(('Daily Entry'!$A$4:$A$2003=$A181)*('Daily Entry'!$M$4:$M$2003)*('Daily Entry'!$D$4:$D$2003)))</f>
        <v/>
      </c>
    </row>
    <row r="182" customFormat="false" ht="15" hidden="false" customHeight="false" outlineLevel="0" collapsed="false">
      <c r="A182" s="27"/>
      <c r="B182" s="10" t="str">
        <f aca="false">IF($A182="","",SUMIFS('Daily Entry'!$P$4:$P$2003,'Daily Entry'!$A$4:$A$2003,$A182))</f>
        <v/>
      </c>
      <c r="C182" s="9"/>
      <c r="D182" s="9"/>
      <c r="E182" s="9"/>
      <c r="F182" s="8"/>
      <c r="G182" s="9"/>
      <c r="H182" s="9"/>
      <c r="I182" s="8"/>
      <c r="J182" s="28" t="str">
        <f aca="false">IF($A182="","",$B182+$C182-$D182-$E182-$G182-$H182)</f>
        <v/>
      </c>
      <c r="K182" s="10" t="str">
        <f aca="false">IF($A182="","",SUMIFS('Daily Entry'!$Q$4:$Q$2003,'Daily Entry'!$A$4:$A$2003,$A182))</f>
        <v/>
      </c>
      <c r="L182" s="10" t="str">
        <f aca="false">IF($A182="","",$B182-$K182)</f>
        <v/>
      </c>
      <c r="M182" s="28" t="str">
        <f aca="false">IF($A182="","",$L182-$D182-$E182-$G182)</f>
        <v/>
      </c>
      <c r="N182" s="10" t="str">
        <f aca="false">IF($A182="","",SUMIFS('Daily Entry'!$H$4:$H$2003,'Daily Entry'!$A$4:$A$2003,$A182))</f>
        <v/>
      </c>
      <c r="O182" s="10" t="str">
        <f aca="false">IF($A182="","",SUMIFS('Daily Entry'!$I$4:$I$2003,'Daily Entry'!$A$4:$A$2003,$A182))</f>
        <v/>
      </c>
      <c r="P182" s="10" t="str">
        <f aca="false">IF($A182="","",SUMPRODUCT(('Daily Entry'!$A$4:$A$2003=$A182)*('Daily Entry'!$M$4:$M$2003)*('Daily Entry'!$D$4:$D$2003)))</f>
        <v/>
      </c>
    </row>
    <row r="183" customFormat="false" ht="15" hidden="false" customHeight="false" outlineLevel="0" collapsed="false">
      <c r="A183" s="27"/>
      <c r="B183" s="10" t="str">
        <f aca="false">IF($A183="","",SUMIFS('Daily Entry'!$P$4:$P$2003,'Daily Entry'!$A$4:$A$2003,$A183))</f>
        <v/>
      </c>
      <c r="C183" s="9"/>
      <c r="D183" s="9"/>
      <c r="E183" s="9"/>
      <c r="F183" s="8"/>
      <c r="G183" s="9"/>
      <c r="H183" s="9"/>
      <c r="I183" s="8"/>
      <c r="J183" s="28" t="str">
        <f aca="false">IF($A183="","",$B183+$C183-$D183-$E183-$G183-$H183)</f>
        <v/>
      </c>
      <c r="K183" s="10" t="str">
        <f aca="false">IF($A183="","",SUMIFS('Daily Entry'!$Q$4:$Q$2003,'Daily Entry'!$A$4:$A$2003,$A183))</f>
        <v/>
      </c>
      <c r="L183" s="10" t="str">
        <f aca="false">IF($A183="","",$B183-$K183)</f>
        <v/>
      </c>
      <c r="M183" s="28" t="str">
        <f aca="false">IF($A183="","",$L183-$D183-$E183-$G183)</f>
        <v/>
      </c>
      <c r="N183" s="10" t="str">
        <f aca="false">IF($A183="","",SUMIFS('Daily Entry'!$H$4:$H$2003,'Daily Entry'!$A$4:$A$2003,$A183))</f>
        <v/>
      </c>
      <c r="O183" s="10" t="str">
        <f aca="false">IF($A183="","",SUMIFS('Daily Entry'!$I$4:$I$2003,'Daily Entry'!$A$4:$A$2003,$A183))</f>
        <v/>
      </c>
      <c r="P183" s="10" t="str">
        <f aca="false">IF($A183="","",SUMPRODUCT(('Daily Entry'!$A$4:$A$2003=$A183)*('Daily Entry'!$M$4:$M$2003)*('Daily Entry'!$D$4:$D$2003)))</f>
        <v/>
      </c>
    </row>
    <row r="184" customFormat="false" ht="15" hidden="false" customHeight="false" outlineLevel="0" collapsed="false">
      <c r="A184" s="27"/>
      <c r="B184" s="10" t="str">
        <f aca="false">IF($A184="","",SUMIFS('Daily Entry'!$P$4:$P$2003,'Daily Entry'!$A$4:$A$2003,$A184))</f>
        <v/>
      </c>
      <c r="C184" s="9"/>
      <c r="D184" s="9"/>
      <c r="E184" s="9"/>
      <c r="F184" s="8"/>
      <c r="G184" s="9"/>
      <c r="H184" s="9"/>
      <c r="I184" s="8"/>
      <c r="J184" s="28" t="str">
        <f aca="false">IF($A184="","",$B184+$C184-$D184-$E184-$G184-$H184)</f>
        <v/>
      </c>
      <c r="K184" s="10" t="str">
        <f aca="false">IF($A184="","",SUMIFS('Daily Entry'!$Q$4:$Q$2003,'Daily Entry'!$A$4:$A$2003,$A184))</f>
        <v/>
      </c>
      <c r="L184" s="10" t="str">
        <f aca="false">IF($A184="","",$B184-$K184)</f>
        <v/>
      </c>
      <c r="M184" s="28" t="str">
        <f aca="false">IF($A184="","",$L184-$D184-$E184-$G184)</f>
        <v/>
      </c>
      <c r="N184" s="10" t="str">
        <f aca="false">IF($A184="","",SUMIFS('Daily Entry'!$H$4:$H$2003,'Daily Entry'!$A$4:$A$2003,$A184))</f>
        <v/>
      </c>
      <c r="O184" s="10" t="str">
        <f aca="false">IF($A184="","",SUMIFS('Daily Entry'!$I$4:$I$2003,'Daily Entry'!$A$4:$A$2003,$A184))</f>
        <v/>
      </c>
      <c r="P184" s="10" t="str">
        <f aca="false">IF($A184="","",SUMPRODUCT(('Daily Entry'!$A$4:$A$2003=$A184)*('Daily Entry'!$M$4:$M$2003)*('Daily Entry'!$D$4:$D$2003)))</f>
        <v/>
      </c>
    </row>
    <row r="185" customFormat="false" ht="15" hidden="false" customHeight="false" outlineLevel="0" collapsed="false">
      <c r="A185" s="27"/>
      <c r="B185" s="10" t="str">
        <f aca="false">IF($A185="","",SUMIFS('Daily Entry'!$P$4:$P$2003,'Daily Entry'!$A$4:$A$2003,$A185))</f>
        <v/>
      </c>
      <c r="C185" s="9"/>
      <c r="D185" s="9"/>
      <c r="E185" s="9"/>
      <c r="F185" s="8"/>
      <c r="G185" s="9"/>
      <c r="H185" s="9"/>
      <c r="I185" s="8"/>
      <c r="J185" s="28" t="str">
        <f aca="false">IF($A185="","",$B185+$C185-$D185-$E185-$G185-$H185)</f>
        <v/>
      </c>
      <c r="K185" s="10" t="str">
        <f aca="false">IF($A185="","",SUMIFS('Daily Entry'!$Q$4:$Q$2003,'Daily Entry'!$A$4:$A$2003,$A185))</f>
        <v/>
      </c>
      <c r="L185" s="10" t="str">
        <f aca="false">IF($A185="","",$B185-$K185)</f>
        <v/>
      </c>
      <c r="M185" s="28" t="str">
        <f aca="false">IF($A185="","",$L185-$D185-$E185-$G185)</f>
        <v/>
      </c>
      <c r="N185" s="10" t="str">
        <f aca="false">IF($A185="","",SUMIFS('Daily Entry'!$H$4:$H$2003,'Daily Entry'!$A$4:$A$2003,$A185))</f>
        <v/>
      </c>
      <c r="O185" s="10" t="str">
        <f aca="false">IF($A185="","",SUMIFS('Daily Entry'!$I$4:$I$2003,'Daily Entry'!$A$4:$A$2003,$A185))</f>
        <v/>
      </c>
      <c r="P185" s="10" t="str">
        <f aca="false">IF($A185="","",SUMPRODUCT(('Daily Entry'!$A$4:$A$2003=$A185)*('Daily Entry'!$M$4:$M$2003)*('Daily Entry'!$D$4:$D$2003)))</f>
        <v/>
      </c>
    </row>
    <row r="186" customFormat="false" ht="15" hidden="false" customHeight="false" outlineLevel="0" collapsed="false">
      <c r="A186" s="27"/>
      <c r="B186" s="10" t="str">
        <f aca="false">IF($A186="","",SUMIFS('Daily Entry'!$P$4:$P$2003,'Daily Entry'!$A$4:$A$2003,$A186))</f>
        <v/>
      </c>
      <c r="C186" s="9"/>
      <c r="D186" s="9"/>
      <c r="E186" s="9"/>
      <c r="F186" s="8"/>
      <c r="G186" s="9"/>
      <c r="H186" s="9"/>
      <c r="I186" s="8"/>
      <c r="J186" s="28" t="str">
        <f aca="false">IF($A186="","",$B186+$C186-$D186-$E186-$G186-$H186)</f>
        <v/>
      </c>
      <c r="K186" s="10" t="str">
        <f aca="false">IF($A186="","",SUMIFS('Daily Entry'!$Q$4:$Q$2003,'Daily Entry'!$A$4:$A$2003,$A186))</f>
        <v/>
      </c>
      <c r="L186" s="10" t="str">
        <f aca="false">IF($A186="","",$B186-$K186)</f>
        <v/>
      </c>
      <c r="M186" s="28" t="str">
        <f aca="false">IF($A186="","",$L186-$D186-$E186-$G186)</f>
        <v/>
      </c>
      <c r="N186" s="10" t="str">
        <f aca="false">IF($A186="","",SUMIFS('Daily Entry'!$H$4:$H$2003,'Daily Entry'!$A$4:$A$2003,$A186))</f>
        <v/>
      </c>
      <c r="O186" s="10" t="str">
        <f aca="false">IF($A186="","",SUMIFS('Daily Entry'!$I$4:$I$2003,'Daily Entry'!$A$4:$A$2003,$A186))</f>
        <v/>
      </c>
      <c r="P186" s="10" t="str">
        <f aca="false">IF($A186="","",SUMPRODUCT(('Daily Entry'!$A$4:$A$2003=$A186)*('Daily Entry'!$M$4:$M$2003)*('Daily Entry'!$D$4:$D$2003)))</f>
        <v/>
      </c>
    </row>
    <row r="187" customFormat="false" ht="15" hidden="false" customHeight="false" outlineLevel="0" collapsed="false">
      <c r="A187" s="27"/>
      <c r="B187" s="10" t="str">
        <f aca="false">IF($A187="","",SUMIFS('Daily Entry'!$P$4:$P$2003,'Daily Entry'!$A$4:$A$2003,$A187))</f>
        <v/>
      </c>
      <c r="C187" s="9"/>
      <c r="D187" s="9"/>
      <c r="E187" s="9"/>
      <c r="F187" s="8"/>
      <c r="G187" s="9"/>
      <c r="H187" s="9"/>
      <c r="I187" s="8"/>
      <c r="J187" s="28" t="str">
        <f aca="false">IF($A187="","",$B187+$C187-$D187-$E187-$G187-$H187)</f>
        <v/>
      </c>
      <c r="K187" s="10" t="str">
        <f aca="false">IF($A187="","",SUMIFS('Daily Entry'!$Q$4:$Q$2003,'Daily Entry'!$A$4:$A$2003,$A187))</f>
        <v/>
      </c>
      <c r="L187" s="10" t="str">
        <f aca="false">IF($A187="","",$B187-$K187)</f>
        <v/>
      </c>
      <c r="M187" s="28" t="str">
        <f aca="false">IF($A187="","",$L187-$D187-$E187-$G187)</f>
        <v/>
      </c>
      <c r="N187" s="10" t="str">
        <f aca="false">IF($A187="","",SUMIFS('Daily Entry'!$H$4:$H$2003,'Daily Entry'!$A$4:$A$2003,$A187))</f>
        <v/>
      </c>
      <c r="O187" s="10" t="str">
        <f aca="false">IF($A187="","",SUMIFS('Daily Entry'!$I$4:$I$2003,'Daily Entry'!$A$4:$A$2003,$A187))</f>
        <v/>
      </c>
      <c r="P187" s="10" t="str">
        <f aca="false">IF($A187="","",SUMPRODUCT(('Daily Entry'!$A$4:$A$2003=$A187)*('Daily Entry'!$M$4:$M$2003)*('Daily Entry'!$D$4:$D$2003)))</f>
        <v/>
      </c>
    </row>
    <row r="188" customFormat="false" ht="15" hidden="false" customHeight="false" outlineLevel="0" collapsed="false">
      <c r="A188" s="27"/>
      <c r="B188" s="10" t="str">
        <f aca="false">IF($A188="","",SUMIFS('Daily Entry'!$P$4:$P$2003,'Daily Entry'!$A$4:$A$2003,$A188))</f>
        <v/>
      </c>
      <c r="C188" s="9"/>
      <c r="D188" s="9"/>
      <c r="E188" s="9"/>
      <c r="F188" s="8"/>
      <c r="G188" s="9"/>
      <c r="H188" s="9"/>
      <c r="I188" s="8"/>
      <c r="J188" s="28" t="str">
        <f aca="false">IF($A188="","",$B188+$C188-$D188-$E188-$G188-$H188)</f>
        <v/>
      </c>
      <c r="K188" s="10" t="str">
        <f aca="false">IF($A188="","",SUMIFS('Daily Entry'!$Q$4:$Q$2003,'Daily Entry'!$A$4:$A$2003,$A188))</f>
        <v/>
      </c>
      <c r="L188" s="10" t="str">
        <f aca="false">IF($A188="","",$B188-$K188)</f>
        <v/>
      </c>
      <c r="M188" s="28" t="str">
        <f aca="false">IF($A188="","",$L188-$D188-$E188-$G188)</f>
        <v/>
      </c>
      <c r="N188" s="10" t="str">
        <f aca="false">IF($A188="","",SUMIFS('Daily Entry'!$H$4:$H$2003,'Daily Entry'!$A$4:$A$2003,$A188))</f>
        <v/>
      </c>
      <c r="O188" s="10" t="str">
        <f aca="false">IF($A188="","",SUMIFS('Daily Entry'!$I$4:$I$2003,'Daily Entry'!$A$4:$A$2003,$A188))</f>
        <v/>
      </c>
      <c r="P188" s="10" t="str">
        <f aca="false">IF($A188="","",SUMPRODUCT(('Daily Entry'!$A$4:$A$2003=$A188)*('Daily Entry'!$M$4:$M$2003)*('Daily Entry'!$D$4:$D$2003)))</f>
        <v/>
      </c>
    </row>
    <row r="189" customFormat="false" ht="15" hidden="false" customHeight="false" outlineLevel="0" collapsed="false">
      <c r="A189" s="27"/>
      <c r="B189" s="10" t="str">
        <f aca="false">IF($A189="","",SUMIFS('Daily Entry'!$P$4:$P$2003,'Daily Entry'!$A$4:$A$2003,$A189))</f>
        <v/>
      </c>
      <c r="C189" s="9"/>
      <c r="D189" s="9"/>
      <c r="E189" s="9"/>
      <c r="F189" s="8"/>
      <c r="G189" s="9"/>
      <c r="H189" s="9"/>
      <c r="I189" s="8"/>
      <c r="J189" s="28" t="str">
        <f aca="false">IF($A189="","",$B189+$C189-$D189-$E189-$G189-$H189)</f>
        <v/>
      </c>
      <c r="K189" s="10" t="str">
        <f aca="false">IF($A189="","",SUMIFS('Daily Entry'!$Q$4:$Q$2003,'Daily Entry'!$A$4:$A$2003,$A189))</f>
        <v/>
      </c>
      <c r="L189" s="10" t="str">
        <f aca="false">IF($A189="","",$B189-$K189)</f>
        <v/>
      </c>
      <c r="M189" s="28" t="str">
        <f aca="false">IF($A189="","",$L189-$D189-$E189-$G189)</f>
        <v/>
      </c>
      <c r="N189" s="10" t="str">
        <f aca="false">IF($A189="","",SUMIFS('Daily Entry'!$H$4:$H$2003,'Daily Entry'!$A$4:$A$2003,$A189))</f>
        <v/>
      </c>
      <c r="O189" s="10" t="str">
        <f aca="false">IF($A189="","",SUMIFS('Daily Entry'!$I$4:$I$2003,'Daily Entry'!$A$4:$A$2003,$A189))</f>
        <v/>
      </c>
      <c r="P189" s="10" t="str">
        <f aca="false">IF($A189="","",SUMPRODUCT(('Daily Entry'!$A$4:$A$2003=$A189)*('Daily Entry'!$M$4:$M$2003)*('Daily Entry'!$D$4:$D$2003)))</f>
        <v/>
      </c>
    </row>
    <row r="190" customFormat="false" ht="15" hidden="false" customHeight="false" outlineLevel="0" collapsed="false">
      <c r="A190" s="27"/>
      <c r="B190" s="10" t="str">
        <f aca="false">IF($A190="","",SUMIFS('Daily Entry'!$P$4:$P$2003,'Daily Entry'!$A$4:$A$2003,$A190))</f>
        <v/>
      </c>
      <c r="C190" s="9"/>
      <c r="D190" s="9"/>
      <c r="E190" s="9"/>
      <c r="F190" s="8"/>
      <c r="G190" s="9"/>
      <c r="H190" s="9"/>
      <c r="I190" s="8"/>
      <c r="J190" s="28" t="str">
        <f aca="false">IF($A190="","",$B190+$C190-$D190-$E190-$G190-$H190)</f>
        <v/>
      </c>
      <c r="K190" s="10" t="str">
        <f aca="false">IF($A190="","",SUMIFS('Daily Entry'!$Q$4:$Q$2003,'Daily Entry'!$A$4:$A$2003,$A190))</f>
        <v/>
      </c>
      <c r="L190" s="10" t="str">
        <f aca="false">IF($A190="","",$B190-$K190)</f>
        <v/>
      </c>
      <c r="M190" s="28" t="str">
        <f aca="false">IF($A190="","",$L190-$D190-$E190-$G190)</f>
        <v/>
      </c>
      <c r="N190" s="10" t="str">
        <f aca="false">IF($A190="","",SUMIFS('Daily Entry'!$H$4:$H$2003,'Daily Entry'!$A$4:$A$2003,$A190))</f>
        <v/>
      </c>
      <c r="O190" s="10" t="str">
        <f aca="false">IF($A190="","",SUMIFS('Daily Entry'!$I$4:$I$2003,'Daily Entry'!$A$4:$A$2003,$A190))</f>
        <v/>
      </c>
      <c r="P190" s="10" t="str">
        <f aca="false">IF($A190="","",SUMPRODUCT(('Daily Entry'!$A$4:$A$2003=$A190)*('Daily Entry'!$M$4:$M$2003)*('Daily Entry'!$D$4:$D$2003)))</f>
        <v/>
      </c>
    </row>
    <row r="191" customFormat="false" ht="15" hidden="false" customHeight="false" outlineLevel="0" collapsed="false">
      <c r="A191" s="27"/>
      <c r="B191" s="10" t="str">
        <f aca="false">IF($A191="","",SUMIFS('Daily Entry'!$P$4:$P$2003,'Daily Entry'!$A$4:$A$2003,$A191))</f>
        <v/>
      </c>
      <c r="C191" s="9"/>
      <c r="D191" s="9"/>
      <c r="E191" s="9"/>
      <c r="F191" s="8"/>
      <c r="G191" s="9"/>
      <c r="H191" s="9"/>
      <c r="I191" s="8"/>
      <c r="J191" s="28" t="str">
        <f aca="false">IF($A191="","",$B191+$C191-$D191-$E191-$G191-$H191)</f>
        <v/>
      </c>
      <c r="K191" s="10" t="str">
        <f aca="false">IF($A191="","",SUMIFS('Daily Entry'!$Q$4:$Q$2003,'Daily Entry'!$A$4:$A$2003,$A191))</f>
        <v/>
      </c>
      <c r="L191" s="10" t="str">
        <f aca="false">IF($A191="","",$B191-$K191)</f>
        <v/>
      </c>
      <c r="M191" s="28" t="str">
        <f aca="false">IF($A191="","",$L191-$D191-$E191-$G191)</f>
        <v/>
      </c>
      <c r="N191" s="10" t="str">
        <f aca="false">IF($A191="","",SUMIFS('Daily Entry'!$H$4:$H$2003,'Daily Entry'!$A$4:$A$2003,$A191))</f>
        <v/>
      </c>
      <c r="O191" s="10" t="str">
        <f aca="false">IF($A191="","",SUMIFS('Daily Entry'!$I$4:$I$2003,'Daily Entry'!$A$4:$A$2003,$A191))</f>
        <v/>
      </c>
      <c r="P191" s="10" t="str">
        <f aca="false">IF($A191="","",SUMPRODUCT(('Daily Entry'!$A$4:$A$2003=$A191)*('Daily Entry'!$M$4:$M$2003)*('Daily Entry'!$D$4:$D$2003)))</f>
        <v/>
      </c>
    </row>
    <row r="192" customFormat="false" ht="15" hidden="false" customHeight="false" outlineLevel="0" collapsed="false">
      <c r="A192" s="27"/>
      <c r="B192" s="10" t="str">
        <f aca="false">IF($A192="","",SUMIFS('Daily Entry'!$P$4:$P$2003,'Daily Entry'!$A$4:$A$2003,$A192))</f>
        <v/>
      </c>
      <c r="C192" s="9"/>
      <c r="D192" s="9"/>
      <c r="E192" s="9"/>
      <c r="F192" s="8"/>
      <c r="G192" s="9"/>
      <c r="H192" s="9"/>
      <c r="I192" s="8"/>
      <c r="J192" s="28" t="str">
        <f aca="false">IF($A192="","",$B192+$C192-$D192-$E192-$G192-$H192)</f>
        <v/>
      </c>
      <c r="K192" s="10" t="str">
        <f aca="false">IF($A192="","",SUMIFS('Daily Entry'!$Q$4:$Q$2003,'Daily Entry'!$A$4:$A$2003,$A192))</f>
        <v/>
      </c>
      <c r="L192" s="10" t="str">
        <f aca="false">IF($A192="","",$B192-$K192)</f>
        <v/>
      </c>
      <c r="M192" s="28" t="str">
        <f aca="false">IF($A192="","",$L192-$D192-$E192-$G192)</f>
        <v/>
      </c>
      <c r="N192" s="10" t="str">
        <f aca="false">IF($A192="","",SUMIFS('Daily Entry'!$H$4:$H$2003,'Daily Entry'!$A$4:$A$2003,$A192))</f>
        <v/>
      </c>
      <c r="O192" s="10" t="str">
        <f aca="false">IF($A192="","",SUMIFS('Daily Entry'!$I$4:$I$2003,'Daily Entry'!$A$4:$A$2003,$A192))</f>
        <v/>
      </c>
      <c r="P192" s="10" t="str">
        <f aca="false">IF($A192="","",SUMPRODUCT(('Daily Entry'!$A$4:$A$2003=$A192)*('Daily Entry'!$M$4:$M$2003)*('Daily Entry'!$D$4:$D$2003)))</f>
        <v/>
      </c>
    </row>
    <row r="193" customFormat="false" ht="15" hidden="false" customHeight="false" outlineLevel="0" collapsed="false">
      <c r="A193" s="27"/>
      <c r="B193" s="10" t="str">
        <f aca="false">IF($A193="","",SUMIFS('Daily Entry'!$P$4:$P$2003,'Daily Entry'!$A$4:$A$2003,$A193))</f>
        <v/>
      </c>
      <c r="C193" s="9"/>
      <c r="D193" s="9"/>
      <c r="E193" s="9"/>
      <c r="F193" s="8"/>
      <c r="G193" s="9"/>
      <c r="H193" s="9"/>
      <c r="I193" s="8"/>
      <c r="J193" s="28" t="str">
        <f aca="false">IF($A193="","",$B193+$C193-$D193-$E193-$G193-$H193)</f>
        <v/>
      </c>
      <c r="K193" s="10" t="str">
        <f aca="false">IF($A193="","",SUMIFS('Daily Entry'!$Q$4:$Q$2003,'Daily Entry'!$A$4:$A$2003,$A193))</f>
        <v/>
      </c>
      <c r="L193" s="10" t="str">
        <f aca="false">IF($A193="","",$B193-$K193)</f>
        <v/>
      </c>
      <c r="M193" s="28" t="str">
        <f aca="false">IF($A193="","",$L193-$D193-$E193-$G193)</f>
        <v/>
      </c>
      <c r="N193" s="10" t="str">
        <f aca="false">IF($A193="","",SUMIFS('Daily Entry'!$H$4:$H$2003,'Daily Entry'!$A$4:$A$2003,$A193))</f>
        <v/>
      </c>
      <c r="O193" s="10" t="str">
        <f aca="false">IF($A193="","",SUMIFS('Daily Entry'!$I$4:$I$2003,'Daily Entry'!$A$4:$A$2003,$A193))</f>
        <v/>
      </c>
      <c r="P193" s="10" t="str">
        <f aca="false">IF($A193="","",SUMPRODUCT(('Daily Entry'!$A$4:$A$2003=$A193)*('Daily Entry'!$M$4:$M$2003)*('Daily Entry'!$D$4:$D$2003)))</f>
        <v/>
      </c>
    </row>
    <row r="194" customFormat="false" ht="15" hidden="false" customHeight="false" outlineLevel="0" collapsed="false">
      <c r="A194" s="27"/>
      <c r="B194" s="10" t="str">
        <f aca="false">IF($A194="","",SUMIFS('Daily Entry'!$P$4:$P$2003,'Daily Entry'!$A$4:$A$2003,$A194))</f>
        <v/>
      </c>
      <c r="C194" s="9"/>
      <c r="D194" s="9"/>
      <c r="E194" s="9"/>
      <c r="F194" s="8"/>
      <c r="G194" s="9"/>
      <c r="H194" s="9"/>
      <c r="I194" s="8"/>
      <c r="J194" s="28" t="str">
        <f aca="false">IF($A194="","",$B194+$C194-$D194-$E194-$G194-$H194)</f>
        <v/>
      </c>
      <c r="K194" s="10" t="str">
        <f aca="false">IF($A194="","",SUMIFS('Daily Entry'!$Q$4:$Q$2003,'Daily Entry'!$A$4:$A$2003,$A194))</f>
        <v/>
      </c>
      <c r="L194" s="10" t="str">
        <f aca="false">IF($A194="","",$B194-$K194)</f>
        <v/>
      </c>
      <c r="M194" s="28" t="str">
        <f aca="false">IF($A194="","",$L194-$D194-$E194-$G194)</f>
        <v/>
      </c>
      <c r="N194" s="10" t="str">
        <f aca="false">IF($A194="","",SUMIFS('Daily Entry'!$H$4:$H$2003,'Daily Entry'!$A$4:$A$2003,$A194))</f>
        <v/>
      </c>
      <c r="O194" s="10" t="str">
        <f aca="false">IF($A194="","",SUMIFS('Daily Entry'!$I$4:$I$2003,'Daily Entry'!$A$4:$A$2003,$A194))</f>
        <v/>
      </c>
      <c r="P194" s="10" t="str">
        <f aca="false">IF($A194="","",SUMPRODUCT(('Daily Entry'!$A$4:$A$2003=$A194)*('Daily Entry'!$M$4:$M$2003)*('Daily Entry'!$D$4:$D$2003)))</f>
        <v/>
      </c>
    </row>
    <row r="195" customFormat="false" ht="15" hidden="false" customHeight="false" outlineLevel="0" collapsed="false">
      <c r="A195" s="27"/>
      <c r="B195" s="10" t="str">
        <f aca="false">IF($A195="","",SUMIFS('Daily Entry'!$P$4:$P$2003,'Daily Entry'!$A$4:$A$2003,$A195))</f>
        <v/>
      </c>
      <c r="C195" s="9"/>
      <c r="D195" s="9"/>
      <c r="E195" s="9"/>
      <c r="F195" s="8"/>
      <c r="G195" s="9"/>
      <c r="H195" s="9"/>
      <c r="I195" s="8"/>
      <c r="J195" s="28" t="str">
        <f aca="false">IF($A195="","",$B195+$C195-$D195-$E195-$G195-$H195)</f>
        <v/>
      </c>
      <c r="K195" s="10" t="str">
        <f aca="false">IF($A195="","",SUMIFS('Daily Entry'!$Q$4:$Q$2003,'Daily Entry'!$A$4:$A$2003,$A195))</f>
        <v/>
      </c>
      <c r="L195" s="10" t="str">
        <f aca="false">IF($A195="","",$B195-$K195)</f>
        <v/>
      </c>
      <c r="M195" s="28" t="str">
        <f aca="false">IF($A195="","",$L195-$D195-$E195-$G195)</f>
        <v/>
      </c>
      <c r="N195" s="10" t="str">
        <f aca="false">IF($A195="","",SUMIFS('Daily Entry'!$H$4:$H$2003,'Daily Entry'!$A$4:$A$2003,$A195))</f>
        <v/>
      </c>
      <c r="O195" s="10" t="str">
        <f aca="false">IF($A195="","",SUMIFS('Daily Entry'!$I$4:$I$2003,'Daily Entry'!$A$4:$A$2003,$A195))</f>
        <v/>
      </c>
      <c r="P195" s="10" t="str">
        <f aca="false">IF($A195="","",SUMPRODUCT(('Daily Entry'!$A$4:$A$2003=$A195)*('Daily Entry'!$M$4:$M$2003)*('Daily Entry'!$D$4:$D$2003)))</f>
        <v/>
      </c>
    </row>
    <row r="196" customFormat="false" ht="15" hidden="false" customHeight="false" outlineLevel="0" collapsed="false">
      <c r="A196" s="27"/>
      <c r="B196" s="10" t="str">
        <f aca="false">IF($A196="","",SUMIFS('Daily Entry'!$P$4:$P$2003,'Daily Entry'!$A$4:$A$2003,$A196))</f>
        <v/>
      </c>
      <c r="C196" s="9"/>
      <c r="D196" s="9"/>
      <c r="E196" s="9"/>
      <c r="F196" s="8"/>
      <c r="G196" s="9"/>
      <c r="H196" s="9"/>
      <c r="I196" s="8"/>
      <c r="J196" s="28" t="str">
        <f aca="false">IF($A196="","",$B196+$C196-$D196-$E196-$G196-$H196)</f>
        <v/>
      </c>
      <c r="K196" s="10" t="str">
        <f aca="false">IF($A196="","",SUMIFS('Daily Entry'!$Q$4:$Q$2003,'Daily Entry'!$A$4:$A$2003,$A196))</f>
        <v/>
      </c>
      <c r="L196" s="10" t="str">
        <f aca="false">IF($A196="","",$B196-$K196)</f>
        <v/>
      </c>
      <c r="M196" s="28" t="str">
        <f aca="false">IF($A196="","",$L196-$D196-$E196-$G196)</f>
        <v/>
      </c>
      <c r="N196" s="10" t="str">
        <f aca="false">IF($A196="","",SUMIFS('Daily Entry'!$H$4:$H$2003,'Daily Entry'!$A$4:$A$2003,$A196))</f>
        <v/>
      </c>
      <c r="O196" s="10" t="str">
        <f aca="false">IF($A196="","",SUMIFS('Daily Entry'!$I$4:$I$2003,'Daily Entry'!$A$4:$A$2003,$A196))</f>
        <v/>
      </c>
      <c r="P196" s="10" t="str">
        <f aca="false">IF($A196="","",SUMPRODUCT(('Daily Entry'!$A$4:$A$2003=$A196)*('Daily Entry'!$M$4:$M$2003)*('Daily Entry'!$D$4:$D$2003)))</f>
        <v/>
      </c>
    </row>
    <row r="197" customFormat="false" ht="15" hidden="false" customHeight="false" outlineLevel="0" collapsed="false">
      <c r="A197" s="27"/>
      <c r="B197" s="10" t="str">
        <f aca="false">IF($A197="","",SUMIFS('Daily Entry'!$P$4:$P$2003,'Daily Entry'!$A$4:$A$2003,$A197))</f>
        <v/>
      </c>
      <c r="C197" s="9"/>
      <c r="D197" s="9"/>
      <c r="E197" s="9"/>
      <c r="F197" s="8"/>
      <c r="G197" s="9"/>
      <c r="H197" s="9"/>
      <c r="I197" s="8"/>
      <c r="J197" s="28" t="str">
        <f aca="false">IF($A197="","",$B197+$C197-$D197-$E197-$G197-$H197)</f>
        <v/>
      </c>
      <c r="K197" s="10" t="str">
        <f aca="false">IF($A197="","",SUMIFS('Daily Entry'!$Q$4:$Q$2003,'Daily Entry'!$A$4:$A$2003,$A197))</f>
        <v/>
      </c>
      <c r="L197" s="10" t="str">
        <f aca="false">IF($A197="","",$B197-$K197)</f>
        <v/>
      </c>
      <c r="M197" s="28" t="str">
        <f aca="false">IF($A197="","",$L197-$D197-$E197-$G197)</f>
        <v/>
      </c>
      <c r="N197" s="10" t="str">
        <f aca="false">IF($A197="","",SUMIFS('Daily Entry'!$H$4:$H$2003,'Daily Entry'!$A$4:$A$2003,$A197))</f>
        <v/>
      </c>
      <c r="O197" s="10" t="str">
        <f aca="false">IF($A197="","",SUMIFS('Daily Entry'!$I$4:$I$2003,'Daily Entry'!$A$4:$A$2003,$A197))</f>
        <v/>
      </c>
      <c r="P197" s="10" t="str">
        <f aca="false">IF($A197="","",SUMPRODUCT(('Daily Entry'!$A$4:$A$2003=$A197)*('Daily Entry'!$M$4:$M$2003)*('Daily Entry'!$D$4:$D$2003)))</f>
        <v/>
      </c>
    </row>
    <row r="198" customFormat="false" ht="15" hidden="false" customHeight="false" outlineLevel="0" collapsed="false">
      <c r="A198" s="27"/>
      <c r="B198" s="10" t="str">
        <f aca="false">IF($A198="","",SUMIFS('Daily Entry'!$P$4:$P$2003,'Daily Entry'!$A$4:$A$2003,$A198))</f>
        <v/>
      </c>
      <c r="C198" s="9"/>
      <c r="D198" s="9"/>
      <c r="E198" s="9"/>
      <c r="F198" s="8"/>
      <c r="G198" s="9"/>
      <c r="H198" s="9"/>
      <c r="I198" s="8"/>
      <c r="J198" s="28" t="str">
        <f aca="false">IF($A198="","",$B198+$C198-$D198-$E198-$G198-$H198)</f>
        <v/>
      </c>
      <c r="K198" s="10" t="str">
        <f aca="false">IF($A198="","",SUMIFS('Daily Entry'!$Q$4:$Q$2003,'Daily Entry'!$A$4:$A$2003,$A198))</f>
        <v/>
      </c>
      <c r="L198" s="10" t="str">
        <f aca="false">IF($A198="","",$B198-$K198)</f>
        <v/>
      </c>
      <c r="M198" s="28" t="str">
        <f aca="false">IF($A198="","",$L198-$D198-$E198-$G198)</f>
        <v/>
      </c>
      <c r="N198" s="10" t="str">
        <f aca="false">IF($A198="","",SUMIFS('Daily Entry'!$H$4:$H$2003,'Daily Entry'!$A$4:$A$2003,$A198))</f>
        <v/>
      </c>
      <c r="O198" s="10" t="str">
        <f aca="false">IF($A198="","",SUMIFS('Daily Entry'!$I$4:$I$2003,'Daily Entry'!$A$4:$A$2003,$A198))</f>
        <v/>
      </c>
      <c r="P198" s="10" t="str">
        <f aca="false">IF($A198="","",SUMPRODUCT(('Daily Entry'!$A$4:$A$2003=$A198)*('Daily Entry'!$M$4:$M$2003)*('Daily Entry'!$D$4:$D$2003)))</f>
        <v/>
      </c>
    </row>
    <row r="199" customFormat="false" ht="15" hidden="false" customHeight="false" outlineLevel="0" collapsed="false">
      <c r="A199" s="27"/>
      <c r="B199" s="10" t="str">
        <f aca="false">IF($A199="","",SUMIFS('Daily Entry'!$P$4:$P$2003,'Daily Entry'!$A$4:$A$2003,$A199))</f>
        <v/>
      </c>
      <c r="C199" s="9"/>
      <c r="D199" s="9"/>
      <c r="E199" s="9"/>
      <c r="F199" s="8"/>
      <c r="G199" s="9"/>
      <c r="H199" s="9"/>
      <c r="I199" s="8"/>
      <c r="J199" s="28" t="str">
        <f aca="false">IF($A199="","",$B199+$C199-$D199-$E199-$G199-$H199)</f>
        <v/>
      </c>
      <c r="K199" s="10" t="str">
        <f aca="false">IF($A199="","",SUMIFS('Daily Entry'!$Q$4:$Q$2003,'Daily Entry'!$A$4:$A$2003,$A199))</f>
        <v/>
      </c>
      <c r="L199" s="10" t="str">
        <f aca="false">IF($A199="","",$B199-$K199)</f>
        <v/>
      </c>
      <c r="M199" s="28" t="str">
        <f aca="false">IF($A199="","",$L199-$D199-$E199-$G199)</f>
        <v/>
      </c>
      <c r="N199" s="10" t="str">
        <f aca="false">IF($A199="","",SUMIFS('Daily Entry'!$H$4:$H$2003,'Daily Entry'!$A$4:$A$2003,$A199))</f>
        <v/>
      </c>
      <c r="O199" s="10" t="str">
        <f aca="false">IF($A199="","",SUMIFS('Daily Entry'!$I$4:$I$2003,'Daily Entry'!$A$4:$A$2003,$A199))</f>
        <v/>
      </c>
      <c r="P199" s="10" t="str">
        <f aca="false">IF($A199="","",SUMPRODUCT(('Daily Entry'!$A$4:$A$2003=$A199)*('Daily Entry'!$M$4:$M$2003)*('Daily Entry'!$D$4:$D$2003)))</f>
        <v/>
      </c>
    </row>
    <row r="200" customFormat="false" ht="15" hidden="false" customHeight="false" outlineLevel="0" collapsed="false">
      <c r="A200" s="27"/>
      <c r="B200" s="10" t="str">
        <f aca="false">IF($A200="","",SUMIFS('Daily Entry'!$P$4:$P$2003,'Daily Entry'!$A$4:$A$2003,$A200))</f>
        <v/>
      </c>
      <c r="C200" s="9"/>
      <c r="D200" s="9"/>
      <c r="E200" s="9"/>
      <c r="F200" s="8"/>
      <c r="G200" s="9"/>
      <c r="H200" s="9"/>
      <c r="I200" s="8"/>
      <c r="J200" s="28" t="str">
        <f aca="false">IF($A200="","",$B200+$C200-$D200-$E200-$G200-$H200)</f>
        <v/>
      </c>
      <c r="K200" s="10" t="str">
        <f aca="false">IF($A200="","",SUMIFS('Daily Entry'!$Q$4:$Q$2003,'Daily Entry'!$A$4:$A$2003,$A200))</f>
        <v/>
      </c>
      <c r="L200" s="10" t="str">
        <f aca="false">IF($A200="","",$B200-$K200)</f>
        <v/>
      </c>
      <c r="M200" s="28" t="str">
        <f aca="false">IF($A200="","",$L200-$D200-$E200-$G200)</f>
        <v/>
      </c>
      <c r="N200" s="10" t="str">
        <f aca="false">IF($A200="","",SUMIFS('Daily Entry'!$H$4:$H$2003,'Daily Entry'!$A$4:$A$2003,$A200))</f>
        <v/>
      </c>
      <c r="O200" s="10" t="str">
        <f aca="false">IF($A200="","",SUMIFS('Daily Entry'!$I$4:$I$2003,'Daily Entry'!$A$4:$A$2003,$A200))</f>
        <v/>
      </c>
      <c r="P200" s="10" t="str">
        <f aca="false">IF($A200="","",SUMPRODUCT(('Daily Entry'!$A$4:$A$2003=$A200)*('Daily Entry'!$M$4:$M$2003)*('Daily Entry'!$D$4:$D$2003)))</f>
        <v/>
      </c>
    </row>
    <row r="201" customFormat="false" ht="15" hidden="false" customHeight="false" outlineLevel="0" collapsed="false">
      <c r="A201" s="27"/>
      <c r="B201" s="10" t="str">
        <f aca="false">IF($A201="","",SUMIFS('Daily Entry'!$P$4:$P$2003,'Daily Entry'!$A$4:$A$2003,$A201))</f>
        <v/>
      </c>
      <c r="C201" s="9"/>
      <c r="D201" s="9"/>
      <c r="E201" s="9"/>
      <c r="F201" s="8"/>
      <c r="G201" s="9"/>
      <c r="H201" s="9"/>
      <c r="I201" s="8"/>
      <c r="J201" s="28" t="str">
        <f aca="false">IF($A201="","",$B201+$C201-$D201-$E201-$G201-$H201)</f>
        <v/>
      </c>
      <c r="K201" s="10" t="str">
        <f aca="false">IF($A201="","",SUMIFS('Daily Entry'!$Q$4:$Q$2003,'Daily Entry'!$A$4:$A$2003,$A201))</f>
        <v/>
      </c>
      <c r="L201" s="10" t="str">
        <f aca="false">IF($A201="","",$B201-$K201)</f>
        <v/>
      </c>
      <c r="M201" s="28" t="str">
        <f aca="false">IF($A201="","",$L201-$D201-$E201-$G201)</f>
        <v/>
      </c>
      <c r="N201" s="10" t="str">
        <f aca="false">IF($A201="","",SUMIFS('Daily Entry'!$H$4:$H$2003,'Daily Entry'!$A$4:$A$2003,$A201))</f>
        <v/>
      </c>
      <c r="O201" s="10" t="str">
        <f aca="false">IF($A201="","",SUMIFS('Daily Entry'!$I$4:$I$2003,'Daily Entry'!$A$4:$A$2003,$A201))</f>
        <v/>
      </c>
      <c r="P201" s="10" t="str">
        <f aca="false">IF($A201="","",SUMPRODUCT(('Daily Entry'!$A$4:$A$2003=$A201)*('Daily Entry'!$M$4:$M$2003)*('Daily Entry'!$D$4:$D$2003)))</f>
        <v/>
      </c>
    </row>
    <row r="202" customFormat="false" ht="15" hidden="false" customHeight="false" outlineLevel="0" collapsed="false">
      <c r="A202" s="27"/>
      <c r="B202" s="10" t="str">
        <f aca="false">IF($A202="","",SUMIFS('Daily Entry'!$P$4:$P$2003,'Daily Entry'!$A$4:$A$2003,$A202))</f>
        <v/>
      </c>
      <c r="C202" s="9"/>
      <c r="D202" s="9"/>
      <c r="E202" s="9"/>
      <c r="F202" s="8"/>
      <c r="G202" s="9"/>
      <c r="H202" s="9"/>
      <c r="I202" s="8"/>
      <c r="J202" s="28" t="str">
        <f aca="false">IF($A202="","",$B202+$C202-$D202-$E202-$G202-$H202)</f>
        <v/>
      </c>
      <c r="K202" s="10" t="str">
        <f aca="false">IF($A202="","",SUMIFS('Daily Entry'!$Q$4:$Q$2003,'Daily Entry'!$A$4:$A$2003,$A202))</f>
        <v/>
      </c>
      <c r="L202" s="10" t="str">
        <f aca="false">IF($A202="","",$B202-$K202)</f>
        <v/>
      </c>
      <c r="M202" s="28" t="str">
        <f aca="false">IF($A202="","",$L202-$D202-$E202-$G202)</f>
        <v/>
      </c>
      <c r="N202" s="10" t="str">
        <f aca="false">IF($A202="","",SUMIFS('Daily Entry'!$H$4:$H$2003,'Daily Entry'!$A$4:$A$2003,$A202))</f>
        <v/>
      </c>
      <c r="O202" s="10" t="str">
        <f aca="false">IF($A202="","",SUMIFS('Daily Entry'!$I$4:$I$2003,'Daily Entry'!$A$4:$A$2003,$A202))</f>
        <v/>
      </c>
      <c r="P202" s="10" t="str">
        <f aca="false">IF($A202="","",SUMPRODUCT(('Daily Entry'!$A$4:$A$2003=$A202)*('Daily Entry'!$M$4:$M$2003)*('Daily Entry'!$D$4:$D$2003)))</f>
        <v/>
      </c>
    </row>
    <row r="203" customFormat="false" ht="15" hidden="false" customHeight="false" outlineLevel="0" collapsed="false">
      <c r="A203" s="27"/>
      <c r="B203" s="10" t="str">
        <f aca="false">IF($A203="","",SUMIFS('Daily Entry'!$P$4:$P$2003,'Daily Entry'!$A$4:$A$2003,$A203))</f>
        <v/>
      </c>
      <c r="C203" s="9"/>
      <c r="D203" s="9"/>
      <c r="E203" s="9"/>
      <c r="F203" s="8"/>
      <c r="G203" s="9"/>
      <c r="H203" s="9"/>
      <c r="I203" s="8"/>
      <c r="J203" s="28" t="str">
        <f aca="false">IF($A203="","",$B203+$C203-$D203-$E203-$G203-$H203)</f>
        <v/>
      </c>
      <c r="K203" s="10" t="str">
        <f aca="false">IF($A203="","",SUMIFS('Daily Entry'!$Q$4:$Q$2003,'Daily Entry'!$A$4:$A$2003,$A203))</f>
        <v/>
      </c>
      <c r="L203" s="10" t="str">
        <f aca="false">IF($A203="","",$B203-$K203)</f>
        <v/>
      </c>
      <c r="M203" s="28" t="str">
        <f aca="false">IF($A203="","",$L203-$D203-$E203-$G203)</f>
        <v/>
      </c>
      <c r="N203" s="10" t="str">
        <f aca="false">IF($A203="","",SUMIFS('Daily Entry'!$H$4:$H$2003,'Daily Entry'!$A$4:$A$2003,$A203))</f>
        <v/>
      </c>
      <c r="O203" s="10" t="str">
        <f aca="false">IF($A203="","",SUMIFS('Daily Entry'!$I$4:$I$2003,'Daily Entry'!$A$4:$A$2003,$A203))</f>
        <v/>
      </c>
      <c r="P203" s="10" t="str">
        <f aca="false">IF($A203="","",SUMPRODUCT(('Daily Entry'!$A$4:$A$2003=$A203)*('Daily Entry'!$M$4:$M$2003)*('Daily Entry'!$D$4:$D$2003)))</f>
        <v/>
      </c>
    </row>
    <row r="204" customFormat="false" ht="15" hidden="false" customHeight="false" outlineLevel="0" collapsed="false">
      <c r="A204" s="27"/>
      <c r="B204" s="10" t="str">
        <f aca="false">IF($A204="","",SUMIFS('Daily Entry'!$P$4:$P$2003,'Daily Entry'!$A$4:$A$2003,$A204))</f>
        <v/>
      </c>
      <c r="C204" s="9"/>
      <c r="D204" s="9"/>
      <c r="E204" s="9"/>
      <c r="F204" s="8"/>
      <c r="G204" s="9"/>
      <c r="H204" s="9"/>
      <c r="I204" s="8"/>
      <c r="J204" s="28" t="str">
        <f aca="false">IF($A204="","",$B204+$C204-$D204-$E204-$G204-$H204)</f>
        <v/>
      </c>
      <c r="K204" s="10" t="str">
        <f aca="false">IF($A204="","",SUMIFS('Daily Entry'!$Q$4:$Q$2003,'Daily Entry'!$A$4:$A$2003,$A204))</f>
        <v/>
      </c>
      <c r="L204" s="10" t="str">
        <f aca="false">IF($A204="","",$B204-$K204)</f>
        <v/>
      </c>
      <c r="M204" s="28" t="str">
        <f aca="false">IF($A204="","",$L204-$D204-$E204-$G204)</f>
        <v/>
      </c>
      <c r="N204" s="10" t="str">
        <f aca="false">IF($A204="","",SUMIFS('Daily Entry'!$H$4:$H$2003,'Daily Entry'!$A$4:$A$2003,$A204))</f>
        <v/>
      </c>
      <c r="O204" s="10" t="str">
        <f aca="false">IF($A204="","",SUMIFS('Daily Entry'!$I$4:$I$2003,'Daily Entry'!$A$4:$A$2003,$A204))</f>
        <v/>
      </c>
      <c r="P204" s="10" t="str">
        <f aca="false">IF($A204="","",SUMPRODUCT(('Daily Entry'!$A$4:$A$2003=$A204)*('Daily Entry'!$M$4:$M$2003)*('Daily Entry'!$D$4:$D$2003)))</f>
        <v/>
      </c>
    </row>
    <row r="205" customFormat="false" ht="15" hidden="false" customHeight="false" outlineLevel="0" collapsed="false">
      <c r="A205" s="27"/>
      <c r="B205" s="10" t="str">
        <f aca="false">IF($A205="","",SUMIFS('Daily Entry'!$P$4:$P$2003,'Daily Entry'!$A$4:$A$2003,$A205))</f>
        <v/>
      </c>
      <c r="C205" s="9"/>
      <c r="D205" s="9"/>
      <c r="E205" s="9"/>
      <c r="F205" s="8"/>
      <c r="G205" s="9"/>
      <c r="H205" s="9"/>
      <c r="I205" s="8"/>
      <c r="J205" s="28" t="str">
        <f aca="false">IF($A205="","",$B205+$C205-$D205-$E205-$G205-$H205)</f>
        <v/>
      </c>
      <c r="K205" s="10" t="str">
        <f aca="false">IF($A205="","",SUMIFS('Daily Entry'!$Q$4:$Q$2003,'Daily Entry'!$A$4:$A$2003,$A205))</f>
        <v/>
      </c>
      <c r="L205" s="10" t="str">
        <f aca="false">IF($A205="","",$B205-$K205)</f>
        <v/>
      </c>
      <c r="M205" s="28" t="str">
        <f aca="false">IF($A205="","",$L205-$D205-$E205-$G205)</f>
        <v/>
      </c>
      <c r="N205" s="10" t="str">
        <f aca="false">IF($A205="","",SUMIFS('Daily Entry'!$H$4:$H$2003,'Daily Entry'!$A$4:$A$2003,$A205))</f>
        <v/>
      </c>
      <c r="O205" s="10" t="str">
        <f aca="false">IF($A205="","",SUMIFS('Daily Entry'!$I$4:$I$2003,'Daily Entry'!$A$4:$A$2003,$A205))</f>
        <v/>
      </c>
      <c r="P205" s="10" t="str">
        <f aca="false">IF($A205="","",SUMPRODUCT(('Daily Entry'!$A$4:$A$2003=$A205)*('Daily Entry'!$M$4:$M$2003)*('Daily Entry'!$D$4:$D$2003)))</f>
        <v/>
      </c>
    </row>
    <row r="206" customFormat="false" ht="15" hidden="false" customHeight="false" outlineLevel="0" collapsed="false">
      <c r="A206" s="27"/>
      <c r="B206" s="10" t="str">
        <f aca="false">IF($A206="","",SUMIFS('Daily Entry'!$P$4:$P$2003,'Daily Entry'!$A$4:$A$2003,$A206))</f>
        <v/>
      </c>
      <c r="C206" s="9"/>
      <c r="D206" s="9"/>
      <c r="E206" s="9"/>
      <c r="F206" s="8"/>
      <c r="G206" s="9"/>
      <c r="H206" s="9"/>
      <c r="I206" s="8"/>
      <c r="J206" s="28" t="str">
        <f aca="false">IF($A206="","",$B206+$C206-$D206-$E206-$G206-$H206)</f>
        <v/>
      </c>
      <c r="K206" s="10" t="str">
        <f aca="false">IF($A206="","",SUMIFS('Daily Entry'!$Q$4:$Q$2003,'Daily Entry'!$A$4:$A$2003,$A206))</f>
        <v/>
      </c>
      <c r="L206" s="10" t="str">
        <f aca="false">IF($A206="","",$B206-$K206)</f>
        <v/>
      </c>
      <c r="M206" s="28" t="str">
        <f aca="false">IF($A206="","",$L206-$D206-$E206-$G206)</f>
        <v/>
      </c>
      <c r="N206" s="10" t="str">
        <f aca="false">IF($A206="","",SUMIFS('Daily Entry'!$H$4:$H$2003,'Daily Entry'!$A$4:$A$2003,$A206))</f>
        <v/>
      </c>
      <c r="O206" s="10" t="str">
        <f aca="false">IF($A206="","",SUMIFS('Daily Entry'!$I$4:$I$2003,'Daily Entry'!$A$4:$A$2003,$A206))</f>
        <v/>
      </c>
      <c r="P206" s="10" t="str">
        <f aca="false">IF($A206="","",SUMPRODUCT(('Daily Entry'!$A$4:$A$2003=$A206)*('Daily Entry'!$M$4:$M$2003)*('Daily Entry'!$D$4:$D$2003)))</f>
        <v/>
      </c>
    </row>
    <row r="207" customFormat="false" ht="15" hidden="false" customHeight="false" outlineLevel="0" collapsed="false">
      <c r="A207" s="27"/>
      <c r="B207" s="10" t="str">
        <f aca="false">IF($A207="","",SUMIFS('Daily Entry'!$P$4:$P$2003,'Daily Entry'!$A$4:$A$2003,$A207))</f>
        <v/>
      </c>
      <c r="C207" s="9"/>
      <c r="D207" s="9"/>
      <c r="E207" s="9"/>
      <c r="F207" s="8"/>
      <c r="G207" s="9"/>
      <c r="H207" s="9"/>
      <c r="I207" s="8"/>
      <c r="J207" s="28" t="str">
        <f aca="false">IF($A207="","",$B207+$C207-$D207-$E207-$G207-$H207)</f>
        <v/>
      </c>
      <c r="K207" s="10" t="str">
        <f aca="false">IF($A207="","",SUMIFS('Daily Entry'!$Q$4:$Q$2003,'Daily Entry'!$A$4:$A$2003,$A207))</f>
        <v/>
      </c>
      <c r="L207" s="10" t="str">
        <f aca="false">IF($A207="","",$B207-$K207)</f>
        <v/>
      </c>
      <c r="M207" s="28" t="str">
        <f aca="false">IF($A207="","",$L207-$D207-$E207-$G207)</f>
        <v/>
      </c>
      <c r="N207" s="10" t="str">
        <f aca="false">IF($A207="","",SUMIFS('Daily Entry'!$H$4:$H$2003,'Daily Entry'!$A$4:$A$2003,$A207))</f>
        <v/>
      </c>
      <c r="O207" s="10" t="str">
        <f aca="false">IF($A207="","",SUMIFS('Daily Entry'!$I$4:$I$2003,'Daily Entry'!$A$4:$A$2003,$A207))</f>
        <v/>
      </c>
      <c r="P207" s="10" t="str">
        <f aca="false">IF($A207="","",SUMPRODUCT(('Daily Entry'!$A$4:$A$2003=$A207)*('Daily Entry'!$M$4:$M$2003)*('Daily Entry'!$D$4:$D$2003)))</f>
        <v/>
      </c>
    </row>
    <row r="208" customFormat="false" ht="15" hidden="false" customHeight="false" outlineLevel="0" collapsed="false">
      <c r="A208" s="27"/>
      <c r="B208" s="10" t="str">
        <f aca="false">IF($A208="","",SUMIFS('Daily Entry'!$P$4:$P$2003,'Daily Entry'!$A$4:$A$2003,$A208))</f>
        <v/>
      </c>
      <c r="C208" s="9"/>
      <c r="D208" s="9"/>
      <c r="E208" s="9"/>
      <c r="F208" s="8"/>
      <c r="G208" s="9"/>
      <c r="H208" s="9"/>
      <c r="I208" s="8"/>
      <c r="J208" s="28" t="str">
        <f aca="false">IF($A208="","",$B208+$C208-$D208-$E208-$G208-$H208)</f>
        <v/>
      </c>
      <c r="K208" s="10" t="str">
        <f aca="false">IF($A208="","",SUMIFS('Daily Entry'!$Q$4:$Q$2003,'Daily Entry'!$A$4:$A$2003,$A208))</f>
        <v/>
      </c>
      <c r="L208" s="10" t="str">
        <f aca="false">IF($A208="","",$B208-$K208)</f>
        <v/>
      </c>
      <c r="M208" s="28" t="str">
        <f aca="false">IF($A208="","",$L208-$D208-$E208-$G208)</f>
        <v/>
      </c>
      <c r="N208" s="10" t="str">
        <f aca="false">IF($A208="","",SUMIFS('Daily Entry'!$H$4:$H$2003,'Daily Entry'!$A$4:$A$2003,$A208))</f>
        <v/>
      </c>
      <c r="O208" s="10" t="str">
        <f aca="false">IF($A208="","",SUMIFS('Daily Entry'!$I$4:$I$2003,'Daily Entry'!$A$4:$A$2003,$A208))</f>
        <v/>
      </c>
      <c r="P208" s="10" t="str">
        <f aca="false">IF($A208="","",SUMPRODUCT(('Daily Entry'!$A$4:$A$2003=$A208)*('Daily Entry'!$M$4:$M$2003)*('Daily Entry'!$D$4:$D$2003)))</f>
        <v/>
      </c>
    </row>
    <row r="209" customFormat="false" ht="15" hidden="false" customHeight="false" outlineLevel="0" collapsed="false">
      <c r="A209" s="27"/>
      <c r="B209" s="10" t="str">
        <f aca="false">IF($A209="","",SUMIFS('Daily Entry'!$P$4:$P$2003,'Daily Entry'!$A$4:$A$2003,$A209))</f>
        <v/>
      </c>
      <c r="C209" s="9"/>
      <c r="D209" s="9"/>
      <c r="E209" s="9"/>
      <c r="F209" s="8"/>
      <c r="G209" s="9"/>
      <c r="H209" s="9"/>
      <c r="I209" s="8"/>
      <c r="J209" s="28" t="str">
        <f aca="false">IF($A209="","",$B209+$C209-$D209-$E209-$G209-$H209)</f>
        <v/>
      </c>
      <c r="K209" s="10" t="str">
        <f aca="false">IF($A209="","",SUMIFS('Daily Entry'!$Q$4:$Q$2003,'Daily Entry'!$A$4:$A$2003,$A209))</f>
        <v/>
      </c>
      <c r="L209" s="10" t="str">
        <f aca="false">IF($A209="","",$B209-$K209)</f>
        <v/>
      </c>
      <c r="M209" s="28" t="str">
        <f aca="false">IF($A209="","",$L209-$D209-$E209-$G209)</f>
        <v/>
      </c>
      <c r="N209" s="10" t="str">
        <f aca="false">IF($A209="","",SUMIFS('Daily Entry'!$H$4:$H$2003,'Daily Entry'!$A$4:$A$2003,$A209))</f>
        <v/>
      </c>
      <c r="O209" s="10" t="str">
        <f aca="false">IF($A209="","",SUMIFS('Daily Entry'!$I$4:$I$2003,'Daily Entry'!$A$4:$A$2003,$A209))</f>
        <v/>
      </c>
      <c r="P209" s="10" t="str">
        <f aca="false">IF($A209="","",SUMPRODUCT(('Daily Entry'!$A$4:$A$2003=$A209)*('Daily Entry'!$M$4:$M$2003)*('Daily Entry'!$D$4:$D$2003)))</f>
        <v/>
      </c>
    </row>
    <row r="210" customFormat="false" ht="15" hidden="false" customHeight="false" outlineLevel="0" collapsed="false">
      <c r="A210" s="27"/>
      <c r="B210" s="10" t="str">
        <f aca="false">IF($A210="","",SUMIFS('Daily Entry'!$P$4:$P$2003,'Daily Entry'!$A$4:$A$2003,$A210))</f>
        <v/>
      </c>
      <c r="C210" s="9"/>
      <c r="D210" s="9"/>
      <c r="E210" s="9"/>
      <c r="F210" s="8"/>
      <c r="G210" s="9"/>
      <c r="H210" s="9"/>
      <c r="I210" s="8"/>
      <c r="J210" s="28" t="str">
        <f aca="false">IF($A210="","",$B210+$C210-$D210-$E210-$G210-$H210)</f>
        <v/>
      </c>
      <c r="K210" s="10" t="str">
        <f aca="false">IF($A210="","",SUMIFS('Daily Entry'!$Q$4:$Q$2003,'Daily Entry'!$A$4:$A$2003,$A210))</f>
        <v/>
      </c>
      <c r="L210" s="10" t="str">
        <f aca="false">IF($A210="","",$B210-$K210)</f>
        <v/>
      </c>
      <c r="M210" s="28" t="str">
        <f aca="false">IF($A210="","",$L210-$D210-$E210-$G210)</f>
        <v/>
      </c>
      <c r="N210" s="10" t="str">
        <f aca="false">IF($A210="","",SUMIFS('Daily Entry'!$H$4:$H$2003,'Daily Entry'!$A$4:$A$2003,$A210))</f>
        <v/>
      </c>
      <c r="O210" s="10" t="str">
        <f aca="false">IF($A210="","",SUMIFS('Daily Entry'!$I$4:$I$2003,'Daily Entry'!$A$4:$A$2003,$A210))</f>
        <v/>
      </c>
      <c r="P210" s="10" t="str">
        <f aca="false">IF($A210="","",SUMPRODUCT(('Daily Entry'!$A$4:$A$2003=$A210)*('Daily Entry'!$M$4:$M$2003)*('Daily Entry'!$D$4:$D$2003)))</f>
        <v/>
      </c>
    </row>
    <row r="211" customFormat="false" ht="15" hidden="false" customHeight="false" outlineLevel="0" collapsed="false">
      <c r="A211" s="27"/>
      <c r="B211" s="10" t="str">
        <f aca="false">IF($A211="","",SUMIFS('Daily Entry'!$P$4:$P$2003,'Daily Entry'!$A$4:$A$2003,$A211))</f>
        <v/>
      </c>
      <c r="C211" s="9"/>
      <c r="D211" s="9"/>
      <c r="E211" s="9"/>
      <c r="F211" s="8"/>
      <c r="G211" s="9"/>
      <c r="H211" s="9"/>
      <c r="I211" s="8"/>
      <c r="J211" s="28" t="str">
        <f aca="false">IF($A211="","",$B211+$C211-$D211-$E211-$G211-$H211)</f>
        <v/>
      </c>
      <c r="K211" s="10" t="str">
        <f aca="false">IF($A211="","",SUMIFS('Daily Entry'!$Q$4:$Q$2003,'Daily Entry'!$A$4:$A$2003,$A211))</f>
        <v/>
      </c>
      <c r="L211" s="10" t="str">
        <f aca="false">IF($A211="","",$B211-$K211)</f>
        <v/>
      </c>
      <c r="M211" s="28" t="str">
        <f aca="false">IF($A211="","",$L211-$D211-$E211-$G211)</f>
        <v/>
      </c>
      <c r="N211" s="10" t="str">
        <f aca="false">IF($A211="","",SUMIFS('Daily Entry'!$H$4:$H$2003,'Daily Entry'!$A$4:$A$2003,$A211))</f>
        <v/>
      </c>
      <c r="O211" s="10" t="str">
        <f aca="false">IF($A211="","",SUMIFS('Daily Entry'!$I$4:$I$2003,'Daily Entry'!$A$4:$A$2003,$A211))</f>
        <v/>
      </c>
      <c r="P211" s="10" t="str">
        <f aca="false">IF($A211="","",SUMPRODUCT(('Daily Entry'!$A$4:$A$2003=$A211)*('Daily Entry'!$M$4:$M$2003)*('Daily Entry'!$D$4:$D$2003)))</f>
        <v/>
      </c>
    </row>
    <row r="212" customFormat="false" ht="15" hidden="false" customHeight="false" outlineLevel="0" collapsed="false">
      <c r="A212" s="27"/>
      <c r="B212" s="10" t="str">
        <f aca="false">IF($A212="","",SUMIFS('Daily Entry'!$P$4:$P$2003,'Daily Entry'!$A$4:$A$2003,$A212))</f>
        <v/>
      </c>
      <c r="C212" s="9"/>
      <c r="D212" s="9"/>
      <c r="E212" s="9"/>
      <c r="F212" s="8"/>
      <c r="G212" s="9"/>
      <c r="H212" s="9"/>
      <c r="I212" s="8"/>
      <c r="J212" s="28" t="str">
        <f aca="false">IF($A212="","",$B212+$C212-$D212-$E212-$G212-$H212)</f>
        <v/>
      </c>
      <c r="K212" s="10" t="str">
        <f aca="false">IF($A212="","",SUMIFS('Daily Entry'!$Q$4:$Q$2003,'Daily Entry'!$A$4:$A$2003,$A212))</f>
        <v/>
      </c>
      <c r="L212" s="10" t="str">
        <f aca="false">IF($A212="","",$B212-$K212)</f>
        <v/>
      </c>
      <c r="M212" s="28" t="str">
        <f aca="false">IF($A212="","",$L212-$D212-$E212-$G212)</f>
        <v/>
      </c>
      <c r="N212" s="10" t="str">
        <f aca="false">IF($A212="","",SUMIFS('Daily Entry'!$H$4:$H$2003,'Daily Entry'!$A$4:$A$2003,$A212))</f>
        <v/>
      </c>
      <c r="O212" s="10" t="str">
        <f aca="false">IF($A212="","",SUMIFS('Daily Entry'!$I$4:$I$2003,'Daily Entry'!$A$4:$A$2003,$A212))</f>
        <v/>
      </c>
      <c r="P212" s="10" t="str">
        <f aca="false">IF($A212="","",SUMPRODUCT(('Daily Entry'!$A$4:$A$2003=$A212)*('Daily Entry'!$M$4:$M$2003)*('Daily Entry'!$D$4:$D$2003)))</f>
        <v/>
      </c>
    </row>
    <row r="213" customFormat="false" ht="15" hidden="false" customHeight="false" outlineLevel="0" collapsed="false">
      <c r="A213" s="27"/>
      <c r="B213" s="10" t="str">
        <f aca="false">IF($A213="","",SUMIFS('Daily Entry'!$P$4:$P$2003,'Daily Entry'!$A$4:$A$2003,$A213))</f>
        <v/>
      </c>
      <c r="C213" s="9"/>
      <c r="D213" s="9"/>
      <c r="E213" s="9"/>
      <c r="F213" s="8"/>
      <c r="G213" s="9"/>
      <c r="H213" s="9"/>
      <c r="I213" s="8"/>
      <c r="J213" s="28" t="str">
        <f aca="false">IF($A213="","",$B213+$C213-$D213-$E213-$G213-$H213)</f>
        <v/>
      </c>
      <c r="K213" s="10" t="str">
        <f aca="false">IF($A213="","",SUMIFS('Daily Entry'!$Q$4:$Q$2003,'Daily Entry'!$A$4:$A$2003,$A213))</f>
        <v/>
      </c>
      <c r="L213" s="10" t="str">
        <f aca="false">IF($A213="","",$B213-$K213)</f>
        <v/>
      </c>
      <c r="M213" s="28" t="str">
        <f aca="false">IF($A213="","",$L213-$D213-$E213-$G213)</f>
        <v/>
      </c>
      <c r="N213" s="10" t="str">
        <f aca="false">IF($A213="","",SUMIFS('Daily Entry'!$H$4:$H$2003,'Daily Entry'!$A$4:$A$2003,$A213))</f>
        <v/>
      </c>
      <c r="O213" s="10" t="str">
        <f aca="false">IF($A213="","",SUMIFS('Daily Entry'!$I$4:$I$2003,'Daily Entry'!$A$4:$A$2003,$A213))</f>
        <v/>
      </c>
      <c r="P213" s="10" t="str">
        <f aca="false">IF($A213="","",SUMPRODUCT(('Daily Entry'!$A$4:$A$2003=$A213)*('Daily Entry'!$M$4:$M$2003)*('Daily Entry'!$D$4:$D$2003)))</f>
        <v/>
      </c>
    </row>
    <row r="214" customFormat="false" ht="15" hidden="false" customHeight="false" outlineLevel="0" collapsed="false">
      <c r="A214" s="27"/>
      <c r="B214" s="10" t="str">
        <f aca="false">IF($A214="","",SUMIFS('Daily Entry'!$P$4:$P$2003,'Daily Entry'!$A$4:$A$2003,$A214))</f>
        <v/>
      </c>
      <c r="C214" s="9"/>
      <c r="D214" s="9"/>
      <c r="E214" s="9"/>
      <c r="F214" s="8"/>
      <c r="G214" s="9"/>
      <c r="H214" s="9"/>
      <c r="I214" s="8"/>
      <c r="J214" s="28" t="str">
        <f aca="false">IF($A214="","",$B214+$C214-$D214-$E214-$G214-$H214)</f>
        <v/>
      </c>
      <c r="K214" s="10" t="str">
        <f aca="false">IF($A214="","",SUMIFS('Daily Entry'!$Q$4:$Q$2003,'Daily Entry'!$A$4:$A$2003,$A214))</f>
        <v/>
      </c>
      <c r="L214" s="10" t="str">
        <f aca="false">IF($A214="","",$B214-$K214)</f>
        <v/>
      </c>
      <c r="M214" s="28" t="str">
        <f aca="false">IF($A214="","",$L214-$D214-$E214-$G214)</f>
        <v/>
      </c>
      <c r="N214" s="10" t="str">
        <f aca="false">IF($A214="","",SUMIFS('Daily Entry'!$H$4:$H$2003,'Daily Entry'!$A$4:$A$2003,$A214))</f>
        <v/>
      </c>
      <c r="O214" s="10" t="str">
        <f aca="false">IF($A214="","",SUMIFS('Daily Entry'!$I$4:$I$2003,'Daily Entry'!$A$4:$A$2003,$A214))</f>
        <v/>
      </c>
      <c r="P214" s="10" t="str">
        <f aca="false">IF($A214="","",SUMPRODUCT(('Daily Entry'!$A$4:$A$2003=$A214)*('Daily Entry'!$M$4:$M$2003)*('Daily Entry'!$D$4:$D$2003)))</f>
        <v/>
      </c>
    </row>
    <row r="215" customFormat="false" ht="15" hidden="false" customHeight="false" outlineLevel="0" collapsed="false">
      <c r="A215" s="27"/>
      <c r="B215" s="10" t="str">
        <f aca="false">IF($A215="","",SUMIFS('Daily Entry'!$P$4:$P$2003,'Daily Entry'!$A$4:$A$2003,$A215))</f>
        <v/>
      </c>
      <c r="C215" s="9"/>
      <c r="D215" s="9"/>
      <c r="E215" s="9"/>
      <c r="F215" s="8"/>
      <c r="G215" s="9"/>
      <c r="H215" s="9"/>
      <c r="I215" s="8"/>
      <c r="J215" s="28" t="str">
        <f aca="false">IF($A215="","",$B215+$C215-$D215-$E215-$G215-$H215)</f>
        <v/>
      </c>
      <c r="K215" s="10" t="str">
        <f aca="false">IF($A215="","",SUMIFS('Daily Entry'!$Q$4:$Q$2003,'Daily Entry'!$A$4:$A$2003,$A215))</f>
        <v/>
      </c>
      <c r="L215" s="10" t="str">
        <f aca="false">IF($A215="","",$B215-$K215)</f>
        <v/>
      </c>
      <c r="M215" s="28" t="str">
        <f aca="false">IF($A215="","",$L215-$D215-$E215-$G215)</f>
        <v/>
      </c>
      <c r="N215" s="10" t="str">
        <f aca="false">IF($A215="","",SUMIFS('Daily Entry'!$H$4:$H$2003,'Daily Entry'!$A$4:$A$2003,$A215))</f>
        <v/>
      </c>
      <c r="O215" s="10" t="str">
        <f aca="false">IF($A215="","",SUMIFS('Daily Entry'!$I$4:$I$2003,'Daily Entry'!$A$4:$A$2003,$A215))</f>
        <v/>
      </c>
      <c r="P215" s="10" t="str">
        <f aca="false">IF($A215="","",SUMPRODUCT(('Daily Entry'!$A$4:$A$2003=$A215)*('Daily Entry'!$M$4:$M$2003)*('Daily Entry'!$D$4:$D$2003)))</f>
        <v/>
      </c>
    </row>
    <row r="216" customFormat="false" ht="15" hidden="false" customHeight="false" outlineLevel="0" collapsed="false">
      <c r="A216" s="27"/>
      <c r="B216" s="10" t="str">
        <f aca="false">IF($A216="","",SUMIFS('Daily Entry'!$P$4:$P$2003,'Daily Entry'!$A$4:$A$2003,$A216))</f>
        <v/>
      </c>
      <c r="C216" s="9"/>
      <c r="D216" s="9"/>
      <c r="E216" s="9"/>
      <c r="F216" s="8"/>
      <c r="G216" s="9"/>
      <c r="H216" s="9"/>
      <c r="I216" s="8"/>
      <c r="J216" s="28" t="str">
        <f aca="false">IF($A216="","",$B216+$C216-$D216-$E216-$G216-$H216)</f>
        <v/>
      </c>
      <c r="K216" s="10" t="str">
        <f aca="false">IF($A216="","",SUMIFS('Daily Entry'!$Q$4:$Q$2003,'Daily Entry'!$A$4:$A$2003,$A216))</f>
        <v/>
      </c>
      <c r="L216" s="10" t="str">
        <f aca="false">IF($A216="","",$B216-$K216)</f>
        <v/>
      </c>
      <c r="M216" s="28" t="str">
        <f aca="false">IF($A216="","",$L216-$D216-$E216-$G216)</f>
        <v/>
      </c>
      <c r="N216" s="10" t="str">
        <f aca="false">IF($A216="","",SUMIFS('Daily Entry'!$H$4:$H$2003,'Daily Entry'!$A$4:$A$2003,$A216))</f>
        <v/>
      </c>
      <c r="O216" s="10" t="str">
        <f aca="false">IF($A216="","",SUMIFS('Daily Entry'!$I$4:$I$2003,'Daily Entry'!$A$4:$A$2003,$A216))</f>
        <v/>
      </c>
      <c r="P216" s="10" t="str">
        <f aca="false">IF($A216="","",SUMPRODUCT(('Daily Entry'!$A$4:$A$2003=$A216)*('Daily Entry'!$M$4:$M$2003)*('Daily Entry'!$D$4:$D$2003)))</f>
        <v/>
      </c>
    </row>
    <row r="217" customFormat="false" ht="15" hidden="false" customHeight="false" outlineLevel="0" collapsed="false">
      <c r="A217" s="27"/>
      <c r="B217" s="10" t="str">
        <f aca="false">IF($A217="","",SUMIFS('Daily Entry'!$P$4:$P$2003,'Daily Entry'!$A$4:$A$2003,$A217))</f>
        <v/>
      </c>
      <c r="C217" s="9"/>
      <c r="D217" s="9"/>
      <c r="E217" s="9"/>
      <c r="F217" s="8"/>
      <c r="G217" s="9"/>
      <c r="H217" s="9"/>
      <c r="I217" s="8"/>
      <c r="J217" s="28" t="str">
        <f aca="false">IF($A217="","",$B217+$C217-$D217-$E217-$G217-$H217)</f>
        <v/>
      </c>
      <c r="K217" s="10" t="str">
        <f aca="false">IF($A217="","",SUMIFS('Daily Entry'!$Q$4:$Q$2003,'Daily Entry'!$A$4:$A$2003,$A217))</f>
        <v/>
      </c>
      <c r="L217" s="10" t="str">
        <f aca="false">IF($A217="","",$B217-$K217)</f>
        <v/>
      </c>
      <c r="M217" s="28" t="str">
        <f aca="false">IF($A217="","",$L217-$D217-$E217-$G217)</f>
        <v/>
      </c>
      <c r="N217" s="10" t="str">
        <f aca="false">IF($A217="","",SUMIFS('Daily Entry'!$H$4:$H$2003,'Daily Entry'!$A$4:$A$2003,$A217))</f>
        <v/>
      </c>
      <c r="O217" s="10" t="str">
        <f aca="false">IF($A217="","",SUMIFS('Daily Entry'!$I$4:$I$2003,'Daily Entry'!$A$4:$A$2003,$A217))</f>
        <v/>
      </c>
      <c r="P217" s="10" t="str">
        <f aca="false">IF($A217="","",SUMPRODUCT(('Daily Entry'!$A$4:$A$2003=$A217)*('Daily Entry'!$M$4:$M$2003)*('Daily Entry'!$D$4:$D$2003)))</f>
        <v/>
      </c>
    </row>
    <row r="218" customFormat="false" ht="15" hidden="false" customHeight="false" outlineLevel="0" collapsed="false">
      <c r="A218" s="27"/>
      <c r="B218" s="10" t="str">
        <f aca="false">IF($A218="","",SUMIFS('Daily Entry'!$P$4:$P$2003,'Daily Entry'!$A$4:$A$2003,$A218))</f>
        <v/>
      </c>
      <c r="C218" s="9"/>
      <c r="D218" s="9"/>
      <c r="E218" s="9"/>
      <c r="F218" s="8"/>
      <c r="G218" s="9"/>
      <c r="H218" s="9"/>
      <c r="I218" s="8"/>
      <c r="J218" s="28" t="str">
        <f aca="false">IF($A218="","",$B218+$C218-$D218-$E218-$G218-$H218)</f>
        <v/>
      </c>
      <c r="K218" s="10" t="str">
        <f aca="false">IF($A218="","",SUMIFS('Daily Entry'!$Q$4:$Q$2003,'Daily Entry'!$A$4:$A$2003,$A218))</f>
        <v/>
      </c>
      <c r="L218" s="10" t="str">
        <f aca="false">IF($A218="","",$B218-$K218)</f>
        <v/>
      </c>
      <c r="M218" s="28" t="str">
        <f aca="false">IF($A218="","",$L218-$D218-$E218-$G218)</f>
        <v/>
      </c>
      <c r="N218" s="10" t="str">
        <f aca="false">IF($A218="","",SUMIFS('Daily Entry'!$H$4:$H$2003,'Daily Entry'!$A$4:$A$2003,$A218))</f>
        <v/>
      </c>
      <c r="O218" s="10" t="str">
        <f aca="false">IF($A218="","",SUMIFS('Daily Entry'!$I$4:$I$2003,'Daily Entry'!$A$4:$A$2003,$A218))</f>
        <v/>
      </c>
      <c r="P218" s="10" t="str">
        <f aca="false">IF($A218="","",SUMPRODUCT(('Daily Entry'!$A$4:$A$2003=$A218)*('Daily Entry'!$M$4:$M$2003)*('Daily Entry'!$D$4:$D$2003)))</f>
        <v/>
      </c>
    </row>
    <row r="219" customFormat="false" ht="15" hidden="false" customHeight="false" outlineLevel="0" collapsed="false">
      <c r="A219" s="27"/>
      <c r="B219" s="10" t="str">
        <f aca="false">IF($A219="","",SUMIFS('Daily Entry'!$P$4:$P$2003,'Daily Entry'!$A$4:$A$2003,$A219))</f>
        <v/>
      </c>
      <c r="C219" s="9"/>
      <c r="D219" s="9"/>
      <c r="E219" s="9"/>
      <c r="F219" s="8"/>
      <c r="G219" s="9"/>
      <c r="H219" s="9"/>
      <c r="I219" s="8"/>
      <c r="J219" s="28" t="str">
        <f aca="false">IF($A219="","",$B219+$C219-$D219-$E219-$G219-$H219)</f>
        <v/>
      </c>
      <c r="K219" s="10" t="str">
        <f aca="false">IF($A219="","",SUMIFS('Daily Entry'!$Q$4:$Q$2003,'Daily Entry'!$A$4:$A$2003,$A219))</f>
        <v/>
      </c>
      <c r="L219" s="10" t="str">
        <f aca="false">IF($A219="","",$B219-$K219)</f>
        <v/>
      </c>
      <c r="M219" s="28" t="str">
        <f aca="false">IF($A219="","",$L219-$D219-$E219-$G219)</f>
        <v/>
      </c>
      <c r="N219" s="10" t="str">
        <f aca="false">IF($A219="","",SUMIFS('Daily Entry'!$H$4:$H$2003,'Daily Entry'!$A$4:$A$2003,$A219))</f>
        <v/>
      </c>
      <c r="O219" s="10" t="str">
        <f aca="false">IF($A219="","",SUMIFS('Daily Entry'!$I$4:$I$2003,'Daily Entry'!$A$4:$A$2003,$A219))</f>
        <v/>
      </c>
      <c r="P219" s="10" t="str">
        <f aca="false">IF($A219="","",SUMPRODUCT(('Daily Entry'!$A$4:$A$2003=$A219)*('Daily Entry'!$M$4:$M$2003)*('Daily Entry'!$D$4:$D$2003)))</f>
        <v/>
      </c>
    </row>
    <row r="220" customFormat="false" ht="15" hidden="false" customHeight="false" outlineLevel="0" collapsed="false">
      <c r="A220" s="27"/>
      <c r="B220" s="10" t="str">
        <f aca="false">IF($A220="","",SUMIFS('Daily Entry'!$P$4:$P$2003,'Daily Entry'!$A$4:$A$2003,$A220))</f>
        <v/>
      </c>
      <c r="C220" s="9"/>
      <c r="D220" s="9"/>
      <c r="E220" s="9"/>
      <c r="F220" s="8"/>
      <c r="G220" s="9"/>
      <c r="H220" s="9"/>
      <c r="I220" s="8"/>
      <c r="J220" s="28" t="str">
        <f aca="false">IF($A220="","",$B220+$C220-$D220-$E220-$G220-$H220)</f>
        <v/>
      </c>
      <c r="K220" s="10" t="str">
        <f aca="false">IF($A220="","",SUMIFS('Daily Entry'!$Q$4:$Q$2003,'Daily Entry'!$A$4:$A$2003,$A220))</f>
        <v/>
      </c>
      <c r="L220" s="10" t="str">
        <f aca="false">IF($A220="","",$B220-$K220)</f>
        <v/>
      </c>
      <c r="M220" s="28" t="str">
        <f aca="false">IF($A220="","",$L220-$D220-$E220-$G220)</f>
        <v/>
      </c>
      <c r="N220" s="10" t="str">
        <f aca="false">IF($A220="","",SUMIFS('Daily Entry'!$H$4:$H$2003,'Daily Entry'!$A$4:$A$2003,$A220))</f>
        <v/>
      </c>
      <c r="O220" s="10" t="str">
        <f aca="false">IF($A220="","",SUMIFS('Daily Entry'!$I$4:$I$2003,'Daily Entry'!$A$4:$A$2003,$A220))</f>
        <v/>
      </c>
      <c r="P220" s="10" t="str">
        <f aca="false">IF($A220="","",SUMPRODUCT(('Daily Entry'!$A$4:$A$2003=$A220)*('Daily Entry'!$M$4:$M$2003)*('Daily Entry'!$D$4:$D$2003)))</f>
        <v/>
      </c>
    </row>
    <row r="221" customFormat="false" ht="15" hidden="false" customHeight="false" outlineLevel="0" collapsed="false">
      <c r="A221" s="27"/>
      <c r="B221" s="10" t="str">
        <f aca="false">IF($A221="","",SUMIFS('Daily Entry'!$P$4:$P$2003,'Daily Entry'!$A$4:$A$2003,$A221))</f>
        <v/>
      </c>
      <c r="C221" s="9"/>
      <c r="D221" s="9"/>
      <c r="E221" s="9"/>
      <c r="F221" s="8"/>
      <c r="G221" s="9"/>
      <c r="H221" s="9"/>
      <c r="I221" s="8"/>
      <c r="J221" s="28" t="str">
        <f aca="false">IF($A221="","",$B221+$C221-$D221-$E221-$G221-$H221)</f>
        <v/>
      </c>
      <c r="K221" s="10" t="str">
        <f aca="false">IF($A221="","",SUMIFS('Daily Entry'!$Q$4:$Q$2003,'Daily Entry'!$A$4:$A$2003,$A221))</f>
        <v/>
      </c>
      <c r="L221" s="10" t="str">
        <f aca="false">IF($A221="","",$B221-$K221)</f>
        <v/>
      </c>
      <c r="M221" s="28" t="str">
        <f aca="false">IF($A221="","",$L221-$D221-$E221-$G221)</f>
        <v/>
      </c>
      <c r="N221" s="10" t="str">
        <f aca="false">IF($A221="","",SUMIFS('Daily Entry'!$H$4:$H$2003,'Daily Entry'!$A$4:$A$2003,$A221))</f>
        <v/>
      </c>
      <c r="O221" s="10" t="str">
        <f aca="false">IF($A221="","",SUMIFS('Daily Entry'!$I$4:$I$2003,'Daily Entry'!$A$4:$A$2003,$A221))</f>
        <v/>
      </c>
      <c r="P221" s="10" t="str">
        <f aca="false">IF($A221="","",SUMPRODUCT(('Daily Entry'!$A$4:$A$2003=$A221)*('Daily Entry'!$M$4:$M$2003)*('Daily Entry'!$D$4:$D$2003)))</f>
        <v/>
      </c>
    </row>
    <row r="222" customFormat="false" ht="15" hidden="false" customHeight="false" outlineLevel="0" collapsed="false">
      <c r="A222" s="27"/>
      <c r="B222" s="10" t="str">
        <f aca="false">IF($A222="","",SUMIFS('Daily Entry'!$P$4:$P$2003,'Daily Entry'!$A$4:$A$2003,$A222))</f>
        <v/>
      </c>
      <c r="C222" s="9"/>
      <c r="D222" s="9"/>
      <c r="E222" s="9"/>
      <c r="F222" s="8"/>
      <c r="G222" s="9"/>
      <c r="H222" s="9"/>
      <c r="I222" s="8"/>
      <c r="J222" s="28" t="str">
        <f aca="false">IF($A222="","",$B222+$C222-$D222-$E222-$G222-$H222)</f>
        <v/>
      </c>
      <c r="K222" s="10" t="str">
        <f aca="false">IF($A222="","",SUMIFS('Daily Entry'!$Q$4:$Q$2003,'Daily Entry'!$A$4:$A$2003,$A222))</f>
        <v/>
      </c>
      <c r="L222" s="10" t="str">
        <f aca="false">IF($A222="","",$B222-$K222)</f>
        <v/>
      </c>
      <c r="M222" s="28" t="str">
        <f aca="false">IF($A222="","",$L222-$D222-$E222-$G222)</f>
        <v/>
      </c>
      <c r="N222" s="10" t="str">
        <f aca="false">IF($A222="","",SUMIFS('Daily Entry'!$H$4:$H$2003,'Daily Entry'!$A$4:$A$2003,$A222))</f>
        <v/>
      </c>
      <c r="O222" s="10" t="str">
        <f aca="false">IF($A222="","",SUMIFS('Daily Entry'!$I$4:$I$2003,'Daily Entry'!$A$4:$A$2003,$A222))</f>
        <v/>
      </c>
      <c r="P222" s="10" t="str">
        <f aca="false">IF($A222="","",SUMPRODUCT(('Daily Entry'!$A$4:$A$2003=$A222)*('Daily Entry'!$M$4:$M$2003)*('Daily Entry'!$D$4:$D$2003)))</f>
        <v/>
      </c>
    </row>
    <row r="223" customFormat="false" ht="15" hidden="false" customHeight="false" outlineLevel="0" collapsed="false">
      <c r="A223" s="27"/>
      <c r="B223" s="10" t="str">
        <f aca="false">IF($A223="","",SUMIFS('Daily Entry'!$P$4:$P$2003,'Daily Entry'!$A$4:$A$2003,$A223))</f>
        <v/>
      </c>
      <c r="C223" s="9"/>
      <c r="D223" s="9"/>
      <c r="E223" s="9"/>
      <c r="F223" s="8"/>
      <c r="G223" s="9"/>
      <c r="H223" s="9"/>
      <c r="I223" s="8"/>
      <c r="J223" s="28" t="str">
        <f aca="false">IF($A223="","",$B223+$C223-$D223-$E223-$G223-$H223)</f>
        <v/>
      </c>
      <c r="K223" s="10" t="str">
        <f aca="false">IF($A223="","",SUMIFS('Daily Entry'!$Q$4:$Q$2003,'Daily Entry'!$A$4:$A$2003,$A223))</f>
        <v/>
      </c>
      <c r="L223" s="10" t="str">
        <f aca="false">IF($A223="","",$B223-$K223)</f>
        <v/>
      </c>
      <c r="M223" s="28" t="str">
        <f aca="false">IF($A223="","",$L223-$D223-$E223-$G223)</f>
        <v/>
      </c>
      <c r="N223" s="10" t="str">
        <f aca="false">IF($A223="","",SUMIFS('Daily Entry'!$H$4:$H$2003,'Daily Entry'!$A$4:$A$2003,$A223))</f>
        <v/>
      </c>
      <c r="O223" s="10" t="str">
        <f aca="false">IF($A223="","",SUMIFS('Daily Entry'!$I$4:$I$2003,'Daily Entry'!$A$4:$A$2003,$A223))</f>
        <v/>
      </c>
      <c r="P223" s="10" t="str">
        <f aca="false">IF($A223="","",SUMPRODUCT(('Daily Entry'!$A$4:$A$2003=$A223)*('Daily Entry'!$M$4:$M$2003)*('Daily Entry'!$D$4:$D$2003)))</f>
        <v/>
      </c>
    </row>
    <row r="224" customFormat="false" ht="15" hidden="false" customHeight="false" outlineLevel="0" collapsed="false">
      <c r="A224" s="27"/>
      <c r="B224" s="10" t="str">
        <f aca="false">IF($A224="","",SUMIFS('Daily Entry'!$P$4:$P$2003,'Daily Entry'!$A$4:$A$2003,$A224))</f>
        <v/>
      </c>
      <c r="C224" s="9"/>
      <c r="D224" s="9"/>
      <c r="E224" s="9"/>
      <c r="F224" s="8"/>
      <c r="G224" s="9"/>
      <c r="H224" s="9"/>
      <c r="I224" s="8"/>
      <c r="J224" s="28" t="str">
        <f aca="false">IF($A224="","",$B224+$C224-$D224-$E224-$G224-$H224)</f>
        <v/>
      </c>
      <c r="K224" s="10" t="str">
        <f aca="false">IF($A224="","",SUMIFS('Daily Entry'!$Q$4:$Q$2003,'Daily Entry'!$A$4:$A$2003,$A224))</f>
        <v/>
      </c>
      <c r="L224" s="10" t="str">
        <f aca="false">IF($A224="","",$B224-$K224)</f>
        <v/>
      </c>
      <c r="M224" s="28" t="str">
        <f aca="false">IF($A224="","",$L224-$D224-$E224-$G224)</f>
        <v/>
      </c>
      <c r="N224" s="10" t="str">
        <f aca="false">IF($A224="","",SUMIFS('Daily Entry'!$H$4:$H$2003,'Daily Entry'!$A$4:$A$2003,$A224))</f>
        <v/>
      </c>
      <c r="O224" s="10" t="str">
        <f aca="false">IF($A224="","",SUMIFS('Daily Entry'!$I$4:$I$2003,'Daily Entry'!$A$4:$A$2003,$A224))</f>
        <v/>
      </c>
      <c r="P224" s="10" t="str">
        <f aca="false">IF($A224="","",SUMPRODUCT(('Daily Entry'!$A$4:$A$2003=$A224)*('Daily Entry'!$M$4:$M$2003)*('Daily Entry'!$D$4:$D$2003)))</f>
        <v/>
      </c>
    </row>
    <row r="225" customFormat="false" ht="15" hidden="false" customHeight="false" outlineLevel="0" collapsed="false">
      <c r="A225" s="27"/>
      <c r="B225" s="10" t="str">
        <f aca="false">IF($A225="","",SUMIFS('Daily Entry'!$P$4:$P$2003,'Daily Entry'!$A$4:$A$2003,$A225))</f>
        <v/>
      </c>
      <c r="C225" s="9"/>
      <c r="D225" s="9"/>
      <c r="E225" s="9"/>
      <c r="F225" s="8"/>
      <c r="G225" s="9"/>
      <c r="H225" s="9"/>
      <c r="I225" s="8"/>
      <c r="J225" s="28" t="str">
        <f aca="false">IF($A225="","",$B225+$C225-$D225-$E225-$G225-$H225)</f>
        <v/>
      </c>
      <c r="K225" s="10" t="str">
        <f aca="false">IF($A225="","",SUMIFS('Daily Entry'!$Q$4:$Q$2003,'Daily Entry'!$A$4:$A$2003,$A225))</f>
        <v/>
      </c>
      <c r="L225" s="10" t="str">
        <f aca="false">IF($A225="","",$B225-$K225)</f>
        <v/>
      </c>
      <c r="M225" s="28" t="str">
        <f aca="false">IF($A225="","",$L225-$D225-$E225-$G225)</f>
        <v/>
      </c>
      <c r="N225" s="10" t="str">
        <f aca="false">IF($A225="","",SUMIFS('Daily Entry'!$H$4:$H$2003,'Daily Entry'!$A$4:$A$2003,$A225))</f>
        <v/>
      </c>
      <c r="O225" s="10" t="str">
        <f aca="false">IF($A225="","",SUMIFS('Daily Entry'!$I$4:$I$2003,'Daily Entry'!$A$4:$A$2003,$A225))</f>
        <v/>
      </c>
      <c r="P225" s="10" t="str">
        <f aca="false">IF($A225="","",SUMPRODUCT(('Daily Entry'!$A$4:$A$2003=$A225)*('Daily Entry'!$M$4:$M$2003)*('Daily Entry'!$D$4:$D$2003)))</f>
        <v/>
      </c>
    </row>
    <row r="226" customFormat="false" ht="15" hidden="false" customHeight="false" outlineLevel="0" collapsed="false">
      <c r="A226" s="27"/>
      <c r="B226" s="10" t="str">
        <f aca="false">IF($A226="","",SUMIFS('Daily Entry'!$P$4:$P$2003,'Daily Entry'!$A$4:$A$2003,$A226))</f>
        <v/>
      </c>
      <c r="C226" s="9"/>
      <c r="D226" s="9"/>
      <c r="E226" s="9"/>
      <c r="F226" s="8"/>
      <c r="G226" s="9"/>
      <c r="H226" s="9"/>
      <c r="I226" s="8"/>
      <c r="J226" s="28" t="str">
        <f aca="false">IF($A226="","",$B226+$C226-$D226-$E226-$G226-$H226)</f>
        <v/>
      </c>
      <c r="K226" s="10" t="str">
        <f aca="false">IF($A226="","",SUMIFS('Daily Entry'!$Q$4:$Q$2003,'Daily Entry'!$A$4:$A$2003,$A226))</f>
        <v/>
      </c>
      <c r="L226" s="10" t="str">
        <f aca="false">IF($A226="","",$B226-$K226)</f>
        <v/>
      </c>
      <c r="M226" s="28" t="str">
        <f aca="false">IF($A226="","",$L226-$D226-$E226-$G226)</f>
        <v/>
      </c>
      <c r="N226" s="10" t="str">
        <f aca="false">IF($A226="","",SUMIFS('Daily Entry'!$H$4:$H$2003,'Daily Entry'!$A$4:$A$2003,$A226))</f>
        <v/>
      </c>
      <c r="O226" s="10" t="str">
        <f aca="false">IF($A226="","",SUMIFS('Daily Entry'!$I$4:$I$2003,'Daily Entry'!$A$4:$A$2003,$A226))</f>
        <v/>
      </c>
      <c r="P226" s="10" t="str">
        <f aca="false">IF($A226="","",SUMPRODUCT(('Daily Entry'!$A$4:$A$2003=$A226)*('Daily Entry'!$M$4:$M$2003)*('Daily Entry'!$D$4:$D$2003)))</f>
        <v/>
      </c>
    </row>
    <row r="227" customFormat="false" ht="15" hidden="false" customHeight="false" outlineLevel="0" collapsed="false">
      <c r="A227" s="27"/>
      <c r="B227" s="10" t="str">
        <f aca="false">IF($A227="","",SUMIFS('Daily Entry'!$P$4:$P$2003,'Daily Entry'!$A$4:$A$2003,$A227))</f>
        <v/>
      </c>
      <c r="C227" s="9"/>
      <c r="D227" s="9"/>
      <c r="E227" s="9"/>
      <c r="F227" s="8"/>
      <c r="G227" s="9"/>
      <c r="H227" s="9"/>
      <c r="I227" s="8"/>
      <c r="J227" s="28" t="str">
        <f aca="false">IF($A227="","",$B227+$C227-$D227-$E227-$G227-$H227)</f>
        <v/>
      </c>
      <c r="K227" s="10" t="str">
        <f aca="false">IF($A227="","",SUMIFS('Daily Entry'!$Q$4:$Q$2003,'Daily Entry'!$A$4:$A$2003,$A227))</f>
        <v/>
      </c>
      <c r="L227" s="10" t="str">
        <f aca="false">IF($A227="","",$B227-$K227)</f>
        <v/>
      </c>
      <c r="M227" s="28" t="str">
        <f aca="false">IF($A227="","",$L227-$D227-$E227-$G227)</f>
        <v/>
      </c>
      <c r="N227" s="10" t="str">
        <f aca="false">IF($A227="","",SUMIFS('Daily Entry'!$H$4:$H$2003,'Daily Entry'!$A$4:$A$2003,$A227))</f>
        <v/>
      </c>
      <c r="O227" s="10" t="str">
        <f aca="false">IF($A227="","",SUMIFS('Daily Entry'!$I$4:$I$2003,'Daily Entry'!$A$4:$A$2003,$A227))</f>
        <v/>
      </c>
      <c r="P227" s="10" t="str">
        <f aca="false">IF($A227="","",SUMPRODUCT(('Daily Entry'!$A$4:$A$2003=$A227)*('Daily Entry'!$M$4:$M$2003)*('Daily Entry'!$D$4:$D$2003)))</f>
        <v/>
      </c>
    </row>
    <row r="228" customFormat="false" ht="15" hidden="false" customHeight="false" outlineLevel="0" collapsed="false">
      <c r="A228" s="27"/>
      <c r="B228" s="10" t="str">
        <f aca="false">IF($A228="","",SUMIFS('Daily Entry'!$P$4:$P$2003,'Daily Entry'!$A$4:$A$2003,$A228))</f>
        <v/>
      </c>
      <c r="C228" s="9"/>
      <c r="D228" s="9"/>
      <c r="E228" s="9"/>
      <c r="F228" s="8"/>
      <c r="G228" s="9"/>
      <c r="H228" s="9"/>
      <c r="I228" s="8"/>
      <c r="J228" s="28" t="str">
        <f aca="false">IF($A228="","",$B228+$C228-$D228-$E228-$G228-$H228)</f>
        <v/>
      </c>
      <c r="K228" s="10" t="str">
        <f aca="false">IF($A228="","",SUMIFS('Daily Entry'!$Q$4:$Q$2003,'Daily Entry'!$A$4:$A$2003,$A228))</f>
        <v/>
      </c>
      <c r="L228" s="10" t="str">
        <f aca="false">IF($A228="","",$B228-$K228)</f>
        <v/>
      </c>
      <c r="M228" s="28" t="str">
        <f aca="false">IF($A228="","",$L228-$D228-$E228-$G228)</f>
        <v/>
      </c>
      <c r="N228" s="10" t="str">
        <f aca="false">IF($A228="","",SUMIFS('Daily Entry'!$H$4:$H$2003,'Daily Entry'!$A$4:$A$2003,$A228))</f>
        <v/>
      </c>
      <c r="O228" s="10" t="str">
        <f aca="false">IF($A228="","",SUMIFS('Daily Entry'!$I$4:$I$2003,'Daily Entry'!$A$4:$A$2003,$A228))</f>
        <v/>
      </c>
      <c r="P228" s="10" t="str">
        <f aca="false">IF($A228="","",SUMPRODUCT(('Daily Entry'!$A$4:$A$2003=$A228)*('Daily Entry'!$M$4:$M$2003)*('Daily Entry'!$D$4:$D$2003)))</f>
        <v/>
      </c>
    </row>
    <row r="229" customFormat="false" ht="15" hidden="false" customHeight="false" outlineLevel="0" collapsed="false">
      <c r="A229" s="27"/>
      <c r="B229" s="10" t="str">
        <f aca="false">IF($A229="","",SUMIFS('Daily Entry'!$P$4:$P$2003,'Daily Entry'!$A$4:$A$2003,$A229))</f>
        <v/>
      </c>
      <c r="C229" s="9"/>
      <c r="D229" s="9"/>
      <c r="E229" s="9"/>
      <c r="F229" s="8"/>
      <c r="G229" s="9"/>
      <c r="H229" s="9"/>
      <c r="I229" s="8"/>
      <c r="J229" s="28" t="str">
        <f aca="false">IF($A229="","",$B229+$C229-$D229-$E229-$G229-$H229)</f>
        <v/>
      </c>
      <c r="K229" s="10" t="str">
        <f aca="false">IF($A229="","",SUMIFS('Daily Entry'!$Q$4:$Q$2003,'Daily Entry'!$A$4:$A$2003,$A229))</f>
        <v/>
      </c>
      <c r="L229" s="10" t="str">
        <f aca="false">IF($A229="","",$B229-$K229)</f>
        <v/>
      </c>
      <c r="M229" s="28" t="str">
        <f aca="false">IF($A229="","",$L229-$D229-$E229-$G229)</f>
        <v/>
      </c>
      <c r="N229" s="10" t="str">
        <f aca="false">IF($A229="","",SUMIFS('Daily Entry'!$H$4:$H$2003,'Daily Entry'!$A$4:$A$2003,$A229))</f>
        <v/>
      </c>
      <c r="O229" s="10" t="str">
        <f aca="false">IF($A229="","",SUMIFS('Daily Entry'!$I$4:$I$2003,'Daily Entry'!$A$4:$A$2003,$A229))</f>
        <v/>
      </c>
      <c r="P229" s="10" t="str">
        <f aca="false">IF($A229="","",SUMPRODUCT(('Daily Entry'!$A$4:$A$2003=$A229)*('Daily Entry'!$M$4:$M$2003)*('Daily Entry'!$D$4:$D$2003)))</f>
        <v/>
      </c>
    </row>
    <row r="230" customFormat="false" ht="15" hidden="false" customHeight="false" outlineLevel="0" collapsed="false">
      <c r="A230" s="27"/>
      <c r="B230" s="10" t="str">
        <f aca="false">IF($A230="","",SUMIFS('Daily Entry'!$P$4:$P$2003,'Daily Entry'!$A$4:$A$2003,$A230))</f>
        <v/>
      </c>
      <c r="C230" s="9"/>
      <c r="D230" s="9"/>
      <c r="E230" s="9"/>
      <c r="F230" s="8"/>
      <c r="G230" s="9"/>
      <c r="H230" s="9"/>
      <c r="I230" s="8"/>
      <c r="J230" s="28" t="str">
        <f aca="false">IF($A230="","",$B230+$C230-$D230-$E230-$G230-$H230)</f>
        <v/>
      </c>
      <c r="K230" s="10" t="str">
        <f aca="false">IF($A230="","",SUMIFS('Daily Entry'!$Q$4:$Q$2003,'Daily Entry'!$A$4:$A$2003,$A230))</f>
        <v/>
      </c>
      <c r="L230" s="10" t="str">
        <f aca="false">IF($A230="","",$B230-$K230)</f>
        <v/>
      </c>
      <c r="M230" s="28" t="str">
        <f aca="false">IF($A230="","",$L230-$D230-$E230-$G230)</f>
        <v/>
      </c>
      <c r="N230" s="10" t="str">
        <f aca="false">IF($A230="","",SUMIFS('Daily Entry'!$H$4:$H$2003,'Daily Entry'!$A$4:$A$2003,$A230))</f>
        <v/>
      </c>
      <c r="O230" s="10" t="str">
        <f aca="false">IF($A230="","",SUMIFS('Daily Entry'!$I$4:$I$2003,'Daily Entry'!$A$4:$A$2003,$A230))</f>
        <v/>
      </c>
      <c r="P230" s="10" t="str">
        <f aca="false">IF($A230="","",SUMPRODUCT(('Daily Entry'!$A$4:$A$2003=$A230)*('Daily Entry'!$M$4:$M$2003)*('Daily Entry'!$D$4:$D$2003)))</f>
        <v/>
      </c>
    </row>
    <row r="231" customFormat="false" ht="15" hidden="false" customHeight="false" outlineLevel="0" collapsed="false">
      <c r="A231" s="27"/>
      <c r="B231" s="10" t="str">
        <f aca="false">IF($A231="","",SUMIFS('Daily Entry'!$P$4:$P$2003,'Daily Entry'!$A$4:$A$2003,$A231))</f>
        <v/>
      </c>
      <c r="C231" s="9"/>
      <c r="D231" s="9"/>
      <c r="E231" s="9"/>
      <c r="F231" s="8"/>
      <c r="G231" s="9"/>
      <c r="H231" s="9"/>
      <c r="I231" s="8"/>
      <c r="J231" s="28" t="str">
        <f aca="false">IF($A231="","",$B231+$C231-$D231-$E231-$G231-$H231)</f>
        <v/>
      </c>
      <c r="K231" s="10" t="str">
        <f aca="false">IF($A231="","",SUMIFS('Daily Entry'!$Q$4:$Q$2003,'Daily Entry'!$A$4:$A$2003,$A231))</f>
        <v/>
      </c>
      <c r="L231" s="10" t="str">
        <f aca="false">IF($A231="","",$B231-$K231)</f>
        <v/>
      </c>
      <c r="M231" s="28" t="str">
        <f aca="false">IF($A231="","",$L231-$D231-$E231-$G231)</f>
        <v/>
      </c>
      <c r="N231" s="10" t="str">
        <f aca="false">IF($A231="","",SUMIFS('Daily Entry'!$H$4:$H$2003,'Daily Entry'!$A$4:$A$2003,$A231))</f>
        <v/>
      </c>
      <c r="O231" s="10" t="str">
        <f aca="false">IF($A231="","",SUMIFS('Daily Entry'!$I$4:$I$2003,'Daily Entry'!$A$4:$A$2003,$A231))</f>
        <v/>
      </c>
      <c r="P231" s="10" t="str">
        <f aca="false">IF($A231="","",SUMPRODUCT(('Daily Entry'!$A$4:$A$2003=$A231)*('Daily Entry'!$M$4:$M$2003)*('Daily Entry'!$D$4:$D$2003)))</f>
        <v/>
      </c>
    </row>
    <row r="232" customFormat="false" ht="15" hidden="false" customHeight="false" outlineLevel="0" collapsed="false">
      <c r="A232" s="27"/>
      <c r="B232" s="10" t="str">
        <f aca="false">IF($A232="","",SUMIFS('Daily Entry'!$P$4:$P$2003,'Daily Entry'!$A$4:$A$2003,$A232))</f>
        <v/>
      </c>
      <c r="C232" s="9"/>
      <c r="D232" s="9"/>
      <c r="E232" s="9"/>
      <c r="F232" s="8"/>
      <c r="G232" s="9"/>
      <c r="H232" s="9"/>
      <c r="I232" s="8"/>
      <c r="J232" s="28" t="str">
        <f aca="false">IF($A232="","",$B232+$C232-$D232-$E232-$G232-$H232)</f>
        <v/>
      </c>
      <c r="K232" s="10" t="str">
        <f aca="false">IF($A232="","",SUMIFS('Daily Entry'!$Q$4:$Q$2003,'Daily Entry'!$A$4:$A$2003,$A232))</f>
        <v/>
      </c>
      <c r="L232" s="10" t="str">
        <f aca="false">IF($A232="","",$B232-$K232)</f>
        <v/>
      </c>
      <c r="M232" s="28" t="str">
        <f aca="false">IF($A232="","",$L232-$D232-$E232-$G232)</f>
        <v/>
      </c>
      <c r="N232" s="10" t="str">
        <f aca="false">IF($A232="","",SUMIFS('Daily Entry'!$H$4:$H$2003,'Daily Entry'!$A$4:$A$2003,$A232))</f>
        <v/>
      </c>
      <c r="O232" s="10" t="str">
        <f aca="false">IF($A232="","",SUMIFS('Daily Entry'!$I$4:$I$2003,'Daily Entry'!$A$4:$A$2003,$A232))</f>
        <v/>
      </c>
      <c r="P232" s="10" t="str">
        <f aca="false">IF($A232="","",SUMPRODUCT(('Daily Entry'!$A$4:$A$2003=$A232)*('Daily Entry'!$M$4:$M$2003)*('Daily Entry'!$D$4:$D$2003)))</f>
        <v/>
      </c>
    </row>
    <row r="233" customFormat="false" ht="15" hidden="false" customHeight="false" outlineLevel="0" collapsed="false">
      <c r="A233" s="27"/>
      <c r="B233" s="10" t="str">
        <f aca="false">IF($A233="","",SUMIFS('Daily Entry'!$P$4:$P$2003,'Daily Entry'!$A$4:$A$2003,$A233))</f>
        <v/>
      </c>
      <c r="C233" s="9"/>
      <c r="D233" s="9"/>
      <c r="E233" s="9"/>
      <c r="F233" s="8"/>
      <c r="G233" s="9"/>
      <c r="H233" s="9"/>
      <c r="I233" s="8"/>
      <c r="J233" s="28" t="str">
        <f aca="false">IF($A233="","",$B233+$C233-$D233-$E233-$G233-$H233)</f>
        <v/>
      </c>
      <c r="K233" s="10" t="str">
        <f aca="false">IF($A233="","",SUMIFS('Daily Entry'!$Q$4:$Q$2003,'Daily Entry'!$A$4:$A$2003,$A233))</f>
        <v/>
      </c>
      <c r="L233" s="10" t="str">
        <f aca="false">IF($A233="","",$B233-$K233)</f>
        <v/>
      </c>
      <c r="M233" s="28" t="str">
        <f aca="false">IF($A233="","",$L233-$D233-$E233-$G233)</f>
        <v/>
      </c>
      <c r="N233" s="10" t="str">
        <f aca="false">IF($A233="","",SUMIFS('Daily Entry'!$H$4:$H$2003,'Daily Entry'!$A$4:$A$2003,$A233))</f>
        <v/>
      </c>
      <c r="O233" s="10" t="str">
        <f aca="false">IF($A233="","",SUMIFS('Daily Entry'!$I$4:$I$2003,'Daily Entry'!$A$4:$A$2003,$A233))</f>
        <v/>
      </c>
      <c r="P233" s="10" t="str">
        <f aca="false">IF($A233="","",SUMPRODUCT(('Daily Entry'!$A$4:$A$2003=$A233)*('Daily Entry'!$M$4:$M$2003)*('Daily Entry'!$D$4:$D$2003)))</f>
        <v/>
      </c>
    </row>
    <row r="234" customFormat="false" ht="15" hidden="false" customHeight="false" outlineLevel="0" collapsed="false">
      <c r="A234" s="27"/>
      <c r="B234" s="10" t="str">
        <f aca="false">IF($A234="","",SUMIFS('Daily Entry'!$P$4:$P$2003,'Daily Entry'!$A$4:$A$2003,$A234))</f>
        <v/>
      </c>
      <c r="C234" s="9"/>
      <c r="D234" s="9"/>
      <c r="E234" s="9"/>
      <c r="F234" s="8"/>
      <c r="G234" s="9"/>
      <c r="H234" s="9"/>
      <c r="I234" s="8"/>
      <c r="J234" s="28" t="str">
        <f aca="false">IF($A234="","",$B234+$C234-$D234-$E234-$G234-$H234)</f>
        <v/>
      </c>
      <c r="K234" s="10" t="str">
        <f aca="false">IF($A234="","",SUMIFS('Daily Entry'!$Q$4:$Q$2003,'Daily Entry'!$A$4:$A$2003,$A234))</f>
        <v/>
      </c>
      <c r="L234" s="10" t="str">
        <f aca="false">IF($A234="","",$B234-$K234)</f>
        <v/>
      </c>
      <c r="M234" s="28" t="str">
        <f aca="false">IF($A234="","",$L234-$D234-$E234-$G234)</f>
        <v/>
      </c>
      <c r="N234" s="10" t="str">
        <f aca="false">IF($A234="","",SUMIFS('Daily Entry'!$H$4:$H$2003,'Daily Entry'!$A$4:$A$2003,$A234))</f>
        <v/>
      </c>
      <c r="O234" s="10" t="str">
        <f aca="false">IF($A234="","",SUMIFS('Daily Entry'!$I$4:$I$2003,'Daily Entry'!$A$4:$A$2003,$A234))</f>
        <v/>
      </c>
      <c r="P234" s="10" t="str">
        <f aca="false">IF($A234="","",SUMPRODUCT(('Daily Entry'!$A$4:$A$2003=$A234)*('Daily Entry'!$M$4:$M$2003)*('Daily Entry'!$D$4:$D$2003)))</f>
        <v/>
      </c>
    </row>
    <row r="235" customFormat="false" ht="15" hidden="false" customHeight="false" outlineLevel="0" collapsed="false">
      <c r="A235" s="27"/>
      <c r="B235" s="10" t="str">
        <f aca="false">IF($A235="","",SUMIFS('Daily Entry'!$P$4:$P$2003,'Daily Entry'!$A$4:$A$2003,$A235))</f>
        <v/>
      </c>
      <c r="C235" s="9"/>
      <c r="D235" s="9"/>
      <c r="E235" s="9"/>
      <c r="F235" s="8"/>
      <c r="G235" s="9"/>
      <c r="H235" s="9"/>
      <c r="I235" s="8"/>
      <c r="J235" s="28" t="str">
        <f aca="false">IF($A235="","",$B235+$C235-$D235-$E235-$G235-$H235)</f>
        <v/>
      </c>
      <c r="K235" s="10" t="str">
        <f aca="false">IF($A235="","",SUMIFS('Daily Entry'!$Q$4:$Q$2003,'Daily Entry'!$A$4:$A$2003,$A235))</f>
        <v/>
      </c>
      <c r="L235" s="10" t="str">
        <f aca="false">IF($A235="","",$B235-$K235)</f>
        <v/>
      </c>
      <c r="M235" s="28" t="str">
        <f aca="false">IF($A235="","",$L235-$D235-$E235-$G235)</f>
        <v/>
      </c>
      <c r="N235" s="10" t="str">
        <f aca="false">IF($A235="","",SUMIFS('Daily Entry'!$H$4:$H$2003,'Daily Entry'!$A$4:$A$2003,$A235))</f>
        <v/>
      </c>
      <c r="O235" s="10" t="str">
        <f aca="false">IF($A235="","",SUMIFS('Daily Entry'!$I$4:$I$2003,'Daily Entry'!$A$4:$A$2003,$A235))</f>
        <v/>
      </c>
      <c r="P235" s="10" t="str">
        <f aca="false">IF($A235="","",SUMPRODUCT(('Daily Entry'!$A$4:$A$2003=$A235)*('Daily Entry'!$M$4:$M$2003)*('Daily Entry'!$D$4:$D$2003)))</f>
        <v/>
      </c>
    </row>
    <row r="236" customFormat="false" ht="15" hidden="false" customHeight="false" outlineLevel="0" collapsed="false">
      <c r="A236" s="27"/>
      <c r="B236" s="10" t="str">
        <f aca="false">IF($A236="","",SUMIFS('Daily Entry'!$P$4:$P$2003,'Daily Entry'!$A$4:$A$2003,$A236))</f>
        <v/>
      </c>
      <c r="C236" s="9"/>
      <c r="D236" s="9"/>
      <c r="E236" s="9"/>
      <c r="F236" s="8"/>
      <c r="G236" s="9"/>
      <c r="H236" s="9"/>
      <c r="I236" s="8"/>
      <c r="J236" s="28" t="str">
        <f aca="false">IF($A236="","",$B236+$C236-$D236-$E236-$G236-$H236)</f>
        <v/>
      </c>
      <c r="K236" s="10" t="str">
        <f aca="false">IF($A236="","",SUMIFS('Daily Entry'!$Q$4:$Q$2003,'Daily Entry'!$A$4:$A$2003,$A236))</f>
        <v/>
      </c>
      <c r="L236" s="10" t="str">
        <f aca="false">IF($A236="","",$B236-$K236)</f>
        <v/>
      </c>
      <c r="M236" s="28" t="str">
        <f aca="false">IF($A236="","",$L236-$D236-$E236-$G236)</f>
        <v/>
      </c>
      <c r="N236" s="10" t="str">
        <f aca="false">IF($A236="","",SUMIFS('Daily Entry'!$H$4:$H$2003,'Daily Entry'!$A$4:$A$2003,$A236))</f>
        <v/>
      </c>
      <c r="O236" s="10" t="str">
        <f aca="false">IF($A236="","",SUMIFS('Daily Entry'!$I$4:$I$2003,'Daily Entry'!$A$4:$A$2003,$A236))</f>
        <v/>
      </c>
      <c r="P236" s="10" t="str">
        <f aca="false">IF($A236="","",SUMPRODUCT(('Daily Entry'!$A$4:$A$2003=$A236)*('Daily Entry'!$M$4:$M$2003)*('Daily Entry'!$D$4:$D$2003)))</f>
        <v/>
      </c>
    </row>
    <row r="237" customFormat="false" ht="15" hidden="false" customHeight="false" outlineLevel="0" collapsed="false">
      <c r="A237" s="27"/>
      <c r="B237" s="10" t="str">
        <f aca="false">IF($A237="","",SUMIFS('Daily Entry'!$P$4:$P$2003,'Daily Entry'!$A$4:$A$2003,$A237))</f>
        <v/>
      </c>
      <c r="C237" s="9"/>
      <c r="D237" s="9"/>
      <c r="E237" s="9"/>
      <c r="F237" s="8"/>
      <c r="G237" s="9"/>
      <c r="H237" s="9"/>
      <c r="I237" s="8"/>
      <c r="J237" s="28" t="str">
        <f aca="false">IF($A237="","",$B237+$C237-$D237-$E237-$G237-$H237)</f>
        <v/>
      </c>
      <c r="K237" s="10" t="str">
        <f aca="false">IF($A237="","",SUMIFS('Daily Entry'!$Q$4:$Q$2003,'Daily Entry'!$A$4:$A$2003,$A237))</f>
        <v/>
      </c>
      <c r="L237" s="10" t="str">
        <f aca="false">IF($A237="","",$B237-$K237)</f>
        <v/>
      </c>
      <c r="M237" s="28" t="str">
        <f aca="false">IF($A237="","",$L237-$D237-$E237-$G237)</f>
        <v/>
      </c>
      <c r="N237" s="10" t="str">
        <f aca="false">IF($A237="","",SUMIFS('Daily Entry'!$H$4:$H$2003,'Daily Entry'!$A$4:$A$2003,$A237))</f>
        <v/>
      </c>
      <c r="O237" s="10" t="str">
        <f aca="false">IF($A237="","",SUMIFS('Daily Entry'!$I$4:$I$2003,'Daily Entry'!$A$4:$A$2003,$A237))</f>
        <v/>
      </c>
      <c r="P237" s="10" t="str">
        <f aca="false">IF($A237="","",SUMPRODUCT(('Daily Entry'!$A$4:$A$2003=$A237)*('Daily Entry'!$M$4:$M$2003)*('Daily Entry'!$D$4:$D$2003)))</f>
        <v/>
      </c>
    </row>
    <row r="238" customFormat="false" ht="15" hidden="false" customHeight="false" outlineLevel="0" collapsed="false">
      <c r="A238" s="27"/>
      <c r="B238" s="10" t="str">
        <f aca="false">IF($A238="","",SUMIFS('Daily Entry'!$P$4:$P$2003,'Daily Entry'!$A$4:$A$2003,$A238))</f>
        <v/>
      </c>
      <c r="C238" s="9"/>
      <c r="D238" s="9"/>
      <c r="E238" s="9"/>
      <c r="F238" s="8"/>
      <c r="G238" s="9"/>
      <c r="H238" s="9"/>
      <c r="I238" s="8"/>
      <c r="J238" s="28" t="str">
        <f aca="false">IF($A238="","",$B238+$C238-$D238-$E238-$G238-$H238)</f>
        <v/>
      </c>
      <c r="K238" s="10" t="str">
        <f aca="false">IF($A238="","",SUMIFS('Daily Entry'!$Q$4:$Q$2003,'Daily Entry'!$A$4:$A$2003,$A238))</f>
        <v/>
      </c>
      <c r="L238" s="10" t="str">
        <f aca="false">IF($A238="","",$B238-$K238)</f>
        <v/>
      </c>
      <c r="M238" s="28" t="str">
        <f aca="false">IF($A238="","",$L238-$D238-$E238-$G238)</f>
        <v/>
      </c>
      <c r="N238" s="10" t="str">
        <f aca="false">IF($A238="","",SUMIFS('Daily Entry'!$H$4:$H$2003,'Daily Entry'!$A$4:$A$2003,$A238))</f>
        <v/>
      </c>
      <c r="O238" s="10" t="str">
        <f aca="false">IF($A238="","",SUMIFS('Daily Entry'!$I$4:$I$2003,'Daily Entry'!$A$4:$A$2003,$A238))</f>
        <v/>
      </c>
      <c r="P238" s="10" t="str">
        <f aca="false">IF($A238="","",SUMPRODUCT(('Daily Entry'!$A$4:$A$2003=$A238)*('Daily Entry'!$M$4:$M$2003)*('Daily Entry'!$D$4:$D$2003)))</f>
        <v/>
      </c>
    </row>
    <row r="239" customFormat="false" ht="15" hidden="false" customHeight="false" outlineLevel="0" collapsed="false">
      <c r="A239" s="27"/>
      <c r="B239" s="10" t="str">
        <f aca="false">IF($A239="","",SUMIFS('Daily Entry'!$P$4:$P$2003,'Daily Entry'!$A$4:$A$2003,$A239))</f>
        <v/>
      </c>
      <c r="C239" s="9"/>
      <c r="D239" s="9"/>
      <c r="E239" s="9"/>
      <c r="F239" s="8"/>
      <c r="G239" s="9"/>
      <c r="H239" s="9"/>
      <c r="I239" s="8"/>
      <c r="J239" s="28" t="str">
        <f aca="false">IF($A239="","",$B239+$C239-$D239-$E239-$G239-$H239)</f>
        <v/>
      </c>
      <c r="K239" s="10" t="str">
        <f aca="false">IF($A239="","",SUMIFS('Daily Entry'!$Q$4:$Q$2003,'Daily Entry'!$A$4:$A$2003,$A239))</f>
        <v/>
      </c>
      <c r="L239" s="10" t="str">
        <f aca="false">IF($A239="","",$B239-$K239)</f>
        <v/>
      </c>
      <c r="M239" s="28" t="str">
        <f aca="false">IF($A239="","",$L239-$D239-$E239-$G239)</f>
        <v/>
      </c>
      <c r="N239" s="10" t="str">
        <f aca="false">IF($A239="","",SUMIFS('Daily Entry'!$H$4:$H$2003,'Daily Entry'!$A$4:$A$2003,$A239))</f>
        <v/>
      </c>
      <c r="O239" s="10" t="str">
        <f aca="false">IF($A239="","",SUMIFS('Daily Entry'!$I$4:$I$2003,'Daily Entry'!$A$4:$A$2003,$A239))</f>
        <v/>
      </c>
      <c r="P239" s="10" t="str">
        <f aca="false">IF($A239="","",SUMPRODUCT(('Daily Entry'!$A$4:$A$2003=$A239)*('Daily Entry'!$M$4:$M$2003)*('Daily Entry'!$D$4:$D$2003)))</f>
        <v/>
      </c>
    </row>
    <row r="240" customFormat="false" ht="15" hidden="false" customHeight="false" outlineLevel="0" collapsed="false">
      <c r="A240" s="27"/>
      <c r="B240" s="10" t="str">
        <f aca="false">IF($A240="","",SUMIFS('Daily Entry'!$P$4:$P$2003,'Daily Entry'!$A$4:$A$2003,$A240))</f>
        <v/>
      </c>
      <c r="C240" s="9"/>
      <c r="D240" s="9"/>
      <c r="E240" s="9"/>
      <c r="F240" s="8"/>
      <c r="G240" s="9"/>
      <c r="H240" s="9"/>
      <c r="I240" s="8"/>
      <c r="J240" s="28" t="str">
        <f aca="false">IF($A240="","",$B240+$C240-$D240-$E240-$G240-$H240)</f>
        <v/>
      </c>
      <c r="K240" s="10" t="str">
        <f aca="false">IF($A240="","",SUMIFS('Daily Entry'!$Q$4:$Q$2003,'Daily Entry'!$A$4:$A$2003,$A240))</f>
        <v/>
      </c>
      <c r="L240" s="10" t="str">
        <f aca="false">IF($A240="","",$B240-$K240)</f>
        <v/>
      </c>
      <c r="M240" s="28" t="str">
        <f aca="false">IF($A240="","",$L240-$D240-$E240-$G240)</f>
        <v/>
      </c>
      <c r="N240" s="10" t="str">
        <f aca="false">IF($A240="","",SUMIFS('Daily Entry'!$H$4:$H$2003,'Daily Entry'!$A$4:$A$2003,$A240))</f>
        <v/>
      </c>
      <c r="O240" s="10" t="str">
        <f aca="false">IF($A240="","",SUMIFS('Daily Entry'!$I$4:$I$2003,'Daily Entry'!$A$4:$A$2003,$A240))</f>
        <v/>
      </c>
      <c r="P240" s="10" t="str">
        <f aca="false">IF($A240="","",SUMPRODUCT(('Daily Entry'!$A$4:$A$2003=$A240)*('Daily Entry'!$M$4:$M$2003)*('Daily Entry'!$D$4:$D$2003)))</f>
        <v/>
      </c>
    </row>
    <row r="241" customFormat="false" ht="15" hidden="false" customHeight="false" outlineLevel="0" collapsed="false">
      <c r="A241" s="27"/>
      <c r="B241" s="10" t="str">
        <f aca="false">IF($A241="","",SUMIFS('Daily Entry'!$P$4:$P$2003,'Daily Entry'!$A$4:$A$2003,$A241))</f>
        <v/>
      </c>
      <c r="C241" s="9"/>
      <c r="D241" s="9"/>
      <c r="E241" s="9"/>
      <c r="F241" s="8"/>
      <c r="G241" s="9"/>
      <c r="H241" s="9"/>
      <c r="I241" s="8"/>
      <c r="J241" s="28" t="str">
        <f aca="false">IF($A241="","",$B241+$C241-$D241-$E241-$G241-$H241)</f>
        <v/>
      </c>
      <c r="K241" s="10" t="str">
        <f aca="false">IF($A241="","",SUMIFS('Daily Entry'!$Q$4:$Q$2003,'Daily Entry'!$A$4:$A$2003,$A241))</f>
        <v/>
      </c>
      <c r="L241" s="10" t="str">
        <f aca="false">IF($A241="","",$B241-$K241)</f>
        <v/>
      </c>
      <c r="M241" s="28" t="str">
        <f aca="false">IF($A241="","",$L241-$D241-$E241-$G241)</f>
        <v/>
      </c>
      <c r="N241" s="10" t="str">
        <f aca="false">IF($A241="","",SUMIFS('Daily Entry'!$H$4:$H$2003,'Daily Entry'!$A$4:$A$2003,$A241))</f>
        <v/>
      </c>
      <c r="O241" s="10" t="str">
        <f aca="false">IF($A241="","",SUMIFS('Daily Entry'!$I$4:$I$2003,'Daily Entry'!$A$4:$A$2003,$A241))</f>
        <v/>
      </c>
      <c r="P241" s="10" t="str">
        <f aca="false">IF($A241="","",SUMPRODUCT(('Daily Entry'!$A$4:$A$2003=$A241)*('Daily Entry'!$M$4:$M$2003)*('Daily Entry'!$D$4:$D$2003)))</f>
        <v/>
      </c>
    </row>
    <row r="242" customFormat="false" ht="15" hidden="false" customHeight="false" outlineLevel="0" collapsed="false">
      <c r="A242" s="27"/>
      <c r="B242" s="10" t="str">
        <f aca="false">IF($A242="","",SUMIFS('Daily Entry'!$P$4:$P$2003,'Daily Entry'!$A$4:$A$2003,$A242))</f>
        <v/>
      </c>
      <c r="C242" s="9"/>
      <c r="D242" s="9"/>
      <c r="E242" s="9"/>
      <c r="F242" s="8"/>
      <c r="G242" s="9"/>
      <c r="H242" s="9"/>
      <c r="I242" s="8"/>
      <c r="J242" s="28" t="str">
        <f aca="false">IF($A242="","",$B242+$C242-$D242-$E242-$G242-$H242)</f>
        <v/>
      </c>
      <c r="K242" s="10" t="str">
        <f aca="false">IF($A242="","",SUMIFS('Daily Entry'!$Q$4:$Q$2003,'Daily Entry'!$A$4:$A$2003,$A242))</f>
        <v/>
      </c>
      <c r="L242" s="10" t="str">
        <f aca="false">IF($A242="","",$B242-$K242)</f>
        <v/>
      </c>
      <c r="M242" s="28" t="str">
        <f aca="false">IF($A242="","",$L242-$D242-$E242-$G242)</f>
        <v/>
      </c>
      <c r="N242" s="10" t="str">
        <f aca="false">IF($A242="","",SUMIFS('Daily Entry'!$H$4:$H$2003,'Daily Entry'!$A$4:$A$2003,$A242))</f>
        <v/>
      </c>
      <c r="O242" s="10" t="str">
        <f aca="false">IF($A242="","",SUMIFS('Daily Entry'!$I$4:$I$2003,'Daily Entry'!$A$4:$A$2003,$A242))</f>
        <v/>
      </c>
      <c r="P242" s="10" t="str">
        <f aca="false">IF($A242="","",SUMPRODUCT(('Daily Entry'!$A$4:$A$2003=$A242)*('Daily Entry'!$M$4:$M$2003)*('Daily Entry'!$D$4:$D$2003)))</f>
        <v/>
      </c>
    </row>
    <row r="243" customFormat="false" ht="15" hidden="false" customHeight="false" outlineLevel="0" collapsed="false">
      <c r="A243" s="27"/>
      <c r="B243" s="10" t="str">
        <f aca="false">IF($A243="","",SUMIFS('Daily Entry'!$P$4:$P$2003,'Daily Entry'!$A$4:$A$2003,$A243))</f>
        <v/>
      </c>
      <c r="C243" s="9"/>
      <c r="D243" s="9"/>
      <c r="E243" s="9"/>
      <c r="F243" s="8"/>
      <c r="G243" s="9"/>
      <c r="H243" s="9"/>
      <c r="I243" s="8"/>
      <c r="J243" s="28" t="str">
        <f aca="false">IF($A243="","",$B243+$C243-$D243-$E243-$G243-$H243)</f>
        <v/>
      </c>
      <c r="K243" s="10" t="str">
        <f aca="false">IF($A243="","",SUMIFS('Daily Entry'!$Q$4:$Q$2003,'Daily Entry'!$A$4:$A$2003,$A243))</f>
        <v/>
      </c>
      <c r="L243" s="10" t="str">
        <f aca="false">IF($A243="","",$B243-$K243)</f>
        <v/>
      </c>
      <c r="M243" s="28" t="str">
        <f aca="false">IF($A243="","",$L243-$D243-$E243-$G243)</f>
        <v/>
      </c>
      <c r="N243" s="10" t="str">
        <f aca="false">IF($A243="","",SUMIFS('Daily Entry'!$H$4:$H$2003,'Daily Entry'!$A$4:$A$2003,$A243))</f>
        <v/>
      </c>
      <c r="O243" s="10" t="str">
        <f aca="false">IF($A243="","",SUMIFS('Daily Entry'!$I$4:$I$2003,'Daily Entry'!$A$4:$A$2003,$A243))</f>
        <v/>
      </c>
      <c r="P243" s="10" t="str">
        <f aca="false">IF($A243="","",SUMPRODUCT(('Daily Entry'!$A$4:$A$2003=$A243)*('Daily Entry'!$M$4:$M$2003)*('Daily Entry'!$D$4:$D$2003)))</f>
        <v/>
      </c>
    </row>
    <row r="244" customFormat="false" ht="15" hidden="false" customHeight="false" outlineLevel="0" collapsed="false">
      <c r="A244" s="27"/>
      <c r="B244" s="10" t="str">
        <f aca="false">IF($A244="","",SUMIFS('Daily Entry'!$P$4:$P$2003,'Daily Entry'!$A$4:$A$2003,$A244))</f>
        <v/>
      </c>
      <c r="C244" s="9"/>
      <c r="D244" s="9"/>
      <c r="E244" s="9"/>
      <c r="F244" s="8"/>
      <c r="G244" s="9"/>
      <c r="H244" s="9"/>
      <c r="I244" s="8"/>
      <c r="J244" s="28" t="str">
        <f aca="false">IF($A244="","",$B244+$C244-$D244-$E244-$G244-$H244)</f>
        <v/>
      </c>
      <c r="K244" s="10" t="str">
        <f aca="false">IF($A244="","",SUMIFS('Daily Entry'!$Q$4:$Q$2003,'Daily Entry'!$A$4:$A$2003,$A244))</f>
        <v/>
      </c>
      <c r="L244" s="10" t="str">
        <f aca="false">IF($A244="","",$B244-$K244)</f>
        <v/>
      </c>
      <c r="M244" s="28" t="str">
        <f aca="false">IF($A244="","",$L244-$D244-$E244-$G244)</f>
        <v/>
      </c>
      <c r="N244" s="10" t="str">
        <f aca="false">IF($A244="","",SUMIFS('Daily Entry'!$H$4:$H$2003,'Daily Entry'!$A$4:$A$2003,$A244))</f>
        <v/>
      </c>
      <c r="O244" s="10" t="str">
        <f aca="false">IF($A244="","",SUMIFS('Daily Entry'!$I$4:$I$2003,'Daily Entry'!$A$4:$A$2003,$A244))</f>
        <v/>
      </c>
      <c r="P244" s="10" t="str">
        <f aca="false">IF($A244="","",SUMPRODUCT(('Daily Entry'!$A$4:$A$2003=$A244)*('Daily Entry'!$M$4:$M$2003)*('Daily Entry'!$D$4:$D$2003)))</f>
        <v/>
      </c>
    </row>
    <row r="245" customFormat="false" ht="15" hidden="false" customHeight="false" outlineLevel="0" collapsed="false">
      <c r="A245" s="27"/>
      <c r="B245" s="10" t="str">
        <f aca="false">IF($A245="","",SUMIFS('Daily Entry'!$P$4:$P$2003,'Daily Entry'!$A$4:$A$2003,$A245))</f>
        <v/>
      </c>
      <c r="C245" s="9"/>
      <c r="D245" s="9"/>
      <c r="E245" s="9"/>
      <c r="F245" s="8"/>
      <c r="G245" s="9"/>
      <c r="H245" s="9"/>
      <c r="I245" s="8"/>
      <c r="J245" s="28" t="str">
        <f aca="false">IF($A245="","",$B245+$C245-$D245-$E245-$G245-$H245)</f>
        <v/>
      </c>
      <c r="K245" s="10" t="str">
        <f aca="false">IF($A245="","",SUMIFS('Daily Entry'!$Q$4:$Q$2003,'Daily Entry'!$A$4:$A$2003,$A245))</f>
        <v/>
      </c>
      <c r="L245" s="10" t="str">
        <f aca="false">IF($A245="","",$B245-$K245)</f>
        <v/>
      </c>
      <c r="M245" s="28" t="str">
        <f aca="false">IF($A245="","",$L245-$D245-$E245-$G245)</f>
        <v/>
      </c>
      <c r="N245" s="10" t="str">
        <f aca="false">IF($A245="","",SUMIFS('Daily Entry'!$H$4:$H$2003,'Daily Entry'!$A$4:$A$2003,$A245))</f>
        <v/>
      </c>
      <c r="O245" s="10" t="str">
        <f aca="false">IF($A245="","",SUMIFS('Daily Entry'!$I$4:$I$2003,'Daily Entry'!$A$4:$A$2003,$A245))</f>
        <v/>
      </c>
      <c r="P245" s="10" t="str">
        <f aca="false">IF($A245="","",SUMPRODUCT(('Daily Entry'!$A$4:$A$2003=$A245)*('Daily Entry'!$M$4:$M$2003)*('Daily Entry'!$D$4:$D$2003)))</f>
        <v/>
      </c>
    </row>
    <row r="246" customFormat="false" ht="15" hidden="false" customHeight="false" outlineLevel="0" collapsed="false">
      <c r="A246" s="27"/>
      <c r="B246" s="10" t="str">
        <f aca="false">IF($A246="","",SUMIFS('Daily Entry'!$P$4:$P$2003,'Daily Entry'!$A$4:$A$2003,$A246))</f>
        <v/>
      </c>
      <c r="C246" s="9"/>
      <c r="D246" s="9"/>
      <c r="E246" s="9"/>
      <c r="F246" s="8"/>
      <c r="G246" s="9"/>
      <c r="H246" s="9"/>
      <c r="I246" s="8"/>
      <c r="J246" s="28" t="str">
        <f aca="false">IF($A246="","",$B246+$C246-$D246-$E246-$G246-$H246)</f>
        <v/>
      </c>
      <c r="K246" s="10" t="str">
        <f aca="false">IF($A246="","",SUMIFS('Daily Entry'!$Q$4:$Q$2003,'Daily Entry'!$A$4:$A$2003,$A246))</f>
        <v/>
      </c>
      <c r="L246" s="10" t="str">
        <f aca="false">IF($A246="","",$B246-$K246)</f>
        <v/>
      </c>
      <c r="M246" s="28" t="str">
        <f aca="false">IF($A246="","",$L246-$D246-$E246-$G246)</f>
        <v/>
      </c>
      <c r="N246" s="10" t="str">
        <f aca="false">IF($A246="","",SUMIFS('Daily Entry'!$H$4:$H$2003,'Daily Entry'!$A$4:$A$2003,$A246))</f>
        <v/>
      </c>
      <c r="O246" s="10" t="str">
        <f aca="false">IF($A246="","",SUMIFS('Daily Entry'!$I$4:$I$2003,'Daily Entry'!$A$4:$A$2003,$A246))</f>
        <v/>
      </c>
      <c r="P246" s="10" t="str">
        <f aca="false">IF($A246="","",SUMPRODUCT(('Daily Entry'!$A$4:$A$2003=$A246)*('Daily Entry'!$M$4:$M$2003)*('Daily Entry'!$D$4:$D$2003)))</f>
        <v/>
      </c>
    </row>
    <row r="247" customFormat="false" ht="15" hidden="false" customHeight="false" outlineLevel="0" collapsed="false">
      <c r="A247" s="27"/>
      <c r="B247" s="10" t="str">
        <f aca="false">IF($A247="","",SUMIFS('Daily Entry'!$P$4:$P$2003,'Daily Entry'!$A$4:$A$2003,$A247))</f>
        <v/>
      </c>
      <c r="C247" s="9"/>
      <c r="D247" s="9"/>
      <c r="E247" s="9"/>
      <c r="F247" s="8"/>
      <c r="G247" s="9"/>
      <c r="H247" s="9"/>
      <c r="I247" s="8"/>
      <c r="J247" s="28" t="str">
        <f aca="false">IF($A247="","",$B247+$C247-$D247-$E247-$G247-$H247)</f>
        <v/>
      </c>
      <c r="K247" s="10" t="str">
        <f aca="false">IF($A247="","",SUMIFS('Daily Entry'!$Q$4:$Q$2003,'Daily Entry'!$A$4:$A$2003,$A247))</f>
        <v/>
      </c>
      <c r="L247" s="10" t="str">
        <f aca="false">IF($A247="","",$B247-$K247)</f>
        <v/>
      </c>
      <c r="M247" s="28" t="str">
        <f aca="false">IF($A247="","",$L247-$D247-$E247-$G247)</f>
        <v/>
      </c>
      <c r="N247" s="10" t="str">
        <f aca="false">IF($A247="","",SUMIFS('Daily Entry'!$H$4:$H$2003,'Daily Entry'!$A$4:$A$2003,$A247))</f>
        <v/>
      </c>
      <c r="O247" s="10" t="str">
        <f aca="false">IF($A247="","",SUMIFS('Daily Entry'!$I$4:$I$2003,'Daily Entry'!$A$4:$A$2003,$A247))</f>
        <v/>
      </c>
      <c r="P247" s="10" t="str">
        <f aca="false">IF($A247="","",SUMPRODUCT(('Daily Entry'!$A$4:$A$2003=$A247)*('Daily Entry'!$M$4:$M$2003)*('Daily Entry'!$D$4:$D$2003)))</f>
        <v/>
      </c>
    </row>
    <row r="248" customFormat="false" ht="15" hidden="false" customHeight="false" outlineLevel="0" collapsed="false">
      <c r="A248" s="27"/>
      <c r="B248" s="10" t="str">
        <f aca="false">IF($A248="","",SUMIFS('Daily Entry'!$P$4:$P$2003,'Daily Entry'!$A$4:$A$2003,$A248))</f>
        <v/>
      </c>
      <c r="C248" s="9"/>
      <c r="D248" s="9"/>
      <c r="E248" s="9"/>
      <c r="F248" s="8"/>
      <c r="G248" s="9"/>
      <c r="H248" s="9"/>
      <c r="I248" s="8"/>
      <c r="J248" s="28" t="str">
        <f aca="false">IF($A248="","",$B248+$C248-$D248-$E248-$G248-$H248)</f>
        <v/>
      </c>
      <c r="K248" s="10" t="str">
        <f aca="false">IF($A248="","",SUMIFS('Daily Entry'!$Q$4:$Q$2003,'Daily Entry'!$A$4:$A$2003,$A248))</f>
        <v/>
      </c>
      <c r="L248" s="10" t="str">
        <f aca="false">IF($A248="","",$B248-$K248)</f>
        <v/>
      </c>
      <c r="M248" s="28" t="str">
        <f aca="false">IF($A248="","",$L248-$D248-$E248-$G248)</f>
        <v/>
      </c>
      <c r="N248" s="10" t="str">
        <f aca="false">IF($A248="","",SUMIFS('Daily Entry'!$H$4:$H$2003,'Daily Entry'!$A$4:$A$2003,$A248))</f>
        <v/>
      </c>
      <c r="O248" s="10" t="str">
        <f aca="false">IF($A248="","",SUMIFS('Daily Entry'!$I$4:$I$2003,'Daily Entry'!$A$4:$A$2003,$A248))</f>
        <v/>
      </c>
      <c r="P248" s="10" t="str">
        <f aca="false">IF($A248="","",SUMPRODUCT(('Daily Entry'!$A$4:$A$2003=$A248)*('Daily Entry'!$M$4:$M$2003)*('Daily Entry'!$D$4:$D$2003)))</f>
        <v/>
      </c>
    </row>
    <row r="249" customFormat="false" ht="15" hidden="false" customHeight="false" outlineLevel="0" collapsed="false">
      <c r="A249" s="27"/>
      <c r="B249" s="10" t="str">
        <f aca="false">IF($A249="","",SUMIFS('Daily Entry'!$P$4:$P$2003,'Daily Entry'!$A$4:$A$2003,$A249))</f>
        <v/>
      </c>
      <c r="C249" s="9"/>
      <c r="D249" s="9"/>
      <c r="E249" s="9"/>
      <c r="F249" s="8"/>
      <c r="G249" s="9"/>
      <c r="H249" s="9"/>
      <c r="I249" s="8"/>
      <c r="J249" s="28" t="str">
        <f aca="false">IF($A249="","",$B249+$C249-$D249-$E249-$G249-$H249)</f>
        <v/>
      </c>
      <c r="K249" s="10" t="str">
        <f aca="false">IF($A249="","",SUMIFS('Daily Entry'!$Q$4:$Q$2003,'Daily Entry'!$A$4:$A$2003,$A249))</f>
        <v/>
      </c>
      <c r="L249" s="10" t="str">
        <f aca="false">IF($A249="","",$B249-$K249)</f>
        <v/>
      </c>
      <c r="M249" s="28" t="str">
        <f aca="false">IF($A249="","",$L249-$D249-$E249-$G249)</f>
        <v/>
      </c>
      <c r="N249" s="10" t="str">
        <f aca="false">IF($A249="","",SUMIFS('Daily Entry'!$H$4:$H$2003,'Daily Entry'!$A$4:$A$2003,$A249))</f>
        <v/>
      </c>
      <c r="O249" s="10" t="str">
        <f aca="false">IF($A249="","",SUMIFS('Daily Entry'!$I$4:$I$2003,'Daily Entry'!$A$4:$A$2003,$A249))</f>
        <v/>
      </c>
      <c r="P249" s="10" t="str">
        <f aca="false">IF($A249="","",SUMPRODUCT(('Daily Entry'!$A$4:$A$2003=$A249)*('Daily Entry'!$M$4:$M$2003)*('Daily Entry'!$D$4:$D$2003)))</f>
        <v/>
      </c>
    </row>
    <row r="250" customFormat="false" ht="15" hidden="false" customHeight="false" outlineLevel="0" collapsed="false">
      <c r="A250" s="27"/>
      <c r="B250" s="10" t="str">
        <f aca="false">IF($A250="","",SUMIFS('Daily Entry'!$P$4:$P$2003,'Daily Entry'!$A$4:$A$2003,$A250))</f>
        <v/>
      </c>
      <c r="C250" s="9"/>
      <c r="D250" s="9"/>
      <c r="E250" s="9"/>
      <c r="F250" s="8"/>
      <c r="G250" s="9"/>
      <c r="H250" s="9"/>
      <c r="I250" s="8"/>
      <c r="J250" s="28" t="str">
        <f aca="false">IF($A250="","",$B250+$C250-$D250-$E250-$G250-$H250)</f>
        <v/>
      </c>
      <c r="K250" s="10" t="str">
        <f aca="false">IF($A250="","",SUMIFS('Daily Entry'!$Q$4:$Q$2003,'Daily Entry'!$A$4:$A$2003,$A250))</f>
        <v/>
      </c>
      <c r="L250" s="10" t="str">
        <f aca="false">IF($A250="","",$B250-$K250)</f>
        <v/>
      </c>
      <c r="M250" s="28" t="str">
        <f aca="false">IF($A250="","",$L250-$D250-$E250-$G250)</f>
        <v/>
      </c>
      <c r="N250" s="10" t="str">
        <f aca="false">IF($A250="","",SUMIFS('Daily Entry'!$H$4:$H$2003,'Daily Entry'!$A$4:$A$2003,$A250))</f>
        <v/>
      </c>
      <c r="O250" s="10" t="str">
        <f aca="false">IF($A250="","",SUMIFS('Daily Entry'!$I$4:$I$2003,'Daily Entry'!$A$4:$A$2003,$A250))</f>
        <v/>
      </c>
      <c r="P250" s="10" t="str">
        <f aca="false">IF($A250="","",SUMPRODUCT(('Daily Entry'!$A$4:$A$2003=$A250)*('Daily Entry'!$M$4:$M$2003)*('Daily Entry'!$D$4:$D$2003)))</f>
        <v/>
      </c>
    </row>
    <row r="251" customFormat="false" ht="15" hidden="false" customHeight="false" outlineLevel="0" collapsed="false">
      <c r="A251" s="27"/>
      <c r="B251" s="10" t="str">
        <f aca="false">IF($A251="","",SUMIFS('Daily Entry'!$P$4:$P$2003,'Daily Entry'!$A$4:$A$2003,$A251))</f>
        <v/>
      </c>
      <c r="C251" s="9"/>
      <c r="D251" s="9"/>
      <c r="E251" s="9"/>
      <c r="F251" s="8"/>
      <c r="G251" s="9"/>
      <c r="H251" s="9"/>
      <c r="I251" s="8"/>
      <c r="J251" s="28" t="str">
        <f aca="false">IF($A251="","",$B251+$C251-$D251-$E251-$G251-$H251)</f>
        <v/>
      </c>
      <c r="K251" s="10" t="str">
        <f aca="false">IF($A251="","",SUMIFS('Daily Entry'!$Q$4:$Q$2003,'Daily Entry'!$A$4:$A$2003,$A251))</f>
        <v/>
      </c>
      <c r="L251" s="10" t="str">
        <f aca="false">IF($A251="","",$B251-$K251)</f>
        <v/>
      </c>
      <c r="M251" s="28" t="str">
        <f aca="false">IF($A251="","",$L251-$D251-$E251-$G251)</f>
        <v/>
      </c>
      <c r="N251" s="10" t="str">
        <f aca="false">IF($A251="","",SUMIFS('Daily Entry'!$H$4:$H$2003,'Daily Entry'!$A$4:$A$2003,$A251))</f>
        <v/>
      </c>
      <c r="O251" s="10" t="str">
        <f aca="false">IF($A251="","",SUMIFS('Daily Entry'!$I$4:$I$2003,'Daily Entry'!$A$4:$A$2003,$A251))</f>
        <v/>
      </c>
      <c r="P251" s="10" t="str">
        <f aca="false">IF($A251="","",SUMPRODUCT(('Daily Entry'!$A$4:$A$2003=$A251)*('Daily Entry'!$M$4:$M$2003)*('Daily Entry'!$D$4:$D$2003)))</f>
        <v/>
      </c>
    </row>
    <row r="252" customFormat="false" ht="15" hidden="false" customHeight="false" outlineLevel="0" collapsed="false">
      <c r="A252" s="27"/>
      <c r="B252" s="10" t="str">
        <f aca="false">IF($A252="","",SUMIFS('Daily Entry'!$P$4:$P$2003,'Daily Entry'!$A$4:$A$2003,$A252))</f>
        <v/>
      </c>
      <c r="C252" s="9"/>
      <c r="D252" s="9"/>
      <c r="E252" s="9"/>
      <c r="F252" s="8"/>
      <c r="G252" s="9"/>
      <c r="H252" s="9"/>
      <c r="I252" s="8"/>
      <c r="J252" s="28" t="str">
        <f aca="false">IF($A252="","",$B252+$C252-$D252-$E252-$G252-$H252)</f>
        <v/>
      </c>
      <c r="K252" s="10" t="str">
        <f aca="false">IF($A252="","",SUMIFS('Daily Entry'!$Q$4:$Q$2003,'Daily Entry'!$A$4:$A$2003,$A252))</f>
        <v/>
      </c>
      <c r="L252" s="10" t="str">
        <f aca="false">IF($A252="","",$B252-$K252)</f>
        <v/>
      </c>
      <c r="M252" s="28" t="str">
        <f aca="false">IF($A252="","",$L252-$D252-$E252-$G252)</f>
        <v/>
      </c>
      <c r="N252" s="10" t="str">
        <f aca="false">IF($A252="","",SUMIFS('Daily Entry'!$H$4:$H$2003,'Daily Entry'!$A$4:$A$2003,$A252))</f>
        <v/>
      </c>
      <c r="O252" s="10" t="str">
        <f aca="false">IF($A252="","",SUMIFS('Daily Entry'!$I$4:$I$2003,'Daily Entry'!$A$4:$A$2003,$A252))</f>
        <v/>
      </c>
      <c r="P252" s="10" t="str">
        <f aca="false">IF($A252="","",SUMPRODUCT(('Daily Entry'!$A$4:$A$2003=$A252)*('Daily Entry'!$M$4:$M$2003)*('Daily Entry'!$D$4:$D$2003)))</f>
        <v/>
      </c>
    </row>
    <row r="253" customFormat="false" ht="15" hidden="false" customHeight="false" outlineLevel="0" collapsed="false">
      <c r="A253" s="27"/>
      <c r="B253" s="10" t="str">
        <f aca="false">IF($A253="","",SUMIFS('Daily Entry'!$P$4:$P$2003,'Daily Entry'!$A$4:$A$2003,$A253))</f>
        <v/>
      </c>
      <c r="C253" s="9"/>
      <c r="D253" s="9"/>
      <c r="E253" s="9"/>
      <c r="F253" s="8"/>
      <c r="G253" s="9"/>
      <c r="H253" s="9"/>
      <c r="I253" s="8"/>
      <c r="J253" s="28" t="str">
        <f aca="false">IF($A253="","",$B253+$C253-$D253-$E253-$G253-$H253)</f>
        <v/>
      </c>
      <c r="K253" s="10" t="str">
        <f aca="false">IF($A253="","",SUMIFS('Daily Entry'!$Q$4:$Q$2003,'Daily Entry'!$A$4:$A$2003,$A253))</f>
        <v/>
      </c>
      <c r="L253" s="10" t="str">
        <f aca="false">IF($A253="","",$B253-$K253)</f>
        <v/>
      </c>
      <c r="M253" s="28" t="str">
        <f aca="false">IF($A253="","",$L253-$D253-$E253-$G253)</f>
        <v/>
      </c>
      <c r="N253" s="10" t="str">
        <f aca="false">IF($A253="","",SUMIFS('Daily Entry'!$H$4:$H$2003,'Daily Entry'!$A$4:$A$2003,$A253))</f>
        <v/>
      </c>
      <c r="O253" s="10" t="str">
        <f aca="false">IF($A253="","",SUMIFS('Daily Entry'!$I$4:$I$2003,'Daily Entry'!$A$4:$A$2003,$A253))</f>
        <v/>
      </c>
      <c r="P253" s="10" t="str">
        <f aca="false">IF($A253="","",SUMPRODUCT(('Daily Entry'!$A$4:$A$2003=$A253)*('Daily Entry'!$M$4:$M$2003)*('Daily Entry'!$D$4:$D$2003)))</f>
        <v/>
      </c>
    </row>
    <row r="254" customFormat="false" ht="15" hidden="false" customHeight="false" outlineLevel="0" collapsed="false">
      <c r="A254" s="27"/>
      <c r="B254" s="10" t="str">
        <f aca="false">IF($A254="","",SUMIFS('Daily Entry'!$P$4:$P$2003,'Daily Entry'!$A$4:$A$2003,$A254))</f>
        <v/>
      </c>
      <c r="C254" s="9"/>
      <c r="D254" s="9"/>
      <c r="E254" s="9"/>
      <c r="F254" s="8"/>
      <c r="G254" s="9"/>
      <c r="H254" s="9"/>
      <c r="I254" s="8"/>
      <c r="J254" s="28" t="str">
        <f aca="false">IF($A254="","",$B254+$C254-$D254-$E254-$G254-$H254)</f>
        <v/>
      </c>
      <c r="K254" s="10" t="str">
        <f aca="false">IF($A254="","",SUMIFS('Daily Entry'!$Q$4:$Q$2003,'Daily Entry'!$A$4:$A$2003,$A254))</f>
        <v/>
      </c>
      <c r="L254" s="10" t="str">
        <f aca="false">IF($A254="","",$B254-$K254)</f>
        <v/>
      </c>
      <c r="M254" s="28" t="str">
        <f aca="false">IF($A254="","",$L254-$D254-$E254-$G254)</f>
        <v/>
      </c>
      <c r="N254" s="10" t="str">
        <f aca="false">IF($A254="","",SUMIFS('Daily Entry'!$H$4:$H$2003,'Daily Entry'!$A$4:$A$2003,$A254))</f>
        <v/>
      </c>
      <c r="O254" s="10" t="str">
        <f aca="false">IF($A254="","",SUMIFS('Daily Entry'!$I$4:$I$2003,'Daily Entry'!$A$4:$A$2003,$A254))</f>
        <v/>
      </c>
      <c r="P254" s="10" t="str">
        <f aca="false">IF($A254="","",SUMPRODUCT(('Daily Entry'!$A$4:$A$2003=$A254)*('Daily Entry'!$M$4:$M$2003)*('Daily Entry'!$D$4:$D$2003)))</f>
        <v/>
      </c>
    </row>
    <row r="255" customFormat="false" ht="15" hidden="false" customHeight="false" outlineLevel="0" collapsed="false">
      <c r="A255" s="27"/>
      <c r="B255" s="10" t="str">
        <f aca="false">IF($A255="","",SUMIFS('Daily Entry'!$P$4:$P$2003,'Daily Entry'!$A$4:$A$2003,$A255))</f>
        <v/>
      </c>
      <c r="C255" s="9"/>
      <c r="D255" s="9"/>
      <c r="E255" s="9"/>
      <c r="F255" s="8"/>
      <c r="G255" s="9"/>
      <c r="H255" s="9"/>
      <c r="I255" s="8"/>
      <c r="J255" s="28" t="str">
        <f aca="false">IF($A255="","",$B255+$C255-$D255-$E255-$G255-$H255)</f>
        <v/>
      </c>
      <c r="K255" s="10" t="str">
        <f aca="false">IF($A255="","",SUMIFS('Daily Entry'!$Q$4:$Q$2003,'Daily Entry'!$A$4:$A$2003,$A255))</f>
        <v/>
      </c>
      <c r="L255" s="10" t="str">
        <f aca="false">IF($A255="","",$B255-$K255)</f>
        <v/>
      </c>
      <c r="M255" s="28" t="str">
        <f aca="false">IF($A255="","",$L255-$D255-$E255-$G255)</f>
        <v/>
      </c>
      <c r="N255" s="10" t="str">
        <f aca="false">IF($A255="","",SUMIFS('Daily Entry'!$H$4:$H$2003,'Daily Entry'!$A$4:$A$2003,$A255))</f>
        <v/>
      </c>
      <c r="O255" s="10" t="str">
        <f aca="false">IF($A255="","",SUMIFS('Daily Entry'!$I$4:$I$2003,'Daily Entry'!$A$4:$A$2003,$A255))</f>
        <v/>
      </c>
      <c r="P255" s="10" t="str">
        <f aca="false">IF($A255="","",SUMPRODUCT(('Daily Entry'!$A$4:$A$2003=$A255)*('Daily Entry'!$M$4:$M$2003)*('Daily Entry'!$D$4:$D$2003)))</f>
        <v/>
      </c>
    </row>
    <row r="256" customFormat="false" ht="15" hidden="false" customHeight="false" outlineLevel="0" collapsed="false">
      <c r="A256" s="27"/>
      <c r="B256" s="10" t="str">
        <f aca="false">IF($A256="","",SUMIFS('Daily Entry'!$P$4:$P$2003,'Daily Entry'!$A$4:$A$2003,$A256))</f>
        <v/>
      </c>
      <c r="C256" s="9"/>
      <c r="D256" s="9"/>
      <c r="E256" s="9"/>
      <c r="F256" s="8"/>
      <c r="G256" s="9"/>
      <c r="H256" s="9"/>
      <c r="I256" s="8"/>
      <c r="J256" s="28" t="str">
        <f aca="false">IF($A256="","",$B256+$C256-$D256-$E256-$G256-$H256)</f>
        <v/>
      </c>
      <c r="K256" s="10" t="str">
        <f aca="false">IF($A256="","",SUMIFS('Daily Entry'!$Q$4:$Q$2003,'Daily Entry'!$A$4:$A$2003,$A256))</f>
        <v/>
      </c>
      <c r="L256" s="10" t="str">
        <f aca="false">IF($A256="","",$B256-$K256)</f>
        <v/>
      </c>
      <c r="M256" s="28" t="str">
        <f aca="false">IF($A256="","",$L256-$D256-$E256-$G256)</f>
        <v/>
      </c>
      <c r="N256" s="10" t="str">
        <f aca="false">IF($A256="","",SUMIFS('Daily Entry'!$H$4:$H$2003,'Daily Entry'!$A$4:$A$2003,$A256))</f>
        <v/>
      </c>
      <c r="O256" s="10" t="str">
        <f aca="false">IF($A256="","",SUMIFS('Daily Entry'!$I$4:$I$2003,'Daily Entry'!$A$4:$A$2003,$A256))</f>
        <v/>
      </c>
      <c r="P256" s="10" t="str">
        <f aca="false">IF($A256="","",SUMPRODUCT(('Daily Entry'!$A$4:$A$2003=$A256)*('Daily Entry'!$M$4:$M$2003)*('Daily Entry'!$D$4:$D$2003)))</f>
        <v/>
      </c>
    </row>
    <row r="257" customFormat="false" ht="15" hidden="false" customHeight="false" outlineLevel="0" collapsed="false">
      <c r="A257" s="27"/>
      <c r="B257" s="10" t="str">
        <f aca="false">IF($A257="","",SUMIFS('Daily Entry'!$P$4:$P$2003,'Daily Entry'!$A$4:$A$2003,$A257))</f>
        <v/>
      </c>
      <c r="C257" s="9"/>
      <c r="D257" s="9"/>
      <c r="E257" s="9"/>
      <c r="F257" s="8"/>
      <c r="G257" s="9"/>
      <c r="H257" s="9"/>
      <c r="I257" s="8"/>
      <c r="J257" s="28" t="str">
        <f aca="false">IF($A257="","",$B257+$C257-$D257-$E257-$G257-$H257)</f>
        <v/>
      </c>
      <c r="K257" s="10" t="str">
        <f aca="false">IF($A257="","",SUMIFS('Daily Entry'!$Q$4:$Q$2003,'Daily Entry'!$A$4:$A$2003,$A257))</f>
        <v/>
      </c>
      <c r="L257" s="10" t="str">
        <f aca="false">IF($A257="","",$B257-$K257)</f>
        <v/>
      </c>
      <c r="M257" s="28" t="str">
        <f aca="false">IF($A257="","",$L257-$D257-$E257-$G257)</f>
        <v/>
      </c>
      <c r="N257" s="10" t="str">
        <f aca="false">IF($A257="","",SUMIFS('Daily Entry'!$H$4:$H$2003,'Daily Entry'!$A$4:$A$2003,$A257))</f>
        <v/>
      </c>
      <c r="O257" s="10" t="str">
        <f aca="false">IF($A257="","",SUMIFS('Daily Entry'!$I$4:$I$2003,'Daily Entry'!$A$4:$A$2003,$A257))</f>
        <v/>
      </c>
      <c r="P257" s="10" t="str">
        <f aca="false">IF($A257="","",SUMPRODUCT(('Daily Entry'!$A$4:$A$2003=$A257)*('Daily Entry'!$M$4:$M$2003)*('Daily Entry'!$D$4:$D$2003)))</f>
        <v/>
      </c>
    </row>
    <row r="258" customFormat="false" ht="15" hidden="false" customHeight="false" outlineLevel="0" collapsed="false">
      <c r="A258" s="27"/>
      <c r="B258" s="10" t="str">
        <f aca="false">IF($A258="","",SUMIFS('Daily Entry'!$P$4:$P$2003,'Daily Entry'!$A$4:$A$2003,$A258))</f>
        <v/>
      </c>
      <c r="C258" s="9"/>
      <c r="D258" s="9"/>
      <c r="E258" s="9"/>
      <c r="F258" s="8"/>
      <c r="G258" s="9"/>
      <c r="H258" s="9"/>
      <c r="I258" s="8"/>
      <c r="J258" s="28" t="str">
        <f aca="false">IF($A258="","",$B258+$C258-$D258-$E258-$G258-$H258)</f>
        <v/>
      </c>
      <c r="K258" s="10" t="str">
        <f aca="false">IF($A258="","",SUMIFS('Daily Entry'!$Q$4:$Q$2003,'Daily Entry'!$A$4:$A$2003,$A258))</f>
        <v/>
      </c>
      <c r="L258" s="10" t="str">
        <f aca="false">IF($A258="","",$B258-$K258)</f>
        <v/>
      </c>
      <c r="M258" s="28" t="str">
        <f aca="false">IF($A258="","",$L258-$D258-$E258-$G258)</f>
        <v/>
      </c>
      <c r="N258" s="10" t="str">
        <f aca="false">IF($A258="","",SUMIFS('Daily Entry'!$H$4:$H$2003,'Daily Entry'!$A$4:$A$2003,$A258))</f>
        <v/>
      </c>
      <c r="O258" s="10" t="str">
        <f aca="false">IF($A258="","",SUMIFS('Daily Entry'!$I$4:$I$2003,'Daily Entry'!$A$4:$A$2003,$A258))</f>
        <v/>
      </c>
      <c r="P258" s="10" t="str">
        <f aca="false">IF($A258="","",SUMPRODUCT(('Daily Entry'!$A$4:$A$2003=$A258)*('Daily Entry'!$M$4:$M$2003)*('Daily Entry'!$D$4:$D$2003)))</f>
        <v/>
      </c>
    </row>
    <row r="259" customFormat="false" ht="15" hidden="false" customHeight="false" outlineLevel="0" collapsed="false">
      <c r="A259" s="27"/>
      <c r="B259" s="10" t="str">
        <f aca="false">IF($A259="","",SUMIFS('Daily Entry'!$P$4:$P$2003,'Daily Entry'!$A$4:$A$2003,$A259))</f>
        <v/>
      </c>
      <c r="C259" s="9"/>
      <c r="D259" s="9"/>
      <c r="E259" s="9"/>
      <c r="F259" s="8"/>
      <c r="G259" s="9"/>
      <c r="H259" s="9"/>
      <c r="I259" s="8"/>
      <c r="J259" s="28" t="str">
        <f aca="false">IF($A259="","",$B259+$C259-$D259-$E259-$G259-$H259)</f>
        <v/>
      </c>
      <c r="K259" s="10" t="str">
        <f aca="false">IF($A259="","",SUMIFS('Daily Entry'!$Q$4:$Q$2003,'Daily Entry'!$A$4:$A$2003,$A259))</f>
        <v/>
      </c>
      <c r="L259" s="10" t="str">
        <f aca="false">IF($A259="","",$B259-$K259)</f>
        <v/>
      </c>
      <c r="M259" s="28" t="str">
        <f aca="false">IF($A259="","",$L259-$D259-$E259-$G259)</f>
        <v/>
      </c>
      <c r="N259" s="10" t="str">
        <f aca="false">IF($A259="","",SUMIFS('Daily Entry'!$H$4:$H$2003,'Daily Entry'!$A$4:$A$2003,$A259))</f>
        <v/>
      </c>
      <c r="O259" s="10" t="str">
        <f aca="false">IF($A259="","",SUMIFS('Daily Entry'!$I$4:$I$2003,'Daily Entry'!$A$4:$A$2003,$A259))</f>
        <v/>
      </c>
      <c r="P259" s="10" t="str">
        <f aca="false">IF($A259="","",SUMPRODUCT(('Daily Entry'!$A$4:$A$2003=$A259)*('Daily Entry'!$M$4:$M$2003)*('Daily Entry'!$D$4:$D$2003)))</f>
        <v/>
      </c>
    </row>
    <row r="260" customFormat="false" ht="15" hidden="false" customHeight="false" outlineLevel="0" collapsed="false">
      <c r="A260" s="27"/>
      <c r="B260" s="10" t="str">
        <f aca="false">IF($A260="","",SUMIFS('Daily Entry'!$P$4:$P$2003,'Daily Entry'!$A$4:$A$2003,$A260))</f>
        <v/>
      </c>
      <c r="C260" s="9"/>
      <c r="D260" s="9"/>
      <c r="E260" s="9"/>
      <c r="F260" s="8"/>
      <c r="G260" s="9"/>
      <c r="H260" s="9"/>
      <c r="I260" s="8"/>
      <c r="J260" s="28" t="str">
        <f aca="false">IF($A260="","",$B260+$C260-$D260-$E260-$G260-$H260)</f>
        <v/>
      </c>
      <c r="K260" s="10" t="str">
        <f aca="false">IF($A260="","",SUMIFS('Daily Entry'!$Q$4:$Q$2003,'Daily Entry'!$A$4:$A$2003,$A260))</f>
        <v/>
      </c>
      <c r="L260" s="10" t="str">
        <f aca="false">IF($A260="","",$B260-$K260)</f>
        <v/>
      </c>
      <c r="M260" s="28" t="str">
        <f aca="false">IF($A260="","",$L260-$D260-$E260-$G260)</f>
        <v/>
      </c>
      <c r="N260" s="10" t="str">
        <f aca="false">IF($A260="","",SUMIFS('Daily Entry'!$H$4:$H$2003,'Daily Entry'!$A$4:$A$2003,$A260))</f>
        <v/>
      </c>
      <c r="O260" s="10" t="str">
        <f aca="false">IF($A260="","",SUMIFS('Daily Entry'!$I$4:$I$2003,'Daily Entry'!$A$4:$A$2003,$A260))</f>
        <v/>
      </c>
      <c r="P260" s="10" t="str">
        <f aca="false">IF($A260="","",SUMPRODUCT(('Daily Entry'!$A$4:$A$2003=$A260)*('Daily Entry'!$M$4:$M$2003)*('Daily Entry'!$D$4:$D$2003)))</f>
        <v/>
      </c>
    </row>
    <row r="261" customFormat="false" ht="15" hidden="false" customHeight="false" outlineLevel="0" collapsed="false">
      <c r="A261" s="27"/>
      <c r="B261" s="10" t="str">
        <f aca="false">IF($A261="","",SUMIFS('Daily Entry'!$P$4:$P$2003,'Daily Entry'!$A$4:$A$2003,$A261))</f>
        <v/>
      </c>
      <c r="C261" s="9"/>
      <c r="D261" s="9"/>
      <c r="E261" s="9"/>
      <c r="F261" s="8"/>
      <c r="G261" s="9"/>
      <c r="H261" s="9"/>
      <c r="I261" s="8"/>
      <c r="J261" s="28" t="str">
        <f aca="false">IF($A261="","",$B261+$C261-$D261-$E261-$G261-$H261)</f>
        <v/>
      </c>
      <c r="K261" s="10" t="str">
        <f aca="false">IF($A261="","",SUMIFS('Daily Entry'!$Q$4:$Q$2003,'Daily Entry'!$A$4:$A$2003,$A261))</f>
        <v/>
      </c>
      <c r="L261" s="10" t="str">
        <f aca="false">IF($A261="","",$B261-$K261)</f>
        <v/>
      </c>
      <c r="M261" s="28" t="str">
        <f aca="false">IF($A261="","",$L261-$D261-$E261-$G261)</f>
        <v/>
      </c>
      <c r="N261" s="10" t="str">
        <f aca="false">IF($A261="","",SUMIFS('Daily Entry'!$H$4:$H$2003,'Daily Entry'!$A$4:$A$2003,$A261))</f>
        <v/>
      </c>
      <c r="O261" s="10" t="str">
        <f aca="false">IF($A261="","",SUMIFS('Daily Entry'!$I$4:$I$2003,'Daily Entry'!$A$4:$A$2003,$A261))</f>
        <v/>
      </c>
      <c r="P261" s="10" t="str">
        <f aca="false">IF($A261="","",SUMPRODUCT(('Daily Entry'!$A$4:$A$2003=$A261)*('Daily Entry'!$M$4:$M$2003)*('Daily Entry'!$D$4:$D$2003)))</f>
        <v/>
      </c>
    </row>
    <row r="262" customFormat="false" ht="15" hidden="false" customHeight="false" outlineLevel="0" collapsed="false">
      <c r="A262" s="27"/>
      <c r="B262" s="10" t="str">
        <f aca="false">IF($A262="","",SUMIFS('Daily Entry'!$P$4:$P$2003,'Daily Entry'!$A$4:$A$2003,$A262))</f>
        <v/>
      </c>
      <c r="C262" s="9"/>
      <c r="D262" s="9"/>
      <c r="E262" s="9"/>
      <c r="F262" s="8"/>
      <c r="G262" s="9"/>
      <c r="H262" s="9"/>
      <c r="I262" s="8"/>
      <c r="J262" s="28" t="str">
        <f aca="false">IF($A262="","",$B262+$C262-$D262-$E262-$G262-$H262)</f>
        <v/>
      </c>
      <c r="K262" s="10" t="str">
        <f aca="false">IF($A262="","",SUMIFS('Daily Entry'!$Q$4:$Q$2003,'Daily Entry'!$A$4:$A$2003,$A262))</f>
        <v/>
      </c>
      <c r="L262" s="10" t="str">
        <f aca="false">IF($A262="","",$B262-$K262)</f>
        <v/>
      </c>
      <c r="M262" s="28" t="str">
        <f aca="false">IF($A262="","",$L262-$D262-$E262-$G262)</f>
        <v/>
      </c>
      <c r="N262" s="10" t="str">
        <f aca="false">IF($A262="","",SUMIFS('Daily Entry'!$H$4:$H$2003,'Daily Entry'!$A$4:$A$2003,$A262))</f>
        <v/>
      </c>
      <c r="O262" s="10" t="str">
        <f aca="false">IF($A262="","",SUMIFS('Daily Entry'!$I$4:$I$2003,'Daily Entry'!$A$4:$A$2003,$A262))</f>
        <v/>
      </c>
      <c r="P262" s="10" t="str">
        <f aca="false">IF($A262="","",SUMPRODUCT(('Daily Entry'!$A$4:$A$2003=$A262)*('Daily Entry'!$M$4:$M$2003)*('Daily Entry'!$D$4:$D$2003)))</f>
        <v/>
      </c>
    </row>
    <row r="263" customFormat="false" ht="15" hidden="false" customHeight="false" outlineLevel="0" collapsed="false">
      <c r="A263" s="27"/>
      <c r="B263" s="10" t="str">
        <f aca="false">IF($A263="","",SUMIFS('Daily Entry'!$P$4:$P$2003,'Daily Entry'!$A$4:$A$2003,$A263))</f>
        <v/>
      </c>
      <c r="C263" s="9"/>
      <c r="D263" s="9"/>
      <c r="E263" s="9"/>
      <c r="F263" s="8"/>
      <c r="G263" s="9"/>
      <c r="H263" s="9"/>
      <c r="I263" s="8"/>
      <c r="J263" s="28" t="str">
        <f aca="false">IF($A263="","",$B263+$C263-$D263-$E263-$G263-$H263)</f>
        <v/>
      </c>
      <c r="K263" s="10" t="str">
        <f aca="false">IF($A263="","",SUMIFS('Daily Entry'!$Q$4:$Q$2003,'Daily Entry'!$A$4:$A$2003,$A263))</f>
        <v/>
      </c>
      <c r="L263" s="10" t="str">
        <f aca="false">IF($A263="","",$B263-$K263)</f>
        <v/>
      </c>
      <c r="M263" s="28" t="str">
        <f aca="false">IF($A263="","",$L263-$D263-$E263-$G263)</f>
        <v/>
      </c>
      <c r="N263" s="10" t="str">
        <f aca="false">IF($A263="","",SUMIFS('Daily Entry'!$H$4:$H$2003,'Daily Entry'!$A$4:$A$2003,$A263))</f>
        <v/>
      </c>
      <c r="O263" s="10" t="str">
        <f aca="false">IF($A263="","",SUMIFS('Daily Entry'!$I$4:$I$2003,'Daily Entry'!$A$4:$A$2003,$A263))</f>
        <v/>
      </c>
      <c r="P263" s="10" t="str">
        <f aca="false">IF($A263="","",SUMPRODUCT(('Daily Entry'!$A$4:$A$2003=$A263)*('Daily Entry'!$M$4:$M$2003)*('Daily Entry'!$D$4:$D$2003)))</f>
        <v/>
      </c>
    </row>
    <row r="264" customFormat="false" ht="15" hidden="false" customHeight="false" outlineLevel="0" collapsed="false">
      <c r="A264" s="27"/>
      <c r="B264" s="10" t="str">
        <f aca="false">IF($A264="","",SUMIFS('Daily Entry'!$P$4:$P$2003,'Daily Entry'!$A$4:$A$2003,$A264))</f>
        <v/>
      </c>
      <c r="C264" s="9"/>
      <c r="D264" s="9"/>
      <c r="E264" s="9"/>
      <c r="F264" s="8"/>
      <c r="G264" s="9"/>
      <c r="H264" s="9"/>
      <c r="I264" s="8"/>
      <c r="J264" s="28" t="str">
        <f aca="false">IF($A264="","",$B264+$C264-$D264-$E264-$G264-$H264)</f>
        <v/>
      </c>
      <c r="K264" s="10" t="str">
        <f aca="false">IF($A264="","",SUMIFS('Daily Entry'!$Q$4:$Q$2003,'Daily Entry'!$A$4:$A$2003,$A264))</f>
        <v/>
      </c>
      <c r="L264" s="10" t="str">
        <f aca="false">IF($A264="","",$B264-$K264)</f>
        <v/>
      </c>
      <c r="M264" s="28" t="str">
        <f aca="false">IF($A264="","",$L264-$D264-$E264-$G264)</f>
        <v/>
      </c>
      <c r="N264" s="10" t="str">
        <f aca="false">IF($A264="","",SUMIFS('Daily Entry'!$H$4:$H$2003,'Daily Entry'!$A$4:$A$2003,$A264))</f>
        <v/>
      </c>
      <c r="O264" s="10" t="str">
        <f aca="false">IF($A264="","",SUMIFS('Daily Entry'!$I$4:$I$2003,'Daily Entry'!$A$4:$A$2003,$A264))</f>
        <v/>
      </c>
      <c r="P264" s="10" t="str">
        <f aca="false">IF($A264="","",SUMPRODUCT(('Daily Entry'!$A$4:$A$2003=$A264)*('Daily Entry'!$M$4:$M$2003)*('Daily Entry'!$D$4:$D$2003)))</f>
        <v/>
      </c>
    </row>
    <row r="265" customFormat="false" ht="15" hidden="false" customHeight="false" outlineLevel="0" collapsed="false">
      <c r="A265" s="27"/>
      <c r="B265" s="10" t="str">
        <f aca="false">IF($A265="","",SUMIFS('Daily Entry'!$P$4:$P$2003,'Daily Entry'!$A$4:$A$2003,$A265))</f>
        <v/>
      </c>
      <c r="C265" s="9"/>
      <c r="D265" s="9"/>
      <c r="E265" s="9"/>
      <c r="F265" s="8"/>
      <c r="G265" s="9"/>
      <c r="H265" s="9"/>
      <c r="I265" s="8"/>
      <c r="J265" s="28" t="str">
        <f aca="false">IF($A265="","",$B265+$C265-$D265-$E265-$G265-$H265)</f>
        <v/>
      </c>
      <c r="K265" s="10" t="str">
        <f aca="false">IF($A265="","",SUMIFS('Daily Entry'!$Q$4:$Q$2003,'Daily Entry'!$A$4:$A$2003,$A265))</f>
        <v/>
      </c>
      <c r="L265" s="10" t="str">
        <f aca="false">IF($A265="","",$B265-$K265)</f>
        <v/>
      </c>
      <c r="M265" s="28" t="str">
        <f aca="false">IF($A265="","",$L265-$D265-$E265-$G265)</f>
        <v/>
      </c>
      <c r="N265" s="10" t="str">
        <f aca="false">IF($A265="","",SUMIFS('Daily Entry'!$H$4:$H$2003,'Daily Entry'!$A$4:$A$2003,$A265))</f>
        <v/>
      </c>
      <c r="O265" s="10" t="str">
        <f aca="false">IF($A265="","",SUMIFS('Daily Entry'!$I$4:$I$2003,'Daily Entry'!$A$4:$A$2003,$A265))</f>
        <v/>
      </c>
      <c r="P265" s="10" t="str">
        <f aca="false">IF($A265="","",SUMPRODUCT(('Daily Entry'!$A$4:$A$2003=$A265)*('Daily Entry'!$M$4:$M$2003)*('Daily Entry'!$D$4:$D$2003)))</f>
        <v/>
      </c>
    </row>
    <row r="266" customFormat="false" ht="15" hidden="false" customHeight="false" outlineLevel="0" collapsed="false">
      <c r="A266" s="27"/>
      <c r="B266" s="10" t="str">
        <f aca="false">IF($A266="","",SUMIFS('Daily Entry'!$P$4:$P$2003,'Daily Entry'!$A$4:$A$2003,$A266))</f>
        <v/>
      </c>
      <c r="C266" s="9"/>
      <c r="D266" s="9"/>
      <c r="E266" s="9"/>
      <c r="F266" s="8"/>
      <c r="G266" s="9"/>
      <c r="H266" s="9"/>
      <c r="I266" s="8"/>
      <c r="J266" s="28" t="str">
        <f aca="false">IF($A266="","",$B266+$C266-$D266-$E266-$G266-$H266)</f>
        <v/>
      </c>
      <c r="K266" s="10" t="str">
        <f aca="false">IF($A266="","",SUMIFS('Daily Entry'!$Q$4:$Q$2003,'Daily Entry'!$A$4:$A$2003,$A266))</f>
        <v/>
      </c>
      <c r="L266" s="10" t="str">
        <f aca="false">IF($A266="","",$B266-$K266)</f>
        <v/>
      </c>
      <c r="M266" s="28" t="str">
        <f aca="false">IF($A266="","",$L266-$D266-$E266-$G266)</f>
        <v/>
      </c>
      <c r="N266" s="10" t="str">
        <f aca="false">IF($A266="","",SUMIFS('Daily Entry'!$H$4:$H$2003,'Daily Entry'!$A$4:$A$2003,$A266))</f>
        <v/>
      </c>
      <c r="O266" s="10" t="str">
        <f aca="false">IF($A266="","",SUMIFS('Daily Entry'!$I$4:$I$2003,'Daily Entry'!$A$4:$A$2003,$A266))</f>
        <v/>
      </c>
      <c r="P266" s="10" t="str">
        <f aca="false">IF($A266="","",SUMPRODUCT(('Daily Entry'!$A$4:$A$2003=$A266)*('Daily Entry'!$M$4:$M$2003)*('Daily Entry'!$D$4:$D$2003)))</f>
        <v/>
      </c>
    </row>
    <row r="267" customFormat="false" ht="15" hidden="false" customHeight="false" outlineLevel="0" collapsed="false">
      <c r="A267" s="27"/>
      <c r="B267" s="10" t="str">
        <f aca="false">IF($A267="","",SUMIFS('Daily Entry'!$P$4:$P$2003,'Daily Entry'!$A$4:$A$2003,$A267))</f>
        <v/>
      </c>
      <c r="C267" s="9"/>
      <c r="D267" s="9"/>
      <c r="E267" s="9"/>
      <c r="F267" s="8"/>
      <c r="G267" s="9"/>
      <c r="H267" s="9"/>
      <c r="I267" s="8"/>
      <c r="J267" s="28" t="str">
        <f aca="false">IF($A267="","",$B267+$C267-$D267-$E267-$G267-$H267)</f>
        <v/>
      </c>
      <c r="K267" s="10" t="str">
        <f aca="false">IF($A267="","",SUMIFS('Daily Entry'!$Q$4:$Q$2003,'Daily Entry'!$A$4:$A$2003,$A267))</f>
        <v/>
      </c>
      <c r="L267" s="10" t="str">
        <f aca="false">IF($A267="","",$B267-$K267)</f>
        <v/>
      </c>
      <c r="M267" s="28" t="str">
        <f aca="false">IF($A267="","",$L267-$D267-$E267-$G267)</f>
        <v/>
      </c>
      <c r="N267" s="10" t="str">
        <f aca="false">IF($A267="","",SUMIFS('Daily Entry'!$H$4:$H$2003,'Daily Entry'!$A$4:$A$2003,$A267))</f>
        <v/>
      </c>
      <c r="O267" s="10" t="str">
        <f aca="false">IF($A267="","",SUMIFS('Daily Entry'!$I$4:$I$2003,'Daily Entry'!$A$4:$A$2003,$A267))</f>
        <v/>
      </c>
      <c r="P267" s="10" t="str">
        <f aca="false">IF($A267="","",SUMPRODUCT(('Daily Entry'!$A$4:$A$2003=$A267)*('Daily Entry'!$M$4:$M$2003)*('Daily Entry'!$D$4:$D$2003)))</f>
        <v/>
      </c>
    </row>
    <row r="268" customFormat="false" ht="15" hidden="false" customHeight="false" outlineLevel="0" collapsed="false">
      <c r="A268" s="27"/>
      <c r="B268" s="10" t="str">
        <f aca="false">IF($A268="","",SUMIFS('Daily Entry'!$P$4:$P$2003,'Daily Entry'!$A$4:$A$2003,$A268))</f>
        <v/>
      </c>
      <c r="C268" s="9"/>
      <c r="D268" s="9"/>
      <c r="E268" s="9"/>
      <c r="F268" s="8"/>
      <c r="G268" s="9"/>
      <c r="H268" s="9"/>
      <c r="I268" s="8"/>
      <c r="J268" s="28" t="str">
        <f aca="false">IF($A268="","",$B268+$C268-$D268-$E268-$G268-$H268)</f>
        <v/>
      </c>
      <c r="K268" s="10" t="str">
        <f aca="false">IF($A268="","",SUMIFS('Daily Entry'!$Q$4:$Q$2003,'Daily Entry'!$A$4:$A$2003,$A268))</f>
        <v/>
      </c>
      <c r="L268" s="10" t="str">
        <f aca="false">IF($A268="","",$B268-$K268)</f>
        <v/>
      </c>
      <c r="M268" s="28" t="str">
        <f aca="false">IF($A268="","",$L268-$D268-$E268-$G268)</f>
        <v/>
      </c>
      <c r="N268" s="10" t="str">
        <f aca="false">IF($A268="","",SUMIFS('Daily Entry'!$H$4:$H$2003,'Daily Entry'!$A$4:$A$2003,$A268))</f>
        <v/>
      </c>
      <c r="O268" s="10" t="str">
        <f aca="false">IF($A268="","",SUMIFS('Daily Entry'!$I$4:$I$2003,'Daily Entry'!$A$4:$A$2003,$A268))</f>
        <v/>
      </c>
      <c r="P268" s="10" t="str">
        <f aca="false">IF($A268="","",SUMPRODUCT(('Daily Entry'!$A$4:$A$2003=$A268)*('Daily Entry'!$M$4:$M$2003)*('Daily Entry'!$D$4:$D$2003)))</f>
        <v/>
      </c>
    </row>
    <row r="269" customFormat="false" ht="15" hidden="false" customHeight="false" outlineLevel="0" collapsed="false">
      <c r="A269" s="27"/>
      <c r="B269" s="10" t="str">
        <f aca="false">IF($A269="","",SUMIFS('Daily Entry'!$P$4:$P$2003,'Daily Entry'!$A$4:$A$2003,$A269))</f>
        <v/>
      </c>
      <c r="C269" s="9"/>
      <c r="D269" s="9"/>
      <c r="E269" s="9"/>
      <c r="F269" s="8"/>
      <c r="G269" s="9"/>
      <c r="H269" s="9"/>
      <c r="I269" s="8"/>
      <c r="J269" s="28" t="str">
        <f aca="false">IF($A269="","",$B269+$C269-$D269-$E269-$G269-$H269)</f>
        <v/>
      </c>
      <c r="K269" s="10" t="str">
        <f aca="false">IF($A269="","",SUMIFS('Daily Entry'!$Q$4:$Q$2003,'Daily Entry'!$A$4:$A$2003,$A269))</f>
        <v/>
      </c>
      <c r="L269" s="10" t="str">
        <f aca="false">IF($A269="","",$B269-$K269)</f>
        <v/>
      </c>
      <c r="M269" s="28" t="str">
        <f aca="false">IF($A269="","",$L269-$D269-$E269-$G269)</f>
        <v/>
      </c>
      <c r="N269" s="10" t="str">
        <f aca="false">IF($A269="","",SUMIFS('Daily Entry'!$H$4:$H$2003,'Daily Entry'!$A$4:$A$2003,$A269))</f>
        <v/>
      </c>
      <c r="O269" s="10" t="str">
        <f aca="false">IF($A269="","",SUMIFS('Daily Entry'!$I$4:$I$2003,'Daily Entry'!$A$4:$A$2003,$A269))</f>
        <v/>
      </c>
      <c r="P269" s="10" t="str">
        <f aca="false">IF($A269="","",SUMPRODUCT(('Daily Entry'!$A$4:$A$2003=$A269)*('Daily Entry'!$M$4:$M$2003)*('Daily Entry'!$D$4:$D$2003)))</f>
        <v/>
      </c>
    </row>
    <row r="270" customFormat="false" ht="15" hidden="false" customHeight="false" outlineLevel="0" collapsed="false">
      <c r="A270" s="27"/>
      <c r="B270" s="10" t="str">
        <f aca="false">IF($A270="","",SUMIFS('Daily Entry'!$P$4:$P$2003,'Daily Entry'!$A$4:$A$2003,$A270))</f>
        <v/>
      </c>
      <c r="C270" s="9"/>
      <c r="D270" s="9"/>
      <c r="E270" s="9"/>
      <c r="F270" s="8"/>
      <c r="G270" s="9"/>
      <c r="H270" s="9"/>
      <c r="I270" s="8"/>
      <c r="J270" s="28" t="str">
        <f aca="false">IF($A270="","",$B270+$C270-$D270-$E270-$G270-$H270)</f>
        <v/>
      </c>
      <c r="K270" s="10" t="str">
        <f aca="false">IF($A270="","",SUMIFS('Daily Entry'!$Q$4:$Q$2003,'Daily Entry'!$A$4:$A$2003,$A270))</f>
        <v/>
      </c>
      <c r="L270" s="10" t="str">
        <f aca="false">IF($A270="","",$B270-$K270)</f>
        <v/>
      </c>
      <c r="M270" s="28" t="str">
        <f aca="false">IF($A270="","",$L270-$D270-$E270-$G270)</f>
        <v/>
      </c>
      <c r="N270" s="10" t="str">
        <f aca="false">IF($A270="","",SUMIFS('Daily Entry'!$H$4:$H$2003,'Daily Entry'!$A$4:$A$2003,$A270))</f>
        <v/>
      </c>
      <c r="O270" s="10" t="str">
        <f aca="false">IF($A270="","",SUMIFS('Daily Entry'!$I$4:$I$2003,'Daily Entry'!$A$4:$A$2003,$A270))</f>
        <v/>
      </c>
      <c r="P270" s="10" t="str">
        <f aca="false">IF($A270="","",SUMPRODUCT(('Daily Entry'!$A$4:$A$2003=$A270)*('Daily Entry'!$M$4:$M$2003)*('Daily Entry'!$D$4:$D$2003)))</f>
        <v/>
      </c>
    </row>
    <row r="271" customFormat="false" ht="15" hidden="false" customHeight="false" outlineLevel="0" collapsed="false">
      <c r="A271" s="27"/>
      <c r="B271" s="10" t="str">
        <f aca="false">IF($A271="","",SUMIFS('Daily Entry'!$P$4:$P$2003,'Daily Entry'!$A$4:$A$2003,$A271))</f>
        <v/>
      </c>
      <c r="C271" s="9"/>
      <c r="D271" s="9"/>
      <c r="E271" s="9"/>
      <c r="F271" s="8"/>
      <c r="G271" s="9"/>
      <c r="H271" s="9"/>
      <c r="I271" s="8"/>
      <c r="J271" s="28" t="str">
        <f aca="false">IF($A271="","",$B271+$C271-$D271-$E271-$G271-$H271)</f>
        <v/>
      </c>
      <c r="K271" s="10" t="str">
        <f aca="false">IF($A271="","",SUMIFS('Daily Entry'!$Q$4:$Q$2003,'Daily Entry'!$A$4:$A$2003,$A271))</f>
        <v/>
      </c>
      <c r="L271" s="10" t="str">
        <f aca="false">IF($A271="","",$B271-$K271)</f>
        <v/>
      </c>
      <c r="M271" s="28" t="str">
        <f aca="false">IF($A271="","",$L271-$D271-$E271-$G271)</f>
        <v/>
      </c>
      <c r="N271" s="10" t="str">
        <f aca="false">IF($A271="","",SUMIFS('Daily Entry'!$H$4:$H$2003,'Daily Entry'!$A$4:$A$2003,$A271))</f>
        <v/>
      </c>
      <c r="O271" s="10" t="str">
        <f aca="false">IF($A271="","",SUMIFS('Daily Entry'!$I$4:$I$2003,'Daily Entry'!$A$4:$A$2003,$A271))</f>
        <v/>
      </c>
      <c r="P271" s="10" t="str">
        <f aca="false">IF($A271="","",SUMPRODUCT(('Daily Entry'!$A$4:$A$2003=$A271)*('Daily Entry'!$M$4:$M$2003)*('Daily Entry'!$D$4:$D$2003)))</f>
        <v/>
      </c>
    </row>
    <row r="272" customFormat="false" ht="15" hidden="false" customHeight="false" outlineLevel="0" collapsed="false">
      <c r="A272" s="27"/>
      <c r="B272" s="10" t="str">
        <f aca="false">IF($A272="","",SUMIFS('Daily Entry'!$P$4:$P$2003,'Daily Entry'!$A$4:$A$2003,$A272))</f>
        <v/>
      </c>
      <c r="C272" s="9"/>
      <c r="D272" s="9"/>
      <c r="E272" s="9"/>
      <c r="F272" s="8"/>
      <c r="G272" s="9"/>
      <c r="H272" s="9"/>
      <c r="I272" s="8"/>
      <c r="J272" s="28" t="str">
        <f aca="false">IF($A272="","",$B272+$C272-$D272-$E272-$G272-$H272)</f>
        <v/>
      </c>
      <c r="K272" s="10" t="str">
        <f aca="false">IF($A272="","",SUMIFS('Daily Entry'!$Q$4:$Q$2003,'Daily Entry'!$A$4:$A$2003,$A272))</f>
        <v/>
      </c>
      <c r="L272" s="10" t="str">
        <f aca="false">IF($A272="","",$B272-$K272)</f>
        <v/>
      </c>
      <c r="M272" s="28" t="str">
        <f aca="false">IF($A272="","",$L272-$D272-$E272-$G272)</f>
        <v/>
      </c>
      <c r="N272" s="10" t="str">
        <f aca="false">IF($A272="","",SUMIFS('Daily Entry'!$H$4:$H$2003,'Daily Entry'!$A$4:$A$2003,$A272))</f>
        <v/>
      </c>
      <c r="O272" s="10" t="str">
        <f aca="false">IF($A272="","",SUMIFS('Daily Entry'!$I$4:$I$2003,'Daily Entry'!$A$4:$A$2003,$A272))</f>
        <v/>
      </c>
      <c r="P272" s="10" t="str">
        <f aca="false">IF($A272="","",SUMPRODUCT(('Daily Entry'!$A$4:$A$2003=$A272)*('Daily Entry'!$M$4:$M$2003)*('Daily Entry'!$D$4:$D$2003)))</f>
        <v/>
      </c>
    </row>
    <row r="273" customFormat="false" ht="15" hidden="false" customHeight="false" outlineLevel="0" collapsed="false">
      <c r="A273" s="27"/>
      <c r="B273" s="10" t="str">
        <f aca="false">IF($A273="","",SUMIFS('Daily Entry'!$P$4:$P$2003,'Daily Entry'!$A$4:$A$2003,$A273))</f>
        <v/>
      </c>
      <c r="C273" s="9"/>
      <c r="D273" s="9"/>
      <c r="E273" s="9"/>
      <c r="F273" s="8"/>
      <c r="G273" s="9"/>
      <c r="H273" s="9"/>
      <c r="I273" s="8"/>
      <c r="J273" s="28" t="str">
        <f aca="false">IF($A273="","",$B273+$C273-$D273-$E273-$G273-$H273)</f>
        <v/>
      </c>
      <c r="K273" s="10" t="str">
        <f aca="false">IF($A273="","",SUMIFS('Daily Entry'!$Q$4:$Q$2003,'Daily Entry'!$A$4:$A$2003,$A273))</f>
        <v/>
      </c>
      <c r="L273" s="10" t="str">
        <f aca="false">IF($A273="","",$B273-$K273)</f>
        <v/>
      </c>
      <c r="M273" s="28" t="str">
        <f aca="false">IF($A273="","",$L273-$D273-$E273-$G273)</f>
        <v/>
      </c>
      <c r="N273" s="10" t="str">
        <f aca="false">IF($A273="","",SUMIFS('Daily Entry'!$H$4:$H$2003,'Daily Entry'!$A$4:$A$2003,$A273))</f>
        <v/>
      </c>
      <c r="O273" s="10" t="str">
        <f aca="false">IF($A273="","",SUMIFS('Daily Entry'!$I$4:$I$2003,'Daily Entry'!$A$4:$A$2003,$A273))</f>
        <v/>
      </c>
      <c r="P273" s="10" t="str">
        <f aca="false">IF($A273="","",SUMPRODUCT(('Daily Entry'!$A$4:$A$2003=$A273)*('Daily Entry'!$M$4:$M$2003)*('Daily Entry'!$D$4:$D$2003)))</f>
        <v/>
      </c>
    </row>
    <row r="274" customFormat="false" ht="15" hidden="false" customHeight="false" outlineLevel="0" collapsed="false">
      <c r="A274" s="27"/>
      <c r="B274" s="10" t="str">
        <f aca="false">IF($A274="","",SUMIFS('Daily Entry'!$P$4:$P$2003,'Daily Entry'!$A$4:$A$2003,$A274))</f>
        <v/>
      </c>
      <c r="C274" s="9"/>
      <c r="D274" s="9"/>
      <c r="E274" s="9"/>
      <c r="F274" s="8"/>
      <c r="G274" s="9"/>
      <c r="H274" s="9"/>
      <c r="I274" s="8"/>
      <c r="J274" s="28" t="str">
        <f aca="false">IF($A274="","",$B274+$C274-$D274-$E274-$G274-$H274)</f>
        <v/>
      </c>
      <c r="K274" s="10" t="str">
        <f aca="false">IF($A274="","",SUMIFS('Daily Entry'!$Q$4:$Q$2003,'Daily Entry'!$A$4:$A$2003,$A274))</f>
        <v/>
      </c>
      <c r="L274" s="10" t="str">
        <f aca="false">IF($A274="","",$B274-$K274)</f>
        <v/>
      </c>
      <c r="M274" s="28" t="str">
        <f aca="false">IF($A274="","",$L274-$D274-$E274-$G274)</f>
        <v/>
      </c>
      <c r="N274" s="10" t="str">
        <f aca="false">IF($A274="","",SUMIFS('Daily Entry'!$H$4:$H$2003,'Daily Entry'!$A$4:$A$2003,$A274))</f>
        <v/>
      </c>
      <c r="O274" s="10" t="str">
        <f aca="false">IF($A274="","",SUMIFS('Daily Entry'!$I$4:$I$2003,'Daily Entry'!$A$4:$A$2003,$A274))</f>
        <v/>
      </c>
      <c r="P274" s="10" t="str">
        <f aca="false">IF($A274="","",SUMPRODUCT(('Daily Entry'!$A$4:$A$2003=$A274)*('Daily Entry'!$M$4:$M$2003)*('Daily Entry'!$D$4:$D$2003)))</f>
        <v/>
      </c>
    </row>
    <row r="275" customFormat="false" ht="15" hidden="false" customHeight="false" outlineLevel="0" collapsed="false">
      <c r="A275" s="27"/>
      <c r="B275" s="10" t="str">
        <f aca="false">IF($A275="","",SUMIFS('Daily Entry'!$P$4:$P$2003,'Daily Entry'!$A$4:$A$2003,$A275))</f>
        <v/>
      </c>
      <c r="C275" s="9"/>
      <c r="D275" s="9"/>
      <c r="E275" s="9"/>
      <c r="F275" s="8"/>
      <c r="G275" s="9"/>
      <c r="H275" s="9"/>
      <c r="I275" s="8"/>
      <c r="J275" s="28" t="str">
        <f aca="false">IF($A275="","",$B275+$C275-$D275-$E275-$G275-$H275)</f>
        <v/>
      </c>
      <c r="K275" s="10" t="str">
        <f aca="false">IF($A275="","",SUMIFS('Daily Entry'!$Q$4:$Q$2003,'Daily Entry'!$A$4:$A$2003,$A275))</f>
        <v/>
      </c>
      <c r="L275" s="10" t="str">
        <f aca="false">IF($A275="","",$B275-$K275)</f>
        <v/>
      </c>
      <c r="M275" s="28" t="str">
        <f aca="false">IF($A275="","",$L275-$D275-$E275-$G275)</f>
        <v/>
      </c>
      <c r="N275" s="10" t="str">
        <f aca="false">IF($A275="","",SUMIFS('Daily Entry'!$H$4:$H$2003,'Daily Entry'!$A$4:$A$2003,$A275))</f>
        <v/>
      </c>
      <c r="O275" s="10" t="str">
        <f aca="false">IF($A275="","",SUMIFS('Daily Entry'!$I$4:$I$2003,'Daily Entry'!$A$4:$A$2003,$A275))</f>
        <v/>
      </c>
      <c r="P275" s="10" t="str">
        <f aca="false">IF($A275="","",SUMPRODUCT(('Daily Entry'!$A$4:$A$2003=$A275)*('Daily Entry'!$M$4:$M$2003)*('Daily Entry'!$D$4:$D$2003)))</f>
        <v/>
      </c>
    </row>
    <row r="276" customFormat="false" ht="15" hidden="false" customHeight="false" outlineLevel="0" collapsed="false">
      <c r="A276" s="27"/>
      <c r="B276" s="10" t="str">
        <f aca="false">IF($A276="","",SUMIFS('Daily Entry'!$P$4:$P$2003,'Daily Entry'!$A$4:$A$2003,$A276))</f>
        <v/>
      </c>
      <c r="C276" s="9"/>
      <c r="D276" s="9"/>
      <c r="E276" s="9"/>
      <c r="F276" s="8"/>
      <c r="G276" s="9"/>
      <c r="H276" s="9"/>
      <c r="I276" s="8"/>
      <c r="J276" s="28" t="str">
        <f aca="false">IF($A276="","",$B276+$C276-$D276-$E276-$G276-$H276)</f>
        <v/>
      </c>
      <c r="K276" s="10" t="str">
        <f aca="false">IF($A276="","",SUMIFS('Daily Entry'!$Q$4:$Q$2003,'Daily Entry'!$A$4:$A$2003,$A276))</f>
        <v/>
      </c>
      <c r="L276" s="10" t="str">
        <f aca="false">IF($A276="","",$B276-$K276)</f>
        <v/>
      </c>
      <c r="M276" s="28" t="str">
        <f aca="false">IF($A276="","",$L276-$D276-$E276-$G276)</f>
        <v/>
      </c>
      <c r="N276" s="10" t="str">
        <f aca="false">IF($A276="","",SUMIFS('Daily Entry'!$H$4:$H$2003,'Daily Entry'!$A$4:$A$2003,$A276))</f>
        <v/>
      </c>
      <c r="O276" s="10" t="str">
        <f aca="false">IF($A276="","",SUMIFS('Daily Entry'!$I$4:$I$2003,'Daily Entry'!$A$4:$A$2003,$A276))</f>
        <v/>
      </c>
      <c r="P276" s="10" t="str">
        <f aca="false">IF($A276="","",SUMPRODUCT(('Daily Entry'!$A$4:$A$2003=$A276)*('Daily Entry'!$M$4:$M$2003)*('Daily Entry'!$D$4:$D$2003)))</f>
        <v/>
      </c>
    </row>
    <row r="277" customFormat="false" ht="15" hidden="false" customHeight="false" outlineLevel="0" collapsed="false">
      <c r="A277" s="27"/>
      <c r="B277" s="10" t="str">
        <f aca="false">IF($A277="","",SUMIFS('Daily Entry'!$P$4:$P$2003,'Daily Entry'!$A$4:$A$2003,$A277))</f>
        <v/>
      </c>
      <c r="C277" s="9"/>
      <c r="D277" s="9"/>
      <c r="E277" s="9"/>
      <c r="F277" s="8"/>
      <c r="G277" s="9"/>
      <c r="H277" s="9"/>
      <c r="I277" s="8"/>
      <c r="J277" s="28" t="str">
        <f aca="false">IF($A277="","",$B277+$C277-$D277-$E277-$G277-$H277)</f>
        <v/>
      </c>
      <c r="K277" s="10" t="str">
        <f aca="false">IF($A277="","",SUMIFS('Daily Entry'!$Q$4:$Q$2003,'Daily Entry'!$A$4:$A$2003,$A277))</f>
        <v/>
      </c>
      <c r="L277" s="10" t="str">
        <f aca="false">IF($A277="","",$B277-$K277)</f>
        <v/>
      </c>
      <c r="M277" s="28" t="str">
        <f aca="false">IF($A277="","",$L277-$D277-$E277-$G277)</f>
        <v/>
      </c>
      <c r="N277" s="10" t="str">
        <f aca="false">IF($A277="","",SUMIFS('Daily Entry'!$H$4:$H$2003,'Daily Entry'!$A$4:$A$2003,$A277))</f>
        <v/>
      </c>
      <c r="O277" s="10" t="str">
        <f aca="false">IF($A277="","",SUMIFS('Daily Entry'!$I$4:$I$2003,'Daily Entry'!$A$4:$A$2003,$A277))</f>
        <v/>
      </c>
      <c r="P277" s="10" t="str">
        <f aca="false">IF($A277="","",SUMPRODUCT(('Daily Entry'!$A$4:$A$2003=$A277)*('Daily Entry'!$M$4:$M$2003)*('Daily Entry'!$D$4:$D$2003)))</f>
        <v/>
      </c>
    </row>
    <row r="278" customFormat="false" ht="15" hidden="false" customHeight="false" outlineLevel="0" collapsed="false">
      <c r="A278" s="27"/>
      <c r="B278" s="10" t="str">
        <f aca="false">IF($A278="","",SUMIFS('Daily Entry'!$P$4:$P$2003,'Daily Entry'!$A$4:$A$2003,$A278))</f>
        <v/>
      </c>
      <c r="C278" s="9"/>
      <c r="D278" s="9"/>
      <c r="E278" s="9"/>
      <c r="F278" s="8"/>
      <c r="G278" s="9"/>
      <c r="H278" s="9"/>
      <c r="I278" s="8"/>
      <c r="J278" s="28" t="str">
        <f aca="false">IF($A278="","",$B278+$C278-$D278-$E278-$G278-$H278)</f>
        <v/>
      </c>
      <c r="K278" s="10" t="str">
        <f aca="false">IF($A278="","",SUMIFS('Daily Entry'!$Q$4:$Q$2003,'Daily Entry'!$A$4:$A$2003,$A278))</f>
        <v/>
      </c>
      <c r="L278" s="10" t="str">
        <f aca="false">IF($A278="","",$B278-$K278)</f>
        <v/>
      </c>
      <c r="M278" s="28" t="str">
        <f aca="false">IF($A278="","",$L278-$D278-$E278-$G278)</f>
        <v/>
      </c>
      <c r="N278" s="10" t="str">
        <f aca="false">IF($A278="","",SUMIFS('Daily Entry'!$H$4:$H$2003,'Daily Entry'!$A$4:$A$2003,$A278))</f>
        <v/>
      </c>
      <c r="O278" s="10" t="str">
        <f aca="false">IF($A278="","",SUMIFS('Daily Entry'!$I$4:$I$2003,'Daily Entry'!$A$4:$A$2003,$A278))</f>
        <v/>
      </c>
      <c r="P278" s="10" t="str">
        <f aca="false">IF($A278="","",SUMPRODUCT(('Daily Entry'!$A$4:$A$2003=$A278)*('Daily Entry'!$M$4:$M$2003)*('Daily Entry'!$D$4:$D$2003)))</f>
        <v/>
      </c>
    </row>
    <row r="279" customFormat="false" ht="15" hidden="false" customHeight="false" outlineLevel="0" collapsed="false">
      <c r="A279" s="27"/>
      <c r="B279" s="10" t="str">
        <f aca="false">IF($A279="","",SUMIFS('Daily Entry'!$P$4:$P$2003,'Daily Entry'!$A$4:$A$2003,$A279))</f>
        <v/>
      </c>
      <c r="C279" s="9"/>
      <c r="D279" s="9"/>
      <c r="E279" s="9"/>
      <c r="F279" s="8"/>
      <c r="G279" s="9"/>
      <c r="H279" s="9"/>
      <c r="I279" s="8"/>
      <c r="J279" s="28" t="str">
        <f aca="false">IF($A279="","",$B279+$C279-$D279-$E279-$G279-$H279)</f>
        <v/>
      </c>
      <c r="K279" s="10" t="str">
        <f aca="false">IF($A279="","",SUMIFS('Daily Entry'!$Q$4:$Q$2003,'Daily Entry'!$A$4:$A$2003,$A279))</f>
        <v/>
      </c>
      <c r="L279" s="10" t="str">
        <f aca="false">IF($A279="","",$B279-$K279)</f>
        <v/>
      </c>
      <c r="M279" s="28" t="str">
        <f aca="false">IF($A279="","",$L279-$D279-$E279-$G279)</f>
        <v/>
      </c>
      <c r="N279" s="10" t="str">
        <f aca="false">IF($A279="","",SUMIFS('Daily Entry'!$H$4:$H$2003,'Daily Entry'!$A$4:$A$2003,$A279))</f>
        <v/>
      </c>
      <c r="O279" s="10" t="str">
        <f aca="false">IF($A279="","",SUMIFS('Daily Entry'!$I$4:$I$2003,'Daily Entry'!$A$4:$A$2003,$A279))</f>
        <v/>
      </c>
      <c r="P279" s="10" t="str">
        <f aca="false">IF($A279="","",SUMPRODUCT(('Daily Entry'!$A$4:$A$2003=$A279)*('Daily Entry'!$M$4:$M$2003)*('Daily Entry'!$D$4:$D$2003)))</f>
        <v/>
      </c>
    </row>
    <row r="280" customFormat="false" ht="15" hidden="false" customHeight="false" outlineLevel="0" collapsed="false">
      <c r="A280" s="27"/>
      <c r="B280" s="10" t="str">
        <f aca="false">IF($A280="","",SUMIFS('Daily Entry'!$P$4:$P$2003,'Daily Entry'!$A$4:$A$2003,$A280))</f>
        <v/>
      </c>
      <c r="C280" s="9"/>
      <c r="D280" s="9"/>
      <c r="E280" s="9"/>
      <c r="F280" s="8"/>
      <c r="G280" s="9"/>
      <c r="H280" s="9"/>
      <c r="I280" s="8"/>
      <c r="J280" s="28" t="str">
        <f aca="false">IF($A280="","",$B280+$C280-$D280-$E280-$G280-$H280)</f>
        <v/>
      </c>
      <c r="K280" s="10" t="str">
        <f aca="false">IF($A280="","",SUMIFS('Daily Entry'!$Q$4:$Q$2003,'Daily Entry'!$A$4:$A$2003,$A280))</f>
        <v/>
      </c>
      <c r="L280" s="10" t="str">
        <f aca="false">IF($A280="","",$B280-$K280)</f>
        <v/>
      </c>
      <c r="M280" s="28" t="str">
        <f aca="false">IF($A280="","",$L280-$D280-$E280-$G280)</f>
        <v/>
      </c>
      <c r="N280" s="10" t="str">
        <f aca="false">IF($A280="","",SUMIFS('Daily Entry'!$H$4:$H$2003,'Daily Entry'!$A$4:$A$2003,$A280))</f>
        <v/>
      </c>
      <c r="O280" s="10" t="str">
        <f aca="false">IF($A280="","",SUMIFS('Daily Entry'!$I$4:$I$2003,'Daily Entry'!$A$4:$A$2003,$A280))</f>
        <v/>
      </c>
      <c r="P280" s="10" t="str">
        <f aca="false">IF($A280="","",SUMPRODUCT(('Daily Entry'!$A$4:$A$2003=$A280)*('Daily Entry'!$M$4:$M$2003)*('Daily Entry'!$D$4:$D$2003)))</f>
        <v/>
      </c>
    </row>
    <row r="281" customFormat="false" ht="15" hidden="false" customHeight="false" outlineLevel="0" collapsed="false">
      <c r="A281" s="27"/>
      <c r="B281" s="10" t="str">
        <f aca="false">IF($A281="","",SUMIFS('Daily Entry'!$P$4:$P$2003,'Daily Entry'!$A$4:$A$2003,$A281))</f>
        <v/>
      </c>
      <c r="C281" s="9"/>
      <c r="D281" s="9"/>
      <c r="E281" s="9"/>
      <c r="F281" s="8"/>
      <c r="G281" s="9"/>
      <c r="H281" s="9"/>
      <c r="I281" s="8"/>
      <c r="J281" s="28" t="str">
        <f aca="false">IF($A281="","",$B281+$C281-$D281-$E281-$G281-$H281)</f>
        <v/>
      </c>
      <c r="K281" s="10" t="str">
        <f aca="false">IF($A281="","",SUMIFS('Daily Entry'!$Q$4:$Q$2003,'Daily Entry'!$A$4:$A$2003,$A281))</f>
        <v/>
      </c>
      <c r="L281" s="10" t="str">
        <f aca="false">IF($A281="","",$B281-$K281)</f>
        <v/>
      </c>
      <c r="M281" s="28" t="str">
        <f aca="false">IF($A281="","",$L281-$D281-$E281-$G281)</f>
        <v/>
      </c>
      <c r="N281" s="10" t="str">
        <f aca="false">IF($A281="","",SUMIFS('Daily Entry'!$H$4:$H$2003,'Daily Entry'!$A$4:$A$2003,$A281))</f>
        <v/>
      </c>
      <c r="O281" s="10" t="str">
        <f aca="false">IF($A281="","",SUMIFS('Daily Entry'!$I$4:$I$2003,'Daily Entry'!$A$4:$A$2003,$A281))</f>
        <v/>
      </c>
      <c r="P281" s="10" t="str">
        <f aca="false">IF($A281="","",SUMPRODUCT(('Daily Entry'!$A$4:$A$2003=$A281)*('Daily Entry'!$M$4:$M$2003)*('Daily Entry'!$D$4:$D$2003)))</f>
        <v/>
      </c>
    </row>
    <row r="282" customFormat="false" ht="15" hidden="false" customHeight="false" outlineLevel="0" collapsed="false">
      <c r="A282" s="27"/>
      <c r="B282" s="10" t="str">
        <f aca="false">IF($A282="","",SUMIFS('Daily Entry'!$P$4:$P$2003,'Daily Entry'!$A$4:$A$2003,$A282))</f>
        <v/>
      </c>
      <c r="C282" s="9"/>
      <c r="D282" s="9"/>
      <c r="E282" s="9"/>
      <c r="F282" s="8"/>
      <c r="G282" s="9"/>
      <c r="H282" s="9"/>
      <c r="I282" s="8"/>
      <c r="J282" s="28" t="str">
        <f aca="false">IF($A282="","",$B282+$C282-$D282-$E282-$G282-$H282)</f>
        <v/>
      </c>
      <c r="K282" s="10" t="str">
        <f aca="false">IF($A282="","",SUMIFS('Daily Entry'!$Q$4:$Q$2003,'Daily Entry'!$A$4:$A$2003,$A282))</f>
        <v/>
      </c>
      <c r="L282" s="10" t="str">
        <f aca="false">IF($A282="","",$B282-$K282)</f>
        <v/>
      </c>
      <c r="M282" s="28" t="str">
        <f aca="false">IF($A282="","",$L282-$D282-$E282-$G282)</f>
        <v/>
      </c>
      <c r="N282" s="10" t="str">
        <f aca="false">IF($A282="","",SUMIFS('Daily Entry'!$H$4:$H$2003,'Daily Entry'!$A$4:$A$2003,$A282))</f>
        <v/>
      </c>
      <c r="O282" s="10" t="str">
        <f aca="false">IF($A282="","",SUMIFS('Daily Entry'!$I$4:$I$2003,'Daily Entry'!$A$4:$A$2003,$A282))</f>
        <v/>
      </c>
      <c r="P282" s="10" t="str">
        <f aca="false">IF($A282="","",SUMPRODUCT(('Daily Entry'!$A$4:$A$2003=$A282)*('Daily Entry'!$M$4:$M$2003)*('Daily Entry'!$D$4:$D$2003)))</f>
        <v/>
      </c>
    </row>
    <row r="283" customFormat="false" ht="15" hidden="false" customHeight="false" outlineLevel="0" collapsed="false">
      <c r="A283" s="27"/>
      <c r="B283" s="10" t="str">
        <f aca="false">IF($A283="","",SUMIFS('Daily Entry'!$P$4:$P$2003,'Daily Entry'!$A$4:$A$2003,$A283))</f>
        <v/>
      </c>
      <c r="C283" s="9"/>
      <c r="D283" s="9"/>
      <c r="E283" s="9"/>
      <c r="F283" s="8"/>
      <c r="G283" s="9"/>
      <c r="H283" s="9"/>
      <c r="I283" s="8"/>
      <c r="J283" s="28" t="str">
        <f aca="false">IF($A283="","",$B283+$C283-$D283-$E283-$G283-$H283)</f>
        <v/>
      </c>
      <c r="K283" s="10" t="str">
        <f aca="false">IF($A283="","",SUMIFS('Daily Entry'!$Q$4:$Q$2003,'Daily Entry'!$A$4:$A$2003,$A283))</f>
        <v/>
      </c>
      <c r="L283" s="10" t="str">
        <f aca="false">IF($A283="","",$B283-$K283)</f>
        <v/>
      </c>
      <c r="M283" s="28" t="str">
        <f aca="false">IF($A283="","",$L283-$D283-$E283-$G283)</f>
        <v/>
      </c>
      <c r="N283" s="10" t="str">
        <f aca="false">IF($A283="","",SUMIFS('Daily Entry'!$H$4:$H$2003,'Daily Entry'!$A$4:$A$2003,$A283))</f>
        <v/>
      </c>
      <c r="O283" s="10" t="str">
        <f aca="false">IF($A283="","",SUMIFS('Daily Entry'!$I$4:$I$2003,'Daily Entry'!$A$4:$A$2003,$A283))</f>
        <v/>
      </c>
      <c r="P283" s="10" t="str">
        <f aca="false">IF($A283="","",SUMPRODUCT(('Daily Entry'!$A$4:$A$2003=$A283)*('Daily Entry'!$M$4:$M$2003)*('Daily Entry'!$D$4:$D$2003)))</f>
        <v/>
      </c>
    </row>
    <row r="284" customFormat="false" ht="15" hidden="false" customHeight="false" outlineLevel="0" collapsed="false">
      <c r="A284" s="27"/>
      <c r="B284" s="10" t="str">
        <f aca="false">IF($A284="","",SUMIFS('Daily Entry'!$P$4:$P$2003,'Daily Entry'!$A$4:$A$2003,$A284))</f>
        <v/>
      </c>
      <c r="C284" s="9"/>
      <c r="D284" s="9"/>
      <c r="E284" s="9"/>
      <c r="F284" s="8"/>
      <c r="G284" s="9"/>
      <c r="H284" s="9"/>
      <c r="I284" s="8"/>
      <c r="J284" s="28" t="str">
        <f aca="false">IF($A284="","",$B284+$C284-$D284-$E284-$G284-$H284)</f>
        <v/>
      </c>
      <c r="K284" s="10" t="str">
        <f aca="false">IF($A284="","",SUMIFS('Daily Entry'!$Q$4:$Q$2003,'Daily Entry'!$A$4:$A$2003,$A284))</f>
        <v/>
      </c>
      <c r="L284" s="10" t="str">
        <f aca="false">IF($A284="","",$B284-$K284)</f>
        <v/>
      </c>
      <c r="M284" s="28" t="str">
        <f aca="false">IF($A284="","",$L284-$D284-$E284-$G284)</f>
        <v/>
      </c>
      <c r="N284" s="10" t="str">
        <f aca="false">IF($A284="","",SUMIFS('Daily Entry'!$H$4:$H$2003,'Daily Entry'!$A$4:$A$2003,$A284))</f>
        <v/>
      </c>
      <c r="O284" s="10" t="str">
        <f aca="false">IF($A284="","",SUMIFS('Daily Entry'!$I$4:$I$2003,'Daily Entry'!$A$4:$A$2003,$A284))</f>
        <v/>
      </c>
      <c r="P284" s="10" t="str">
        <f aca="false">IF($A284="","",SUMPRODUCT(('Daily Entry'!$A$4:$A$2003=$A284)*('Daily Entry'!$M$4:$M$2003)*('Daily Entry'!$D$4:$D$2003)))</f>
        <v/>
      </c>
    </row>
    <row r="285" customFormat="false" ht="15" hidden="false" customHeight="false" outlineLevel="0" collapsed="false">
      <c r="A285" s="27"/>
      <c r="B285" s="10" t="str">
        <f aca="false">IF($A285="","",SUMIFS('Daily Entry'!$P$4:$P$2003,'Daily Entry'!$A$4:$A$2003,$A285))</f>
        <v/>
      </c>
      <c r="C285" s="9"/>
      <c r="D285" s="9"/>
      <c r="E285" s="9"/>
      <c r="F285" s="8"/>
      <c r="G285" s="9"/>
      <c r="H285" s="9"/>
      <c r="I285" s="8"/>
      <c r="J285" s="28" t="str">
        <f aca="false">IF($A285="","",$B285+$C285-$D285-$E285-$G285-$H285)</f>
        <v/>
      </c>
      <c r="K285" s="10" t="str">
        <f aca="false">IF($A285="","",SUMIFS('Daily Entry'!$Q$4:$Q$2003,'Daily Entry'!$A$4:$A$2003,$A285))</f>
        <v/>
      </c>
      <c r="L285" s="10" t="str">
        <f aca="false">IF($A285="","",$B285-$K285)</f>
        <v/>
      </c>
      <c r="M285" s="28" t="str">
        <f aca="false">IF($A285="","",$L285-$D285-$E285-$G285)</f>
        <v/>
      </c>
      <c r="N285" s="10" t="str">
        <f aca="false">IF($A285="","",SUMIFS('Daily Entry'!$H$4:$H$2003,'Daily Entry'!$A$4:$A$2003,$A285))</f>
        <v/>
      </c>
      <c r="O285" s="10" t="str">
        <f aca="false">IF($A285="","",SUMIFS('Daily Entry'!$I$4:$I$2003,'Daily Entry'!$A$4:$A$2003,$A285))</f>
        <v/>
      </c>
      <c r="P285" s="10" t="str">
        <f aca="false">IF($A285="","",SUMPRODUCT(('Daily Entry'!$A$4:$A$2003=$A285)*('Daily Entry'!$M$4:$M$2003)*('Daily Entry'!$D$4:$D$2003)))</f>
        <v/>
      </c>
    </row>
    <row r="286" customFormat="false" ht="15" hidden="false" customHeight="false" outlineLevel="0" collapsed="false">
      <c r="A286" s="27"/>
      <c r="B286" s="10" t="str">
        <f aca="false">IF($A286="","",SUMIFS('Daily Entry'!$P$4:$P$2003,'Daily Entry'!$A$4:$A$2003,$A286))</f>
        <v/>
      </c>
      <c r="C286" s="9"/>
      <c r="D286" s="9"/>
      <c r="E286" s="9"/>
      <c r="F286" s="8"/>
      <c r="G286" s="9"/>
      <c r="H286" s="9"/>
      <c r="I286" s="8"/>
      <c r="J286" s="28" t="str">
        <f aca="false">IF($A286="","",$B286+$C286-$D286-$E286-$G286-$H286)</f>
        <v/>
      </c>
      <c r="K286" s="10" t="str">
        <f aca="false">IF($A286="","",SUMIFS('Daily Entry'!$Q$4:$Q$2003,'Daily Entry'!$A$4:$A$2003,$A286))</f>
        <v/>
      </c>
      <c r="L286" s="10" t="str">
        <f aca="false">IF($A286="","",$B286-$K286)</f>
        <v/>
      </c>
      <c r="M286" s="28" t="str">
        <f aca="false">IF($A286="","",$L286-$D286-$E286-$G286)</f>
        <v/>
      </c>
      <c r="N286" s="10" t="str">
        <f aca="false">IF($A286="","",SUMIFS('Daily Entry'!$H$4:$H$2003,'Daily Entry'!$A$4:$A$2003,$A286))</f>
        <v/>
      </c>
      <c r="O286" s="10" t="str">
        <f aca="false">IF($A286="","",SUMIFS('Daily Entry'!$I$4:$I$2003,'Daily Entry'!$A$4:$A$2003,$A286))</f>
        <v/>
      </c>
      <c r="P286" s="10" t="str">
        <f aca="false">IF($A286="","",SUMPRODUCT(('Daily Entry'!$A$4:$A$2003=$A286)*('Daily Entry'!$M$4:$M$2003)*('Daily Entry'!$D$4:$D$2003)))</f>
        <v/>
      </c>
    </row>
    <row r="287" customFormat="false" ht="15" hidden="false" customHeight="false" outlineLevel="0" collapsed="false">
      <c r="A287" s="27"/>
      <c r="B287" s="10" t="str">
        <f aca="false">IF($A287="","",SUMIFS('Daily Entry'!$P$4:$P$2003,'Daily Entry'!$A$4:$A$2003,$A287))</f>
        <v/>
      </c>
      <c r="C287" s="9"/>
      <c r="D287" s="9"/>
      <c r="E287" s="9"/>
      <c r="F287" s="8"/>
      <c r="G287" s="9"/>
      <c r="H287" s="9"/>
      <c r="I287" s="8"/>
      <c r="J287" s="28" t="str">
        <f aca="false">IF($A287="","",$B287+$C287-$D287-$E287-$G287-$H287)</f>
        <v/>
      </c>
      <c r="K287" s="10" t="str">
        <f aca="false">IF($A287="","",SUMIFS('Daily Entry'!$Q$4:$Q$2003,'Daily Entry'!$A$4:$A$2003,$A287))</f>
        <v/>
      </c>
      <c r="L287" s="10" t="str">
        <f aca="false">IF($A287="","",$B287-$K287)</f>
        <v/>
      </c>
      <c r="M287" s="28" t="str">
        <f aca="false">IF($A287="","",$L287-$D287-$E287-$G287)</f>
        <v/>
      </c>
      <c r="N287" s="10" t="str">
        <f aca="false">IF($A287="","",SUMIFS('Daily Entry'!$H$4:$H$2003,'Daily Entry'!$A$4:$A$2003,$A287))</f>
        <v/>
      </c>
      <c r="O287" s="10" t="str">
        <f aca="false">IF($A287="","",SUMIFS('Daily Entry'!$I$4:$I$2003,'Daily Entry'!$A$4:$A$2003,$A287))</f>
        <v/>
      </c>
      <c r="P287" s="10" t="str">
        <f aca="false">IF($A287="","",SUMPRODUCT(('Daily Entry'!$A$4:$A$2003=$A287)*('Daily Entry'!$M$4:$M$2003)*('Daily Entry'!$D$4:$D$2003)))</f>
        <v/>
      </c>
    </row>
    <row r="288" customFormat="false" ht="15" hidden="false" customHeight="false" outlineLevel="0" collapsed="false">
      <c r="A288" s="27"/>
      <c r="B288" s="10" t="str">
        <f aca="false">IF($A288="","",SUMIFS('Daily Entry'!$P$4:$P$2003,'Daily Entry'!$A$4:$A$2003,$A288))</f>
        <v/>
      </c>
      <c r="C288" s="9"/>
      <c r="D288" s="9"/>
      <c r="E288" s="9"/>
      <c r="F288" s="8"/>
      <c r="G288" s="9"/>
      <c r="H288" s="9"/>
      <c r="I288" s="8"/>
      <c r="J288" s="28" t="str">
        <f aca="false">IF($A288="","",$B288+$C288-$D288-$E288-$G288-$H288)</f>
        <v/>
      </c>
      <c r="K288" s="10" t="str">
        <f aca="false">IF($A288="","",SUMIFS('Daily Entry'!$Q$4:$Q$2003,'Daily Entry'!$A$4:$A$2003,$A288))</f>
        <v/>
      </c>
      <c r="L288" s="10" t="str">
        <f aca="false">IF($A288="","",$B288-$K288)</f>
        <v/>
      </c>
      <c r="M288" s="28" t="str">
        <f aca="false">IF($A288="","",$L288-$D288-$E288-$G288)</f>
        <v/>
      </c>
      <c r="N288" s="10" t="str">
        <f aca="false">IF($A288="","",SUMIFS('Daily Entry'!$H$4:$H$2003,'Daily Entry'!$A$4:$A$2003,$A288))</f>
        <v/>
      </c>
      <c r="O288" s="10" t="str">
        <f aca="false">IF($A288="","",SUMIFS('Daily Entry'!$I$4:$I$2003,'Daily Entry'!$A$4:$A$2003,$A288))</f>
        <v/>
      </c>
      <c r="P288" s="10" t="str">
        <f aca="false">IF($A288="","",SUMPRODUCT(('Daily Entry'!$A$4:$A$2003=$A288)*('Daily Entry'!$M$4:$M$2003)*('Daily Entry'!$D$4:$D$2003)))</f>
        <v/>
      </c>
    </row>
    <row r="289" customFormat="false" ht="15" hidden="false" customHeight="false" outlineLevel="0" collapsed="false">
      <c r="A289" s="27"/>
      <c r="B289" s="10" t="str">
        <f aca="false">IF($A289="","",SUMIFS('Daily Entry'!$P$4:$P$2003,'Daily Entry'!$A$4:$A$2003,$A289))</f>
        <v/>
      </c>
      <c r="C289" s="9"/>
      <c r="D289" s="9"/>
      <c r="E289" s="9"/>
      <c r="F289" s="8"/>
      <c r="G289" s="9"/>
      <c r="H289" s="9"/>
      <c r="I289" s="8"/>
      <c r="J289" s="28" t="str">
        <f aca="false">IF($A289="","",$B289+$C289-$D289-$E289-$G289-$H289)</f>
        <v/>
      </c>
      <c r="K289" s="10" t="str">
        <f aca="false">IF($A289="","",SUMIFS('Daily Entry'!$Q$4:$Q$2003,'Daily Entry'!$A$4:$A$2003,$A289))</f>
        <v/>
      </c>
      <c r="L289" s="10" t="str">
        <f aca="false">IF($A289="","",$B289-$K289)</f>
        <v/>
      </c>
      <c r="M289" s="28" t="str">
        <f aca="false">IF($A289="","",$L289-$D289-$E289-$G289)</f>
        <v/>
      </c>
      <c r="N289" s="10" t="str">
        <f aca="false">IF($A289="","",SUMIFS('Daily Entry'!$H$4:$H$2003,'Daily Entry'!$A$4:$A$2003,$A289))</f>
        <v/>
      </c>
      <c r="O289" s="10" t="str">
        <f aca="false">IF($A289="","",SUMIFS('Daily Entry'!$I$4:$I$2003,'Daily Entry'!$A$4:$A$2003,$A289))</f>
        <v/>
      </c>
      <c r="P289" s="10" t="str">
        <f aca="false">IF($A289="","",SUMPRODUCT(('Daily Entry'!$A$4:$A$2003=$A289)*('Daily Entry'!$M$4:$M$2003)*('Daily Entry'!$D$4:$D$2003)))</f>
        <v/>
      </c>
    </row>
    <row r="290" customFormat="false" ht="15" hidden="false" customHeight="false" outlineLevel="0" collapsed="false">
      <c r="A290" s="27"/>
      <c r="B290" s="10" t="str">
        <f aca="false">IF($A290="","",SUMIFS('Daily Entry'!$P$4:$P$2003,'Daily Entry'!$A$4:$A$2003,$A290))</f>
        <v/>
      </c>
      <c r="C290" s="9"/>
      <c r="D290" s="9"/>
      <c r="E290" s="9"/>
      <c r="F290" s="8"/>
      <c r="G290" s="9"/>
      <c r="H290" s="9"/>
      <c r="I290" s="8"/>
      <c r="J290" s="28" t="str">
        <f aca="false">IF($A290="","",$B290+$C290-$D290-$E290-$G290-$H290)</f>
        <v/>
      </c>
      <c r="K290" s="10" t="str">
        <f aca="false">IF($A290="","",SUMIFS('Daily Entry'!$Q$4:$Q$2003,'Daily Entry'!$A$4:$A$2003,$A290))</f>
        <v/>
      </c>
      <c r="L290" s="10" t="str">
        <f aca="false">IF($A290="","",$B290-$K290)</f>
        <v/>
      </c>
      <c r="M290" s="28" t="str">
        <f aca="false">IF($A290="","",$L290-$D290-$E290-$G290)</f>
        <v/>
      </c>
      <c r="N290" s="10" t="str">
        <f aca="false">IF($A290="","",SUMIFS('Daily Entry'!$H$4:$H$2003,'Daily Entry'!$A$4:$A$2003,$A290))</f>
        <v/>
      </c>
      <c r="O290" s="10" t="str">
        <f aca="false">IF($A290="","",SUMIFS('Daily Entry'!$I$4:$I$2003,'Daily Entry'!$A$4:$A$2003,$A290))</f>
        <v/>
      </c>
      <c r="P290" s="10" t="str">
        <f aca="false">IF($A290="","",SUMPRODUCT(('Daily Entry'!$A$4:$A$2003=$A290)*('Daily Entry'!$M$4:$M$2003)*('Daily Entry'!$D$4:$D$2003)))</f>
        <v/>
      </c>
    </row>
    <row r="291" customFormat="false" ht="15" hidden="false" customHeight="false" outlineLevel="0" collapsed="false">
      <c r="A291" s="27"/>
      <c r="B291" s="10" t="str">
        <f aca="false">IF($A291="","",SUMIFS('Daily Entry'!$P$4:$P$2003,'Daily Entry'!$A$4:$A$2003,$A291))</f>
        <v/>
      </c>
      <c r="C291" s="9"/>
      <c r="D291" s="9"/>
      <c r="E291" s="9"/>
      <c r="F291" s="8"/>
      <c r="G291" s="9"/>
      <c r="H291" s="9"/>
      <c r="I291" s="8"/>
      <c r="J291" s="28" t="str">
        <f aca="false">IF($A291="","",$B291+$C291-$D291-$E291-$G291-$H291)</f>
        <v/>
      </c>
      <c r="K291" s="10" t="str">
        <f aca="false">IF($A291="","",SUMIFS('Daily Entry'!$Q$4:$Q$2003,'Daily Entry'!$A$4:$A$2003,$A291))</f>
        <v/>
      </c>
      <c r="L291" s="10" t="str">
        <f aca="false">IF($A291="","",$B291-$K291)</f>
        <v/>
      </c>
      <c r="M291" s="28" t="str">
        <f aca="false">IF($A291="","",$L291-$D291-$E291-$G291)</f>
        <v/>
      </c>
      <c r="N291" s="10" t="str">
        <f aca="false">IF($A291="","",SUMIFS('Daily Entry'!$H$4:$H$2003,'Daily Entry'!$A$4:$A$2003,$A291))</f>
        <v/>
      </c>
      <c r="O291" s="10" t="str">
        <f aca="false">IF($A291="","",SUMIFS('Daily Entry'!$I$4:$I$2003,'Daily Entry'!$A$4:$A$2003,$A291))</f>
        <v/>
      </c>
      <c r="P291" s="10" t="str">
        <f aca="false">IF($A291="","",SUMPRODUCT(('Daily Entry'!$A$4:$A$2003=$A291)*('Daily Entry'!$M$4:$M$2003)*('Daily Entry'!$D$4:$D$2003)))</f>
        <v/>
      </c>
    </row>
    <row r="292" customFormat="false" ht="15" hidden="false" customHeight="false" outlineLevel="0" collapsed="false">
      <c r="A292" s="27"/>
      <c r="B292" s="10" t="str">
        <f aca="false">IF($A292="","",SUMIFS('Daily Entry'!$P$4:$P$2003,'Daily Entry'!$A$4:$A$2003,$A292))</f>
        <v/>
      </c>
      <c r="C292" s="9"/>
      <c r="D292" s="9"/>
      <c r="E292" s="9"/>
      <c r="F292" s="8"/>
      <c r="G292" s="9"/>
      <c r="H292" s="9"/>
      <c r="I292" s="8"/>
      <c r="J292" s="28" t="str">
        <f aca="false">IF($A292="","",$B292+$C292-$D292-$E292-$G292-$H292)</f>
        <v/>
      </c>
      <c r="K292" s="10" t="str">
        <f aca="false">IF($A292="","",SUMIFS('Daily Entry'!$Q$4:$Q$2003,'Daily Entry'!$A$4:$A$2003,$A292))</f>
        <v/>
      </c>
      <c r="L292" s="10" t="str">
        <f aca="false">IF($A292="","",$B292-$K292)</f>
        <v/>
      </c>
      <c r="M292" s="28" t="str">
        <f aca="false">IF($A292="","",$L292-$D292-$E292-$G292)</f>
        <v/>
      </c>
      <c r="N292" s="10" t="str">
        <f aca="false">IF($A292="","",SUMIFS('Daily Entry'!$H$4:$H$2003,'Daily Entry'!$A$4:$A$2003,$A292))</f>
        <v/>
      </c>
      <c r="O292" s="10" t="str">
        <f aca="false">IF($A292="","",SUMIFS('Daily Entry'!$I$4:$I$2003,'Daily Entry'!$A$4:$A$2003,$A292))</f>
        <v/>
      </c>
      <c r="P292" s="10" t="str">
        <f aca="false">IF($A292="","",SUMPRODUCT(('Daily Entry'!$A$4:$A$2003=$A292)*('Daily Entry'!$M$4:$M$2003)*('Daily Entry'!$D$4:$D$2003)))</f>
        <v/>
      </c>
    </row>
    <row r="293" customFormat="false" ht="15" hidden="false" customHeight="false" outlineLevel="0" collapsed="false">
      <c r="A293" s="27"/>
      <c r="B293" s="10" t="str">
        <f aca="false">IF($A293="","",SUMIFS('Daily Entry'!$P$4:$P$2003,'Daily Entry'!$A$4:$A$2003,$A293))</f>
        <v/>
      </c>
      <c r="C293" s="9"/>
      <c r="D293" s="9"/>
      <c r="E293" s="9"/>
      <c r="F293" s="8"/>
      <c r="G293" s="9"/>
      <c r="H293" s="9"/>
      <c r="I293" s="8"/>
      <c r="J293" s="28" t="str">
        <f aca="false">IF($A293="","",$B293+$C293-$D293-$E293-$G293-$H293)</f>
        <v/>
      </c>
      <c r="K293" s="10" t="str">
        <f aca="false">IF($A293="","",SUMIFS('Daily Entry'!$Q$4:$Q$2003,'Daily Entry'!$A$4:$A$2003,$A293))</f>
        <v/>
      </c>
      <c r="L293" s="10" t="str">
        <f aca="false">IF($A293="","",$B293-$K293)</f>
        <v/>
      </c>
      <c r="M293" s="28" t="str">
        <f aca="false">IF($A293="","",$L293-$D293-$E293-$G293)</f>
        <v/>
      </c>
      <c r="N293" s="10" t="str">
        <f aca="false">IF($A293="","",SUMIFS('Daily Entry'!$H$4:$H$2003,'Daily Entry'!$A$4:$A$2003,$A293))</f>
        <v/>
      </c>
      <c r="O293" s="10" t="str">
        <f aca="false">IF($A293="","",SUMIFS('Daily Entry'!$I$4:$I$2003,'Daily Entry'!$A$4:$A$2003,$A293))</f>
        <v/>
      </c>
      <c r="P293" s="10" t="str">
        <f aca="false">IF($A293="","",SUMPRODUCT(('Daily Entry'!$A$4:$A$2003=$A293)*('Daily Entry'!$M$4:$M$2003)*('Daily Entry'!$D$4:$D$2003)))</f>
        <v/>
      </c>
    </row>
    <row r="294" customFormat="false" ht="15" hidden="false" customHeight="false" outlineLevel="0" collapsed="false">
      <c r="A294" s="27"/>
      <c r="B294" s="10" t="str">
        <f aca="false">IF($A294="","",SUMIFS('Daily Entry'!$P$4:$P$2003,'Daily Entry'!$A$4:$A$2003,$A294))</f>
        <v/>
      </c>
      <c r="C294" s="9"/>
      <c r="D294" s="9"/>
      <c r="E294" s="9"/>
      <c r="F294" s="8"/>
      <c r="G294" s="9"/>
      <c r="H294" s="9"/>
      <c r="I294" s="8"/>
      <c r="J294" s="28" t="str">
        <f aca="false">IF($A294="","",$B294+$C294-$D294-$E294-$G294-$H294)</f>
        <v/>
      </c>
      <c r="K294" s="10" t="str">
        <f aca="false">IF($A294="","",SUMIFS('Daily Entry'!$Q$4:$Q$2003,'Daily Entry'!$A$4:$A$2003,$A294))</f>
        <v/>
      </c>
      <c r="L294" s="10" t="str">
        <f aca="false">IF($A294="","",$B294-$K294)</f>
        <v/>
      </c>
      <c r="M294" s="28" t="str">
        <f aca="false">IF($A294="","",$L294-$D294-$E294-$G294)</f>
        <v/>
      </c>
      <c r="N294" s="10" t="str">
        <f aca="false">IF($A294="","",SUMIFS('Daily Entry'!$H$4:$H$2003,'Daily Entry'!$A$4:$A$2003,$A294))</f>
        <v/>
      </c>
      <c r="O294" s="10" t="str">
        <f aca="false">IF($A294="","",SUMIFS('Daily Entry'!$I$4:$I$2003,'Daily Entry'!$A$4:$A$2003,$A294))</f>
        <v/>
      </c>
      <c r="P294" s="10" t="str">
        <f aca="false">IF($A294="","",SUMPRODUCT(('Daily Entry'!$A$4:$A$2003=$A294)*('Daily Entry'!$M$4:$M$2003)*('Daily Entry'!$D$4:$D$2003)))</f>
        <v/>
      </c>
    </row>
    <row r="295" customFormat="false" ht="15" hidden="false" customHeight="false" outlineLevel="0" collapsed="false">
      <c r="A295" s="27"/>
      <c r="B295" s="10" t="str">
        <f aca="false">IF($A295="","",SUMIFS('Daily Entry'!$P$4:$P$2003,'Daily Entry'!$A$4:$A$2003,$A295))</f>
        <v/>
      </c>
      <c r="C295" s="9"/>
      <c r="D295" s="9"/>
      <c r="E295" s="9"/>
      <c r="F295" s="8"/>
      <c r="G295" s="9"/>
      <c r="H295" s="9"/>
      <c r="I295" s="8"/>
      <c r="J295" s="28" t="str">
        <f aca="false">IF($A295="","",$B295+$C295-$D295-$E295-$G295-$H295)</f>
        <v/>
      </c>
      <c r="K295" s="10" t="str">
        <f aca="false">IF($A295="","",SUMIFS('Daily Entry'!$Q$4:$Q$2003,'Daily Entry'!$A$4:$A$2003,$A295))</f>
        <v/>
      </c>
      <c r="L295" s="10" t="str">
        <f aca="false">IF($A295="","",$B295-$K295)</f>
        <v/>
      </c>
      <c r="M295" s="28" t="str">
        <f aca="false">IF($A295="","",$L295-$D295-$E295-$G295)</f>
        <v/>
      </c>
      <c r="N295" s="10" t="str">
        <f aca="false">IF($A295="","",SUMIFS('Daily Entry'!$H$4:$H$2003,'Daily Entry'!$A$4:$A$2003,$A295))</f>
        <v/>
      </c>
      <c r="O295" s="10" t="str">
        <f aca="false">IF($A295="","",SUMIFS('Daily Entry'!$I$4:$I$2003,'Daily Entry'!$A$4:$A$2003,$A295))</f>
        <v/>
      </c>
      <c r="P295" s="10" t="str">
        <f aca="false">IF($A295="","",SUMPRODUCT(('Daily Entry'!$A$4:$A$2003=$A295)*('Daily Entry'!$M$4:$M$2003)*('Daily Entry'!$D$4:$D$2003)))</f>
        <v/>
      </c>
    </row>
    <row r="296" customFormat="false" ht="15" hidden="false" customHeight="false" outlineLevel="0" collapsed="false">
      <c r="A296" s="27"/>
      <c r="B296" s="10" t="str">
        <f aca="false">IF($A296="","",SUMIFS('Daily Entry'!$P$4:$P$2003,'Daily Entry'!$A$4:$A$2003,$A296))</f>
        <v/>
      </c>
      <c r="C296" s="9"/>
      <c r="D296" s="9"/>
      <c r="E296" s="9"/>
      <c r="F296" s="8"/>
      <c r="G296" s="9"/>
      <c r="H296" s="9"/>
      <c r="I296" s="8"/>
      <c r="J296" s="28" t="str">
        <f aca="false">IF($A296="","",$B296+$C296-$D296-$E296-$G296-$H296)</f>
        <v/>
      </c>
      <c r="K296" s="10" t="str">
        <f aca="false">IF($A296="","",SUMIFS('Daily Entry'!$Q$4:$Q$2003,'Daily Entry'!$A$4:$A$2003,$A296))</f>
        <v/>
      </c>
      <c r="L296" s="10" t="str">
        <f aca="false">IF($A296="","",$B296-$K296)</f>
        <v/>
      </c>
      <c r="M296" s="28" t="str">
        <f aca="false">IF($A296="","",$L296-$D296-$E296-$G296)</f>
        <v/>
      </c>
      <c r="N296" s="10" t="str">
        <f aca="false">IF($A296="","",SUMIFS('Daily Entry'!$H$4:$H$2003,'Daily Entry'!$A$4:$A$2003,$A296))</f>
        <v/>
      </c>
      <c r="O296" s="10" t="str">
        <f aca="false">IF($A296="","",SUMIFS('Daily Entry'!$I$4:$I$2003,'Daily Entry'!$A$4:$A$2003,$A296))</f>
        <v/>
      </c>
      <c r="P296" s="10" t="str">
        <f aca="false">IF($A296="","",SUMPRODUCT(('Daily Entry'!$A$4:$A$2003=$A296)*('Daily Entry'!$M$4:$M$2003)*('Daily Entry'!$D$4:$D$2003)))</f>
        <v/>
      </c>
    </row>
    <row r="297" customFormat="false" ht="15" hidden="false" customHeight="false" outlineLevel="0" collapsed="false">
      <c r="A297" s="27"/>
      <c r="B297" s="10" t="str">
        <f aca="false">IF($A297="","",SUMIFS('Daily Entry'!$P$4:$P$2003,'Daily Entry'!$A$4:$A$2003,$A297))</f>
        <v/>
      </c>
      <c r="C297" s="9"/>
      <c r="D297" s="9"/>
      <c r="E297" s="9"/>
      <c r="F297" s="8"/>
      <c r="G297" s="9"/>
      <c r="H297" s="9"/>
      <c r="I297" s="8"/>
      <c r="J297" s="28" t="str">
        <f aca="false">IF($A297="","",$B297+$C297-$D297-$E297-$G297-$H297)</f>
        <v/>
      </c>
      <c r="K297" s="10" t="str">
        <f aca="false">IF($A297="","",SUMIFS('Daily Entry'!$Q$4:$Q$2003,'Daily Entry'!$A$4:$A$2003,$A297))</f>
        <v/>
      </c>
      <c r="L297" s="10" t="str">
        <f aca="false">IF($A297="","",$B297-$K297)</f>
        <v/>
      </c>
      <c r="M297" s="28" t="str">
        <f aca="false">IF($A297="","",$L297-$D297-$E297-$G297)</f>
        <v/>
      </c>
      <c r="N297" s="10" t="str">
        <f aca="false">IF($A297="","",SUMIFS('Daily Entry'!$H$4:$H$2003,'Daily Entry'!$A$4:$A$2003,$A297))</f>
        <v/>
      </c>
      <c r="O297" s="10" t="str">
        <f aca="false">IF($A297="","",SUMIFS('Daily Entry'!$I$4:$I$2003,'Daily Entry'!$A$4:$A$2003,$A297))</f>
        <v/>
      </c>
      <c r="P297" s="10" t="str">
        <f aca="false">IF($A297="","",SUMPRODUCT(('Daily Entry'!$A$4:$A$2003=$A297)*('Daily Entry'!$M$4:$M$2003)*('Daily Entry'!$D$4:$D$2003)))</f>
        <v/>
      </c>
    </row>
    <row r="298" customFormat="false" ht="15" hidden="false" customHeight="false" outlineLevel="0" collapsed="false">
      <c r="A298" s="27"/>
      <c r="B298" s="10" t="str">
        <f aca="false">IF($A298="","",SUMIFS('Daily Entry'!$P$4:$P$2003,'Daily Entry'!$A$4:$A$2003,$A298))</f>
        <v/>
      </c>
      <c r="C298" s="9"/>
      <c r="D298" s="9"/>
      <c r="E298" s="9"/>
      <c r="F298" s="8"/>
      <c r="G298" s="9"/>
      <c r="H298" s="9"/>
      <c r="I298" s="8"/>
      <c r="J298" s="28" t="str">
        <f aca="false">IF($A298="","",$B298+$C298-$D298-$E298-$G298-$H298)</f>
        <v/>
      </c>
      <c r="K298" s="10" t="str">
        <f aca="false">IF($A298="","",SUMIFS('Daily Entry'!$Q$4:$Q$2003,'Daily Entry'!$A$4:$A$2003,$A298))</f>
        <v/>
      </c>
      <c r="L298" s="10" t="str">
        <f aca="false">IF($A298="","",$B298-$K298)</f>
        <v/>
      </c>
      <c r="M298" s="28" t="str">
        <f aca="false">IF($A298="","",$L298-$D298-$E298-$G298)</f>
        <v/>
      </c>
      <c r="N298" s="10" t="str">
        <f aca="false">IF($A298="","",SUMIFS('Daily Entry'!$H$4:$H$2003,'Daily Entry'!$A$4:$A$2003,$A298))</f>
        <v/>
      </c>
      <c r="O298" s="10" t="str">
        <f aca="false">IF($A298="","",SUMIFS('Daily Entry'!$I$4:$I$2003,'Daily Entry'!$A$4:$A$2003,$A298))</f>
        <v/>
      </c>
      <c r="P298" s="10" t="str">
        <f aca="false">IF($A298="","",SUMPRODUCT(('Daily Entry'!$A$4:$A$2003=$A298)*('Daily Entry'!$M$4:$M$2003)*('Daily Entry'!$D$4:$D$2003)))</f>
        <v/>
      </c>
    </row>
    <row r="299" customFormat="false" ht="15" hidden="false" customHeight="false" outlineLevel="0" collapsed="false">
      <c r="A299" s="27"/>
      <c r="B299" s="10" t="str">
        <f aca="false">IF($A299="","",SUMIFS('Daily Entry'!$P$4:$P$2003,'Daily Entry'!$A$4:$A$2003,$A299))</f>
        <v/>
      </c>
      <c r="C299" s="9"/>
      <c r="D299" s="9"/>
      <c r="E299" s="9"/>
      <c r="F299" s="8"/>
      <c r="G299" s="9"/>
      <c r="H299" s="9"/>
      <c r="I299" s="8"/>
      <c r="J299" s="28" t="str">
        <f aca="false">IF($A299="","",$B299+$C299-$D299-$E299-$G299-$H299)</f>
        <v/>
      </c>
      <c r="K299" s="10" t="str">
        <f aca="false">IF($A299="","",SUMIFS('Daily Entry'!$Q$4:$Q$2003,'Daily Entry'!$A$4:$A$2003,$A299))</f>
        <v/>
      </c>
      <c r="L299" s="10" t="str">
        <f aca="false">IF($A299="","",$B299-$K299)</f>
        <v/>
      </c>
      <c r="M299" s="28" t="str">
        <f aca="false">IF($A299="","",$L299-$D299-$E299-$G299)</f>
        <v/>
      </c>
      <c r="N299" s="10" t="str">
        <f aca="false">IF($A299="","",SUMIFS('Daily Entry'!$H$4:$H$2003,'Daily Entry'!$A$4:$A$2003,$A299))</f>
        <v/>
      </c>
      <c r="O299" s="10" t="str">
        <f aca="false">IF($A299="","",SUMIFS('Daily Entry'!$I$4:$I$2003,'Daily Entry'!$A$4:$A$2003,$A299))</f>
        <v/>
      </c>
      <c r="P299" s="10" t="str">
        <f aca="false">IF($A299="","",SUMPRODUCT(('Daily Entry'!$A$4:$A$2003=$A299)*('Daily Entry'!$M$4:$M$2003)*('Daily Entry'!$D$4:$D$2003)))</f>
        <v/>
      </c>
    </row>
    <row r="300" customFormat="false" ht="15" hidden="false" customHeight="false" outlineLevel="0" collapsed="false">
      <c r="A300" s="27"/>
      <c r="B300" s="10" t="str">
        <f aca="false">IF($A300="","",SUMIFS('Daily Entry'!$P$4:$P$2003,'Daily Entry'!$A$4:$A$2003,$A300))</f>
        <v/>
      </c>
      <c r="C300" s="9"/>
      <c r="D300" s="9"/>
      <c r="E300" s="9"/>
      <c r="F300" s="8"/>
      <c r="G300" s="9"/>
      <c r="H300" s="9"/>
      <c r="I300" s="8"/>
      <c r="J300" s="28" t="str">
        <f aca="false">IF($A300="","",$B300+$C300-$D300-$E300-$G300-$H300)</f>
        <v/>
      </c>
      <c r="K300" s="10" t="str">
        <f aca="false">IF($A300="","",SUMIFS('Daily Entry'!$Q$4:$Q$2003,'Daily Entry'!$A$4:$A$2003,$A300))</f>
        <v/>
      </c>
      <c r="L300" s="10" t="str">
        <f aca="false">IF($A300="","",$B300-$K300)</f>
        <v/>
      </c>
      <c r="M300" s="28" t="str">
        <f aca="false">IF($A300="","",$L300-$D300-$E300-$G300)</f>
        <v/>
      </c>
      <c r="N300" s="10" t="str">
        <f aca="false">IF($A300="","",SUMIFS('Daily Entry'!$H$4:$H$2003,'Daily Entry'!$A$4:$A$2003,$A300))</f>
        <v/>
      </c>
      <c r="O300" s="10" t="str">
        <f aca="false">IF($A300="","",SUMIFS('Daily Entry'!$I$4:$I$2003,'Daily Entry'!$A$4:$A$2003,$A300))</f>
        <v/>
      </c>
      <c r="P300" s="10" t="str">
        <f aca="false">IF($A300="","",SUMPRODUCT(('Daily Entry'!$A$4:$A$2003=$A300)*('Daily Entry'!$M$4:$M$2003)*('Daily Entry'!$D$4:$D$2003)))</f>
        <v/>
      </c>
    </row>
    <row r="301" customFormat="false" ht="15" hidden="false" customHeight="false" outlineLevel="0" collapsed="false">
      <c r="A301" s="27"/>
      <c r="B301" s="10" t="str">
        <f aca="false">IF($A301="","",SUMIFS('Daily Entry'!$P$4:$P$2003,'Daily Entry'!$A$4:$A$2003,$A301))</f>
        <v/>
      </c>
      <c r="C301" s="9"/>
      <c r="D301" s="9"/>
      <c r="E301" s="9"/>
      <c r="F301" s="8"/>
      <c r="G301" s="9"/>
      <c r="H301" s="9"/>
      <c r="I301" s="8"/>
      <c r="J301" s="28" t="str">
        <f aca="false">IF($A301="","",$B301+$C301-$D301-$E301-$G301-$H301)</f>
        <v/>
      </c>
      <c r="K301" s="10" t="str">
        <f aca="false">IF($A301="","",SUMIFS('Daily Entry'!$Q$4:$Q$2003,'Daily Entry'!$A$4:$A$2003,$A301))</f>
        <v/>
      </c>
      <c r="L301" s="10" t="str">
        <f aca="false">IF($A301="","",$B301-$K301)</f>
        <v/>
      </c>
      <c r="M301" s="28" t="str">
        <f aca="false">IF($A301="","",$L301-$D301-$E301-$G301)</f>
        <v/>
      </c>
      <c r="N301" s="10" t="str">
        <f aca="false">IF($A301="","",SUMIFS('Daily Entry'!$H$4:$H$2003,'Daily Entry'!$A$4:$A$2003,$A301))</f>
        <v/>
      </c>
      <c r="O301" s="10" t="str">
        <f aca="false">IF($A301="","",SUMIFS('Daily Entry'!$I$4:$I$2003,'Daily Entry'!$A$4:$A$2003,$A301))</f>
        <v/>
      </c>
      <c r="P301" s="10" t="str">
        <f aca="false">IF($A301="","",SUMPRODUCT(('Daily Entry'!$A$4:$A$2003=$A301)*('Daily Entry'!$M$4:$M$2003)*('Daily Entry'!$D$4:$D$2003)))</f>
        <v/>
      </c>
    </row>
    <row r="302" customFormat="false" ht="15" hidden="false" customHeight="false" outlineLevel="0" collapsed="false">
      <c r="A302" s="27"/>
      <c r="B302" s="10" t="str">
        <f aca="false">IF($A302="","",SUMIFS('Daily Entry'!$P$4:$P$2003,'Daily Entry'!$A$4:$A$2003,$A302))</f>
        <v/>
      </c>
      <c r="C302" s="9"/>
      <c r="D302" s="9"/>
      <c r="E302" s="9"/>
      <c r="F302" s="8"/>
      <c r="G302" s="9"/>
      <c r="H302" s="9"/>
      <c r="I302" s="8"/>
      <c r="J302" s="28" t="str">
        <f aca="false">IF($A302="","",$B302+$C302-$D302-$E302-$G302-$H302)</f>
        <v/>
      </c>
      <c r="K302" s="10" t="str">
        <f aca="false">IF($A302="","",SUMIFS('Daily Entry'!$Q$4:$Q$2003,'Daily Entry'!$A$4:$A$2003,$A302))</f>
        <v/>
      </c>
      <c r="L302" s="10" t="str">
        <f aca="false">IF($A302="","",$B302-$K302)</f>
        <v/>
      </c>
      <c r="M302" s="28" t="str">
        <f aca="false">IF($A302="","",$L302-$D302-$E302-$G302)</f>
        <v/>
      </c>
      <c r="N302" s="10" t="str">
        <f aca="false">IF($A302="","",SUMIFS('Daily Entry'!$H$4:$H$2003,'Daily Entry'!$A$4:$A$2003,$A302))</f>
        <v/>
      </c>
      <c r="O302" s="10" t="str">
        <f aca="false">IF($A302="","",SUMIFS('Daily Entry'!$I$4:$I$2003,'Daily Entry'!$A$4:$A$2003,$A302))</f>
        <v/>
      </c>
      <c r="P302" s="10" t="str">
        <f aca="false">IF($A302="","",SUMPRODUCT(('Daily Entry'!$A$4:$A$2003=$A302)*('Daily Entry'!$M$4:$M$2003)*('Daily Entry'!$D$4:$D$2003)))</f>
        <v/>
      </c>
    </row>
    <row r="303" customFormat="false" ht="15" hidden="false" customHeight="false" outlineLevel="0" collapsed="false">
      <c r="A303" s="27"/>
      <c r="B303" s="10" t="str">
        <f aca="false">IF($A303="","",SUMIFS('Daily Entry'!$P$4:$P$2003,'Daily Entry'!$A$4:$A$2003,$A303))</f>
        <v/>
      </c>
      <c r="C303" s="9"/>
      <c r="D303" s="9"/>
      <c r="E303" s="9"/>
      <c r="F303" s="8"/>
      <c r="G303" s="9"/>
      <c r="H303" s="9"/>
      <c r="I303" s="8"/>
      <c r="J303" s="28" t="str">
        <f aca="false">IF($A303="","",$B303+$C303-$D303-$E303-$G303-$H303)</f>
        <v/>
      </c>
      <c r="K303" s="10" t="str">
        <f aca="false">IF($A303="","",SUMIFS('Daily Entry'!$Q$4:$Q$2003,'Daily Entry'!$A$4:$A$2003,$A303))</f>
        <v/>
      </c>
      <c r="L303" s="10" t="str">
        <f aca="false">IF($A303="","",$B303-$K303)</f>
        <v/>
      </c>
      <c r="M303" s="28" t="str">
        <f aca="false">IF($A303="","",$L303-$D303-$E303-$G303)</f>
        <v/>
      </c>
      <c r="N303" s="10" t="str">
        <f aca="false">IF($A303="","",SUMIFS('Daily Entry'!$H$4:$H$2003,'Daily Entry'!$A$4:$A$2003,$A303))</f>
        <v/>
      </c>
      <c r="O303" s="10" t="str">
        <f aca="false">IF($A303="","",SUMIFS('Daily Entry'!$I$4:$I$2003,'Daily Entry'!$A$4:$A$2003,$A303))</f>
        <v/>
      </c>
      <c r="P303" s="10" t="str">
        <f aca="false">IF($A303="","",SUMPRODUCT(('Daily Entry'!$A$4:$A$2003=$A303)*('Daily Entry'!$M$4:$M$2003)*('Daily Entry'!$D$4:$D$2003)))</f>
        <v/>
      </c>
    </row>
    <row r="304" customFormat="false" ht="15" hidden="false" customHeight="false" outlineLevel="0" collapsed="false">
      <c r="A304" s="27"/>
      <c r="B304" s="10" t="str">
        <f aca="false">IF($A304="","",SUMIFS('Daily Entry'!$P$4:$P$2003,'Daily Entry'!$A$4:$A$2003,$A304))</f>
        <v/>
      </c>
      <c r="C304" s="9"/>
      <c r="D304" s="9"/>
      <c r="E304" s="9"/>
      <c r="F304" s="8"/>
      <c r="G304" s="9"/>
      <c r="H304" s="9"/>
      <c r="I304" s="8"/>
      <c r="J304" s="28" t="str">
        <f aca="false">IF($A304="","",$B304+$C304-$D304-$E304-$G304-$H304)</f>
        <v/>
      </c>
      <c r="K304" s="10" t="str">
        <f aca="false">IF($A304="","",SUMIFS('Daily Entry'!$Q$4:$Q$2003,'Daily Entry'!$A$4:$A$2003,$A304))</f>
        <v/>
      </c>
      <c r="L304" s="10" t="str">
        <f aca="false">IF($A304="","",$B304-$K304)</f>
        <v/>
      </c>
      <c r="M304" s="28" t="str">
        <f aca="false">IF($A304="","",$L304-$D304-$E304-$G304)</f>
        <v/>
      </c>
      <c r="N304" s="10" t="str">
        <f aca="false">IF($A304="","",SUMIFS('Daily Entry'!$H$4:$H$2003,'Daily Entry'!$A$4:$A$2003,$A304))</f>
        <v/>
      </c>
      <c r="O304" s="10" t="str">
        <f aca="false">IF($A304="","",SUMIFS('Daily Entry'!$I$4:$I$2003,'Daily Entry'!$A$4:$A$2003,$A304))</f>
        <v/>
      </c>
      <c r="P304" s="10" t="str">
        <f aca="false">IF($A304="","",SUMPRODUCT(('Daily Entry'!$A$4:$A$2003=$A304)*('Daily Entry'!$M$4:$M$2003)*('Daily Entry'!$D$4:$D$2003)))</f>
        <v/>
      </c>
    </row>
    <row r="305" customFormat="false" ht="15" hidden="false" customHeight="false" outlineLevel="0" collapsed="false">
      <c r="A305" s="27"/>
      <c r="B305" s="10" t="str">
        <f aca="false">IF($A305="","",SUMIFS('Daily Entry'!$P$4:$P$2003,'Daily Entry'!$A$4:$A$2003,$A305))</f>
        <v/>
      </c>
      <c r="C305" s="9"/>
      <c r="D305" s="9"/>
      <c r="E305" s="9"/>
      <c r="F305" s="8"/>
      <c r="G305" s="9"/>
      <c r="H305" s="9"/>
      <c r="I305" s="8"/>
      <c r="J305" s="28" t="str">
        <f aca="false">IF($A305="","",$B305+$C305-$D305-$E305-$G305-$H305)</f>
        <v/>
      </c>
      <c r="K305" s="10" t="str">
        <f aca="false">IF($A305="","",SUMIFS('Daily Entry'!$Q$4:$Q$2003,'Daily Entry'!$A$4:$A$2003,$A305))</f>
        <v/>
      </c>
      <c r="L305" s="10" t="str">
        <f aca="false">IF($A305="","",$B305-$K305)</f>
        <v/>
      </c>
      <c r="M305" s="28" t="str">
        <f aca="false">IF($A305="","",$L305-$D305-$E305-$G305)</f>
        <v/>
      </c>
      <c r="N305" s="10" t="str">
        <f aca="false">IF($A305="","",SUMIFS('Daily Entry'!$H$4:$H$2003,'Daily Entry'!$A$4:$A$2003,$A305))</f>
        <v/>
      </c>
      <c r="O305" s="10" t="str">
        <f aca="false">IF($A305="","",SUMIFS('Daily Entry'!$I$4:$I$2003,'Daily Entry'!$A$4:$A$2003,$A305))</f>
        <v/>
      </c>
      <c r="P305" s="10" t="str">
        <f aca="false">IF($A305="","",SUMPRODUCT(('Daily Entry'!$A$4:$A$2003=$A305)*('Daily Entry'!$M$4:$M$2003)*('Daily Entry'!$D$4:$D$2003)))</f>
        <v/>
      </c>
    </row>
    <row r="306" customFormat="false" ht="15" hidden="false" customHeight="false" outlineLevel="0" collapsed="false">
      <c r="A306" s="27"/>
      <c r="B306" s="10" t="str">
        <f aca="false">IF($A306="","",SUMIFS('Daily Entry'!$P$4:$P$2003,'Daily Entry'!$A$4:$A$2003,$A306))</f>
        <v/>
      </c>
      <c r="C306" s="9"/>
      <c r="D306" s="9"/>
      <c r="E306" s="9"/>
      <c r="F306" s="8"/>
      <c r="G306" s="9"/>
      <c r="H306" s="9"/>
      <c r="I306" s="8"/>
      <c r="J306" s="28" t="str">
        <f aca="false">IF($A306="","",$B306+$C306-$D306-$E306-$G306-$H306)</f>
        <v/>
      </c>
      <c r="K306" s="10" t="str">
        <f aca="false">IF($A306="","",SUMIFS('Daily Entry'!$Q$4:$Q$2003,'Daily Entry'!$A$4:$A$2003,$A306))</f>
        <v/>
      </c>
      <c r="L306" s="10" t="str">
        <f aca="false">IF($A306="","",$B306-$K306)</f>
        <v/>
      </c>
      <c r="M306" s="28" t="str">
        <f aca="false">IF($A306="","",$L306-$D306-$E306-$G306)</f>
        <v/>
      </c>
      <c r="N306" s="10" t="str">
        <f aca="false">IF($A306="","",SUMIFS('Daily Entry'!$H$4:$H$2003,'Daily Entry'!$A$4:$A$2003,$A306))</f>
        <v/>
      </c>
      <c r="O306" s="10" t="str">
        <f aca="false">IF($A306="","",SUMIFS('Daily Entry'!$I$4:$I$2003,'Daily Entry'!$A$4:$A$2003,$A306))</f>
        <v/>
      </c>
      <c r="P306" s="10" t="str">
        <f aca="false">IF($A306="","",SUMPRODUCT(('Daily Entry'!$A$4:$A$2003=$A306)*('Daily Entry'!$M$4:$M$2003)*('Daily Entry'!$D$4:$D$2003)))</f>
        <v/>
      </c>
    </row>
    <row r="307" customFormat="false" ht="15" hidden="false" customHeight="false" outlineLevel="0" collapsed="false">
      <c r="A307" s="27"/>
      <c r="B307" s="10" t="str">
        <f aca="false">IF($A307="","",SUMIFS('Daily Entry'!$P$4:$P$2003,'Daily Entry'!$A$4:$A$2003,$A307))</f>
        <v/>
      </c>
      <c r="C307" s="9"/>
      <c r="D307" s="9"/>
      <c r="E307" s="9"/>
      <c r="F307" s="8"/>
      <c r="G307" s="9"/>
      <c r="H307" s="9"/>
      <c r="I307" s="8"/>
      <c r="J307" s="28" t="str">
        <f aca="false">IF($A307="","",$B307+$C307-$D307-$E307-$G307-$H307)</f>
        <v/>
      </c>
      <c r="K307" s="10" t="str">
        <f aca="false">IF($A307="","",SUMIFS('Daily Entry'!$Q$4:$Q$2003,'Daily Entry'!$A$4:$A$2003,$A307))</f>
        <v/>
      </c>
      <c r="L307" s="10" t="str">
        <f aca="false">IF($A307="","",$B307-$K307)</f>
        <v/>
      </c>
      <c r="M307" s="28" t="str">
        <f aca="false">IF($A307="","",$L307-$D307-$E307-$G307)</f>
        <v/>
      </c>
      <c r="N307" s="10" t="str">
        <f aca="false">IF($A307="","",SUMIFS('Daily Entry'!$H$4:$H$2003,'Daily Entry'!$A$4:$A$2003,$A307))</f>
        <v/>
      </c>
      <c r="O307" s="10" t="str">
        <f aca="false">IF($A307="","",SUMIFS('Daily Entry'!$I$4:$I$2003,'Daily Entry'!$A$4:$A$2003,$A307))</f>
        <v/>
      </c>
      <c r="P307" s="10" t="str">
        <f aca="false">IF($A307="","",SUMPRODUCT(('Daily Entry'!$A$4:$A$2003=$A307)*('Daily Entry'!$M$4:$M$2003)*('Daily Entry'!$D$4:$D$2003)))</f>
        <v/>
      </c>
    </row>
    <row r="308" customFormat="false" ht="15" hidden="false" customHeight="false" outlineLevel="0" collapsed="false">
      <c r="A308" s="27"/>
      <c r="B308" s="10" t="str">
        <f aca="false">IF($A308="","",SUMIFS('Daily Entry'!$P$4:$P$2003,'Daily Entry'!$A$4:$A$2003,$A308))</f>
        <v/>
      </c>
      <c r="C308" s="9"/>
      <c r="D308" s="9"/>
      <c r="E308" s="9"/>
      <c r="F308" s="8"/>
      <c r="G308" s="9"/>
      <c r="H308" s="9"/>
      <c r="I308" s="8"/>
      <c r="J308" s="28" t="str">
        <f aca="false">IF($A308="","",$B308+$C308-$D308-$E308-$G308-$H308)</f>
        <v/>
      </c>
      <c r="K308" s="10" t="str">
        <f aca="false">IF($A308="","",SUMIFS('Daily Entry'!$Q$4:$Q$2003,'Daily Entry'!$A$4:$A$2003,$A308))</f>
        <v/>
      </c>
      <c r="L308" s="10" t="str">
        <f aca="false">IF($A308="","",$B308-$K308)</f>
        <v/>
      </c>
      <c r="M308" s="28" t="str">
        <f aca="false">IF($A308="","",$L308-$D308-$E308-$G308)</f>
        <v/>
      </c>
      <c r="N308" s="10" t="str">
        <f aca="false">IF($A308="","",SUMIFS('Daily Entry'!$H$4:$H$2003,'Daily Entry'!$A$4:$A$2003,$A308))</f>
        <v/>
      </c>
      <c r="O308" s="10" t="str">
        <f aca="false">IF($A308="","",SUMIFS('Daily Entry'!$I$4:$I$2003,'Daily Entry'!$A$4:$A$2003,$A308))</f>
        <v/>
      </c>
      <c r="P308" s="10" t="str">
        <f aca="false">IF($A308="","",SUMPRODUCT(('Daily Entry'!$A$4:$A$2003=$A308)*('Daily Entry'!$M$4:$M$2003)*('Daily Entry'!$D$4:$D$2003)))</f>
        <v/>
      </c>
    </row>
    <row r="309" customFormat="false" ht="15" hidden="false" customHeight="false" outlineLevel="0" collapsed="false">
      <c r="A309" s="27"/>
      <c r="B309" s="10" t="str">
        <f aca="false">IF($A309="","",SUMIFS('Daily Entry'!$P$4:$P$2003,'Daily Entry'!$A$4:$A$2003,$A309))</f>
        <v/>
      </c>
      <c r="C309" s="9"/>
      <c r="D309" s="9"/>
      <c r="E309" s="9"/>
      <c r="F309" s="8"/>
      <c r="G309" s="9"/>
      <c r="H309" s="9"/>
      <c r="I309" s="8"/>
      <c r="J309" s="28" t="str">
        <f aca="false">IF($A309="","",$B309+$C309-$D309-$E309-$G309-$H309)</f>
        <v/>
      </c>
      <c r="K309" s="10" t="str">
        <f aca="false">IF($A309="","",SUMIFS('Daily Entry'!$Q$4:$Q$2003,'Daily Entry'!$A$4:$A$2003,$A309))</f>
        <v/>
      </c>
      <c r="L309" s="10" t="str">
        <f aca="false">IF($A309="","",$B309-$K309)</f>
        <v/>
      </c>
      <c r="M309" s="28" t="str">
        <f aca="false">IF($A309="","",$L309-$D309-$E309-$G309)</f>
        <v/>
      </c>
      <c r="N309" s="10" t="str">
        <f aca="false">IF($A309="","",SUMIFS('Daily Entry'!$H$4:$H$2003,'Daily Entry'!$A$4:$A$2003,$A309))</f>
        <v/>
      </c>
      <c r="O309" s="10" t="str">
        <f aca="false">IF($A309="","",SUMIFS('Daily Entry'!$I$4:$I$2003,'Daily Entry'!$A$4:$A$2003,$A309))</f>
        <v/>
      </c>
      <c r="P309" s="10" t="str">
        <f aca="false">IF($A309="","",SUMPRODUCT(('Daily Entry'!$A$4:$A$2003=$A309)*('Daily Entry'!$M$4:$M$2003)*('Daily Entry'!$D$4:$D$2003)))</f>
        <v/>
      </c>
    </row>
    <row r="310" customFormat="false" ht="15" hidden="false" customHeight="false" outlineLevel="0" collapsed="false">
      <c r="A310" s="27"/>
      <c r="B310" s="10" t="str">
        <f aca="false">IF($A310="","",SUMIFS('Daily Entry'!$P$4:$P$2003,'Daily Entry'!$A$4:$A$2003,$A310))</f>
        <v/>
      </c>
      <c r="C310" s="9"/>
      <c r="D310" s="9"/>
      <c r="E310" s="9"/>
      <c r="F310" s="8"/>
      <c r="G310" s="9"/>
      <c r="H310" s="9"/>
      <c r="I310" s="8"/>
      <c r="J310" s="28" t="str">
        <f aca="false">IF($A310="","",$B310+$C310-$D310-$E310-$G310-$H310)</f>
        <v/>
      </c>
      <c r="K310" s="10" t="str">
        <f aca="false">IF($A310="","",SUMIFS('Daily Entry'!$Q$4:$Q$2003,'Daily Entry'!$A$4:$A$2003,$A310))</f>
        <v/>
      </c>
      <c r="L310" s="10" t="str">
        <f aca="false">IF($A310="","",$B310-$K310)</f>
        <v/>
      </c>
      <c r="M310" s="28" t="str">
        <f aca="false">IF($A310="","",$L310-$D310-$E310-$G310)</f>
        <v/>
      </c>
      <c r="N310" s="10" t="str">
        <f aca="false">IF($A310="","",SUMIFS('Daily Entry'!$H$4:$H$2003,'Daily Entry'!$A$4:$A$2003,$A310))</f>
        <v/>
      </c>
      <c r="O310" s="10" t="str">
        <f aca="false">IF($A310="","",SUMIFS('Daily Entry'!$I$4:$I$2003,'Daily Entry'!$A$4:$A$2003,$A310))</f>
        <v/>
      </c>
      <c r="P310" s="10" t="str">
        <f aca="false">IF($A310="","",SUMPRODUCT(('Daily Entry'!$A$4:$A$2003=$A310)*('Daily Entry'!$M$4:$M$2003)*('Daily Entry'!$D$4:$D$2003)))</f>
        <v/>
      </c>
    </row>
    <row r="311" customFormat="false" ht="15" hidden="false" customHeight="false" outlineLevel="0" collapsed="false">
      <c r="A311" s="27"/>
      <c r="B311" s="10" t="str">
        <f aca="false">IF($A311="","",SUMIFS('Daily Entry'!$P$4:$P$2003,'Daily Entry'!$A$4:$A$2003,$A311))</f>
        <v/>
      </c>
      <c r="C311" s="9"/>
      <c r="D311" s="9"/>
      <c r="E311" s="9"/>
      <c r="F311" s="8"/>
      <c r="G311" s="9"/>
      <c r="H311" s="9"/>
      <c r="I311" s="8"/>
      <c r="J311" s="28" t="str">
        <f aca="false">IF($A311="","",$B311+$C311-$D311-$E311-$G311-$H311)</f>
        <v/>
      </c>
      <c r="K311" s="10" t="str">
        <f aca="false">IF($A311="","",SUMIFS('Daily Entry'!$Q$4:$Q$2003,'Daily Entry'!$A$4:$A$2003,$A311))</f>
        <v/>
      </c>
      <c r="L311" s="10" t="str">
        <f aca="false">IF($A311="","",$B311-$K311)</f>
        <v/>
      </c>
      <c r="M311" s="28" t="str">
        <f aca="false">IF($A311="","",$L311-$D311-$E311-$G311)</f>
        <v/>
      </c>
      <c r="N311" s="10" t="str">
        <f aca="false">IF($A311="","",SUMIFS('Daily Entry'!$H$4:$H$2003,'Daily Entry'!$A$4:$A$2003,$A311))</f>
        <v/>
      </c>
      <c r="O311" s="10" t="str">
        <f aca="false">IF($A311="","",SUMIFS('Daily Entry'!$I$4:$I$2003,'Daily Entry'!$A$4:$A$2003,$A311))</f>
        <v/>
      </c>
      <c r="P311" s="10" t="str">
        <f aca="false">IF($A311="","",SUMPRODUCT(('Daily Entry'!$A$4:$A$2003=$A311)*('Daily Entry'!$M$4:$M$2003)*('Daily Entry'!$D$4:$D$2003)))</f>
        <v/>
      </c>
    </row>
    <row r="312" customFormat="false" ht="15" hidden="false" customHeight="false" outlineLevel="0" collapsed="false">
      <c r="A312" s="27"/>
      <c r="B312" s="10" t="str">
        <f aca="false">IF($A312="","",SUMIFS('Daily Entry'!$P$4:$P$2003,'Daily Entry'!$A$4:$A$2003,$A312))</f>
        <v/>
      </c>
      <c r="C312" s="9"/>
      <c r="D312" s="9"/>
      <c r="E312" s="9"/>
      <c r="F312" s="8"/>
      <c r="G312" s="9"/>
      <c r="H312" s="9"/>
      <c r="I312" s="8"/>
      <c r="J312" s="28" t="str">
        <f aca="false">IF($A312="","",$B312+$C312-$D312-$E312-$G312-$H312)</f>
        <v/>
      </c>
      <c r="K312" s="10" t="str">
        <f aca="false">IF($A312="","",SUMIFS('Daily Entry'!$Q$4:$Q$2003,'Daily Entry'!$A$4:$A$2003,$A312))</f>
        <v/>
      </c>
      <c r="L312" s="10" t="str">
        <f aca="false">IF($A312="","",$B312-$K312)</f>
        <v/>
      </c>
      <c r="M312" s="28" t="str">
        <f aca="false">IF($A312="","",$L312-$D312-$E312-$G312)</f>
        <v/>
      </c>
      <c r="N312" s="10" t="str">
        <f aca="false">IF($A312="","",SUMIFS('Daily Entry'!$H$4:$H$2003,'Daily Entry'!$A$4:$A$2003,$A312))</f>
        <v/>
      </c>
      <c r="O312" s="10" t="str">
        <f aca="false">IF($A312="","",SUMIFS('Daily Entry'!$I$4:$I$2003,'Daily Entry'!$A$4:$A$2003,$A312))</f>
        <v/>
      </c>
      <c r="P312" s="10" t="str">
        <f aca="false">IF($A312="","",SUMPRODUCT(('Daily Entry'!$A$4:$A$2003=$A312)*('Daily Entry'!$M$4:$M$2003)*('Daily Entry'!$D$4:$D$2003)))</f>
        <v/>
      </c>
    </row>
    <row r="313" customFormat="false" ht="15" hidden="false" customHeight="false" outlineLevel="0" collapsed="false">
      <c r="A313" s="27"/>
      <c r="B313" s="10" t="str">
        <f aca="false">IF($A313="","",SUMIFS('Daily Entry'!$P$4:$P$2003,'Daily Entry'!$A$4:$A$2003,$A313))</f>
        <v/>
      </c>
      <c r="C313" s="9"/>
      <c r="D313" s="9"/>
      <c r="E313" s="9"/>
      <c r="F313" s="8"/>
      <c r="G313" s="9"/>
      <c r="H313" s="9"/>
      <c r="I313" s="8"/>
      <c r="J313" s="28" t="str">
        <f aca="false">IF($A313="","",$B313+$C313-$D313-$E313-$G313-$H313)</f>
        <v/>
      </c>
      <c r="K313" s="10" t="str">
        <f aca="false">IF($A313="","",SUMIFS('Daily Entry'!$Q$4:$Q$2003,'Daily Entry'!$A$4:$A$2003,$A313))</f>
        <v/>
      </c>
      <c r="L313" s="10" t="str">
        <f aca="false">IF($A313="","",$B313-$K313)</f>
        <v/>
      </c>
      <c r="M313" s="28" t="str">
        <f aca="false">IF($A313="","",$L313-$D313-$E313-$G313)</f>
        <v/>
      </c>
      <c r="N313" s="10" t="str">
        <f aca="false">IF($A313="","",SUMIFS('Daily Entry'!$H$4:$H$2003,'Daily Entry'!$A$4:$A$2003,$A313))</f>
        <v/>
      </c>
      <c r="O313" s="10" t="str">
        <f aca="false">IF($A313="","",SUMIFS('Daily Entry'!$I$4:$I$2003,'Daily Entry'!$A$4:$A$2003,$A313))</f>
        <v/>
      </c>
      <c r="P313" s="10" t="str">
        <f aca="false">IF($A313="","",SUMPRODUCT(('Daily Entry'!$A$4:$A$2003=$A313)*('Daily Entry'!$M$4:$M$2003)*('Daily Entry'!$D$4:$D$2003)))</f>
        <v/>
      </c>
    </row>
    <row r="314" customFormat="false" ht="15" hidden="false" customHeight="false" outlineLevel="0" collapsed="false">
      <c r="A314" s="27"/>
      <c r="B314" s="10" t="str">
        <f aca="false">IF($A314="","",SUMIFS('Daily Entry'!$P$4:$P$2003,'Daily Entry'!$A$4:$A$2003,$A314))</f>
        <v/>
      </c>
      <c r="C314" s="9"/>
      <c r="D314" s="9"/>
      <c r="E314" s="9"/>
      <c r="F314" s="8"/>
      <c r="G314" s="9"/>
      <c r="H314" s="9"/>
      <c r="I314" s="8"/>
      <c r="J314" s="28" t="str">
        <f aca="false">IF($A314="","",$B314+$C314-$D314-$E314-$G314-$H314)</f>
        <v/>
      </c>
      <c r="K314" s="10" t="str">
        <f aca="false">IF($A314="","",SUMIFS('Daily Entry'!$Q$4:$Q$2003,'Daily Entry'!$A$4:$A$2003,$A314))</f>
        <v/>
      </c>
      <c r="L314" s="10" t="str">
        <f aca="false">IF($A314="","",$B314-$K314)</f>
        <v/>
      </c>
      <c r="M314" s="28" t="str">
        <f aca="false">IF($A314="","",$L314-$D314-$E314-$G314)</f>
        <v/>
      </c>
      <c r="N314" s="10" t="str">
        <f aca="false">IF($A314="","",SUMIFS('Daily Entry'!$H$4:$H$2003,'Daily Entry'!$A$4:$A$2003,$A314))</f>
        <v/>
      </c>
      <c r="O314" s="10" t="str">
        <f aca="false">IF($A314="","",SUMIFS('Daily Entry'!$I$4:$I$2003,'Daily Entry'!$A$4:$A$2003,$A314))</f>
        <v/>
      </c>
      <c r="P314" s="10" t="str">
        <f aca="false">IF($A314="","",SUMPRODUCT(('Daily Entry'!$A$4:$A$2003=$A314)*('Daily Entry'!$M$4:$M$2003)*('Daily Entry'!$D$4:$D$2003)))</f>
        <v/>
      </c>
    </row>
    <row r="315" customFormat="false" ht="15" hidden="false" customHeight="false" outlineLevel="0" collapsed="false">
      <c r="A315" s="27"/>
      <c r="B315" s="10" t="str">
        <f aca="false">IF($A315="","",SUMIFS('Daily Entry'!$P$4:$P$2003,'Daily Entry'!$A$4:$A$2003,$A315))</f>
        <v/>
      </c>
      <c r="C315" s="9"/>
      <c r="D315" s="9"/>
      <c r="E315" s="9"/>
      <c r="F315" s="8"/>
      <c r="G315" s="9"/>
      <c r="H315" s="9"/>
      <c r="I315" s="8"/>
      <c r="J315" s="28" t="str">
        <f aca="false">IF($A315="","",$B315+$C315-$D315-$E315-$G315-$H315)</f>
        <v/>
      </c>
      <c r="K315" s="10" t="str">
        <f aca="false">IF($A315="","",SUMIFS('Daily Entry'!$Q$4:$Q$2003,'Daily Entry'!$A$4:$A$2003,$A315))</f>
        <v/>
      </c>
      <c r="L315" s="10" t="str">
        <f aca="false">IF($A315="","",$B315-$K315)</f>
        <v/>
      </c>
      <c r="M315" s="28" t="str">
        <f aca="false">IF($A315="","",$L315-$D315-$E315-$G315)</f>
        <v/>
      </c>
      <c r="N315" s="10" t="str">
        <f aca="false">IF($A315="","",SUMIFS('Daily Entry'!$H$4:$H$2003,'Daily Entry'!$A$4:$A$2003,$A315))</f>
        <v/>
      </c>
      <c r="O315" s="10" t="str">
        <f aca="false">IF($A315="","",SUMIFS('Daily Entry'!$I$4:$I$2003,'Daily Entry'!$A$4:$A$2003,$A315))</f>
        <v/>
      </c>
      <c r="P315" s="10" t="str">
        <f aca="false">IF($A315="","",SUMPRODUCT(('Daily Entry'!$A$4:$A$2003=$A315)*('Daily Entry'!$M$4:$M$2003)*('Daily Entry'!$D$4:$D$2003)))</f>
        <v/>
      </c>
    </row>
    <row r="316" customFormat="false" ht="15" hidden="false" customHeight="false" outlineLevel="0" collapsed="false">
      <c r="A316" s="27"/>
      <c r="B316" s="10" t="str">
        <f aca="false">IF($A316="","",SUMIFS('Daily Entry'!$P$4:$P$2003,'Daily Entry'!$A$4:$A$2003,$A316))</f>
        <v/>
      </c>
      <c r="C316" s="9"/>
      <c r="D316" s="9"/>
      <c r="E316" s="9"/>
      <c r="F316" s="8"/>
      <c r="G316" s="9"/>
      <c r="H316" s="9"/>
      <c r="I316" s="8"/>
      <c r="J316" s="28" t="str">
        <f aca="false">IF($A316="","",$B316+$C316-$D316-$E316-$G316-$H316)</f>
        <v/>
      </c>
      <c r="K316" s="10" t="str">
        <f aca="false">IF($A316="","",SUMIFS('Daily Entry'!$Q$4:$Q$2003,'Daily Entry'!$A$4:$A$2003,$A316))</f>
        <v/>
      </c>
      <c r="L316" s="10" t="str">
        <f aca="false">IF($A316="","",$B316-$K316)</f>
        <v/>
      </c>
      <c r="M316" s="28" t="str">
        <f aca="false">IF($A316="","",$L316-$D316-$E316-$G316)</f>
        <v/>
      </c>
      <c r="N316" s="10" t="str">
        <f aca="false">IF($A316="","",SUMIFS('Daily Entry'!$H$4:$H$2003,'Daily Entry'!$A$4:$A$2003,$A316))</f>
        <v/>
      </c>
      <c r="O316" s="10" t="str">
        <f aca="false">IF($A316="","",SUMIFS('Daily Entry'!$I$4:$I$2003,'Daily Entry'!$A$4:$A$2003,$A316))</f>
        <v/>
      </c>
      <c r="P316" s="10" t="str">
        <f aca="false">IF($A316="","",SUMPRODUCT(('Daily Entry'!$A$4:$A$2003=$A316)*('Daily Entry'!$M$4:$M$2003)*('Daily Entry'!$D$4:$D$2003)))</f>
        <v/>
      </c>
    </row>
    <row r="317" customFormat="false" ht="15" hidden="false" customHeight="false" outlineLevel="0" collapsed="false">
      <c r="A317" s="27"/>
      <c r="B317" s="10" t="str">
        <f aca="false">IF($A317="","",SUMIFS('Daily Entry'!$P$4:$P$2003,'Daily Entry'!$A$4:$A$2003,$A317))</f>
        <v/>
      </c>
      <c r="C317" s="9"/>
      <c r="D317" s="9"/>
      <c r="E317" s="9"/>
      <c r="F317" s="8"/>
      <c r="G317" s="9"/>
      <c r="H317" s="9"/>
      <c r="I317" s="8"/>
      <c r="J317" s="28" t="str">
        <f aca="false">IF($A317="","",$B317+$C317-$D317-$E317-$G317-$H317)</f>
        <v/>
      </c>
      <c r="K317" s="10" t="str">
        <f aca="false">IF($A317="","",SUMIFS('Daily Entry'!$Q$4:$Q$2003,'Daily Entry'!$A$4:$A$2003,$A317))</f>
        <v/>
      </c>
      <c r="L317" s="10" t="str">
        <f aca="false">IF($A317="","",$B317-$K317)</f>
        <v/>
      </c>
      <c r="M317" s="28" t="str">
        <f aca="false">IF($A317="","",$L317-$D317-$E317-$G317)</f>
        <v/>
      </c>
      <c r="N317" s="10" t="str">
        <f aca="false">IF($A317="","",SUMIFS('Daily Entry'!$H$4:$H$2003,'Daily Entry'!$A$4:$A$2003,$A317))</f>
        <v/>
      </c>
      <c r="O317" s="10" t="str">
        <f aca="false">IF($A317="","",SUMIFS('Daily Entry'!$I$4:$I$2003,'Daily Entry'!$A$4:$A$2003,$A317))</f>
        <v/>
      </c>
      <c r="P317" s="10" t="str">
        <f aca="false">IF($A317="","",SUMPRODUCT(('Daily Entry'!$A$4:$A$2003=$A317)*('Daily Entry'!$M$4:$M$2003)*('Daily Entry'!$D$4:$D$2003)))</f>
        <v/>
      </c>
    </row>
    <row r="318" customFormat="false" ht="15" hidden="false" customHeight="false" outlineLevel="0" collapsed="false">
      <c r="A318" s="27"/>
      <c r="B318" s="10" t="str">
        <f aca="false">IF($A318="","",SUMIFS('Daily Entry'!$P$4:$P$2003,'Daily Entry'!$A$4:$A$2003,$A318))</f>
        <v/>
      </c>
      <c r="C318" s="9"/>
      <c r="D318" s="9"/>
      <c r="E318" s="9"/>
      <c r="F318" s="8"/>
      <c r="G318" s="9"/>
      <c r="H318" s="9"/>
      <c r="I318" s="8"/>
      <c r="J318" s="28" t="str">
        <f aca="false">IF($A318="","",$B318+$C318-$D318-$E318-$G318-$H318)</f>
        <v/>
      </c>
      <c r="K318" s="10" t="str">
        <f aca="false">IF($A318="","",SUMIFS('Daily Entry'!$Q$4:$Q$2003,'Daily Entry'!$A$4:$A$2003,$A318))</f>
        <v/>
      </c>
      <c r="L318" s="10" t="str">
        <f aca="false">IF($A318="","",$B318-$K318)</f>
        <v/>
      </c>
      <c r="M318" s="28" t="str">
        <f aca="false">IF($A318="","",$L318-$D318-$E318-$G318)</f>
        <v/>
      </c>
      <c r="N318" s="10" t="str">
        <f aca="false">IF($A318="","",SUMIFS('Daily Entry'!$H$4:$H$2003,'Daily Entry'!$A$4:$A$2003,$A318))</f>
        <v/>
      </c>
      <c r="O318" s="10" t="str">
        <f aca="false">IF($A318="","",SUMIFS('Daily Entry'!$I$4:$I$2003,'Daily Entry'!$A$4:$A$2003,$A318))</f>
        <v/>
      </c>
      <c r="P318" s="10" t="str">
        <f aca="false">IF($A318="","",SUMPRODUCT(('Daily Entry'!$A$4:$A$2003=$A318)*('Daily Entry'!$M$4:$M$2003)*('Daily Entry'!$D$4:$D$2003)))</f>
        <v/>
      </c>
    </row>
    <row r="319" customFormat="false" ht="15" hidden="false" customHeight="false" outlineLevel="0" collapsed="false">
      <c r="A319" s="27"/>
      <c r="B319" s="10" t="str">
        <f aca="false">IF($A319="","",SUMIFS('Daily Entry'!$P$4:$P$2003,'Daily Entry'!$A$4:$A$2003,$A319))</f>
        <v/>
      </c>
      <c r="C319" s="9"/>
      <c r="D319" s="9"/>
      <c r="E319" s="9"/>
      <c r="F319" s="8"/>
      <c r="G319" s="9"/>
      <c r="H319" s="9"/>
      <c r="I319" s="8"/>
      <c r="J319" s="28" t="str">
        <f aca="false">IF($A319="","",$B319+$C319-$D319-$E319-$G319-$H319)</f>
        <v/>
      </c>
      <c r="K319" s="10" t="str">
        <f aca="false">IF($A319="","",SUMIFS('Daily Entry'!$Q$4:$Q$2003,'Daily Entry'!$A$4:$A$2003,$A319))</f>
        <v/>
      </c>
      <c r="L319" s="10" t="str">
        <f aca="false">IF($A319="","",$B319-$K319)</f>
        <v/>
      </c>
      <c r="M319" s="28" t="str">
        <f aca="false">IF($A319="","",$L319-$D319-$E319-$G319)</f>
        <v/>
      </c>
      <c r="N319" s="10" t="str">
        <f aca="false">IF($A319="","",SUMIFS('Daily Entry'!$H$4:$H$2003,'Daily Entry'!$A$4:$A$2003,$A319))</f>
        <v/>
      </c>
      <c r="O319" s="10" t="str">
        <f aca="false">IF($A319="","",SUMIFS('Daily Entry'!$I$4:$I$2003,'Daily Entry'!$A$4:$A$2003,$A319))</f>
        <v/>
      </c>
      <c r="P319" s="10" t="str">
        <f aca="false">IF($A319="","",SUMPRODUCT(('Daily Entry'!$A$4:$A$2003=$A319)*('Daily Entry'!$M$4:$M$2003)*('Daily Entry'!$D$4:$D$2003)))</f>
        <v/>
      </c>
    </row>
    <row r="320" customFormat="false" ht="15" hidden="false" customHeight="false" outlineLevel="0" collapsed="false">
      <c r="A320" s="27"/>
      <c r="B320" s="10" t="str">
        <f aca="false">IF($A320="","",SUMIFS('Daily Entry'!$P$4:$P$2003,'Daily Entry'!$A$4:$A$2003,$A320))</f>
        <v/>
      </c>
      <c r="C320" s="9"/>
      <c r="D320" s="9"/>
      <c r="E320" s="9"/>
      <c r="F320" s="8"/>
      <c r="G320" s="9"/>
      <c r="H320" s="9"/>
      <c r="I320" s="8"/>
      <c r="J320" s="28" t="str">
        <f aca="false">IF($A320="","",$B320+$C320-$D320-$E320-$G320-$H320)</f>
        <v/>
      </c>
      <c r="K320" s="10" t="str">
        <f aca="false">IF($A320="","",SUMIFS('Daily Entry'!$Q$4:$Q$2003,'Daily Entry'!$A$4:$A$2003,$A320))</f>
        <v/>
      </c>
      <c r="L320" s="10" t="str">
        <f aca="false">IF($A320="","",$B320-$K320)</f>
        <v/>
      </c>
      <c r="M320" s="28" t="str">
        <f aca="false">IF($A320="","",$L320-$D320-$E320-$G320)</f>
        <v/>
      </c>
      <c r="N320" s="10" t="str">
        <f aca="false">IF($A320="","",SUMIFS('Daily Entry'!$H$4:$H$2003,'Daily Entry'!$A$4:$A$2003,$A320))</f>
        <v/>
      </c>
      <c r="O320" s="10" t="str">
        <f aca="false">IF($A320="","",SUMIFS('Daily Entry'!$I$4:$I$2003,'Daily Entry'!$A$4:$A$2003,$A320))</f>
        <v/>
      </c>
      <c r="P320" s="10" t="str">
        <f aca="false">IF($A320="","",SUMPRODUCT(('Daily Entry'!$A$4:$A$2003=$A320)*('Daily Entry'!$M$4:$M$2003)*('Daily Entry'!$D$4:$D$2003)))</f>
        <v/>
      </c>
    </row>
    <row r="321" customFormat="false" ht="15" hidden="false" customHeight="false" outlineLevel="0" collapsed="false">
      <c r="A321" s="27"/>
      <c r="B321" s="10" t="str">
        <f aca="false">IF($A321="","",SUMIFS('Daily Entry'!$P$4:$P$2003,'Daily Entry'!$A$4:$A$2003,$A321))</f>
        <v/>
      </c>
      <c r="C321" s="9"/>
      <c r="D321" s="9"/>
      <c r="E321" s="9"/>
      <c r="F321" s="8"/>
      <c r="G321" s="9"/>
      <c r="H321" s="9"/>
      <c r="I321" s="8"/>
      <c r="J321" s="28" t="str">
        <f aca="false">IF($A321="","",$B321+$C321-$D321-$E321-$G321-$H321)</f>
        <v/>
      </c>
      <c r="K321" s="10" t="str">
        <f aca="false">IF($A321="","",SUMIFS('Daily Entry'!$Q$4:$Q$2003,'Daily Entry'!$A$4:$A$2003,$A321))</f>
        <v/>
      </c>
      <c r="L321" s="10" t="str">
        <f aca="false">IF($A321="","",$B321-$K321)</f>
        <v/>
      </c>
      <c r="M321" s="28" t="str">
        <f aca="false">IF($A321="","",$L321-$D321-$E321-$G321)</f>
        <v/>
      </c>
      <c r="N321" s="10" t="str">
        <f aca="false">IF($A321="","",SUMIFS('Daily Entry'!$H$4:$H$2003,'Daily Entry'!$A$4:$A$2003,$A321))</f>
        <v/>
      </c>
      <c r="O321" s="10" t="str">
        <f aca="false">IF($A321="","",SUMIFS('Daily Entry'!$I$4:$I$2003,'Daily Entry'!$A$4:$A$2003,$A321))</f>
        <v/>
      </c>
      <c r="P321" s="10" t="str">
        <f aca="false">IF($A321="","",SUMPRODUCT(('Daily Entry'!$A$4:$A$2003=$A321)*('Daily Entry'!$M$4:$M$2003)*('Daily Entry'!$D$4:$D$2003)))</f>
        <v/>
      </c>
    </row>
    <row r="322" customFormat="false" ht="15" hidden="false" customHeight="false" outlineLevel="0" collapsed="false">
      <c r="A322" s="27"/>
      <c r="B322" s="10" t="str">
        <f aca="false">IF($A322="","",SUMIFS('Daily Entry'!$P$4:$P$2003,'Daily Entry'!$A$4:$A$2003,$A322))</f>
        <v/>
      </c>
      <c r="C322" s="9"/>
      <c r="D322" s="9"/>
      <c r="E322" s="9"/>
      <c r="F322" s="8"/>
      <c r="G322" s="9"/>
      <c r="H322" s="9"/>
      <c r="I322" s="8"/>
      <c r="J322" s="28" t="str">
        <f aca="false">IF($A322="","",$B322+$C322-$D322-$E322-$G322-$H322)</f>
        <v/>
      </c>
      <c r="K322" s="10" t="str">
        <f aca="false">IF($A322="","",SUMIFS('Daily Entry'!$Q$4:$Q$2003,'Daily Entry'!$A$4:$A$2003,$A322))</f>
        <v/>
      </c>
      <c r="L322" s="10" t="str">
        <f aca="false">IF($A322="","",$B322-$K322)</f>
        <v/>
      </c>
      <c r="M322" s="28" t="str">
        <f aca="false">IF($A322="","",$L322-$D322-$E322-$G322)</f>
        <v/>
      </c>
      <c r="N322" s="10" t="str">
        <f aca="false">IF($A322="","",SUMIFS('Daily Entry'!$H$4:$H$2003,'Daily Entry'!$A$4:$A$2003,$A322))</f>
        <v/>
      </c>
      <c r="O322" s="10" t="str">
        <f aca="false">IF($A322="","",SUMIFS('Daily Entry'!$I$4:$I$2003,'Daily Entry'!$A$4:$A$2003,$A322))</f>
        <v/>
      </c>
      <c r="P322" s="10" t="str">
        <f aca="false">IF($A322="","",SUMPRODUCT(('Daily Entry'!$A$4:$A$2003=$A322)*('Daily Entry'!$M$4:$M$2003)*('Daily Entry'!$D$4:$D$2003)))</f>
        <v/>
      </c>
    </row>
    <row r="323" customFormat="false" ht="15" hidden="false" customHeight="false" outlineLevel="0" collapsed="false">
      <c r="A323" s="27"/>
      <c r="B323" s="10" t="str">
        <f aca="false">IF($A323="","",SUMIFS('Daily Entry'!$P$4:$P$2003,'Daily Entry'!$A$4:$A$2003,$A323))</f>
        <v/>
      </c>
      <c r="C323" s="9"/>
      <c r="D323" s="9"/>
      <c r="E323" s="9"/>
      <c r="F323" s="8"/>
      <c r="G323" s="9"/>
      <c r="H323" s="9"/>
      <c r="I323" s="8"/>
      <c r="J323" s="28" t="str">
        <f aca="false">IF($A323="","",$B323+$C323-$D323-$E323-$G323-$H323)</f>
        <v/>
      </c>
      <c r="K323" s="10" t="str">
        <f aca="false">IF($A323="","",SUMIFS('Daily Entry'!$Q$4:$Q$2003,'Daily Entry'!$A$4:$A$2003,$A323))</f>
        <v/>
      </c>
      <c r="L323" s="10" t="str">
        <f aca="false">IF($A323="","",$B323-$K323)</f>
        <v/>
      </c>
      <c r="M323" s="28" t="str">
        <f aca="false">IF($A323="","",$L323-$D323-$E323-$G323)</f>
        <v/>
      </c>
      <c r="N323" s="10" t="str">
        <f aca="false">IF($A323="","",SUMIFS('Daily Entry'!$H$4:$H$2003,'Daily Entry'!$A$4:$A$2003,$A323))</f>
        <v/>
      </c>
      <c r="O323" s="10" t="str">
        <f aca="false">IF($A323="","",SUMIFS('Daily Entry'!$I$4:$I$2003,'Daily Entry'!$A$4:$A$2003,$A323))</f>
        <v/>
      </c>
      <c r="P323" s="10" t="str">
        <f aca="false">IF($A323="","",SUMPRODUCT(('Daily Entry'!$A$4:$A$2003=$A323)*('Daily Entry'!$M$4:$M$2003)*('Daily Entry'!$D$4:$D$2003)))</f>
        <v/>
      </c>
    </row>
    <row r="324" customFormat="false" ht="15" hidden="false" customHeight="false" outlineLevel="0" collapsed="false">
      <c r="A324" s="27"/>
      <c r="B324" s="10" t="str">
        <f aca="false">IF($A324="","",SUMIFS('Daily Entry'!$P$4:$P$2003,'Daily Entry'!$A$4:$A$2003,$A324))</f>
        <v/>
      </c>
      <c r="C324" s="9"/>
      <c r="D324" s="9"/>
      <c r="E324" s="9"/>
      <c r="F324" s="8"/>
      <c r="G324" s="9"/>
      <c r="H324" s="9"/>
      <c r="I324" s="8"/>
      <c r="J324" s="28" t="str">
        <f aca="false">IF($A324="","",$B324+$C324-$D324-$E324-$G324-$H324)</f>
        <v/>
      </c>
      <c r="K324" s="10" t="str">
        <f aca="false">IF($A324="","",SUMIFS('Daily Entry'!$Q$4:$Q$2003,'Daily Entry'!$A$4:$A$2003,$A324))</f>
        <v/>
      </c>
      <c r="L324" s="10" t="str">
        <f aca="false">IF($A324="","",$B324-$K324)</f>
        <v/>
      </c>
      <c r="M324" s="28" t="str">
        <f aca="false">IF($A324="","",$L324-$D324-$E324-$G324)</f>
        <v/>
      </c>
      <c r="N324" s="10" t="str">
        <f aca="false">IF($A324="","",SUMIFS('Daily Entry'!$H$4:$H$2003,'Daily Entry'!$A$4:$A$2003,$A324))</f>
        <v/>
      </c>
      <c r="O324" s="10" t="str">
        <f aca="false">IF($A324="","",SUMIFS('Daily Entry'!$I$4:$I$2003,'Daily Entry'!$A$4:$A$2003,$A324))</f>
        <v/>
      </c>
      <c r="P324" s="10" t="str">
        <f aca="false">IF($A324="","",SUMPRODUCT(('Daily Entry'!$A$4:$A$2003=$A324)*('Daily Entry'!$M$4:$M$2003)*('Daily Entry'!$D$4:$D$2003)))</f>
        <v/>
      </c>
    </row>
    <row r="325" customFormat="false" ht="15" hidden="false" customHeight="false" outlineLevel="0" collapsed="false">
      <c r="A325" s="27"/>
      <c r="B325" s="10" t="str">
        <f aca="false">IF($A325="","",SUMIFS('Daily Entry'!$P$4:$P$2003,'Daily Entry'!$A$4:$A$2003,$A325))</f>
        <v/>
      </c>
      <c r="C325" s="9"/>
      <c r="D325" s="9"/>
      <c r="E325" s="9"/>
      <c r="F325" s="8"/>
      <c r="G325" s="9"/>
      <c r="H325" s="9"/>
      <c r="I325" s="8"/>
      <c r="J325" s="28" t="str">
        <f aca="false">IF($A325="","",$B325+$C325-$D325-$E325-$G325-$H325)</f>
        <v/>
      </c>
      <c r="K325" s="10" t="str">
        <f aca="false">IF($A325="","",SUMIFS('Daily Entry'!$Q$4:$Q$2003,'Daily Entry'!$A$4:$A$2003,$A325))</f>
        <v/>
      </c>
      <c r="L325" s="10" t="str">
        <f aca="false">IF($A325="","",$B325-$K325)</f>
        <v/>
      </c>
      <c r="M325" s="28" t="str">
        <f aca="false">IF($A325="","",$L325-$D325-$E325-$G325)</f>
        <v/>
      </c>
      <c r="N325" s="10" t="str">
        <f aca="false">IF($A325="","",SUMIFS('Daily Entry'!$H$4:$H$2003,'Daily Entry'!$A$4:$A$2003,$A325))</f>
        <v/>
      </c>
      <c r="O325" s="10" t="str">
        <f aca="false">IF($A325="","",SUMIFS('Daily Entry'!$I$4:$I$2003,'Daily Entry'!$A$4:$A$2003,$A325))</f>
        <v/>
      </c>
      <c r="P325" s="10" t="str">
        <f aca="false">IF($A325="","",SUMPRODUCT(('Daily Entry'!$A$4:$A$2003=$A325)*('Daily Entry'!$M$4:$M$2003)*('Daily Entry'!$D$4:$D$2003)))</f>
        <v/>
      </c>
    </row>
    <row r="326" customFormat="false" ht="15" hidden="false" customHeight="false" outlineLevel="0" collapsed="false">
      <c r="A326" s="27"/>
      <c r="B326" s="10" t="str">
        <f aca="false">IF($A326="","",SUMIFS('Daily Entry'!$P$4:$P$2003,'Daily Entry'!$A$4:$A$2003,$A326))</f>
        <v/>
      </c>
      <c r="C326" s="9"/>
      <c r="D326" s="9"/>
      <c r="E326" s="9"/>
      <c r="F326" s="8"/>
      <c r="G326" s="9"/>
      <c r="H326" s="9"/>
      <c r="I326" s="8"/>
      <c r="J326" s="28" t="str">
        <f aca="false">IF($A326="","",$B326+$C326-$D326-$E326-$G326-$H326)</f>
        <v/>
      </c>
      <c r="K326" s="10" t="str">
        <f aca="false">IF($A326="","",SUMIFS('Daily Entry'!$Q$4:$Q$2003,'Daily Entry'!$A$4:$A$2003,$A326))</f>
        <v/>
      </c>
      <c r="L326" s="10" t="str">
        <f aca="false">IF($A326="","",$B326-$K326)</f>
        <v/>
      </c>
      <c r="M326" s="28" t="str">
        <f aca="false">IF($A326="","",$L326-$D326-$E326-$G326)</f>
        <v/>
      </c>
      <c r="N326" s="10" t="str">
        <f aca="false">IF($A326="","",SUMIFS('Daily Entry'!$H$4:$H$2003,'Daily Entry'!$A$4:$A$2003,$A326))</f>
        <v/>
      </c>
      <c r="O326" s="10" t="str">
        <f aca="false">IF($A326="","",SUMIFS('Daily Entry'!$I$4:$I$2003,'Daily Entry'!$A$4:$A$2003,$A326))</f>
        <v/>
      </c>
      <c r="P326" s="10" t="str">
        <f aca="false">IF($A326="","",SUMPRODUCT(('Daily Entry'!$A$4:$A$2003=$A326)*('Daily Entry'!$M$4:$M$2003)*('Daily Entry'!$D$4:$D$2003)))</f>
        <v/>
      </c>
    </row>
    <row r="327" customFormat="false" ht="15" hidden="false" customHeight="false" outlineLevel="0" collapsed="false">
      <c r="A327" s="27"/>
      <c r="B327" s="10" t="str">
        <f aca="false">IF($A327="","",SUMIFS('Daily Entry'!$P$4:$P$2003,'Daily Entry'!$A$4:$A$2003,$A327))</f>
        <v/>
      </c>
      <c r="C327" s="9"/>
      <c r="D327" s="9"/>
      <c r="E327" s="9"/>
      <c r="F327" s="8"/>
      <c r="G327" s="9"/>
      <c r="H327" s="9"/>
      <c r="I327" s="8"/>
      <c r="J327" s="28" t="str">
        <f aca="false">IF($A327="","",$B327+$C327-$D327-$E327-$G327-$H327)</f>
        <v/>
      </c>
      <c r="K327" s="10" t="str">
        <f aca="false">IF($A327="","",SUMIFS('Daily Entry'!$Q$4:$Q$2003,'Daily Entry'!$A$4:$A$2003,$A327))</f>
        <v/>
      </c>
      <c r="L327" s="10" t="str">
        <f aca="false">IF($A327="","",$B327-$K327)</f>
        <v/>
      </c>
      <c r="M327" s="28" t="str">
        <f aca="false">IF($A327="","",$L327-$D327-$E327-$G327)</f>
        <v/>
      </c>
      <c r="N327" s="10" t="str">
        <f aca="false">IF($A327="","",SUMIFS('Daily Entry'!$H$4:$H$2003,'Daily Entry'!$A$4:$A$2003,$A327))</f>
        <v/>
      </c>
      <c r="O327" s="10" t="str">
        <f aca="false">IF($A327="","",SUMIFS('Daily Entry'!$I$4:$I$2003,'Daily Entry'!$A$4:$A$2003,$A327))</f>
        <v/>
      </c>
      <c r="P327" s="10" t="str">
        <f aca="false">IF($A327="","",SUMPRODUCT(('Daily Entry'!$A$4:$A$2003=$A327)*('Daily Entry'!$M$4:$M$2003)*('Daily Entry'!$D$4:$D$2003)))</f>
        <v/>
      </c>
    </row>
    <row r="328" customFormat="false" ht="15" hidden="false" customHeight="false" outlineLevel="0" collapsed="false">
      <c r="A328" s="27"/>
      <c r="B328" s="10" t="str">
        <f aca="false">IF($A328="","",SUMIFS('Daily Entry'!$P$4:$P$2003,'Daily Entry'!$A$4:$A$2003,$A328))</f>
        <v/>
      </c>
      <c r="C328" s="9"/>
      <c r="D328" s="9"/>
      <c r="E328" s="9"/>
      <c r="F328" s="8"/>
      <c r="G328" s="9"/>
      <c r="H328" s="9"/>
      <c r="I328" s="8"/>
      <c r="J328" s="28" t="str">
        <f aca="false">IF($A328="","",$B328+$C328-$D328-$E328-$G328-$H328)</f>
        <v/>
      </c>
      <c r="K328" s="10" t="str">
        <f aca="false">IF($A328="","",SUMIFS('Daily Entry'!$Q$4:$Q$2003,'Daily Entry'!$A$4:$A$2003,$A328))</f>
        <v/>
      </c>
      <c r="L328" s="10" t="str">
        <f aca="false">IF($A328="","",$B328-$K328)</f>
        <v/>
      </c>
      <c r="M328" s="28" t="str">
        <f aca="false">IF($A328="","",$L328-$D328-$E328-$G328)</f>
        <v/>
      </c>
      <c r="N328" s="10" t="str">
        <f aca="false">IF($A328="","",SUMIFS('Daily Entry'!$H$4:$H$2003,'Daily Entry'!$A$4:$A$2003,$A328))</f>
        <v/>
      </c>
      <c r="O328" s="10" t="str">
        <f aca="false">IF($A328="","",SUMIFS('Daily Entry'!$I$4:$I$2003,'Daily Entry'!$A$4:$A$2003,$A328))</f>
        <v/>
      </c>
      <c r="P328" s="10" t="str">
        <f aca="false">IF($A328="","",SUMPRODUCT(('Daily Entry'!$A$4:$A$2003=$A328)*('Daily Entry'!$M$4:$M$2003)*('Daily Entry'!$D$4:$D$2003)))</f>
        <v/>
      </c>
    </row>
    <row r="329" customFormat="false" ht="15" hidden="false" customHeight="false" outlineLevel="0" collapsed="false">
      <c r="A329" s="27"/>
      <c r="B329" s="10" t="str">
        <f aca="false">IF($A329="","",SUMIFS('Daily Entry'!$P$4:$P$2003,'Daily Entry'!$A$4:$A$2003,$A329))</f>
        <v/>
      </c>
      <c r="C329" s="9"/>
      <c r="D329" s="9"/>
      <c r="E329" s="9"/>
      <c r="F329" s="8"/>
      <c r="G329" s="9"/>
      <c r="H329" s="9"/>
      <c r="I329" s="8"/>
      <c r="J329" s="28" t="str">
        <f aca="false">IF($A329="","",$B329+$C329-$D329-$E329-$G329-$H329)</f>
        <v/>
      </c>
      <c r="K329" s="10" t="str">
        <f aca="false">IF($A329="","",SUMIFS('Daily Entry'!$Q$4:$Q$2003,'Daily Entry'!$A$4:$A$2003,$A329))</f>
        <v/>
      </c>
      <c r="L329" s="10" t="str">
        <f aca="false">IF($A329="","",$B329-$K329)</f>
        <v/>
      </c>
      <c r="M329" s="28" t="str">
        <f aca="false">IF($A329="","",$L329-$D329-$E329-$G329)</f>
        <v/>
      </c>
      <c r="N329" s="10" t="str">
        <f aca="false">IF($A329="","",SUMIFS('Daily Entry'!$H$4:$H$2003,'Daily Entry'!$A$4:$A$2003,$A329))</f>
        <v/>
      </c>
      <c r="O329" s="10" t="str">
        <f aca="false">IF($A329="","",SUMIFS('Daily Entry'!$I$4:$I$2003,'Daily Entry'!$A$4:$A$2003,$A329))</f>
        <v/>
      </c>
      <c r="P329" s="10" t="str">
        <f aca="false">IF($A329="","",SUMPRODUCT(('Daily Entry'!$A$4:$A$2003=$A329)*('Daily Entry'!$M$4:$M$2003)*('Daily Entry'!$D$4:$D$2003)))</f>
        <v/>
      </c>
    </row>
    <row r="330" customFormat="false" ht="15" hidden="false" customHeight="false" outlineLevel="0" collapsed="false">
      <c r="A330" s="27"/>
      <c r="B330" s="10" t="str">
        <f aca="false">IF($A330="","",SUMIFS('Daily Entry'!$P$4:$P$2003,'Daily Entry'!$A$4:$A$2003,$A330))</f>
        <v/>
      </c>
      <c r="C330" s="9"/>
      <c r="D330" s="9"/>
      <c r="E330" s="9"/>
      <c r="F330" s="8"/>
      <c r="G330" s="9"/>
      <c r="H330" s="9"/>
      <c r="I330" s="8"/>
      <c r="J330" s="28" t="str">
        <f aca="false">IF($A330="","",$B330+$C330-$D330-$E330-$G330-$H330)</f>
        <v/>
      </c>
      <c r="K330" s="10" t="str">
        <f aca="false">IF($A330="","",SUMIFS('Daily Entry'!$Q$4:$Q$2003,'Daily Entry'!$A$4:$A$2003,$A330))</f>
        <v/>
      </c>
      <c r="L330" s="10" t="str">
        <f aca="false">IF($A330="","",$B330-$K330)</f>
        <v/>
      </c>
      <c r="M330" s="28" t="str">
        <f aca="false">IF($A330="","",$L330-$D330-$E330-$G330)</f>
        <v/>
      </c>
      <c r="N330" s="10" t="str">
        <f aca="false">IF($A330="","",SUMIFS('Daily Entry'!$H$4:$H$2003,'Daily Entry'!$A$4:$A$2003,$A330))</f>
        <v/>
      </c>
      <c r="O330" s="10" t="str">
        <f aca="false">IF($A330="","",SUMIFS('Daily Entry'!$I$4:$I$2003,'Daily Entry'!$A$4:$A$2003,$A330))</f>
        <v/>
      </c>
      <c r="P330" s="10" t="str">
        <f aca="false">IF($A330="","",SUMPRODUCT(('Daily Entry'!$A$4:$A$2003=$A330)*('Daily Entry'!$M$4:$M$2003)*('Daily Entry'!$D$4:$D$2003)))</f>
        <v/>
      </c>
    </row>
    <row r="331" customFormat="false" ht="15" hidden="false" customHeight="false" outlineLevel="0" collapsed="false">
      <c r="A331" s="27"/>
      <c r="B331" s="10" t="str">
        <f aca="false">IF($A331="","",SUMIFS('Daily Entry'!$P$4:$P$2003,'Daily Entry'!$A$4:$A$2003,$A331))</f>
        <v/>
      </c>
      <c r="C331" s="9"/>
      <c r="D331" s="9"/>
      <c r="E331" s="9"/>
      <c r="F331" s="8"/>
      <c r="G331" s="9"/>
      <c r="H331" s="9"/>
      <c r="I331" s="8"/>
      <c r="J331" s="28" t="str">
        <f aca="false">IF($A331="","",$B331+$C331-$D331-$E331-$G331-$H331)</f>
        <v/>
      </c>
      <c r="K331" s="10" t="str">
        <f aca="false">IF($A331="","",SUMIFS('Daily Entry'!$Q$4:$Q$2003,'Daily Entry'!$A$4:$A$2003,$A331))</f>
        <v/>
      </c>
      <c r="L331" s="10" t="str">
        <f aca="false">IF($A331="","",$B331-$K331)</f>
        <v/>
      </c>
      <c r="M331" s="28" t="str">
        <f aca="false">IF($A331="","",$L331-$D331-$E331-$G331)</f>
        <v/>
      </c>
      <c r="N331" s="10" t="str">
        <f aca="false">IF($A331="","",SUMIFS('Daily Entry'!$H$4:$H$2003,'Daily Entry'!$A$4:$A$2003,$A331))</f>
        <v/>
      </c>
      <c r="O331" s="10" t="str">
        <f aca="false">IF($A331="","",SUMIFS('Daily Entry'!$I$4:$I$2003,'Daily Entry'!$A$4:$A$2003,$A331))</f>
        <v/>
      </c>
      <c r="P331" s="10" t="str">
        <f aca="false">IF($A331="","",SUMPRODUCT(('Daily Entry'!$A$4:$A$2003=$A331)*('Daily Entry'!$M$4:$M$2003)*('Daily Entry'!$D$4:$D$2003)))</f>
        <v/>
      </c>
    </row>
    <row r="332" customFormat="false" ht="15" hidden="false" customHeight="false" outlineLevel="0" collapsed="false">
      <c r="A332" s="27"/>
      <c r="B332" s="10" t="str">
        <f aca="false">IF($A332="","",SUMIFS('Daily Entry'!$P$4:$P$2003,'Daily Entry'!$A$4:$A$2003,$A332))</f>
        <v/>
      </c>
      <c r="C332" s="9"/>
      <c r="D332" s="9"/>
      <c r="E332" s="9"/>
      <c r="F332" s="8"/>
      <c r="G332" s="9"/>
      <c r="H332" s="9"/>
      <c r="I332" s="8"/>
      <c r="J332" s="28" t="str">
        <f aca="false">IF($A332="","",$B332+$C332-$D332-$E332-$G332-$H332)</f>
        <v/>
      </c>
      <c r="K332" s="10" t="str">
        <f aca="false">IF($A332="","",SUMIFS('Daily Entry'!$Q$4:$Q$2003,'Daily Entry'!$A$4:$A$2003,$A332))</f>
        <v/>
      </c>
      <c r="L332" s="10" t="str">
        <f aca="false">IF($A332="","",$B332-$K332)</f>
        <v/>
      </c>
      <c r="M332" s="28" t="str">
        <f aca="false">IF($A332="","",$L332-$D332-$E332-$G332)</f>
        <v/>
      </c>
      <c r="N332" s="10" t="str">
        <f aca="false">IF($A332="","",SUMIFS('Daily Entry'!$H$4:$H$2003,'Daily Entry'!$A$4:$A$2003,$A332))</f>
        <v/>
      </c>
      <c r="O332" s="10" t="str">
        <f aca="false">IF($A332="","",SUMIFS('Daily Entry'!$I$4:$I$2003,'Daily Entry'!$A$4:$A$2003,$A332))</f>
        <v/>
      </c>
      <c r="P332" s="10" t="str">
        <f aca="false">IF($A332="","",SUMPRODUCT(('Daily Entry'!$A$4:$A$2003=$A332)*('Daily Entry'!$M$4:$M$2003)*('Daily Entry'!$D$4:$D$2003)))</f>
        <v/>
      </c>
    </row>
    <row r="333" customFormat="false" ht="15" hidden="false" customHeight="false" outlineLevel="0" collapsed="false">
      <c r="A333" s="27"/>
      <c r="B333" s="10" t="str">
        <f aca="false">IF($A333="","",SUMIFS('Daily Entry'!$P$4:$P$2003,'Daily Entry'!$A$4:$A$2003,$A333))</f>
        <v/>
      </c>
      <c r="C333" s="9"/>
      <c r="D333" s="9"/>
      <c r="E333" s="9"/>
      <c r="F333" s="8"/>
      <c r="G333" s="9"/>
      <c r="H333" s="9"/>
      <c r="I333" s="8"/>
      <c r="J333" s="28" t="str">
        <f aca="false">IF($A333="","",$B333+$C333-$D333-$E333-$G333-$H333)</f>
        <v/>
      </c>
      <c r="K333" s="10" t="str">
        <f aca="false">IF($A333="","",SUMIFS('Daily Entry'!$Q$4:$Q$2003,'Daily Entry'!$A$4:$A$2003,$A333))</f>
        <v/>
      </c>
      <c r="L333" s="10" t="str">
        <f aca="false">IF($A333="","",$B333-$K333)</f>
        <v/>
      </c>
      <c r="M333" s="28" t="str">
        <f aca="false">IF($A333="","",$L333-$D333-$E333-$G333)</f>
        <v/>
      </c>
      <c r="N333" s="10" t="str">
        <f aca="false">IF($A333="","",SUMIFS('Daily Entry'!$H$4:$H$2003,'Daily Entry'!$A$4:$A$2003,$A333))</f>
        <v/>
      </c>
      <c r="O333" s="10" t="str">
        <f aca="false">IF($A333="","",SUMIFS('Daily Entry'!$I$4:$I$2003,'Daily Entry'!$A$4:$A$2003,$A333))</f>
        <v/>
      </c>
      <c r="P333" s="10" t="str">
        <f aca="false">IF($A333="","",SUMPRODUCT(('Daily Entry'!$A$4:$A$2003=$A333)*('Daily Entry'!$M$4:$M$2003)*('Daily Entry'!$D$4:$D$2003)))</f>
        <v/>
      </c>
    </row>
    <row r="334" customFormat="false" ht="15" hidden="false" customHeight="false" outlineLevel="0" collapsed="false">
      <c r="A334" s="27"/>
      <c r="B334" s="10" t="str">
        <f aca="false">IF($A334="","",SUMIFS('Daily Entry'!$P$4:$P$2003,'Daily Entry'!$A$4:$A$2003,$A334))</f>
        <v/>
      </c>
      <c r="C334" s="9"/>
      <c r="D334" s="9"/>
      <c r="E334" s="9"/>
      <c r="F334" s="8"/>
      <c r="G334" s="9"/>
      <c r="H334" s="9"/>
      <c r="I334" s="8"/>
      <c r="J334" s="28" t="str">
        <f aca="false">IF($A334="","",$B334+$C334-$D334-$E334-$G334-$H334)</f>
        <v/>
      </c>
      <c r="K334" s="10" t="str">
        <f aca="false">IF($A334="","",SUMIFS('Daily Entry'!$Q$4:$Q$2003,'Daily Entry'!$A$4:$A$2003,$A334))</f>
        <v/>
      </c>
      <c r="L334" s="10" t="str">
        <f aca="false">IF($A334="","",$B334-$K334)</f>
        <v/>
      </c>
      <c r="M334" s="28" t="str">
        <f aca="false">IF($A334="","",$L334-$D334-$E334-$G334)</f>
        <v/>
      </c>
      <c r="N334" s="10" t="str">
        <f aca="false">IF($A334="","",SUMIFS('Daily Entry'!$H$4:$H$2003,'Daily Entry'!$A$4:$A$2003,$A334))</f>
        <v/>
      </c>
      <c r="O334" s="10" t="str">
        <f aca="false">IF($A334="","",SUMIFS('Daily Entry'!$I$4:$I$2003,'Daily Entry'!$A$4:$A$2003,$A334))</f>
        <v/>
      </c>
      <c r="P334" s="10" t="str">
        <f aca="false">IF($A334="","",SUMPRODUCT(('Daily Entry'!$A$4:$A$2003=$A334)*('Daily Entry'!$M$4:$M$2003)*('Daily Entry'!$D$4:$D$2003)))</f>
        <v/>
      </c>
    </row>
    <row r="335" customFormat="false" ht="15" hidden="false" customHeight="false" outlineLevel="0" collapsed="false">
      <c r="A335" s="27"/>
      <c r="B335" s="10" t="str">
        <f aca="false">IF($A335="","",SUMIFS('Daily Entry'!$P$4:$P$2003,'Daily Entry'!$A$4:$A$2003,$A335))</f>
        <v/>
      </c>
      <c r="C335" s="9"/>
      <c r="D335" s="9"/>
      <c r="E335" s="9"/>
      <c r="F335" s="8"/>
      <c r="G335" s="9"/>
      <c r="H335" s="9"/>
      <c r="I335" s="8"/>
      <c r="J335" s="28" t="str">
        <f aca="false">IF($A335="","",$B335+$C335-$D335-$E335-$G335-$H335)</f>
        <v/>
      </c>
      <c r="K335" s="10" t="str">
        <f aca="false">IF($A335="","",SUMIFS('Daily Entry'!$Q$4:$Q$2003,'Daily Entry'!$A$4:$A$2003,$A335))</f>
        <v/>
      </c>
      <c r="L335" s="10" t="str">
        <f aca="false">IF($A335="","",$B335-$K335)</f>
        <v/>
      </c>
      <c r="M335" s="28" t="str">
        <f aca="false">IF($A335="","",$L335-$D335-$E335-$G335)</f>
        <v/>
      </c>
      <c r="N335" s="10" t="str">
        <f aca="false">IF($A335="","",SUMIFS('Daily Entry'!$H$4:$H$2003,'Daily Entry'!$A$4:$A$2003,$A335))</f>
        <v/>
      </c>
      <c r="O335" s="10" t="str">
        <f aca="false">IF($A335="","",SUMIFS('Daily Entry'!$I$4:$I$2003,'Daily Entry'!$A$4:$A$2003,$A335))</f>
        <v/>
      </c>
      <c r="P335" s="10" t="str">
        <f aca="false">IF($A335="","",SUMPRODUCT(('Daily Entry'!$A$4:$A$2003=$A335)*('Daily Entry'!$M$4:$M$2003)*('Daily Entry'!$D$4:$D$2003)))</f>
        <v/>
      </c>
    </row>
    <row r="336" customFormat="false" ht="15" hidden="false" customHeight="false" outlineLevel="0" collapsed="false">
      <c r="A336" s="27"/>
      <c r="B336" s="10" t="str">
        <f aca="false">IF($A336="","",SUMIFS('Daily Entry'!$P$4:$P$2003,'Daily Entry'!$A$4:$A$2003,$A336))</f>
        <v/>
      </c>
      <c r="C336" s="9"/>
      <c r="D336" s="9"/>
      <c r="E336" s="9"/>
      <c r="F336" s="8"/>
      <c r="G336" s="9"/>
      <c r="H336" s="9"/>
      <c r="I336" s="8"/>
      <c r="J336" s="28" t="str">
        <f aca="false">IF($A336="","",$B336+$C336-$D336-$E336-$G336-$H336)</f>
        <v/>
      </c>
      <c r="K336" s="10" t="str">
        <f aca="false">IF($A336="","",SUMIFS('Daily Entry'!$Q$4:$Q$2003,'Daily Entry'!$A$4:$A$2003,$A336))</f>
        <v/>
      </c>
      <c r="L336" s="10" t="str">
        <f aca="false">IF($A336="","",$B336-$K336)</f>
        <v/>
      </c>
      <c r="M336" s="28" t="str">
        <f aca="false">IF($A336="","",$L336-$D336-$E336-$G336)</f>
        <v/>
      </c>
      <c r="N336" s="10" t="str">
        <f aca="false">IF($A336="","",SUMIFS('Daily Entry'!$H$4:$H$2003,'Daily Entry'!$A$4:$A$2003,$A336))</f>
        <v/>
      </c>
      <c r="O336" s="10" t="str">
        <f aca="false">IF($A336="","",SUMIFS('Daily Entry'!$I$4:$I$2003,'Daily Entry'!$A$4:$A$2003,$A336))</f>
        <v/>
      </c>
      <c r="P336" s="10" t="str">
        <f aca="false">IF($A336="","",SUMPRODUCT(('Daily Entry'!$A$4:$A$2003=$A336)*('Daily Entry'!$M$4:$M$2003)*('Daily Entry'!$D$4:$D$2003)))</f>
        <v/>
      </c>
    </row>
    <row r="337" customFormat="false" ht="15" hidden="false" customHeight="false" outlineLevel="0" collapsed="false">
      <c r="A337" s="27"/>
      <c r="B337" s="10" t="str">
        <f aca="false">IF($A337="","",SUMIFS('Daily Entry'!$P$4:$P$2003,'Daily Entry'!$A$4:$A$2003,$A337))</f>
        <v/>
      </c>
      <c r="C337" s="9"/>
      <c r="D337" s="9"/>
      <c r="E337" s="9"/>
      <c r="F337" s="8"/>
      <c r="G337" s="9"/>
      <c r="H337" s="9"/>
      <c r="I337" s="8"/>
      <c r="J337" s="28" t="str">
        <f aca="false">IF($A337="","",$B337+$C337-$D337-$E337-$G337-$H337)</f>
        <v/>
      </c>
      <c r="K337" s="10" t="str">
        <f aca="false">IF($A337="","",SUMIFS('Daily Entry'!$Q$4:$Q$2003,'Daily Entry'!$A$4:$A$2003,$A337))</f>
        <v/>
      </c>
      <c r="L337" s="10" t="str">
        <f aca="false">IF($A337="","",$B337-$K337)</f>
        <v/>
      </c>
      <c r="M337" s="28" t="str">
        <f aca="false">IF($A337="","",$L337-$D337-$E337-$G337)</f>
        <v/>
      </c>
      <c r="N337" s="10" t="str">
        <f aca="false">IF($A337="","",SUMIFS('Daily Entry'!$H$4:$H$2003,'Daily Entry'!$A$4:$A$2003,$A337))</f>
        <v/>
      </c>
      <c r="O337" s="10" t="str">
        <f aca="false">IF($A337="","",SUMIFS('Daily Entry'!$I$4:$I$2003,'Daily Entry'!$A$4:$A$2003,$A337))</f>
        <v/>
      </c>
      <c r="P337" s="10" t="str">
        <f aca="false">IF($A337="","",SUMPRODUCT(('Daily Entry'!$A$4:$A$2003=$A337)*('Daily Entry'!$M$4:$M$2003)*('Daily Entry'!$D$4:$D$2003)))</f>
        <v/>
      </c>
    </row>
    <row r="338" customFormat="false" ht="15" hidden="false" customHeight="false" outlineLevel="0" collapsed="false">
      <c r="A338" s="27"/>
      <c r="B338" s="10" t="str">
        <f aca="false">IF($A338="","",SUMIFS('Daily Entry'!$P$4:$P$2003,'Daily Entry'!$A$4:$A$2003,$A338))</f>
        <v/>
      </c>
      <c r="C338" s="9"/>
      <c r="D338" s="9"/>
      <c r="E338" s="9"/>
      <c r="F338" s="8"/>
      <c r="G338" s="9"/>
      <c r="H338" s="9"/>
      <c r="I338" s="8"/>
      <c r="J338" s="28" t="str">
        <f aca="false">IF($A338="","",$B338+$C338-$D338-$E338-$G338-$H338)</f>
        <v/>
      </c>
      <c r="K338" s="10" t="str">
        <f aca="false">IF($A338="","",SUMIFS('Daily Entry'!$Q$4:$Q$2003,'Daily Entry'!$A$4:$A$2003,$A338))</f>
        <v/>
      </c>
      <c r="L338" s="10" t="str">
        <f aca="false">IF($A338="","",$B338-$K338)</f>
        <v/>
      </c>
      <c r="M338" s="28" t="str">
        <f aca="false">IF($A338="","",$L338-$D338-$E338-$G338)</f>
        <v/>
      </c>
      <c r="N338" s="10" t="str">
        <f aca="false">IF($A338="","",SUMIFS('Daily Entry'!$H$4:$H$2003,'Daily Entry'!$A$4:$A$2003,$A338))</f>
        <v/>
      </c>
      <c r="O338" s="10" t="str">
        <f aca="false">IF($A338="","",SUMIFS('Daily Entry'!$I$4:$I$2003,'Daily Entry'!$A$4:$A$2003,$A338))</f>
        <v/>
      </c>
      <c r="P338" s="10" t="str">
        <f aca="false">IF($A338="","",SUMPRODUCT(('Daily Entry'!$A$4:$A$2003=$A338)*('Daily Entry'!$M$4:$M$2003)*('Daily Entry'!$D$4:$D$2003)))</f>
        <v/>
      </c>
    </row>
    <row r="339" customFormat="false" ht="15" hidden="false" customHeight="false" outlineLevel="0" collapsed="false">
      <c r="A339" s="27"/>
      <c r="B339" s="10" t="str">
        <f aca="false">IF($A339="","",SUMIFS('Daily Entry'!$P$4:$P$2003,'Daily Entry'!$A$4:$A$2003,$A339))</f>
        <v/>
      </c>
      <c r="C339" s="9"/>
      <c r="D339" s="9"/>
      <c r="E339" s="9"/>
      <c r="F339" s="8"/>
      <c r="G339" s="9"/>
      <c r="H339" s="9"/>
      <c r="I339" s="8"/>
      <c r="J339" s="28" t="str">
        <f aca="false">IF($A339="","",$B339+$C339-$D339-$E339-$G339-$H339)</f>
        <v/>
      </c>
      <c r="K339" s="10" t="str">
        <f aca="false">IF($A339="","",SUMIFS('Daily Entry'!$Q$4:$Q$2003,'Daily Entry'!$A$4:$A$2003,$A339))</f>
        <v/>
      </c>
      <c r="L339" s="10" t="str">
        <f aca="false">IF($A339="","",$B339-$K339)</f>
        <v/>
      </c>
      <c r="M339" s="28" t="str">
        <f aca="false">IF($A339="","",$L339-$D339-$E339-$G339)</f>
        <v/>
      </c>
      <c r="N339" s="10" t="str">
        <f aca="false">IF($A339="","",SUMIFS('Daily Entry'!$H$4:$H$2003,'Daily Entry'!$A$4:$A$2003,$A339))</f>
        <v/>
      </c>
      <c r="O339" s="10" t="str">
        <f aca="false">IF($A339="","",SUMIFS('Daily Entry'!$I$4:$I$2003,'Daily Entry'!$A$4:$A$2003,$A339))</f>
        <v/>
      </c>
      <c r="P339" s="10" t="str">
        <f aca="false">IF($A339="","",SUMPRODUCT(('Daily Entry'!$A$4:$A$2003=$A339)*('Daily Entry'!$M$4:$M$2003)*('Daily Entry'!$D$4:$D$2003)))</f>
        <v/>
      </c>
    </row>
    <row r="340" customFormat="false" ht="15" hidden="false" customHeight="false" outlineLevel="0" collapsed="false">
      <c r="A340" s="27"/>
      <c r="B340" s="10" t="str">
        <f aca="false">IF($A340="","",SUMIFS('Daily Entry'!$P$4:$P$2003,'Daily Entry'!$A$4:$A$2003,$A340))</f>
        <v/>
      </c>
      <c r="C340" s="9"/>
      <c r="D340" s="9"/>
      <c r="E340" s="9"/>
      <c r="F340" s="8"/>
      <c r="G340" s="9"/>
      <c r="H340" s="9"/>
      <c r="I340" s="8"/>
      <c r="J340" s="28" t="str">
        <f aca="false">IF($A340="","",$B340+$C340-$D340-$E340-$G340-$H340)</f>
        <v/>
      </c>
      <c r="K340" s="10" t="str">
        <f aca="false">IF($A340="","",SUMIFS('Daily Entry'!$Q$4:$Q$2003,'Daily Entry'!$A$4:$A$2003,$A340))</f>
        <v/>
      </c>
      <c r="L340" s="10" t="str">
        <f aca="false">IF($A340="","",$B340-$K340)</f>
        <v/>
      </c>
      <c r="M340" s="28" t="str">
        <f aca="false">IF($A340="","",$L340-$D340-$E340-$G340)</f>
        <v/>
      </c>
      <c r="N340" s="10" t="str">
        <f aca="false">IF($A340="","",SUMIFS('Daily Entry'!$H$4:$H$2003,'Daily Entry'!$A$4:$A$2003,$A340))</f>
        <v/>
      </c>
      <c r="O340" s="10" t="str">
        <f aca="false">IF($A340="","",SUMIFS('Daily Entry'!$I$4:$I$2003,'Daily Entry'!$A$4:$A$2003,$A340))</f>
        <v/>
      </c>
      <c r="P340" s="10" t="str">
        <f aca="false">IF($A340="","",SUMPRODUCT(('Daily Entry'!$A$4:$A$2003=$A340)*('Daily Entry'!$M$4:$M$2003)*('Daily Entry'!$D$4:$D$2003)))</f>
        <v/>
      </c>
    </row>
    <row r="341" customFormat="false" ht="15" hidden="false" customHeight="false" outlineLevel="0" collapsed="false">
      <c r="A341" s="27"/>
      <c r="B341" s="10" t="str">
        <f aca="false">IF($A341="","",SUMIFS('Daily Entry'!$P$4:$P$2003,'Daily Entry'!$A$4:$A$2003,$A341))</f>
        <v/>
      </c>
      <c r="C341" s="9"/>
      <c r="D341" s="9"/>
      <c r="E341" s="9"/>
      <c r="F341" s="8"/>
      <c r="G341" s="9"/>
      <c r="H341" s="9"/>
      <c r="I341" s="8"/>
      <c r="J341" s="28" t="str">
        <f aca="false">IF($A341="","",$B341+$C341-$D341-$E341-$G341-$H341)</f>
        <v/>
      </c>
      <c r="K341" s="10" t="str">
        <f aca="false">IF($A341="","",SUMIFS('Daily Entry'!$Q$4:$Q$2003,'Daily Entry'!$A$4:$A$2003,$A341))</f>
        <v/>
      </c>
      <c r="L341" s="10" t="str">
        <f aca="false">IF($A341="","",$B341-$K341)</f>
        <v/>
      </c>
      <c r="M341" s="28" t="str">
        <f aca="false">IF($A341="","",$L341-$D341-$E341-$G341)</f>
        <v/>
      </c>
      <c r="N341" s="10" t="str">
        <f aca="false">IF($A341="","",SUMIFS('Daily Entry'!$H$4:$H$2003,'Daily Entry'!$A$4:$A$2003,$A341))</f>
        <v/>
      </c>
      <c r="O341" s="10" t="str">
        <f aca="false">IF($A341="","",SUMIFS('Daily Entry'!$I$4:$I$2003,'Daily Entry'!$A$4:$A$2003,$A341))</f>
        <v/>
      </c>
      <c r="P341" s="10" t="str">
        <f aca="false">IF($A341="","",SUMPRODUCT(('Daily Entry'!$A$4:$A$2003=$A341)*('Daily Entry'!$M$4:$M$2003)*('Daily Entry'!$D$4:$D$2003)))</f>
        <v/>
      </c>
    </row>
    <row r="342" customFormat="false" ht="15" hidden="false" customHeight="false" outlineLevel="0" collapsed="false">
      <c r="A342" s="27"/>
      <c r="B342" s="10" t="str">
        <f aca="false">IF($A342="","",SUMIFS('Daily Entry'!$P$4:$P$2003,'Daily Entry'!$A$4:$A$2003,$A342))</f>
        <v/>
      </c>
      <c r="C342" s="9"/>
      <c r="D342" s="9"/>
      <c r="E342" s="9"/>
      <c r="F342" s="8"/>
      <c r="G342" s="9"/>
      <c r="H342" s="9"/>
      <c r="I342" s="8"/>
      <c r="J342" s="28" t="str">
        <f aca="false">IF($A342="","",$B342+$C342-$D342-$E342-$G342-$H342)</f>
        <v/>
      </c>
      <c r="K342" s="10" t="str">
        <f aca="false">IF($A342="","",SUMIFS('Daily Entry'!$Q$4:$Q$2003,'Daily Entry'!$A$4:$A$2003,$A342))</f>
        <v/>
      </c>
      <c r="L342" s="10" t="str">
        <f aca="false">IF($A342="","",$B342-$K342)</f>
        <v/>
      </c>
      <c r="M342" s="28" t="str">
        <f aca="false">IF($A342="","",$L342-$D342-$E342-$G342)</f>
        <v/>
      </c>
      <c r="N342" s="10" t="str">
        <f aca="false">IF($A342="","",SUMIFS('Daily Entry'!$H$4:$H$2003,'Daily Entry'!$A$4:$A$2003,$A342))</f>
        <v/>
      </c>
      <c r="O342" s="10" t="str">
        <f aca="false">IF($A342="","",SUMIFS('Daily Entry'!$I$4:$I$2003,'Daily Entry'!$A$4:$A$2003,$A342))</f>
        <v/>
      </c>
      <c r="P342" s="10" t="str">
        <f aca="false">IF($A342="","",SUMPRODUCT(('Daily Entry'!$A$4:$A$2003=$A342)*('Daily Entry'!$M$4:$M$2003)*('Daily Entry'!$D$4:$D$2003)))</f>
        <v/>
      </c>
    </row>
    <row r="343" customFormat="false" ht="15" hidden="false" customHeight="false" outlineLevel="0" collapsed="false">
      <c r="A343" s="27"/>
      <c r="B343" s="10" t="str">
        <f aca="false">IF($A343="","",SUMIFS('Daily Entry'!$P$4:$P$2003,'Daily Entry'!$A$4:$A$2003,$A343))</f>
        <v/>
      </c>
      <c r="C343" s="9"/>
      <c r="D343" s="9"/>
      <c r="E343" s="9"/>
      <c r="F343" s="8"/>
      <c r="G343" s="9"/>
      <c r="H343" s="9"/>
      <c r="I343" s="8"/>
      <c r="J343" s="28" t="str">
        <f aca="false">IF($A343="","",$B343+$C343-$D343-$E343-$G343-$H343)</f>
        <v/>
      </c>
      <c r="K343" s="10" t="str">
        <f aca="false">IF($A343="","",SUMIFS('Daily Entry'!$Q$4:$Q$2003,'Daily Entry'!$A$4:$A$2003,$A343))</f>
        <v/>
      </c>
      <c r="L343" s="10" t="str">
        <f aca="false">IF($A343="","",$B343-$K343)</f>
        <v/>
      </c>
      <c r="M343" s="28" t="str">
        <f aca="false">IF($A343="","",$L343-$D343-$E343-$G343)</f>
        <v/>
      </c>
      <c r="N343" s="10" t="str">
        <f aca="false">IF($A343="","",SUMIFS('Daily Entry'!$H$4:$H$2003,'Daily Entry'!$A$4:$A$2003,$A343))</f>
        <v/>
      </c>
      <c r="O343" s="10" t="str">
        <f aca="false">IF($A343="","",SUMIFS('Daily Entry'!$I$4:$I$2003,'Daily Entry'!$A$4:$A$2003,$A343))</f>
        <v/>
      </c>
      <c r="P343" s="10" t="str">
        <f aca="false">IF($A343="","",SUMPRODUCT(('Daily Entry'!$A$4:$A$2003=$A343)*('Daily Entry'!$M$4:$M$2003)*('Daily Entry'!$D$4:$D$2003)))</f>
        <v/>
      </c>
    </row>
    <row r="344" customFormat="false" ht="15" hidden="false" customHeight="false" outlineLevel="0" collapsed="false">
      <c r="A344" s="27"/>
      <c r="B344" s="10" t="str">
        <f aca="false">IF($A344="","",SUMIFS('Daily Entry'!$P$4:$P$2003,'Daily Entry'!$A$4:$A$2003,$A344))</f>
        <v/>
      </c>
      <c r="C344" s="9"/>
      <c r="D344" s="9"/>
      <c r="E344" s="9"/>
      <c r="F344" s="8"/>
      <c r="G344" s="9"/>
      <c r="H344" s="9"/>
      <c r="I344" s="8"/>
      <c r="J344" s="28" t="str">
        <f aca="false">IF($A344="","",$B344+$C344-$D344-$E344-$G344-$H344)</f>
        <v/>
      </c>
      <c r="K344" s="10" t="str">
        <f aca="false">IF($A344="","",SUMIFS('Daily Entry'!$Q$4:$Q$2003,'Daily Entry'!$A$4:$A$2003,$A344))</f>
        <v/>
      </c>
      <c r="L344" s="10" t="str">
        <f aca="false">IF($A344="","",$B344-$K344)</f>
        <v/>
      </c>
      <c r="M344" s="28" t="str">
        <f aca="false">IF($A344="","",$L344-$D344-$E344-$G344)</f>
        <v/>
      </c>
      <c r="N344" s="10" t="str">
        <f aca="false">IF($A344="","",SUMIFS('Daily Entry'!$H$4:$H$2003,'Daily Entry'!$A$4:$A$2003,$A344))</f>
        <v/>
      </c>
      <c r="O344" s="10" t="str">
        <f aca="false">IF($A344="","",SUMIFS('Daily Entry'!$I$4:$I$2003,'Daily Entry'!$A$4:$A$2003,$A344))</f>
        <v/>
      </c>
      <c r="P344" s="10" t="str">
        <f aca="false">IF($A344="","",SUMPRODUCT(('Daily Entry'!$A$4:$A$2003=$A344)*('Daily Entry'!$M$4:$M$2003)*('Daily Entry'!$D$4:$D$2003)))</f>
        <v/>
      </c>
    </row>
    <row r="345" customFormat="false" ht="15" hidden="false" customHeight="false" outlineLevel="0" collapsed="false">
      <c r="A345" s="27"/>
      <c r="B345" s="10" t="str">
        <f aca="false">IF($A345="","",SUMIFS('Daily Entry'!$P$4:$P$2003,'Daily Entry'!$A$4:$A$2003,$A345))</f>
        <v/>
      </c>
      <c r="C345" s="9"/>
      <c r="D345" s="9"/>
      <c r="E345" s="9"/>
      <c r="F345" s="8"/>
      <c r="G345" s="9"/>
      <c r="H345" s="9"/>
      <c r="I345" s="8"/>
      <c r="J345" s="28" t="str">
        <f aca="false">IF($A345="","",$B345+$C345-$D345-$E345-$G345-$H345)</f>
        <v/>
      </c>
      <c r="K345" s="10" t="str">
        <f aca="false">IF($A345="","",SUMIFS('Daily Entry'!$Q$4:$Q$2003,'Daily Entry'!$A$4:$A$2003,$A345))</f>
        <v/>
      </c>
      <c r="L345" s="10" t="str">
        <f aca="false">IF($A345="","",$B345-$K345)</f>
        <v/>
      </c>
      <c r="M345" s="28" t="str">
        <f aca="false">IF($A345="","",$L345-$D345-$E345-$G345)</f>
        <v/>
      </c>
      <c r="N345" s="10" t="str">
        <f aca="false">IF($A345="","",SUMIFS('Daily Entry'!$H$4:$H$2003,'Daily Entry'!$A$4:$A$2003,$A345))</f>
        <v/>
      </c>
      <c r="O345" s="10" t="str">
        <f aca="false">IF($A345="","",SUMIFS('Daily Entry'!$I$4:$I$2003,'Daily Entry'!$A$4:$A$2003,$A345))</f>
        <v/>
      </c>
      <c r="P345" s="10" t="str">
        <f aca="false">IF($A345="","",SUMPRODUCT(('Daily Entry'!$A$4:$A$2003=$A345)*('Daily Entry'!$M$4:$M$2003)*('Daily Entry'!$D$4:$D$2003)))</f>
        <v/>
      </c>
    </row>
    <row r="346" customFormat="false" ht="15" hidden="false" customHeight="false" outlineLevel="0" collapsed="false">
      <c r="A346" s="27"/>
      <c r="B346" s="10" t="str">
        <f aca="false">IF($A346="","",SUMIFS('Daily Entry'!$P$4:$P$2003,'Daily Entry'!$A$4:$A$2003,$A346))</f>
        <v/>
      </c>
      <c r="C346" s="9"/>
      <c r="D346" s="9"/>
      <c r="E346" s="9"/>
      <c r="F346" s="8"/>
      <c r="G346" s="9"/>
      <c r="H346" s="9"/>
      <c r="I346" s="8"/>
      <c r="J346" s="28" t="str">
        <f aca="false">IF($A346="","",$B346+$C346-$D346-$E346-$G346-$H346)</f>
        <v/>
      </c>
      <c r="K346" s="10" t="str">
        <f aca="false">IF($A346="","",SUMIFS('Daily Entry'!$Q$4:$Q$2003,'Daily Entry'!$A$4:$A$2003,$A346))</f>
        <v/>
      </c>
      <c r="L346" s="10" t="str">
        <f aca="false">IF($A346="","",$B346-$K346)</f>
        <v/>
      </c>
      <c r="M346" s="28" t="str">
        <f aca="false">IF($A346="","",$L346-$D346-$E346-$G346)</f>
        <v/>
      </c>
      <c r="N346" s="10" t="str">
        <f aca="false">IF($A346="","",SUMIFS('Daily Entry'!$H$4:$H$2003,'Daily Entry'!$A$4:$A$2003,$A346))</f>
        <v/>
      </c>
      <c r="O346" s="10" t="str">
        <f aca="false">IF($A346="","",SUMIFS('Daily Entry'!$I$4:$I$2003,'Daily Entry'!$A$4:$A$2003,$A346))</f>
        <v/>
      </c>
      <c r="P346" s="10" t="str">
        <f aca="false">IF($A346="","",SUMPRODUCT(('Daily Entry'!$A$4:$A$2003=$A346)*('Daily Entry'!$M$4:$M$2003)*('Daily Entry'!$D$4:$D$2003)))</f>
        <v/>
      </c>
    </row>
    <row r="347" customFormat="false" ht="15" hidden="false" customHeight="false" outlineLevel="0" collapsed="false">
      <c r="A347" s="27"/>
      <c r="B347" s="10" t="str">
        <f aca="false">IF($A347="","",SUMIFS('Daily Entry'!$P$4:$P$2003,'Daily Entry'!$A$4:$A$2003,$A347))</f>
        <v/>
      </c>
      <c r="C347" s="9"/>
      <c r="D347" s="9"/>
      <c r="E347" s="9"/>
      <c r="F347" s="8"/>
      <c r="G347" s="9"/>
      <c r="H347" s="9"/>
      <c r="I347" s="8"/>
      <c r="J347" s="28" t="str">
        <f aca="false">IF($A347="","",$B347+$C347-$D347-$E347-$G347-$H347)</f>
        <v/>
      </c>
      <c r="K347" s="10" t="str">
        <f aca="false">IF($A347="","",SUMIFS('Daily Entry'!$Q$4:$Q$2003,'Daily Entry'!$A$4:$A$2003,$A347))</f>
        <v/>
      </c>
      <c r="L347" s="10" t="str">
        <f aca="false">IF($A347="","",$B347-$K347)</f>
        <v/>
      </c>
      <c r="M347" s="28" t="str">
        <f aca="false">IF($A347="","",$L347-$D347-$E347-$G347)</f>
        <v/>
      </c>
      <c r="N347" s="10" t="str">
        <f aca="false">IF($A347="","",SUMIFS('Daily Entry'!$H$4:$H$2003,'Daily Entry'!$A$4:$A$2003,$A347))</f>
        <v/>
      </c>
      <c r="O347" s="10" t="str">
        <f aca="false">IF($A347="","",SUMIFS('Daily Entry'!$I$4:$I$2003,'Daily Entry'!$A$4:$A$2003,$A347))</f>
        <v/>
      </c>
      <c r="P347" s="10" t="str">
        <f aca="false">IF($A347="","",SUMPRODUCT(('Daily Entry'!$A$4:$A$2003=$A347)*('Daily Entry'!$M$4:$M$2003)*('Daily Entry'!$D$4:$D$2003)))</f>
        <v/>
      </c>
    </row>
    <row r="348" customFormat="false" ht="15" hidden="false" customHeight="false" outlineLevel="0" collapsed="false">
      <c r="A348" s="27"/>
      <c r="B348" s="10" t="str">
        <f aca="false">IF($A348="","",SUMIFS('Daily Entry'!$P$4:$P$2003,'Daily Entry'!$A$4:$A$2003,$A348))</f>
        <v/>
      </c>
      <c r="C348" s="9"/>
      <c r="D348" s="9"/>
      <c r="E348" s="9"/>
      <c r="F348" s="8"/>
      <c r="G348" s="9"/>
      <c r="H348" s="9"/>
      <c r="I348" s="8"/>
      <c r="J348" s="28" t="str">
        <f aca="false">IF($A348="","",$B348+$C348-$D348-$E348-$G348-$H348)</f>
        <v/>
      </c>
      <c r="K348" s="10" t="str">
        <f aca="false">IF($A348="","",SUMIFS('Daily Entry'!$Q$4:$Q$2003,'Daily Entry'!$A$4:$A$2003,$A348))</f>
        <v/>
      </c>
      <c r="L348" s="10" t="str">
        <f aca="false">IF($A348="","",$B348-$K348)</f>
        <v/>
      </c>
      <c r="M348" s="28" t="str">
        <f aca="false">IF($A348="","",$L348-$D348-$E348-$G348)</f>
        <v/>
      </c>
      <c r="N348" s="10" t="str">
        <f aca="false">IF($A348="","",SUMIFS('Daily Entry'!$H$4:$H$2003,'Daily Entry'!$A$4:$A$2003,$A348))</f>
        <v/>
      </c>
      <c r="O348" s="10" t="str">
        <f aca="false">IF($A348="","",SUMIFS('Daily Entry'!$I$4:$I$2003,'Daily Entry'!$A$4:$A$2003,$A348))</f>
        <v/>
      </c>
      <c r="P348" s="10" t="str">
        <f aca="false">IF($A348="","",SUMPRODUCT(('Daily Entry'!$A$4:$A$2003=$A348)*('Daily Entry'!$M$4:$M$2003)*('Daily Entry'!$D$4:$D$2003)))</f>
        <v/>
      </c>
    </row>
    <row r="349" customFormat="false" ht="15" hidden="false" customHeight="false" outlineLevel="0" collapsed="false">
      <c r="A349" s="27"/>
      <c r="B349" s="10" t="str">
        <f aca="false">IF($A349="","",SUMIFS('Daily Entry'!$P$4:$P$2003,'Daily Entry'!$A$4:$A$2003,$A349))</f>
        <v/>
      </c>
      <c r="C349" s="9"/>
      <c r="D349" s="9"/>
      <c r="E349" s="9"/>
      <c r="F349" s="8"/>
      <c r="G349" s="9"/>
      <c r="H349" s="9"/>
      <c r="I349" s="8"/>
      <c r="J349" s="28" t="str">
        <f aca="false">IF($A349="","",$B349+$C349-$D349-$E349-$G349-$H349)</f>
        <v/>
      </c>
      <c r="K349" s="10" t="str">
        <f aca="false">IF($A349="","",SUMIFS('Daily Entry'!$Q$4:$Q$2003,'Daily Entry'!$A$4:$A$2003,$A349))</f>
        <v/>
      </c>
      <c r="L349" s="10" t="str">
        <f aca="false">IF($A349="","",$B349-$K349)</f>
        <v/>
      </c>
      <c r="M349" s="28" t="str">
        <f aca="false">IF($A349="","",$L349-$D349-$E349-$G349)</f>
        <v/>
      </c>
      <c r="N349" s="10" t="str">
        <f aca="false">IF($A349="","",SUMIFS('Daily Entry'!$H$4:$H$2003,'Daily Entry'!$A$4:$A$2003,$A349))</f>
        <v/>
      </c>
      <c r="O349" s="10" t="str">
        <f aca="false">IF($A349="","",SUMIFS('Daily Entry'!$I$4:$I$2003,'Daily Entry'!$A$4:$A$2003,$A349))</f>
        <v/>
      </c>
      <c r="P349" s="10" t="str">
        <f aca="false">IF($A349="","",SUMPRODUCT(('Daily Entry'!$A$4:$A$2003=$A349)*('Daily Entry'!$M$4:$M$2003)*('Daily Entry'!$D$4:$D$2003)))</f>
        <v/>
      </c>
    </row>
    <row r="350" customFormat="false" ht="15" hidden="false" customHeight="false" outlineLevel="0" collapsed="false">
      <c r="A350" s="27"/>
      <c r="B350" s="10" t="str">
        <f aca="false">IF($A350="","",SUMIFS('Daily Entry'!$P$4:$P$2003,'Daily Entry'!$A$4:$A$2003,$A350))</f>
        <v/>
      </c>
      <c r="C350" s="9"/>
      <c r="D350" s="9"/>
      <c r="E350" s="9"/>
      <c r="F350" s="8"/>
      <c r="G350" s="9"/>
      <c r="H350" s="9"/>
      <c r="I350" s="8"/>
      <c r="J350" s="28" t="str">
        <f aca="false">IF($A350="","",$B350+$C350-$D350-$E350-$G350-$H350)</f>
        <v/>
      </c>
      <c r="K350" s="10" t="str">
        <f aca="false">IF($A350="","",SUMIFS('Daily Entry'!$Q$4:$Q$2003,'Daily Entry'!$A$4:$A$2003,$A350))</f>
        <v/>
      </c>
      <c r="L350" s="10" t="str">
        <f aca="false">IF($A350="","",$B350-$K350)</f>
        <v/>
      </c>
      <c r="M350" s="28" t="str">
        <f aca="false">IF($A350="","",$L350-$D350-$E350-$G350)</f>
        <v/>
      </c>
      <c r="N350" s="10" t="str">
        <f aca="false">IF($A350="","",SUMIFS('Daily Entry'!$H$4:$H$2003,'Daily Entry'!$A$4:$A$2003,$A350))</f>
        <v/>
      </c>
      <c r="O350" s="10" t="str">
        <f aca="false">IF($A350="","",SUMIFS('Daily Entry'!$I$4:$I$2003,'Daily Entry'!$A$4:$A$2003,$A350))</f>
        <v/>
      </c>
      <c r="P350" s="10" t="str">
        <f aca="false">IF($A350="","",SUMPRODUCT(('Daily Entry'!$A$4:$A$2003=$A350)*('Daily Entry'!$M$4:$M$2003)*('Daily Entry'!$D$4:$D$2003)))</f>
        <v/>
      </c>
    </row>
    <row r="351" customFormat="false" ht="15" hidden="false" customHeight="false" outlineLevel="0" collapsed="false">
      <c r="A351" s="27"/>
      <c r="B351" s="10" t="str">
        <f aca="false">IF($A351="","",SUMIFS('Daily Entry'!$P$4:$P$2003,'Daily Entry'!$A$4:$A$2003,$A351))</f>
        <v/>
      </c>
      <c r="C351" s="9"/>
      <c r="D351" s="9"/>
      <c r="E351" s="9"/>
      <c r="F351" s="8"/>
      <c r="G351" s="9"/>
      <c r="H351" s="9"/>
      <c r="I351" s="8"/>
      <c r="J351" s="28" t="str">
        <f aca="false">IF($A351="","",$B351+$C351-$D351-$E351-$G351-$H351)</f>
        <v/>
      </c>
      <c r="K351" s="10" t="str">
        <f aca="false">IF($A351="","",SUMIFS('Daily Entry'!$Q$4:$Q$2003,'Daily Entry'!$A$4:$A$2003,$A351))</f>
        <v/>
      </c>
      <c r="L351" s="10" t="str">
        <f aca="false">IF($A351="","",$B351-$K351)</f>
        <v/>
      </c>
      <c r="M351" s="28" t="str">
        <f aca="false">IF($A351="","",$L351-$D351-$E351-$G351)</f>
        <v/>
      </c>
      <c r="N351" s="10" t="str">
        <f aca="false">IF($A351="","",SUMIFS('Daily Entry'!$H$4:$H$2003,'Daily Entry'!$A$4:$A$2003,$A351))</f>
        <v/>
      </c>
      <c r="O351" s="10" t="str">
        <f aca="false">IF($A351="","",SUMIFS('Daily Entry'!$I$4:$I$2003,'Daily Entry'!$A$4:$A$2003,$A351))</f>
        <v/>
      </c>
      <c r="P351" s="10" t="str">
        <f aca="false">IF($A351="","",SUMPRODUCT(('Daily Entry'!$A$4:$A$2003=$A351)*('Daily Entry'!$M$4:$M$2003)*('Daily Entry'!$D$4:$D$2003)))</f>
        <v/>
      </c>
    </row>
    <row r="352" customFormat="false" ht="15" hidden="false" customHeight="false" outlineLevel="0" collapsed="false">
      <c r="A352" s="27"/>
      <c r="B352" s="10" t="str">
        <f aca="false">IF($A352="","",SUMIFS('Daily Entry'!$P$4:$P$2003,'Daily Entry'!$A$4:$A$2003,$A352))</f>
        <v/>
      </c>
      <c r="C352" s="9"/>
      <c r="D352" s="9"/>
      <c r="E352" s="9"/>
      <c r="F352" s="8"/>
      <c r="G352" s="9"/>
      <c r="H352" s="9"/>
      <c r="I352" s="8"/>
      <c r="J352" s="28" t="str">
        <f aca="false">IF($A352="","",$B352+$C352-$D352-$E352-$G352-$H352)</f>
        <v/>
      </c>
      <c r="K352" s="10" t="str">
        <f aca="false">IF($A352="","",SUMIFS('Daily Entry'!$Q$4:$Q$2003,'Daily Entry'!$A$4:$A$2003,$A352))</f>
        <v/>
      </c>
      <c r="L352" s="10" t="str">
        <f aca="false">IF($A352="","",$B352-$K352)</f>
        <v/>
      </c>
      <c r="M352" s="28" t="str">
        <f aca="false">IF($A352="","",$L352-$D352-$E352-$G352)</f>
        <v/>
      </c>
      <c r="N352" s="10" t="str">
        <f aca="false">IF($A352="","",SUMIFS('Daily Entry'!$H$4:$H$2003,'Daily Entry'!$A$4:$A$2003,$A352))</f>
        <v/>
      </c>
      <c r="O352" s="10" t="str">
        <f aca="false">IF($A352="","",SUMIFS('Daily Entry'!$I$4:$I$2003,'Daily Entry'!$A$4:$A$2003,$A352))</f>
        <v/>
      </c>
      <c r="P352" s="10" t="str">
        <f aca="false">IF($A352="","",SUMPRODUCT(('Daily Entry'!$A$4:$A$2003=$A352)*('Daily Entry'!$M$4:$M$2003)*('Daily Entry'!$D$4:$D$2003)))</f>
        <v/>
      </c>
    </row>
    <row r="353" customFormat="false" ht="15" hidden="false" customHeight="false" outlineLevel="0" collapsed="false">
      <c r="A353" s="27"/>
      <c r="B353" s="10" t="str">
        <f aca="false">IF($A353="","",SUMIFS('Daily Entry'!$P$4:$P$2003,'Daily Entry'!$A$4:$A$2003,$A353))</f>
        <v/>
      </c>
      <c r="C353" s="9"/>
      <c r="D353" s="9"/>
      <c r="E353" s="9"/>
      <c r="F353" s="8"/>
      <c r="G353" s="9"/>
      <c r="H353" s="9"/>
      <c r="I353" s="8"/>
      <c r="J353" s="28" t="str">
        <f aca="false">IF($A353="","",$B353+$C353-$D353-$E353-$G353-$H353)</f>
        <v/>
      </c>
      <c r="K353" s="10" t="str">
        <f aca="false">IF($A353="","",SUMIFS('Daily Entry'!$Q$4:$Q$2003,'Daily Entry'!$A$4:$A$2003,$A353))</f>
        <v/>
      </c>
      <c r="L353" s="10" t="str">
        <f aca="false">IF($A353="","",$B353-$K353)</f>
        <v/>
      </c>
      <c r="M353" s="28" t="str">
        <f aca="false">IF($A353="","",$L353-$D353-$E353-$G353)</f>
        <v/>
      </c>
      <c r="N353" s="10" t="str">
        <f aca="false">IF($A353="","",SUMIFS('Daily Entry'!$H$4:$H$2003,'Daily Entry'!$A$4:$A$2003,$A353))</f>
        <v/>
      </c>
      <c r="O353" s="10" t="str">
        <f aca="false">IF($A353="","",SUMIFS('Daily Entry'!$I$4:$I$2003,'Daily Entry'!$A$4:$A$2003,$A353))</f>
        <v/>
      </c>
      <c r="P353" s="10" t="str">
        <f aca="false">IF($A353="","",SUMPRODUCT(('Daily Entry'!$A$4:$A$2003=$A353)*('Daily Entry'!$M$4:$M$2003)*('Daily Entry'!$D$4:$D$2003)))</f>
        <v/>
      </c>
    </row>
    <row r="354" customFormat="false" ht="15" hidden="false" customHeight="false" outlineLevel="0" collapsed="false">
      <c r="A354" s="27"/>
      <c r="B354" s="10" t="str">
        <f aca="false">IF($A354="","",SUMIFS('Daily Entry'!$P$4:$P$2003,'Daily Entry'!$A$4:$A$2003,$A354))</f>
        <v/>
      </c>
      <c r="C354" s="9"/>
      <c r="D354" s="9"/>
      <c r="E354" s="9"/>
      <c r="F354" s="8"/>
      <c r="G354" s="9"/>
      <c r="H354" s="9"/>
      <c r="I354" s="8"/>
      <c r="J354" s="28" t="str">
        <f aca="false">IF($A354="","",$B354+$C354-$D354-$E354-$G354-$H354)</f>
        <v/>
      </c>
      <c r="K354" s="10" t="str">
        <f aca="false">IF($A354="","",SUMIFS('Daily Entry'!$Q$4:$Q$2003,'Daily Entry'!$A$4:$A$2003,$A354))</f>
        <v/>
      </c>
      <c r="L354" s="10" t="str">
        <f aca="false">IF($A354="","",$B354-$K354)</f>
        <v/>
      </c>
      <c r="M354" s="28" t="str">
        <f aca="false">IF($A354="","",$L354-$D354-$E354-$G354)</f>
        <v/>
      </c>
      <c r="N354" s="10" t="str">
        <f aca="false">IF($A354="","",SUMIFS('Daily Entry'!$H$4:$H$2003,'Daily Entry'!$A$4:$A$2003,$A354))</f>
        <v/>
      </c>
      <c r="O354" s="10" t="str">
        <f aca="false">IF($A354="","",SUMIFS('Daily Entry'!$I$4:$I$2003,'Daily Entry'!$A$4:$A$2003,$A354))</f>
        <v/>
      </c>
      <c r="P354" s="10" t="str">
        <f aca="false">IF($A354="","",SUMPRODUCT(('Daily Entry'!$A$4:$A$2003=$A354)*('Daily Entry'!$M$4:$M$2003)*('Daily Entry'!$D$4:$D$2003)))</f>
        <v/>
      </c>
    </row>
    <row r="355" customFormat="false" ht="15" hidden="false" customHeight="false" outlineLevel="0" collapsed="false">
      <c r="A355" s="27"/>
      <c r="B355" s="10" t="str">
        <f aca="false">IF($A355="","",SUMIFS('Daily Entry'!$P$4:$P$2003,'Daily Entry'!$A$4:$A$2003,$A355))</f>
        <v/>
      </c>
      <c r="C355" s="9"/>
      <c r="D355" s="9"/>
      <c r="E355" s="9"/>
      <c r="F355" s="8"/>
      <c r="G355" s="9"/>
      <c r="H355" s="9"/>
      <c r="I355" s="8"/>
      <c r="J355" s="28" t="str">
        <f aca="false">IF($A355="","",$B355+$C355-$D355-$E355-$G355-$H355)</f>
        <v/>
      </c>
      <c r="K355" s="10" t="str">
        <f aca="false">IF($A355="","",SUMIFS('Daily Entry'!$Q$4:$Q$2003,'Daily Entry'!$A$4:$A$2003,$A355))</f>
        <v/>
      </c>
      <c r="L355" s="10" t="str">
        <f aca="false">IF($A355="","",$B355-$K355)</f>
        <v/>
      </c>
      <c r="M355" s="28" t="str">
        <f aca="false">IF($A355="","",$L355-$D355-$E355-$G355)</f>
        <v/>
      </c>
      <c r="N355" s="10" t="str">
        <f aca="false">IF($A355="","",SUMIFS('Daily Entry'!$H$4:$H$2003,'Daily Entry'!$A$4:$A$2003,$A355))</f>
        <v/>
      </c>
      <c r="O355" s="10" t="str">
        <f aca="false">IF($A355="","",SUMIFS('Daily Entry'!$I$4:$I$2003,'Daily Entry'!$A$4:$A$2003,$A355))</f>
        <v/>
      </c>
      <c r="P355" s="10" t="str">
        <f aca="false">IF($A355="","",SUMPRODUCT(('Daily Entry'!$A$4:$A$2003=$A355)*('Daily Entry'!$M$4:$M$2003)*('Daily Entry'!$D$4:$D$2003)))</f>
        <v/>
      </c>
    </row>
    <row r="356" customFormat="false" ht="15" hidden="false" customHeight="false" outlineLevel="0" collapsed="false">
      <c r="A356" s="27"/>
      <c r="B356" s="10" t="str">
        <f aca="false">IF($A356="","",SUMIFS('Daily Entry'!$P$4:$P$2003,'Daily Entry'!$A$4:$A$2003,$A356))</f>
        <v/>
      </c>
      <c r="C356" s="9"/>
      <c r="D356" s="9"/>
      <c r="E356" s="9"/>
      <c r="F356" s="8"/>
      <c r="G356" s="9"/>
      <c r="H356" s="9"/>
      <c r="I356" s="8"/>
      <c r="J356" s="28" t="str">
        <f aca="false">IF($A356="","",$B356+$C356-$D356-$E356-$G356-$H356)</f>
        <v/>
      </c>
      <c r="K356" s="10" t="str">
        <f aca="false">IF($A356="","",SUMIFS('Daily Entry'!$Q$4:$Q$2003,'Daily Entry'!$A$4:$A$2003,$A356))</f>
        <v/>
      </c>
      <c r="L356" s="10" t="str">
        <f aca="false">IF($A356="","",$B356-$K356)</f>
        <v/>
      </c>
      <c r="M356" s="28" t="str">
        <f aca="false">IF($A356="","",$L356-$D356-$E356-$G356)</f>
        <v/>
      </c>
      <c r="N356" s="10" t="str">
        <f aca="false">IF($A356="","",SUMIFS('Daily Entry'!$H$4:$H$2003,'Daily Entry'!$A$4:$A$2003,$A356))</f>
        <v/>
      </c>
      <c r="O356" s="10" t="str">
        <f aca="false">IF($A356="","",SUMIFS('Daily Entry'!$I$4:$I$2003,'Daily Entry'!$A$4:$A$2003,$A356))</f>
        <v/>
      </c>
      <c r="P356" s="10" t="str">
        <f aca="false">IF($A356="","",SUMPRODUCT(('Daily Entry'!$A$4:$A$2003=$A356)*('Daily Entry'!$M$4:$M$2003)*('Daily Entry'!$D$4:$D$2003)))</f>
        <v/>
      </c>
    </row>
    <row r="357" customFormat="false" ht="15" hidden="false" customHeight="false" outlineLevel="0" collapsed="false">
      <c r="A357" s="27"/>
      <c r="B357" s="10" t="str">
        <f aca="false">IF($A357="","",SUMIFS('Daily Entry'!$P$4:$P$2003,'Daily Entry'!$A$4:$A$2003,$A357))</f>
        <v/>
      </c>
      <c r="C357" s="9"/>
      <c r="D357" s="9"/>
      <c r="E357" s="9"/>
      <c r="F357" s="8"/>
      <c r="G357" s="9"/>
      <c r="H357" s="9"/>
      <c r="I357" s="8"/>
      <c r="J357" s="28" t="str">
        <f aca="false">IF($A357="","",$B357+$C357-$D357-$E357-$G357-$H357)</f>
        <v/>
      </c>
      <c r="K357" s="10" t="str">
        <f aca="false">IF($A357="","",SUMIFS('Daily Entry'!$Q$4:$Q$2003,'Daily Entry'!$A$4:$A$2003,$A357))</f>
        <v/>
      </c>
      <c r="L357" s="10" t="str">
        <f aca="false">IF($A357="","",$B357-$K357)</f>
        <v/>
      </c>
      <c r="M357" s="28" t="str">
        <f aca="false">IF($A357="","",$L357-$D357-$E357-$G357)</f>
        <v/>
      </c>
      <c r="N357" s="10" t="str">
        <f aca="false">IF($A357="","",SUMIFS('Daily Entry'!$H$4:$H$2003,'Daily Entry'!$A$4:$A$2003,$A357))</f>
        <v/>
      </c>
      <c r="O357" s="10" t="str">
        <f aca="false">IF($A357="","",SUMIFS('Daily Entry'!$I$4:$I$2003,'Daily Entry'!$A$4:$A$2003,$A357))</f>
        <v/>
      </c>
      <c r="P357" s="10" t="str">
        <f aca="false">IF($A357="","",SUMPRODUCT(('Daily Entry'!$A$4:$A$2003=$A357)*('Daily Entry'!$M$4:$M$2003)*('Daily Entry'!$D$4:$D$2003)))</f>
        <v/>
      </c>
    </row>
    <row r="358" customFormat="false" ht="15" hidden="false" customHeight="false" outlineLevel="0" collapsed="false">
      <c r="A358" s="27"/>
      <c r="B358" s="10" t="str">
        <f aca="false">IF($A358="","",SUMIFS('Daily Entry'!$P$4:$P$2003,'Daily Entry'!$A$4:$A$2003,$A358))</f>
        <v/>
      </c>
      <c r="C358" s="9"/>
      <c r="D358" s="9"/>
      <c r="E358" s="9"/>
      <c r="F358" s="8"/>
      <c r="G358" s="9"/>
      <c r="H358" s="9"/>
      <c r="I358" s="8"/>
      <c r="J358" s="28" t="str">
        <f aca="false">IF($A358="","",$B358+$C358-$D358-$E358-$G358-$H358)</f>
        <v/>
      </c>
      <c r="K358" s="10" t="str">
        <f aca="false">IF($A358="","",SUMIFS('Daily Entry'!$Q$4:$Q$2003,'Daily Entry'!$A$4:$A$2003,$A358))</f>
        <v/>
      </c>
      <c r="L358" s="10" t="str">
        <f aca="false">IF($A358="","",$B358-$K358)</f>
        <v/>
      </c>
      <c r="M358" s="28" t="str">
        <f aca="false">IF($A358="","",$L358-$D358-$E358-$G358)</f>
        <v/>
      </c>
      <c r="N358" s="10" t="str">
        <f aca="false">IF($A358="","",SUMIFS('Daily Entry'!$H$4:$H$2003,'Daily Entry'!$A$4:$A$2003,$A358))</f>
        <v/>
      </c>
      <c r="O358" s="10" t="str">
        <f aca="false">IF($A358="","",SUMIFS('Daily Entry'!$I$4:$I$2003,'Daily Entry'!$A$4:$A$2003,$A358))</f>
        <v/>
      </c>
      <c r="P358" s="10" t="str">
        <f aca="false">IF($A358="","",SUMPRODUCT(('Daily Entry'!$A$4:$A$2003=$A358)*('Daily Entry'!$M$4:$M$2003)*('Daily Entry'!$D$4:$D$2003)))</f>
        <v/>
      </c>
    </row>
    <row r="359" customFormat="false" ht="15" hidden="false" customHeight="false" outlineLevel="0" collapsed="false">
      <c r="A359" s="27"/>
      <c r="B359" s="10" t="str">
        <f aca="false">IF($A359="","",SUMIFS('Daily Entry'!$P$4:$P$2003,'Daily Entry'!$A$4:$A$2003,$A359))</f>
        <v/>
      </c>
      <c r="C359" s="9"/>
      <c r="D359" s="9"/>
      <c r="E359" s="9"/>
      <c r="F359" s="8"/>
      <c r="G359" s="9"/>
      <c r="H359" s="9"/>
      <c r="I359" s="8"/>
      <c r="J359" s="28" t="str">
        <f aca="false">IF($A359="","",$B359+$C359-$D359-$E359-$G359-$H359)</f>
        <v/>
      </c>
      <c r="K359" s="10" t="str">
        <f aca="false">IF($A359="","",SUMIFS('Daily Entry'!$Q$4:$Q$2003,'Daily Entry'!$A$4:$A$2003,$A359))</f>
        <v/>
      </c>
      <c r="L359" s="10" t="str">
        <f aca="false">IF($A359="","",$B359-$K359)</f>
        <v/>
      </c>
      <c r="M359" s="28" t="str">
        <f aca="false">IF($A359="","",$L359-$D359-$E359-$G359)</f>
        <v/>
      </c>
      <c r="N359" s="10" t="str">
        <f aca="false">IF($A359="","",SUMIFS('Daily Entry'!$H$4:$H$2003,'Daily Entry'!$A$4:$A$2003,$A359))</f>
        <v/>
      </c>
      <c r="O359" s="10" t="str">
        <f aca="false">IF($A359="","",SUMIFS('Daily Entry'!$I$4:$I$2003,'Daily Entry'!$A$4:$A$2003,$A359))</f>
        <v/>
      </c>
      <c r="P359" s="10" t="str">
        <f aca="false">IF($A359="","",SUMPRODUCT(('Daily Entry'!$A$4:$A$2003=$A359)*('Daily Entry'!$M$4:$M$2003)*('Daily Entry'!$D$4:$D$2003)))</f>
        <v/>
      </c>
    </row>
    <row r="360" customFormat="false" ht="15" hidden="false" customHeight="false" outlineLevel="0" collapsed="false">
      <c r="A360" s="27"/>
      <c r="B360" s="10" t="str">
        <f aca="false">IF($A360="","",SUMIFS('Daily Entry'!$P$4:$P$2003,'Daily Entry'!$A$4:$A$2003,$A360))</f>
        <v/>
      </c>
      <c r="C360" s="9"/>
      <c r="D360" s="9"/>
      <c r="E360" s="9"/>
      <c r="F360" s="8"/>
      <c r="G360" s="9"/>
      <c r="H360" s="9"/>
      <c r="I360" s="8"/>
      <c r="J360" s="28" t="str">
        <f aca="false">IF($A360="","",$B360+$C360-$D360-$E360-$G360-$H360)</f>
        <v/>
      </c>
      <c r="K360" s="10" t="str">
        <f aca="false">IF($A360="","",SUMIFS('Daily Entry'!$Q$4:$Q$2003,'Daily Entry'!$A$4:$A$2003,$A360))</f>
        <v/>
      </c>
      <c r="L360" s="10" t="str">
        <f aca="false">IF($A360="","",$B360-$K360)</f>
        <v/>
      </c>
      <c r="M360" s="28" t="str">
        <f aca="false">IF($A360="","",$L360-$D360-$E360-$G360)</f>
        <v/>
      </c>
      <c r="N360" s="10" t="str">
        <f aca="false">IF($A360="","",SUMIFS('Daily Entry'!$H$4:$H$2003,'Daily Entry'!$A$4:$A$2003,$A360))</f>
        <v/>
      </c>
      <c r="O360" s="10" t="str">
        <f aca="false">IF($A360="","",SUMIFS('Daily Entry'!$I$4:$I$2003,'Daily Entry'!$A$4:$A$2003,$A360))</f>
        <v/>
      </c>
      <c r="P360" s="10" t="str">
        <f aca="false">IF($A360="","",SUMPRODUCT(('Daily Entry'!$A$4:$A$2003=$A360)*('Daily Entry'!$M$4:$M$2003)*('Daily Entry'!$D$4:$D$2003)))</f>
        <v/>
      </c>
    </row>
    <row r="361" customFormat="false" ht="15" hidden="false" customHeight="false" outlineLevel="0" collapsed="false">
      <c r="A361" s="27"/>
      <c r="B361" s="10" t="str">
        <f aca="false">IF($A361="","",SUMIFS('Daily Entry'!$P$4:$P$2003,'Daily Entry'!$A$4:$A$2003,$A361))</f>
        <v/>
      </c>
      <c r="C361" s="9"/>
      <c r="D361" s="9"/>
      <c r="E361" s="9"/>
      <c r="F361" s="8"/>
      <c r="G361" s="9"/>
      <c r="H361" s="9"/>
      <c r="I361" s="8"/>
      <c r="J361" s="28" t="str">
        <f aca="false">IF($A361="","",$B361+$C361-$D361-$E361-$G361-$H361)</f>
        <v/>
      </c>
      <c r="K361" s="10" t="str">
        <f aca="false">IF($A361="","",SUMIFS('Daily Entry'!$Q$4:$Q$2003,'Daily Entry'!$A$4:$A$2003,$A361))</f>
        <v/>
      </c>
      <c r="L361" s="10" t="str">
        <f aca="false">IF($A361="","",$B361-$K361)</f>
        <v/>
      </c>
      <c r="M361" s="28" t="str">
        <f aca="false">IF($A361="","",$L361-$D361-$E361-$G361)</f>
        <v/>
      </c>
      <c r="N361" s="10" t="str">
        <f aca="false">IF($A361="","",SUMIFS('Daily Entry'!$H$4:$H$2003,'Daily Entry'!$A$4:$A$2003,$A361))</f>
        <v/>
      </c>
      <c r="O361" s="10" t="str">
        <f aca="false">IF($A361="","",SUMIFS('Daily Entry'!$I$4:$I$2003,'Daily Entry'!$A$4:$A$2003,$A361))</f>
        <v/>
      </c>
      <c r="P361" s="10" t="str">
        <f aca="false">IF($A361="","",SUMPRODUCT(('Daily Entry'!$A$4:$A$2003=$A361)*('Daily Entry'!$M$4:$M$2003)*('Daily Entry'!$D$4:$D$2003)))</f>
        <v/>
      </c>
    </row>
    <row r="362" customFormat="false" ht="15" hidden="false" customHeight="false" outlineLevel="0" collapsed="false">
      <c r="A362" s="27"/>
      <c r="B362" s="10" t="str">
        <f aca="false">IF($A362="","",SUMIFS('Daily Entry'!$P$4:$P$2003,'Daily Entry'!$A$4:$A$2003,$A362))</f>
        <v/>
      </c>
      <c r="C362" s="9"/>
      <c r="D362" s="9"/>
      <c r="E362" s="9"/>
      <c r="F362" s="8"/>
      <c r="G362" s="9"/>
      <c r="H362" s="9"/>
      <c r="I362" s="8"/>
      <c r="J362" s="28" t="str">
        <f aca="false">IF($A362="","",$B362+$C362-$D362-$E362-$G362-$H362)</f>
        <v/>
      </c>
      <c r="K362" s="10" t="str">
        <f aca="false">IF($A362="","",SUMIFS('Daily Entry'!$Q$4:$Q$2003,'Daily Entry'!$A$4:$A$2003,$A362))</f>
        <v/>
      </c>
      <c r="L362" s="10" t="str">
        <f aca="false">IF($A362="","",$B362-$K362)</f>
        <v/>
      </c>
      <c r="M362" s="28" t="str">
        <f aca="false">IF($A362="","",$L362-$D362-$E362-$G362)</f>
        <v/>
      </c>
      <c r="N362" s="10" t="str">
        <f aca="false">IF($A362="","",SUMIFS('Daily Entry'!$H$4:$H$2003,'Daily Entry'!$A$4:$A$2003,$A362))</f>
        <v/>
      </c>
      <c r="O362" s="10" t="str">
        <f aca="false">IF($A362="","",SUMIFS('Daily Entry'!$I$4:$I$2003,'Daily Entry'!$A$4:$A$2003,$A362))</f>
        <v/>
      </c>
      <c r="P362" s="10" t="str">
        <f aca="false">IF($A362="","",SUMPRODUCT(('Daily Entry'!$A$4:$A$2003=$A362)*('Daily Entry'!$M$4:$M$2003)*('Daily Entry'!$D$4:$D$2003)))</f>
        <v/>
      </c>
    </row>
    <row r="363" customFormat="false" ht="15" hidden="false" customHeight="false" outlineLevel="0" collapsed="false">
      <c r="A363" s="27"/>
      <c r="B363" s="10" t="str">
        <f aca="false">IF($A363="","",SUMIFS('Daily Entry'!$P$4:$P$2003,'Daily Entry'!$A$4:$A$2003,$A363))</f>
        <v/>
      </c>
      <c r="C363" s="9"/>
      <c r="D363" s="9"/>
      <c r="E363" s="9"/>
      <c r="F363" s="8"/>
      <c r="G363" s="9"/>
      <c r="H363" s="9"/>
      <c r="I363" s="8"/>
      <c r="J363" s="28" t="str">
        <f aca="false">IF($A363="","",$B363+$C363-$D363-$E363-$G363-$H363)</f>
        <v/>
      </c>
      <c r="K363" s="10" t="str">
        <f aca="false">IF($A363="","",SUMIFS('Daily Entry'!$Q$4:$Q$2003,'Daily Entry'!$A$4:$A$2003,$A363))</f>
        <v/>
      </c>
      <c r="L363" s="10" t="str">
        <f aca="false">IF($A363="","",$B363-$K363)</f>
        <v/>
      </c>
      <c r="M363" s="28" t="str">
        <f aca="false">IF($A363="","",$L363-$D363-$E363-$G363)</f>
        <v/>
      </c>
      <c r="N363" s="10" t="str">
        <f aca="false">IF($A363="","",SUMIFS('Daily Entry'!$H$4:$H$2003,'Daily Entry'!$A$4:$A$2003,$A363))</f>
        <v/>
      </c>
      <c r="O363" s="10" t="str">
        <f aca="false">IF($A363="","",SUMIFS('Daily Entry'!$I$4:$I$2003,'Daily Entry'!$A$4:$A$2003,$A363))</f>
        <v/>
      </c>
      <c r="P363" s="10" t="str">
        <f aca="false">IF($A363="","",SUMPRODUCT(('Daily Entry'!$A$4:$A$2003=$A363)*('Daily Entry'!$M$4:$M$2003)*('Daily Entry'!$D$4:$D$2003)))</f>
        <v/>
      </c>
    </row>
    <row r="364" customFormat="false" ht="15" hidden="false" customHeight="false" outlineLevel="0" collapsed="false">
      <c r="A364" s="27"/>
      <c r="B364" s="10" t="str">
        <f aca="false">IF($A364="","",SUMIFS('Daily Entry'!$P$4:$P$2003,'Daily Entry'!$A$4:$A$2003,$A364))</f>
        <v/>
      </c>
      <c r="C364" s="9"/>
      <c r="D364" s="9"/>
      <c r="E364" s="9"/>
      <c r="F364" s="8"/>
      <c r="G364" s="9"/>
      <c r="H364" s="9"/>
      <c r="I364" s="8"/>
      <c r="J364" s="28" t="str">
        <f aca="false">IF($A364="","",$B364+$C364-$D364-$E364-$G364-$H364)</f>
        <v/>
      </c>
      <c r="K364" s="10" t="str">
        <f aca="false">IF($A364="","",SUMIFS('Daily Entry'!$Q$4:$Q$2003,'Daily Entry'!$A$4:$A$2003,$A364))</f>
        <v/>
      </c>
      <c r="L364" s="10" t="str">
        <f aca="false">IF($A364="","",$B364-$K364)</f>
        <v/>
      </c>
      <c r="M364" s="28" t="str">
        <f aca="false">IF($A364="","",$L364-$D364-$E364-$G364)</f>
        <v/>
      </c>
      <c r="N364" s="10" t="str">
        <f aca="false">IF($A364="","",SUMIFS('Daily Entry'!$H$4:$H$2003,'Daily Entry'!$A$4:$A$2003,$A364))</f>
        <v/>
      </c>
      <c r="O364" s="10" t="str">
        <f aca="false">IF($A364="","",SUMIFS('Daily Entry'!$I$4:$I$2003,'Daily Entry'!$A$4:$A$2003,$A364))</f>
        <v/>
      </c>
      <c r="P364" s="10" t="str">
        <f aca="false">IF($A364="","",SUMPRODUCT(('Daily Entry'!$A$4:$A$2003=$A364)*('Daily Entry'!$M$4:$M$2003)*('Daily Entry'!$D$4:$D$2003)))</f>
        <v/>
      </c>
    </row>
    <row r="365" customFormat="false" ht="15" hidden="false" customHeight="false" outlineLevel="0" collapsed="false">
      <c r="A365" s="27"/>
      <c r="B365" s="10" t="str">
        <f aca="false">IF($A365="","",SUMIFS('Daily Entry'!$P$4:$P$2003,'Daily Entry'!$A$4:$A$2003,$A365))</f>
        <v/>
      </c>
      <c r="C365" s="9"/>
      <c r="D365" s="9"/>
      <c r="E365" s="9"/>
      <c r="F365" s="8"/>
      <c r="G365" s="9"/>
      <c r="H365" s="9"/>
      <c r="I365" s="8"/>
      <c r="J365" s="28" t="str">
        <f aca="false">IF($A365="","",$B365+$C365-$D365-$E365-$G365-$H365)</f>
        <v/>
      </c>
      <c r="K365" s="10" t="str">
        <f aca="false">IF($A365="","",SUMIFS('Daily Entry'!$Q$4:$Q$2003,'Daily Entry'!$A$4:$A$2003,$A365))</f>
        <v/>
      </c>
      <c r="L365" s="10" t="str">
        <f aca="false">IF($A365="","",$B365-$K365)</f>
        <v/>
      </c>
      <c r="M365" s="28" t="str">
        <f aca="false">IF($A365="","",$L365-$D365-$E365-$G365)</f>
        <v/>
      </c>
      <c r="N365" s="10" t="str">
        <f aca="false">IF($A365="","",SUMIFS('Daily Entry'!$H$4:$H$2003,'Daily Entry'!$A$4:$A$2003,$A365))</f>
        <v/>
      </c>
      <c r="O365" s="10" t="str">
        <f aca="false">IF($A365="","",SUMIFS('Daily Entry'!$I$4:$I$2003,'Daily Entry'!$A$4:$A$2003,$A365))</f>
        <v/>
      </c>
      <c r="P365" s="10" t="str">
        <f aca="false">IF($A365="","",SUMPRODUCT(('Daily Entry'!$A$4:$A$2003=$A365)*('Daily Entry'!$M$4:$M$2003)*('Daily Entry'!$D$4:$D$2003)))</f>
        <v/>
      </c>
    </row>
    <row r="366" customFormat="false" ht="15" hidden="false" customHeight="false" outlineLevel="0" collapsed="false">
      <c r="A366" s="27"/>
      <c r="B366" s="10" t="str">
        <f aca="false">IF($A366="","",SUMIFS('Daily Entry'!$P$4:$P$2003,'Daily Entry'!$A$4:$A$2003,$A366))</f>
        <v/>
      </c>
      <c r="C366" s="9"/>
      <c r="D366" s="9"/>
      <c r="E366" s="9"/>
      <c r="F366" s="8"/>
      <c r="G366" s="9"/>
      <c r="H366" s="9"/>
      <c r="I366" s="8"/>
      <c r="J366" s="28" t="str">
        <f aca="false">IF($A366="","",$B366+$C366-$D366-$E366-$G366-$H366)</f>
        <v/>
      </c>
      <c r="K366" s="10" t="str">
        <f aca="false">IF($A366="","",SUMIFS('Daily Entry'!$Q$4:$Q$2003,'Daily Entry'!$A$4:$A$2003,$A366))</f>
        <v/>
      </c>
      <c r="L366" s="10" t="str">
        <f aca="false">IF($A366="","",$B366-$K366)</f>
        <v/>
      </c>
      <c r="M366" s="28" t="str">
        <f aca="false">IF($A366="","",$L366-$D366-$E366-$G366)</f>
        <v/>
      </c>
      <c r="N366" s="10" t="str">
        <f aca="false">IF($A366="","",SUMIFS('Daily Entry'!$H$4:$H$2003,'Daily Entry'!$A$4:$A$2003,$A366))</f>
        <v/>
      </c>
      <c r="O366" s="10" t="str">
        <f aca="false">IF($A366="","",SUMIFS('Daily Entry'!$I$4:$I$2003,'Daily Entry'!$A$4:$A$2003,$A366))</f>
        <v/>
      </c>
      <c r="P366" s="10" t="str">
        <f aca="false">IF($A366="","",SUMPRODUCT(('Daily Entry'!$A$4:$A$2003=$A366)*('Daily Entry'!$M$4:$M$2003)*('Daily Entry'!$D$4:$D$2003)))</f>
        <v/>
      </c>
    </row>
    <row r="367" customFormat="false" ht="15" hidden="false" customHeight="false" outlineLevel="0" collapsed="false">
      <c r="A367" s="27"/>
      <c r="B367" s="10" t="str">
        <f aca="false">IF($A367="","",SUMIFS('Daily Entry'!$P$4:$P$2003,'Daily Entry'!$A$4:$A$2003,$A367))</f>
        <v/>
      </c>
      <c r="C367" s="9"/>
      <c r="D367" s="9"/>
      <c r="E367" s="9"/>
      <c r="F367" s="8"/>
      <c r="G367" s="9"/>
      <c r="H367" s="9"/>
      <c r="I367" s="8"/>
      <c r="J367" s="28" t="str">
        <f aca="false">IF($A367="","",$B367+$C367-$D367-$E367-$G367-$H367)</f>
        <v/>
      </c>
      <c r="K367" s="10" t="str">
        <f aca="false">IF($A367="","",SUMIFS('Daily Entry'!$Q$4:$Q$2003,'Daily Entry'!$A$4:$A$2003,$A367))</f>
        <v/>
      </c>
      <c r="L367" s="10" t="str">
        <f aca="false">IF($A367="","",$B367-$K367)</f>
        <v/>
      </c>
      <c r="M367" s="28" t="str">
        <f aca="false">IF($A367="","",$L367-$D367-$E367-$G367)</f>
        <v/>
      </c>
      <c r="N367" s="10" t="str">
        <f aca="false">IF($A367="","",SUMIFS('Daily Entry'!$H$4:$H$2003,'Daily Entry'!$A$4:$A$2003,$A367))</f>
        <v/>
      </c>
      <c r="O367" s="10" t="str">
        <f aca="false">IF($A367="","",SUMIFS('Daily Entry'!$I$4:$I$2003,'Daily Entry'!$A$4:$A$2003,$A367))</f>
        <v/>
      </c>
      <c r="P367" s="10" t="str">
        <f aca="false">IF($A367="","",SUMPRODUCT(('Daily Entry'!$A$4:$A$2003=$A367)*('Daily Entry'!$M$4:$M$2003)*('Daily Entry'!$D$4:$D$2003)))</f>
        <v/>
      </c>
    </row>
    <row r="368" customFormat="false" ht="15" hidden="false" customHeight="false" outlineLevel="0" collapsed="false">
      <c r="A368" s="27"/>
      <c r="B368" s="10" t="str">
        <f aca="false">IF($A368="","",SUMIFS('Daily Entry'!$P$4:$P$2003,'Daily Entry'!$A$4:$A$2003,$A368))</f>
        <v/>
      </c>
      <c r="C368" s="9"/>
      <c r="D368" s="9"/>
      <c r="E368" s="9"/>
      <c r="F368" s="8"/>
      <c r="G368" s="9"/>
      <c r="H368" s="9"/>
      <c r="I368" s="8"/>
      <c r="J368" s="28" t="str">
        <f aca="false">IF($A368="","",$B368+$C368-$D368-$E368-$G368-$H368)</f>
        <v/>
      </c>
      <c r="K368" s="10" t="str">
        <f aca="false">IF($A368="","",SUMIFS('Daily Entry'!$Q$4:$Q$2003,'Daily Entry'!$A$4:$A$2003,$A368))</f>
        <v/>
      </c>
      <c r="L368" s="10" t="str">
        <f aca="false">IF($A368="","",$B368-$K368)</f>
        <v/>
      </c>
      <c r="M368" s="28" t="str">
        <f aca="false">IF($A368="","",$L368-$D368-$E368-$G368)</f>
        <v/>
      </c>
      <c r="N368" s="10" t="str">
        <f aca="false">IF($A368="","",SUMIFS('Daily Entry'!$H$4:$H$2003,'Daily Entry'!$A$4:$A$2003,$A368))</f>
        <v/>
      </c>
      <c r="O368" s="10" t="str">
        <f aca="false">IF($A368="","",SUMIFS('Daily Entry'!$I$4:$I$2003,'Daily Entry'!$A$4:$A$2003,$A368))</f>
        <v/>
      </c>
      <c r="P368" s="10" t="str">
        <f aca="false">IF($A368="","",SUMPRODUCT(('Daily Entry'!$A$4:$A$2003=$A368)*('Daily Entry'!$M$4:$M$2003)*('Daily Entry'!$D$4:$D$2003)))</f>
        <v/>
      </c>
    </row>
    <row r="369" customFormat="false" ht="15" hidden="false" customHeight="false" outlineLevel="0" collapsed="false">
      <c r="A369" s="27"/>
      <c r="B369" s="10" t="str">
        <f aca="false">IF($A369="","",SUMIFS('Daily Entry'!$P$4:$P$2003,'Daily Entry'!$A$4:$A$2003,$A369))</f>
        <v/>
      </c>
      <c r="C369" s="9"/>
      <c r="D369" s="9"/>
      <c r="E369" s="9"/>
      <c r="F369" s="8"/>
      <c r="G369" s="9"/>
      <c r="H369" s="9"/>
      <c r="I369" s="8"/>
      <c r="J369" s="28" t="str">
        <f aca="false">IF($A369="","",$B369+$C369-$D369-$E369-$G369-$H369)</f>
        <v/>
      </c>
      <c r="K369" s="10" t="str">
        <f aca="false">IF($A369="","",SUMIFS('Daily Entry'!$Q$4:$Q$2003,'Daily Entry'!$A$4:$A$2003,$A369))</f>
        <v/>
      </c>
      <c r="L369" s="10" t="str">
        <f aca="false">IF($A369="","",$B369-$K369)</f>
        <v/>
      </c>
      <c r="M369" s="28" t="str">
        <f aca="false">IF($A369="","",$L369-$D369-$E369-$G369)</f>
        <v/>
      </c>
      <c r="N369" s="10" t="str">
        <f aca="false">IF($A369="","",SUMIFS('Daily Entry'!$H$4:$H$2003,'Daily Entry'!$A$4:$A$2003,$A369))</f>
        <v/>
      </c>
      <c r="O369" s="10" t="str">
        <f aca="false">IF($A369="","",SUMIFS('Daily Entry'!$I$4:$I$2003,'Daily Entry'!$A$4:$A$2003,$A369))</f>
        <v/>
      </c>
      <c r="P369" s="10" t="str">
        <f aca="false">IF($A369="","",SUMPRODUCT(('Daily Entry'!$A$4:$A$2003=$A369)*('Daily Entry'!$M$4:$M$2003)*('Daily Entry'!$D$4:$D$2003)))</f>
        <v/>
      </c>
    </row>
    <row r="370" customFormat="false" ht="15" hidden="false" customHeight="false" outlineLevel="0" collapsed="false">
      <c r="A370" s="27"/>
      <c r="B370" s="10" t="str">
        <f aca="false">IF($A370="","",SUMIFS('Daily Entry'!$P$4:$P$2003,'Daily Entry'!$A$4:$A$2003,$A370))</f>
        <v/>
      </c>
      <c r="C370" s="9"/>
      <c r="D370" s="9"/>
      <c r="E370" s="9"/>
      <c r="F370" s="8"/>
      <c r="G370" s="9"/>
      <c r="H370" s="9"/>
      <c r="I370" s="8"/>
      <c r="J370" s="28" t="str">
        <f aca="false">IF($A370="","",$B370+$C370-$D370-$E370-$G370-$H370)</f>
        <v/>
      </c>
      <c r="K370" s="10" t="str">
        <f aca="false">IF($A370="","",SUMIFS('Daily Entry'!$Q$4:$Q$2003,'Daily Entry'!$A$4:$A$2003,$A370))</f>
        <v/>
      </c>
      <c r="L370" s="10" t="str">
        <f aca="false">IF($A370="","",$B370-$K370)</f>
        <v/>
      </c>
      <c r="M370" s="28" t="str">
        <f aca="false">IF($A370="","",$L370-$D370-$E370-$G370)</f>
        <v/>
      </c>
      <c r="N370" s="10" t="str">
        <f aca="false">IF($A370="","",SUMIFS('Daily Entry'!$H$4:$H$2003,'Daily Entry'!$A$4:$A$2003,$A370))</f>
        <v/>
      </c>
      <c r="O370" s="10" t="str">
        <f aca="false">IF($A370="","",SUMIFS('Daily Entry'!$I$4:$I$2003,'Daily Entry'!$A$4:$A$2003,$A370))</f>
        <v/>
      </c>
      <c r="P370" s="10" t="str">
        <f aca="false">IF($A370="","",SUMPRODUCT(('Daily Entry'!$A$4:$A$2003=$A370)*('Daily Entry'!$M$4:$M$2003)*('Daily Entry'!$D$4:$D$2003)))</f>
        <v/>
      </c>
    </row>
    <row r="371" customFormat="false" ht="15" hidden="false" customHeight="false" outlineLevel="0" collapsed="false">
      <c r="A371" s="27"/>
      <c r="B371" s="10" t="str">
        <f aca="false">IF($A371="","",SUMIFS('Daily Entry'!$P$4:$P$2003,'Daily Entry'!$A$4:$A$2003,$A371))</f>
        <v/>
      </c>
      <c r="C371" s="9"/>
      <c r="D371" s="9"/>
      <c r="E371" s="9"/>
      <c r="F371" s="8"/>
      <c r="G371" s="9"/>
      <c r="H371" s="9"/>
      <c r="I371" s="8"/>
      <c r="J371" s="28" t="str">
        <f aca="false">IF($A371="","",$B371+$C371-$D371-$E371-$G371-$H371)</f>
        <v/>
      </c>
      <c r="K371" s="10" t="str">
        <f aca="false">IF($A371="","",SUMIFS('Daily Entry'!$Q$4:$Q$2003,'Daily Entry'!$A$4:$A$2003,$A371))</f>
        <v/>
      </c>
      <c r="L371" s="10" t="str">
        <f aca="false">IF($A371="","",$B371-$K371)</f>
        <v/>
      </c>
      <c r="M371" s="28" t="str">
        <f aca="false">IF($A371="","",$L371-$D371-$E371-$G371)</f>
        <v/>
      </c>
      <c r="N371" s="10" t="str">
        <f aca="false">IF($A371="","",SUMIFS('Daily Entry'!$H$4:$H$2003,'Daily Entry'!$A$4:$A$2003,$A371))</f>
        <v/>
      </c>
      <c r="O371" s="10" t="str">
        <f aca="false">IF($A371="","",SUMIFS('Daily Entry'!$I$4:$I$2003,'Daily Entry'!$A$4:$A$2003,$A371))</f>
        <v/>
      </c>
      <c r="P371" s="10" t="str">
        <f aca="false">IF($A371="","",SUMPRODUCT(('Daily Entry'!$A$4:$A$2003=$A371)*('Daily Entry'!$M$4:$M$2003)*('Daily Entry'!$D$4:$D$2003)))</f>
        <v/>
      </c>
    </row>
    <row r="372" customFormat="false" ht="15" hidden="false" customHeight="false" outlineLevel="0" collapsed="false">
      <c r="A372" s="27"/>
      <c r="B372" s="10" t="str">
        <f aca="false">IF($A372="","",SUMIFS('Daily Entry'!$P$4:$P$2003,'Daily Entry'!$A$4:$A$2003,$A372))</f>
        <v/>
      </c>
      <c r="C372" s="9"/>
      <c r="D372" s="9"/>
      <c r="E372" s="9"/>
      <c r="F372" s="8"/>
      <c r="G372" s="9"/>
      <c r="H372" s="9"/>
      <c r="I372" s="8"/>
      <c r="J372" s="28" t="str">
        <f aca="false">IF($A372="","",$B372+$C372-$D372-$E372-$G372-$H372)</f>
        <v/>
      </c>
      <c r="K372" s="10" t="str">
        <f aca="false">IF($A372="","",SUMIFS('Daily Entry'!$Q$4:$Q$2003,'Daily Entry'!$A$4:$A$2003,$A372))</f>
        <v/>
      </c>
      <c r="L372" s="10" t="str">
        <f aca="false">IF($A372="","",$B372-$K372)</f>
        <v/>
      </c>
      <c r="M372" s="28" t="str">
        <f aca="false">IF($A372="","",$L372-$D372-$E372-$G372)</f>
        <v/>
      </c>
      <c r="N372" s="10" t="str">
        <f aca="false">IF($A372="","",SUMIFS('Daily Entry'!$H$4:$H$2003,'Daily Entry'!$A$4:$A$2003,$A372))</f>
        <v/>
      </c>
      <c r="O372" s="10" t="str">
        <f aca="false">IF($A372="","",SUMIFS('Daily Entry'!$I$4:$I$2003,'Daily Entry'!$A$4:$A$2003,$A372))</f>
        <v/>
      </c>
      <c r="P372" s="10" t="str">
        <f aca="false">IF($A372="","",SUMPRODUCT(('Daily Entry'!$A$4:$A$2003=$A372)*('Daily Entry'!$M$4:$M$2003)*('Daily Entry'!$D$4:$D$2003)))</f>
        <v/>
      </c>
    </row>
    <row r="373" customFormat="false" ht="15" hidden="false" customHeight="false" outlineLevel="0" collapsed="false">
      <c r="A373" s="27"/>
      <c r="B373" s="10" t="str">
        <f aca="false">IF($A373="","",SUMIFS('Daily Entry'!$P$4:$P$2003,'Daily Entry'!$A$4:$A$2003,$A373))</f>
        <v/>
      </c>
      <c r="C373" s="9"/>
      <c r="D373" s="9"/>
      <c r="E373" s="9"/>
      <c r="F373" s="8"/>
      <c r="G373" s="9"/>
      <c r="H373" s="9"/>
      <c r="I373" s="8"/>
      <c r="J373" s="28" t="str">
        <f aca="false">IF($A373="","",$B373+$C373-$D373-$E373-$G373-$H373)</f>
        <v/>
      </c>
      <c r="K373" s="10" t="str">
        <f aca="false">IF($A373="","",SUMIFS('Daily Entry'!$Q$4:$Q$2003,'Daily Entry'!$A$4:$A$2003,$A373))</f>
        <v/>
      </c>
      <c r="L373" s="10" t="str">
        <f aca="false">IF($A373="","",$B373-$K373)</f>
        <v/>
      </c>
      <c r="M373" s="28" t="str">
        <f aca="false">IF($A373="","",$L373-$D373-$E373-$G373)</f>
        <v/>
      </c>
      <c r="N373" s="10" t="str">
        <f aca="false">IF($A373="","",SUMIFS('Daily Entry'!$H$4:$H$2003,'Daily Entry'!$A$4:$A$2003,$A373))</f>
        <v/>
      </c>
      <c r="O373" s="10" t="str">
        <f aca="false">IF($A373="","",SUMIFS('Daily Entry'!$I$4:$I$2003,'Daily Entry'!$A$4:$A$2003,$A373))</f>
        <v/>
      </c>
      <c r="P373" s="10" t="str">
        <f aca="false">IF($A373="","",SUMPRODUCT(('Daily Entry'!$A$4:$A$2003=$A373)*('Daily Entry'!$M$4:$M$2003)*('Daily Entry'!$D$4:$D$2003)))</f>
        <v/>
      </c>
    </row>
    <row r="374" customFormat="false" ht="15" hidden="false" customHeight="false" outlineLevel="0" collapsed="false">
      <c r="A374" s="27"/>
      <c r="B374" s="10" t="str">
        <f aca="false">IF($A374="","",SUMIFS('Daily Entry'!$P$4:$P$2003,'Daily Entry'!$A$4:$A$2003,$A374))</f>
        <v/>
      </c>
      <c r="C374" s="9"/>
      <c r="D374" s="9"/>
      <c r="E374" s="9"/>
      <c r="F374" s="8"/>
      <c r="G374" s="9"/>
      <c r="H374" s="9"/>
      <c r="I374" s="8"/>
      <c r="J374" s="28" t="str">
        <f aca="false">IF($A374="","",$B374+$C374-$D374-$E374-$G374-$H374)</f>
        <v/>
      </c>
      <c r="K374" s="10" t="str">
        <f aca="false">IF($A374="","",SUMIFS('Daily Entry'!$Q$4:$Q$2003,'Daily Entry'!$A$4:$A$2003,$A374))</f>
        <v/>
      </c>
      <c r="L374" s="10" t="str">
        <f aca="false">IF($A374="","",$B374-$K374)</f>
        <v/>
      </c>
      <c r="M374" s="28" t="str">
        <f aca="false">IF($A374="","",$L374-$D374-$E374-$G374)</f>
        <v/>
      </c>
      <c r="N374" s="10" t="str">
        <f aca="false">IF($A374="","",SUMIFS('Daily Entry'!$H$4:$H$2003,'Daily Entry'!$A$4:$A$2003,$A374))</f>
        <v/>
      </c>
      <c r="O374" s="10" t="str">
        <f aca="false">IF($A374="","",SUMIFS('Daily Entry'!$I$4:$I$2003,'Daily Entry'!$A$4:$A$2003,$A374))</f>
        <v/>
      </c>
      <c r="P374" s="10" t="str">
        <f aca="false">IF($A374="","",SUMPRODUCT(('Daily Entry'!$A$4:$A$2003=$A374)*('Daily Entry'!$M$4:$M$2003)*('Daily Entry'!$D$4:$D$2003)))</f>
        <v/>
      </c>
    </row>
    <row r="375" customFormat="false" ht="15" hidden="false" customHeight="false" outlineLevel="0" collapsed="false">
      <c r="A375" s="27"/>
      <c r="B375" s="10" t="str">
        <f aca="false">IF($A375="","",SUMIFS('Daily Entry'!$P$4:$P$2003,'Daily Entry'!$A$4:$A$2003,$A375))</f>
        <v/>
      </c>
      <c r="C375" s="9"/>
      <c r="D375" s="9"/>
      <c r="E375" s="9"/>
      <c r="F375" s="8"/>
      <c r="G375" s="9"/>
      <c r="H375" s="9"/>
      <c r="I375" s="8"/>
      <c r="J375" s="28" t="str">
        <f aca="false">IF($A375="","",$B375+$C375-$D375-$E375-$G375-$H375)</f>
        <v/>
      </c>
      <c r="K375" s="10" t="str">
        <f aca="false">IF($A375="","",SUMIFS('Daily Entry'!$Q$4:$Q$2003,'Daily Entry'!$A$4:$A$2003,$A375))</f>
        <v/>
      </c>
      <c r="L375" s="10" t="str">
        <f aca="false">IF($A375="","",$B375-$K375)</f>
        <v/>
      </c>
      <c r="M375" s="28" t="str">
        <f aca="false">IF($A375="","",$L375-$D375-$E375-$G375)</f>
        <v/>
      </c>
      <c r="N375" s="10" t="str">
        <f aca="false">IF($A375="","",SUMIFS('Daily Entry'!$H$4:$H$2003,'Daily Entry'!$A$4:$A$2003,$A375))</f>
        <v/>
      </c>
      <c r="O375" s="10" t="str">
        <f aca="false">IF($A375="","",SUMIFS('Daily Entry'!$I$4:$I$2003,'Daily Entry'!$A$4:$A$2003,$A375))</f>
        <v/>
      </c>
      <c r="P375" s="10" t="str">
        <f aca="false">IF($A375="","",SUMPRODUCT(('Daily Entry'!$A$4:$A$2003=$A375)*('Daily Entry'!$M$4:$M$2003)*('Daily Entry'!$D$4:$D$2003)))</f>
        <v/>
      </c>
    </row>
    <row r="376" customFormat="false" ht="15" hidden="false" customHeight="false" outlineLevel="0" collapsed="false">
      <c r="A376" s="27"/>
      <c r="B376" s="10" t="str">
        <f aca="false">IF($A376="","",SUMIFS('Daily Entry'!$P$4:$P$2003,'Daily Entry'!$A$4:$A$2003,$A376))</f>
        <v/>
      </c>
      <c r="C376" s="9"/>
      <c r="D376" s="9"/>
      <c r="E376" s="9"/>
      <c r="F376" s="8"/>
      <c r="G376" s="9"/>
      <c r="H376" s="9"/>
      <c r="I376" s="8"/>
      <c r="J376" s="28" t="str">
        <f aca="false">IF($A376="","",$B376+$C376-$D376-$E376-$G376-$H376)</f>
        <v/>
      </c>
      <c r="K376" s="10" t="str">
        <f aca="false">IF($A376="","",SUMIFS('Daily Entry'!$Q$4:$Q$2003,'Daily Entry'!$A$4:$A$2003,$A376))</f>
        <v/>
      </c>
      <c r="L376" s="10" t="str">
        <f aca="false">IF($A376="","",$B376-$K376)</f>
        <v/>
      </c>
      <c r="M376" s="28" t="str">
        <f aca="false">IF($A376="","",$L376-$D376-$E376-$G376)</f>
        <v/>
      </c>
      <c r="N376" s="10" t="str">
        <f aca="false">IF($A376="","",SUMIFS('Daily Entry'!$H$4:$H$2003,'Daily Entry'!$A$4:$A$2003,$A376))</f>
        <v/>
      </c>
      <c r="O376" s="10" t="str">
        <f aca="false">IF($A376="","",SUMIFS('Daily Entry'!$I$4:$I$2003,'Daily Entry'!$A$4:$A$2003,$A376))</f>
        <v/>
      </c>
      <c r="P376" s="10" t="str">
        <f aca="false">IF($A376="","",SUMPRODUCT(('Daily Entry'!$A$4:$A$2003=$A376)*('Daily Entry'!$M$4:$M$2003)*('Daily Entry'!$D$4:$D$2003)))</f>
        <v/>
      </c>
    </row>
    <row r="377" customFormat="false" ht="15" hidden="false" customHeight="false" outlineLevel="0" collapsed="false">
      <c r="A377" s="27"/>
      <c r="B377" s="10" t="str">
        <f aca="false">IF($A377="","",SUMIFS('Daily Entry'!$P$4:$P$2003,'Daily Entry'!$A$4:$A$2003,$A377))</f>
        <v/>
      </c>
      <c r="C377" s="9"/>
      <c r="D377" s="9"/>
      <c r="E377" s="9"/>
      <c r="F377" s="8"/>
      <c r="G377" s="9"/>
      <c r="H377" s="9"/>
      <c r="I377" s="8"/>
      <c r="J377" s="28" t="str">
        <f aca="false">IF($A377="","",$B377+$C377-$D377-$E377-$G377-$H377)</f>
        <v/>
      </c>
      <c r="K377" s="10" t="str">
        <f aca="false">IF($A377="","",SUMIFS('Daily Entry'!$Q$4:$Q$2003,'Daily Entry'!$A$4:$A$2003,$A377))</f>
        <v/>
      </c>
      <c r="L377" s="10" t="str">
        <f aca="false">IF($A377="","",$B377-$K377)</f>
        <v/>
      </c>
      <c r="M377" s="28" t="str">
        <f aca="false">IF($A377="","",$L377-$D377-$E377-$G377)</f>
        <v/>
      </c>
      <c r="N377" s="10" t="str">
        <f aca="false">IF($A377="","",SUMIFS('Daily Entry'!$H$4:$H$2003,'Daily Entry'!$A$4:$A$2003,$A377))</f>
        <v/>
      </c>
      <c r="O377" s="10" t="str">
        <f aca="false">IF($A377="","",SUMIFS('Daily Entry'!$I$4:$I$2003,'Daily Entry'!$A$4:$A$2003,$A377))</f>
        <v/>
      </c>
      <c r="P377" s="10" t="str">
        <f aca="false">IF($A377="","",SUMPRODUCT(('Daily Entry'!$A$4:$A$2003=$A377)*('Daily Entry'!$M$4:$M$2003)*('Daily Entry'!$D$4:$D$2003)))</f>
        <v/>
      </c>
    </row>
    <row r="378" customFormat="false" ht="15" hidden="false" customHeight="false" outlineLevel="0" collapsed="false">
      <c r="A378" s="27"/>
      <c r="B378" s="10" t="str">
        <f aca="false">IF($A378="","",SUMIFS('Daily Entry'!$P$4:$P$2003,'Daily Entry'!$A$4:$A$2003,$A378))</f>
        <v/>
      </c>
      <c r="C378" s="9"/>
      <c r="D378" s="9"/>
      <c r="E378" s="9"/>
      <c r="F378" s="8"/>
      <c r="G378" s="9"/>
      <c r="H378" s="9"/>
      <c r="I378" s="8"/>
      <c r="J378" s="28" t="str">
        <f aca="false">IF($A378="","",$B378+$C378-$D378-$E378-$G378-$H378)</f>
        <v/>
      </c>
      <c r="K378" s="10" t="str">
        <f aca="false">IF($A378="","",SUMIFS('Daily Entry'!$Q$4:$Q$2003,'Daily Entry'!$A$4:$A$2003,$A378))</f>
        <v/>
      </c>
      <c r="L378" s="10" t="str">
        <f aca="false">IF($A378="","",$B378-$K378)</f>
        <v/>
      </c>
      <c r="M378" s="28" t="str">
        <f aca="false">IF($A378="","",$L378-$D378-$E378-$G378)</f>
        <v/>
      </c>
      <c r="N378" s="10" t="str">
        <f aca="false">IF($A378="","",SUMIFS('Daily Entry'!$H$4:$H$2003,'Daily Entry'!$A$4:$A$2003,$A378))</f>
        <v/>
      </c>
      <c r="O378" s="10" t="str">
        <f aca="false">IF($A378="","",SUMIFS('Daily Entry'!$I$4:$I$2003,'Daily Entry'!$A$4:$A$2003,$A378))</f>
        <v/>
      </c>
      <c r="P378" s="10" t="str">
        <f aca="false">IF($A378="","",SUMPRODUCT(('Daily Entry'!$A$4:$A$2003=$A378)*('Daily Entry'!$M$4:$M$2003)*('Daily Entry'!$D$4:$D$2003)))</f>
        <v/>
      </c>
    </row>
    <row r="379" customFormat="false" ht="15" hidden="false" customHeight="false" outlineLevel="0" collapsed="false">
      <c r="A379" s="27"/>
      <c r="B379" s="10" t="str">
        <f aca="false">IF($A379="","",SUMIFS('Daily Entry'!$P$4:$P$2003,'Daily Entry'!$A$4:$A$2003,$A379))</f>
        <v/>
      </c>
      <c r="C379" s="9"/>
      <c r="D379" s="9"/>
      <c r="E379" s="9"/>
      <c r="F379" s="8"/>
      <c r="G379" s="9"/>
      <c r="H379" s="9"/>
      <c r="I379" s="8"/>
      <c r="J379" s="28" t="str">
        <f aca="false">IF($A379="","",$B379+$C379-$D379-$E379-$G379-$H379)</f>
        <v/>
      </c>
      <c r="K379" s="10" t="str">
        <f aca="false">IF($A379="","",SUMIFS('Daily Entry'!$Q$4:$Q$2003,'Daily Entry'!$A$4:$A$2003,$A379))</f>
        <v/>
      </c>
      <c r="L379" s="10" t="str">
        <f aca="false">IF($A379="","",$B379-$K379)</f>
        <v/>
      </c>
      <c r="M379" s="28" t="str">
        <f aca="false">IF($A379="","",$L379-$D379-$E379-$G379)</f>
        <v/>
      </c>
      <c r="N379" s="10" t="str">
        <f aca="false">IF($A379="","",SUMIFS('Daily Entry'!$H$4:$H$2003,'Daily Entry'!$A$4:$A$2003,$A379))</f>
        <v/>
      </c>
      <c r="O379" s="10" t="str">
        <f aca="false">IF($A379="","",SUMIFS('Daily Entry'!$I$4:$I$2003,'Daily Entry'!$A$4:$A$2003,$A379))</f>
        <v/>
      </c>
      <c r="P379" s="10" t="str">
        <f aca="false">IF($A379="","",SUMPRODUCT(('Daily Entry'!$A$4:$A$2003=$A379)*('Daily Entry'!$M$4:$M$2003)*('Daily Entry'!$D$4:$D$2003)))</f>
        <v/>
      </c>
    </row>
    <row r="380" customFormat="false" ht="15" hidden="false" customHeight="false" outlineLevel="0" collapsed="false">
      <c r="A380" s="27"/>
      <c r="B380" s="10" t="str">
        <f aca="false">IF($A380="","",SUMIFS('Daily Entry'!$P$4:$P$2003,'Daily Entry'!$A$4:$A$2003,$A380))</f>
        <v/>
      </c>
      <c r="C380" s="9"/>
      <c r="D380" s="9"/>
      <c r="E380" s="9"/>
      <c r="F380" s="8"/>
      <c r="G380" s="9"/>
      <c r="H380" s="9"/>
      <c r="I380" s="8"/>
      <c r="J380" s="28" t="str">
        <f aca="false">IF($A380="","",$B380+$C380-$D380-$E380-$G380-$H380)</f>
        <v/>
      </c>
      <c r="K380" s="10" t="str">
        <f aca="false">IF($A380="","",SUMIFS('Daily Entry'!$Q$4:$Q$2003,'Daily Entry'!$A$4:$A$2003,$A380))</f>
        <v/>
      </c>
      <c r="L380" s="10" t="str">
        <f aca="false">IF($A380="","",$B380-$K380)</f>
        <v/>
      </c>
      <c r="M380" s="28" t="str">
        <f aca="false">IF($A380="","",$L380-$D380-$E380-$G380)</f>
        <v/>
      </c>
      <c r="N380" s="10" t="str">
        <f aca="false">IF($A380="","",SUMIFS('Daily Entry'!$H$4:$H$2003,'Daily Entry'!$A$4:$A$2003,$A380))</f>
        <v/>
      </c>
      <c r="O380" s="10" t="str">
        <f aca="false">IF($A380="","",SUMIFS('Daily Entry'!$I$4:$I$2003,'Daily Entry'!$A$4:$A$2003,$A380))</f>
        <v/>
      </c>
      <c r="P380" s="10" t="str">
        <f aca="false">IF($A380="","",SUMPRODUCT(('Daily Entry'!$A$4:$A$2003=$A380)*('Daily Entry'!$M$4:$M$2003)*('Daily Entry'!$D$4:$D$2003)))</f>
        <v/>
      </c>
    </row>
    <row r="381" customFormat="false" ht="15" hidden="false" customHeight="false" outlineLevel="0" collapsed="false">
      <c r="A381" s="27"/>
      <c r="B381" s="10" t="str">
        <f aca="false">IF($A381="","",SUMIFS('Daily Entry'!$P$4:$P$2003,'Daily Entry'!$A$4:$A$2003,$A381))</f>
        <v/>
      </c>
      <c r="C381" s="9"/>
      <c r="D381" s="9"/>
      <c r="E381" s="9"/>
      <c r="F381" s="8"/>
      <c r="G381" s="9"/>
      <c r="H381" s="9"/>
      <c r="I381" s="8"/>
      <c r="J381" s="28" t="str">
        <f aca="false">IF($A381="","",$B381+$C381-$D381-$E381-$G381-$H381)</f>
        <v/>
      </c>
      <c r="K381" s="10" t="str">
        <f aca="false">IF($A381="","",SUMIFS('Daily Entry'!$Q$4:$Q$2003,'Daily Entry'!$A$4:$A$2003,$A381))</f>
        <v/>
      </c>
      <c r="L381" s="10" t="str">
        <f aca="false">IF($A381="","",$B381-$K381)</f>
        <v/>
      </c>
      <c r="M381" s="28" t="str">
        <f aca="false">IF($A381="","",$L381-$D381-$E381-$G381)</f>
        <v/>
      </c>
      <c r="N381" s="10" t="str">
        <f aca="false">IF($A381="","",SUMIFS('Daily Entry'!$H$4:$H$2003,'Daily Entry'!$A$4:$A$2003,$A381))</f>
        <v/>
      </c>
      <c r="O381" s="10" t="str">
        <f aca="false">IF($A381="","",SUMIFS('Daily Entry'!$I$4:$I$2003,'Daily Entry'!$A$4:$A$2003,$A381))</f>
        <v/>
      </c>
      <c r="P381" s="10" t="str">
        <f aca="false">IF($A381="","",SUMPRODUCT(('Daily Entry'!$A$4:$A$2003=$A381)*('Daily Entry'!$M$4:$M$2003)*('Daily Entry'!$D$4:$D$2003)))</f>
        <v/>
      </c>
    </row>
    <row r="382" customFormat="false" ht="15" hidden="false" customHeight="false" outlineLevel="0" collapsed="false">
      <c r="A382" s="27"/>
      <c r="B382" s="10" t="str">
        <f aca="false">IF($A382="","",SUMIFS('Daily Entry'!$P$4:$P$2003,'Daily Entry'!$A$4:$A$2003,$A382))</f>
        <v/>
      </c>
      <c r="C382" s="9"/>
      <c r="D382" s="9"/>
      <c r="E382" s="9"/>
      <c r="F382" s="8"/>
      <c r="G382" s="9"/>
      <c r="H382" s="9"/>
      <c r="I382" s="8"/>
      <c r="J382" s="28" t="str">
        <f aca="false">IF($A382="","",$B382+$C382-$D382-$E382-$G382-$H382)</f>
        <v/>
      </c>
      <c r="K382" s="10" t="str">
        <f aca="false">IF($A382="","",SUMIFS('Daily Entry'!$Q$4:$Q$2003,'Daily Entry'!$A$4:$A$2003,$A382))</f>
        <v/>
      </c>
      <c r="L382" s="10" t="str">
        <f aca="false">IF($A382="","",$B382-$K382)</f>
        <v/>
      </c>
      <c r="M382" s="28" t="str">
        <f aca="false">IF($A382="","",$L382-$D382-$E382-$G382)</f>
        <v/>
      </c>
      <c r="N382" s="10" t="str">
        <f aca="false">IF($A382="","",SUMIFS('Daily Entry'!$H$4:$H$2003,'Daily Entry'!$A$4:$A$2003,$A382))</f>
        <v/>
      </c>
      <c r="O382" s="10" t="str">
        <f aca="false">IF($A382="","",SUMIFS('Daily Entry'!$I$4:$I$2003,'Daily Entry'!$A$4:$A$2003,$A382))</f>
        <v/>
      </c>
      <c r="P382" s="10" t="str">
        <f aca="false">IF($A382="","",SUMPRODUCT(('Daily Entry'!$A$4:$A$2003=$A382)*('Daily Entry'!$M$4:$M$2003)*('Daily Entry'!$D$4:$D$2003)))</f>
        <v/>
      </c>
    </row>
    <row r="383" customFormat="false" ht="15" hidden="false" customHeight="false" outlineLevel="0" collapsed="false">
      <c r="A383" s="27"/>
      <c r="B383" s="10" t="str">
        <f aca="false">IF($A383="","",SUMIFS('Daily Entry'!$P$4:$P$2003,'Daily Entry'!$A$4:$A$2003,$A383))</f>
        <v/>
      </c>
      <c r="C383" s="9"/>
      <c r="D383" s="9"/>
      <c r="E383" s="9"/>
      <c r="F383" s="8"/>
      <c r="G383" s="9"/>
      <c r="H383" s="9"/>
      <c r="I383" s="8"/>
      <c r="J383" s="28" t="str">
        <f aca="false">IF($A383="","",$B383+$C383-$D383-$E383-$G383-$H383)</f>
        <v/>
      </c>
      <c r="K383" s="10" t="str">
        <f aca="false">IF($A383="","",SUMIFS('Daily Entry'!$Q$4:$Q$2003,'Daily Entry'!$A$4:$A$2003,$A383))</f>
        <v/>
      </c>
      <c r="L383" s="10" t="str">
        <f aca="false">IF($A383="","",$B383-$K383)</f>
        <v/>
      </c>
      <c r="M383" s="28" t="str">
        <f aca="false">IF($A383="","",$L383-$D383-$E383-$G383)</f>
        <v/>
      </c>
      <c r="N383" s="10" t="str">
        <f aca="false">IF($A383="","",SUMIFS('Daily Entry'!$H$4:$H$2003,'Daily Entry'!$A$4:$A$2003,$A383))</f>
        <v/>
      </c>
      <c r="O383" s="10" t="str">
        <f aca="false">IF($A383="","",SUMIFS('Daily Entry'!$I$4:$I$2003,'Daily Entry'!$A$4:$A$2003,$A383))</f>
        <v/>
      </c>
      <c r="P383" s="10" t="str">
        <f aca="false">IF($A383="","",SUMPRODUCT(('Daily Entry'!$A$4:$A$2003=$A383)*('Daily Entry'!$M$4:$M$2003)*('Daily Entry'!$D$4:$D$2003)))</f>
        <v/>
      </c>
    </row>
    <row r="384" customFormat="false" ht="15" hidden="false" customHeight="false" outlineLevel="0" collapsed="false">
      <c r="A384" s="27"/>
      <c r="B384" s="10" t="str">
        <f aca="false">IF($A384="","",SUMIFS('Daily Entry'!$P$4:$P$2003,'Daily Entry'!$A$4:$A$2003,$A384))</f>
        <v/>
      </c>
      <c r="C384" s="9"/>
      <c r="D384" s="9"/>
      <c r="E384" s="9"/>
      <c r="F384" s="8"/>
      <c r="G384" s="9"/>
      <c r="H384" s="9"/>
      <c r="I384" s="8"/>
      <c r="J384" s="28" t="str">
        <f aca="false">IF($A384="","",$B384+$C384-$D384-$E384-$G384-$H384)</f>
        <v/>
      </c>
      <c r="K384" s="10" t="str">
        <f aca="false">IF($A384="","",SUMIFS('Daily Entry'!$Q$4:$Q$2003,'Daily Entry'!$A$4:$A$2003,$A384))</f>
        <v/>
      </c>
      <c r="L384" s="10" t="str">
        <f aca="false">IF($A384="","",$B384-$K384)</f>
        <v/>
      </c>
      <c r="M384" s="28" t="str">
        <f aca="false">IF($A384="","",$L384-$D384-$E384-$G384)</f>
        <v/>
      </c>
      <c r="N384" s="10" t="str">
        <f aca="false">IF($A384="","",SUMIFS('Daily Entry'!$H$4:$H$2003,'Daily Entry'!$A$4:$A$2003,$A384))</f>
        <v/>
      </c>
      <c r="O384" s="10" t="str">
        <f aca="false">IF($A384="","",SUMIFS('Daily Entry'!$I$4:$I$2003,'Daily Entry'!$A$4:$A$2003,$A384))</f>
        <v/>
      </c>
      <c r="P384" s="10" t="str">
        <f aca="false">IF($A384="","",SUMPRODUCT(('Daily Entry'!$A$4:$A$2003=$A384)*('Daily Entry'!$M$4:$M$2003)*('Daily Entry'!$D$4:$D$2003)))</f>
        <v/>
      </c>
    </row>
    <row r="385" customFormat="false" ht="15" hidden="false" customHeight="false" outlineLevel="0" collapsed="false">
      <c r="A385" s="27"/>
      <c r="B385" s="10" t="str">
        <f aca="false">IF($A385="","",SUMIFS('Daily Entry'!$P$4:$P$2003,'Daily Entry'!$A$4:$A$2003,$A385))</f>
        <v/>
      </c>
      <c r="C385" s="9"/>
      <c r="D385" s="9"/>
      <c r="E385" s="9"/>
      <c r="F385" s="8"/>
      <c r="G385" s="9"/>
      <c r="H385" s="9"/>
      <c r="I385" s="8"/>
      <c r="J385" s="28" t="str">
        <f aca="false">IF($A385="","",$B385+$C385-$D385-$E385-$G385-$H385)</f>
        <v/>
      </c>
      <c r="K385" s="10" t="str">
        <f aca="false">IF($A385="","",SUMIFS('Daily Entry'!$Q$4:$Q$2003,'Daily Entry'!$A$4:$A$2003,$A385))</f>
        <v/>
      </c>
      <c r="L385" s="10" t="str">
        <f aca="false">IF($A385="","",$B385-$K385)</f>
        <v/>
      </c>
      <c r="M385" s="28" t="str">
        <f aca="false">IF($A385="","",$L385-$D385-$E385-$G385)</f>
        <v/>
      </c>
      <c r="N385" s="10" t="str">
        <f aca="false">IF($A385="","",SUMIFS('Daily Entry'!$H$4:$H$2003,'Daily Entry'!$A$4:$A$2003,$A385))</f>
        <v/>
      </c>
      <c r="O385" s="10" t="str">
        <f aca="false">IF($A385="","",SUMIFS('Daily Entry'!$I$4:$I$2003,'Daily Entry'!$A$4:$A$2003,$A385))</f>
        <v/>
      </c>
      <c r="P385" s="10" t="str">
        <f aca="false">IF($A385="","",SUMPRODUCT(('Daily Entry'!$A$4:$A$2003=$A385)*('Daily Entry'!$M$4:$M$2003)*('Daily Entry'!$D$4:$D$2003)))</f>
        <v/>
      </c>
    </row>
    <row r="386" customFormat="false" ht="15" hidden="false" customHeight="false" outlineLevel="0" collapsed="false">
      <c r="A386" s="27"/>
      <c r="B386" s="10" t="str">
        <f aca="false">IF($A386="","",SUMIFS('Daily Entry'!$P$4:$P$2003,'Daily Entry'!$A$4:$A$2003,$A386))</f>
        <v/>
      </c>
      <c r="C386" s="9"/>
      <c r="D386" s="9"/>
      <c r="E386" s="9"/>
      <c r="F386" s="8"/>
      <c r="G386" s="9"/>
      <c r="H386" s="9"/>
      <c r="I386" s="8"/>
      <c r="J386" s="28" t="str">
        <f aca="false">IF($A386="","",$B386+$C386-$D386-$E386-$G386-$H386)</f>
        <v/>
      </c>
      <c r="K386" s="10" t="str">
        <f aca="false">IF($A386="","",SUMIFS('Daily Entry'!$Q$4:$Q$2003,'Daily Entry'!$A$4:$A$2003,$A386))</f>
        <v/>
      </c>
      <c r="L386" s="10" t="str">
        <f aca="false">IF($A386="","",$B386-$K386)</f>
        <v/>
      </c>
      <c r="M386" s="28" t="str">
        <f aca="false">IF($A386="","",$L386-$D386-$E386-$G386)</f>
        <v/>
      </c>
      <c r="N386" s="10" t="str">
        <f aca="false">IF($A386="","",SUMIFS('Daily Entry'!$H$4:$H$2003,'Daily Entry'!$A$4:$A$2003,$A386))</f>
        <v/>
      </c>
      <c r="O386" s="10" t="str">
        <f aca="false">IF($A386="","",SUMIFS('Daily Entry'!$I$4:$I$2003,'Daily Entry'!$A$4:$A$2003,$A386))</f>
        <v/>
      </c>
      <c r="P386" s="10" t="str">
        <f aca="false">IF($A386="","",SUMPRODUCT(('Daily Entry'!$A$4:$A$2003=$A386)*('Daily Entry'!$M$4:$M$2003)*('Daily Entry'!$D$4:$D$2003)))</f>
        <v/>
      </c>
    </row>
    <row r="387" customFormat="false" ht="15" hidden="false" customHeight="false" outlineLevel="0" collapsed="false">
      <c r="A387" s="27"/>
      <c r="B387" s="10" t="str">
        <f aca="false">IF($A387="","",SUMIFS('Daily Entry'!$P$4:$P$2003,'Daily Entry'!$A$4:$A$2003,$A387))</f>
        <v/>
      </c>
      <c r="C387" s="9"/>
      <c r="D387" s="9"/>
      <c r="E387" s="9"/>
      <c r="F387" s="8"/>
      <c r="G387" s="9"/>
      <c r="H387" s="9"/>
      <c r="I387" s="8"/>
      <c r="J387" s="28" t="str">
        <f aca="false">IF($A387="","",$B387+$C387-$D387-$E387-$G387-$H387)</f>
        <v/>
      </c>
      <c r="K387" s="10" t="str">
        <f aca="false">IF($A387="","",SUMIFS('Daily Entry'!$Q$4:$Q$2003,'Daily Entry'!$A$4:$A$2003,$A387))</f>
        <v/>
      </c>
      <c r="L387" s="10" t="str">
        <f aca="false">IF($A387="","",$B387-$K387)</f>
        <v/>
      </c>
      <c r="M387" s="28" t="str">
        <f aca="false">IF($A387="","",$L387-$D387-$E387-$G387)</f>
        <v/>
      </c>
      <c r="N387" s="10" t="str">
        <f aca="false">IF($A387="","",SUMIFS('Daily Entry'!$H$4:$H$2003,'Daily Entry'!$A$4:$A$2003,$A387))</f>
        <v/>
      </c>
      <c r="O387" s="10" t="str">
        <f aca="false">IF($A387="","",SUMIFS('Daily Entry'!$I$4:$I$2003,'Daily Entry'!$A$4:$A$2003,$A387))</f>
        <v/>
      </c>
      <c r="P387" s="10" t="str">
        <f aca="false">IF($A387="","",SUMPRODUCT(('Daily Entry'!$A$4:$A$2003=$A387)*('Daily Entry'!$M$4:$M$2003)*('Daily Entry'!$D$4:$D$2003)))</f>
        <v/>
      </c>
    </row>
    <row r="388" customFormat="false" ht="15" hidden="false" customHeight="false" outlineLevel="0" collapsed="false">
      <c r="A388" s="27"/>
      <c r="B388" s="10" t="str">
        <f aca="false">IF($A388="","",SUMIFS('Daily Entry'!$P$4:$P$2003,'Daily Entry'!$A$4:$A$2003,$A388))</f>
        <v/>
      </c>
      <c r="C388" s="9"/>
      <c r="D388" s="9"/>
      <c r="E388" s="9"/>
      <c r="F388" s="8"/>
      <c r="G388" s="9"/>
      <c r="H388" s="9"/>
      <c r="I388" s="8"/>
      <c r="J388" s="28" t="str">
        <f aca="false">IF($A388="","",$B388+$C388-$D388-$E388-$G388-$H388)</f>
        <v/>
      </c>
      <c r="K388" s="10" t="str">
        <f aca="false">IF($A388="","",SUMIFS('Daily Entry'!$Q$4:$Q$2003,'Daily Entry'!$A$4:$A$2003,$A388))</f>
        <v/>
      </c>
      <c r="L388" s="10" t="str">
        <f aca="false">IF($A388="","",$B388-$K388)</f>
        <v/>
      </c>
      <c r="M388" s="28" t="str">
        <f aca="false">IF($A388="","",$L388-$D388-$E388-$G388)</f>
        <v/>
      </c>
      <c r="N388" s="10" t="str">
        <f aca="false">IF($A388="","",SUMIFS('Daily Entry'!$H$4:$H$2003,'Daily Entry'!$A$4:$A$2003,$A388))</f>
        <v/>
      </c>
      <c r="O388" s="10" t="str">
        <f aca="false">IF($A388="","",SUMIFS('Daily Entry'!$I$4:$I$2003,'Daily Entry'!$A$4:$A$2003,$A388))</f>
        <v/>
      </c>
      <c r="P388" s="10" t="str">
        <f aca="false">IF($A388="","",SUMPRODUCT(('Daily Entry'!$A$4:$A$2003=$A388)*('Daily Entry'!$M$4:$M$2003)*('Daily Entry'!$D$4:$D$2003)))</f>
        <v/>
      </c>
    </row>
    <row r="389" customFormat="false" ht="15" hidden="false" customHeight="false" outlineLevel="0" collapsed="false">
      <c r="A389" s="27"/>
      <c r="B389" s="10" t="str">
        <f aca="false">IF($A389="","",SUMIFS('Daily Entry'!$P$4:$P$2003,'Daily Entry'!$A$4:$A$2003,$A389))</f>
        <v/>
      </c>
      <c r="C389" s="9"/>
      <c r="D389" s="9"/>
      <c r="E389" s="9"/>
      <c r="F389" s="8"/>
      <c r="G389" s="9"/>
      <c r="H389" s="9"/>
      <c r="I389" s="8"/>
      <c r="J389" s="28" t="str">
        <f aca="false">IF($A389="","",$B389+$C389-$D389-$E389-$G389-$H389)</f>
        <v/>
      </c>
      <c r="K389" s="10" t="str">
        <f aca="false">IF($A389="","",SUMIFS('Daily Entry'!$Q$4:$Q$2003,'Daily Entry'!$A$4:$A$2003,$A389))</f>
        <v/>
      </c>
      <c r="L389" s="10" t="str">
        <f aca="false">IF($A389="","",$B389-$K389)</f>
        <v/>
      </c>
      <c r="M389" s="28" t="str">
        <f aca="false">IF($A389="","",$L389-$D389-$E389-$G389)</f>
        <v/>
      </c>
      <c r="N389" s="10" t="str">
        <f aca="false">IF($A389="","",SUMIFS('Daily Entry'!$H$4:$H$2003,'Daily Entry'!$A$4:$A$2003,$A389))</f>
        <v/>
      </c>
      <c r="O389" s="10" t="str">
        <f aca="false">IF($A389="","",SUMIFS('Daily Entry'!$I$4:$I$2003,'Daily Entry'!$A$4:$A$2003,$A389))</f>
        <v/>
      </c>
      <c r="P389" s="10" t="str">
        <f aca="false">IF($A389="","",SUMPRODUCT(('Daily Entry'!$A$4:$A$2003=$A389)*('Daily Entry'!$M$4:$M$2003)*('Daily Entry'!$D$4:$D$2003)))</f>
        <v/>
      </c>
    </row>
    <row r="390" customFormat="false" ht="15" hidden="false" customHeight="false" outlineLevel="0" collapsed="false">
      <c r="A390" s="27"/>
      <c r="B390" s="10" t="str">
        <f aca="false">IF($A390="","",SUMIFS('Daily Entry'!$P$4:$P$2003,'Daily Entry'!$A$4:$A$2003,$A390))</f>
        <v/>
      </c>
      <c r="C390" s="9"/>
      <c r="D390" s="9"/>
      <c r="E390" s="9"/>
      <c r="F390" s="8"/>
      <c r="G390" s="9"/>
      <c r="H390" s="9"/>
      <c r="I390" s="8"/>
      <c r="J390" s="28" t="str">
        <f aca="false">IF($A390="","",$B390+$C390-$D390-$E390-$G390-$H390)</f>
        <v/>
      </c>
      <c r="K390" s="10" t="str">
        <f aca="false">IF($A390="","",SUMIFS('Daily Entry'!$Q$4:$Q$2003,'Daily Entry'!$A$4:$A$2003,$A390))</f>
        <v/>
      </c>
      <c r="L390" s="10" t="str">
        <f aca="false">IF($A390="","",$B390-$K390)</f>
        <v/>
      </c>
      <c r="M390" s="28" t="str">
        <f aca="false">IF($A390="","",$L390-$D390-$E390-$G390)</f>
        <v/>
      </c>
      <c r="N390" s="10" t="str">
        <f aca="false">IF($A390="","",SUMIFS('Daily Entry'!$H$4:$H$2003,'Daily Entry'!$A$4:$A$2003,$A390))</f>
        <v/>
      </c>
      <c r="O390" s="10" t="str">
        <f aca="false">IF($A390="","",SUMIFS('Daily Entry'!$I$4:$I$2003,'Daily Entry'!$A$4:$A$2003,$A390))</f>
        <v/>
      </c>
      <c r="P390" s="10" t="str">
        <f aca="false">IF($A390="","",SUMPRODUCT(('Daily Entry'!$A$4:$A$2003=$A390)*('Daily Entry'!$M$4:$M$2003)*('Daily Entry'!$D$4:$D$2003)))</f>
        <v/>
      </c>
    </row>
    <row r="391" customFormat="false" ht="15" hidden="false" customHeight="false" outlineLevel="0" collapsed="false">
      <c r="A391" s="27"/>
      <c r="B391" s="10" t="str">
        <f aca="false">IF($A391="","",SUMIFS('Daily Entry'!$P$4:$P$2003,'Daily Entry'!$A$4:$A$2003,$A391))</f>
        <v/>
      </c>
      <c r="C391" s="9"/>
      <c r="D391" s="9"/>
      <c r="E391" s="9"/>
      <c r="F391" s="8"/>
      <c r="G391" s="9"/>
      <c r="H391" s="9"/>
      <c r="I391" s="8"/>
      <c r="J391" s="28" t="str">
        <f aca="false">IF($A391="","",$B391+$C391-$D391-$E391-$G391-$H391)</f>
        <v/>
      </c>
      <c r="K391" s="10" t="str">
        <f aca="false">IF($A391="","",SUMIFS('Daily Entry'!$Q$4:$Q$2003,'Daily Entry'!$A$4:$A$2003,$A391))</f>
        <v/>
      </c>
      <c r="L391" s="10" t="str">
        <f aca="false">IF($A391="","",$B391-$K391)</f>
        <v/>
      </c>
      <c r="M391" s="28" t="str">
        <f aca="false">IF($A391="","",$L391-$D391-$E391-$G391)</f>
        <v/>
      </c>
      <c r="N391" s="10" t="str">
        <f aca="false">IF($A391="","",SUMIFS('Daily Entry'!$H$4:$H$2003,'Daily Entry'!$A$4:$A$2003,$A391))</f>
        <v/>
      </c>
      <c r="O391" s="10" t="str">
        <f aca="false">IF($A391="","",SUMIFS('Daily Entry'!$I$4:$I$2003,'Daily Entry'!$A$4:$A$2003,$A391))</f>
        <v/>
      </c>
      <c r="P391" s="10" t="str">
        <f aca="false">IF($A391="","",SUMPRODUCT(('Daily Entry'!$A$4:$A$2003=$A391)*('Daily Entry'!$M$4:$M$2003)*('Daily Entry'!$D$4:$D$2003)))</f>
        <v/>
      </c>
    </row>
    <row r="392" customFormat="false" ht="15" hidden="false" customHeight="false" outlineLevel="0" collapsed="false">
      <c r="A392" s="27"/>
      <c r="B392" s="10" t="str">
        <f aca="false">IF($A392="","",SUMIFS('Daily Entry'!$P$4:$P$2003,'Daily Entry'!$A$4:$A$2003,$A392))</f>
        <v/>
      </c>
      <c r="C392" s="9"/>
      <c r="D392" s="9"/>
      <c r="E392" s="9"/>
      <c r="F392" s="8"/>
      <c r="G392" s="9"/>
      <c r="H392" s="9"/>
      <c r="I392" s="8"/>
      <c r="J392" s="28" t="str">
        <f aca="false">IF($A392="","",$B392+$C392-$D392-$E392-$G392-$H392)</f>
        <v/>
      </c>
      <c r="K392" s="10" t="str">
        <f aca="false">IF($A392="","",SUMIFS('Daily Entry'!$Q$4:$Q$2003,'Daily Entry'!$A$4:$A$2003,$A392))</f>
        <v/>
      </c>
      <c r="L392" s="10" t="str">
        <f aca="false">IF($A392="","",$B392-$K392)</f>
        <v/>
      </c>
      <c r="M392" s="28" t="str">
        <f aca="false">IF($A392="","",$L392-$D392-$E392-$G392)</f>
        <v/>
      </c>
      <c r="N392" s="10" t="str">
        <f aca="false">IF($A392="","",SUMIFS('Daily Entry'!$H$4:$H$2003,'Daily Entry'!$A$4:$A$2003,$A392))</f>
        <v/>
      </c>
      <c r="O392" s="10" t="str">
        <f aca="false">IF($A392="","",SUMIFS('Daily Entry'!$I$4:$I$2003,'Daily Entry'!$A$4:$A$2003,$A392))</f>
        <v/>
      </c>
      <c r="P392" s="10" t="str">
        <f aca="false">IF($A392="","",SUMPRODUCT(('Daily Entry'!$A$4:$A$2003=$A392)*('Daily Entry'!$M$4:$M$2003)*('Daily Entry'!$D$4:$D$2003)))</f>
        <v/>
      </c>
    </row>
    <row r="393" customFormat="false" ht="15" hidden="false" customHeight="false" outlineLevel="0" collapsed="false">
      <c r="A393" s="27"/>
      <c r="B393" s="10" t="str">
        <f aca="false">IF($A393="","",SUMIFS('Daily Entry'!$P$4:$P$2003,'Daily Entry'!$A$4:$A$2003,$A393))</f>
        <v/>
      </c>
      <c r="C393" s="9"/>
      <c r="D393" s="9"/>
      <c r="E393" s="9"/>
      <c r="F393" s="8"/>
      <c r="G393" s="9"/>
      <c r="H393" s="9"/>
      <c r="I393" s="8"/>
      <c r="J393" s="28" t="str">
        <f aca="false">IF($A393="","",$B393+$C393-$D393-$E393-$G393-$H393)</f>
        <v/>
      </c>
      <c r="K393" s="10" t="str">
        <f aca="false">IF($A393="","",SUMIFS('Daily Entry'!$Q$4:$Q$2003,'Daily Entry'!$A$4:$A$2003,$A393))</f>
        <v/>
      </c>
      <c r="L393" s="10" t="str">
        <f aca="false">IF($A393="","",$B393-$K393)</f>
        <v/>
      </c>
      <c r="M393" s="28" t="str">
        <f aca="false">IF($A393="","",$L393-$D393-$E393-$G393)</f>
        <v/>
      </c>
      <c r="N393" s="10" t="str">
        <f aca="false">IF($A393="","",SUMIFS('Daily Entry'!$H$4:$H$2003,'Daily Entry'!$A$4:$A$2003,$A393))</f>
        <v/>
      </c>
      <c r="O393" s="10" t="str">
        <f aca="false">IF($A393="","",SUMIFS('Daily Entry'!$I$4:$I$2003,'Daily Entry'!$A$4:$A$2003,$A393))</f>
        <v/>
      </c>
      <c r="P393" s="10" t="str">
        <f aca="false">IF($A393="","",SUMPRODUCT(('Daily Entry'!$A$4:$A$2003=$A393)*('Daily Entry'!$M$4:$M$2003)*('Daily Entry'!$D$4:$D$2003)))</f>
        <v/>
      </c>
    </row>
    <row r="394" customFormat="false" ht="15" hidden="false" customHeight="false" outlineLevel="0" collapsed="false">
      <c r="A394" s="27"/>
      <c r="B394" s="10" t="str">
        <f aca="false">IF($A394="","",SUMIFS('Daily Entry'!$P$4:$P$2003,'Daily Entry'!$A$4:$A$2003,$A394))</f>
        <v/>
      </c>
      <c r="C394" s="9"/>
      <c r="D394" s="9"/>
      <c r="E394" s="9"/>
      <c r="F394" s="8"/>
      <c r="G394" s="9"/>
      <c r="H394" s="9"/>
      <c r="I394" s="8"/>
      <c r="J394" s="28" t="str">
        <f aca="false">IF($A394="","",$B394+$C394-$D394-$E394-$G394-$H394)</f>
        <v/>
      </c>
      <c r="K394" s="10" t="str">
        <f aca="false">IF($A394="","",SUMIFS('Daily Entry'!$Q$4:$Q$2003,'Daily Entry'!$A$4:$A$2003,$A394))</f>
        <v/>
      </c>
      <c r="L394" s="10" t="str">
        <f aca="false">IF($A394="","",$B394-$K394)</f>
        <v/>
      </c>
      <c r="M394" s="28" t="str">
        <f aca="false">IF($A394="","",$L394-$D394-$E394-$G394)</f>
        <v/>
      </c>
      <c r="N394" s="10" t="str">
        <f aca="false">IF($A394="","",SUMIFS('Daily Entry'!$H$4:$H$2003,'Daily Entry'!$A$4:$A$2003,$A394))</f>
        <v/>
      </c>
      <c r="O394" s="10" t="str">
        <f aca="false">IF($A394="","",SUMIFS('Daily Entry'!$I$4:$I$2003,'Daily Entry'!$A$4:$A$2003,$A394))</f>
        <v/>
      </c>
      <c r="P394" s="10" t="str">
        <f aca="false">IF($A394="","",SUMPRODUCT(('Daily Entry'!$A$4:$A$2003=$A394)*('Daily Entry'!$M$4:$M$2003)*('Daily Entry'!$D$4:$D$2003)))</f>
        <v/>
      </c>
    </row>
    <row r="395" customFormat="false" ht="15" hidden="false" customHeight="false" outlineLevel="0" collapsed="false">
      <c r="A395" s="27"/>
      <c r="B395" s="10" t="str">
        <f aca="false">IF($A395="","",SUMIFS('Daily Entry'!$P$4:$P$2003,'Daily Entry'!$A$4:$A$2003,$A395))</f>
        <v/>
      </c>
      <c r="C395" s="9"/>
      <c r="D395" s="9"/>
      <c r="E395" s="9"/>
      <c r="F395" s="8"/>
      <c r="G395" s="9"/>
      <c r="H395" s="9"/>
      <c r="I395" s="8"/>
      <c r="J395" s="28" t="str">
        <f aca="false">IF($A395="","",$B395+$C395-$D395-$E395-$G395-$H395)</f>
        <v/>
      </c>
      <c r="K395" s="10" t="str">
        <f aca="false">IF($A395="","",SUMIFS('Daily Entry'!$Q$4:$Q$2003,'Daily Entry'!$A$4:$A$2003,$A395))</f>
        <v/>
      </c>
      <c r="L395" s="10" t="str">
        <f aca="false">IF($A395="","",$B395-$K395)</f>
        <v/>
      </c>
      <c r="M395" s="28" t="str">
        <f aca="false">IF($A395="","",$L395-$D395-$E395-$G395)</f>
        <v/>
      </c>
      <c r="N395" s="10" t="str">
        <f aca="false">IF($A395="","",SUMIFS('Daily Entry'!$H$4:$H$2003,'Daily Entry'!$A$4:$A$2003,$A395))</f>
        <v/>
      </c>
      <c r="O395" s="10" t="str">
        <f aca="false">IF($A395="","",SUMIFS('Daily Entry'!$I$4:$I$2003,'Daily Entry'!$A$4:$A$2003,$A395))</f>
        <v/>
      </c>
      <c r="P395" s="10" t="str">
        <f aca="false">IF($A395="","",SUMPRODUCT(('Daily Entry'!$A$4:$A$2003=$A395)*('Daily Entry'!$M$4:$M$2003)*('Daily Entry'!$D$4:$D$2003)))</f>
        <v/>
      </c>
    </row>
    <row r="396" customFormat="false" ht="15" hidden="false" customHeight="false" outlineLevel="0" collapsed="false">
      <c r="A396" s="27"/>
      <c r="B396" s="10" t="str">
        <f aca="false">IF($A396="","",SUMIFS('Daily Entry'!$P$4:$P$2003,'Daily Entry'!$A$4:$A$2003,$A396))</f>
        <v/>
      </c>
      <c r="C396" s="9"/>
      <c r="D396" s="9"/>
      <c r="E396" s="9"/>
      <c r="F396" s="8"/>
      <c r="G396" s="9"/>
      <c r="H396" s="9"/>
      <c r="I396" s="8"/>
      <c r="J396" s="28" t="str">
        <f aca="false">IF($A396="","",$B396+$C396-$D396-$E396-$G396-$H396)</f>
        <v/>
      </c>
      <c r="K396" s="10" t="str">
        <f aca="false">IF($A396="","",SUMIFS('Daily Entry'!$Q$4:$Q$2003,'Daily Entry'!$A$4:$A$2003,$A396))</f>
        <v/>
      </c>
      <c r="L396" s="10" t="str">
        <f aca="false">IF($A396="","",$B396-$K396)</f>
        <v/>
      </c>
      <c r="M396" s="28" t="str">
        <f aca="false">IF($A396="","",$L396-$D396-$E396-$G396)</f>
        <v/>
      </c>
      <c r="N396" s="10" t="str">
        <f aca="false">IF($A396="","",SUMIFS('Daily Entry'!$H$4:$H$2003,'Daily Entry'!$A$4:$A$2003,$A396))</f>
        <v/>
      </c>
      <c r="O396" s="10" t="str">
        <f aca="false">IF($A396="","",SUMIFS('Daily Entry'!$I$4:$I$2003,'Daily Entry'!$A$4:$A$2003,$A396))</f>
        <v/>
      </c>
      <c r="P396" s="10" t="str">
        <f aca="false">IF($A396="","",SUMPRODUCT(('Daily Entry'!$A$4:$A$2003=$A396)*('Daily Entry'!$M$4:$M$2003)*('Daily Entry'!$D$4:$D$2003)))</f>
        <v/>
      </c>
    </row>
    <row r="397" customFormat="false" ht="15" hidden="false" customHeight="false" outlineLevel="0" collapsed="false">
      <c r="A397" s="27"/>
      <c r="B397" s="10" t="str">
        <f aca="false">IF($A397="","",SUMIFS('Daily Entry'!$P$4:$P$2003,'Daily Entry'!$A$4:$A$2003,$A397))</f>
        <v/>
      </c>
      <c r="C397" s="9"/>
      <c r="D397" s="9"/>
      <c r="E397" s="9"/>
      <c r="F397" s="8"/>
      <c r="G397" s="9"/>
      <c r="H397" s="9"/>
      <c r="I397" s="8"/>
      <c r="J397" s="28" t="str">
        <f aca="false">IF($A397="","",$B397+$C397-$D397-$E397-$G397-$H397)</f>
        <v/>
      </c>
      <c r="K397" s="10" t="str">
        <f aca="false">IF($A397="","",SUMIFS('Daily Entry'!$Q$4:$Q$2003,'Daily Entry'!$A$4:$A$2003,$A397))</f>
        <v/>
      </c>
      <c r="L397" s="10" t="str">
        <f aca="false">IF($A397="","",$B397-$K397)</f>
        <v/>
      </c>
      <c r="M397" s="28" t="str">
        <f aca="false">IF($A397="","",$L397-$D397-$E397-$G397)</f>
        <v/>
      </c>
      <c r="N397" s="10" t="str">
        <f aca="false">IF($A397="","",SUMIFS('Daily Entry'!$H$4:$H$2003,'Daily Entry'!$A$4:$A$2003,$A397))</f>
        <v/>
      </c>
      <c r="O397" s="10" t="str">
        <f aca="false">IF($A397="","",SUMIFS('Daily Entry'!$I$4:$I$2003,'Daily Entry'!$A$4:$A$2003,$A397))</f>
        <v/>
      </c>
      <c r="P397" s="10" t="str">
        <f aca="false">IF($A397="","",SUMPRODUCT(('Daily Entry'!$A$4:$A$2003=$A397)*('Daily Entry'!$M$4:$M$2003)*('Daily Entry'!$D$4:$D$2003)))</f>
        <v/>
      </c>
    </row>
    <row r="398" customFormat="false" ht="15" hidden="false" customHeight="false" outlineLevel="0" collapsed="false">
      <c r="A398" s="27"/>
      <c r="B398" s="10" t="str">
        <f aca="false">IF($A398="","",SUMIFS('Daily Entry'!$P$4:$P$2003,'Daily Entry'!$A$4:$A$2003,$A398))</f>
        <v/>
      </c>
      <c r="C398" s="9"/>
      <c r="D398" s="9"/>
      <c r="E398" s="9"/>
      <c r="F398" s="8"/>
      <c r="G398" s="9"/>
      <c r="H398" s="9"/>
      <c r="I398" s="8"/>
      <c r="J398" s="28" t="str">
        <f aca="false">IF($A398="","",$B398+$C398-$D398-$E398-$G398-$H398)</f>
        <v/>
      </c>
      <c r="K398" s="10" t="str">
        <f aca="false">IF($A398="","",SUMIFS('Daily Entry'!$Q$4:$Q$2003,'Daily Entry'!$A$4:$A$2003,$A398))</f>
        <v/>
      </c>
      <c r="L398" s="10" t="str">
        <f aca="false">IF($A398="","",$B398-$K398)</f>
        <v/>
      </c>
      <c r="M398" s="28" t="str">
        <f aca="false">IF($A398="","",$L398-$D398-$E398-$G398)</f>
        <v/>
      </c>
      <c r="N398" s="10" t="str">
        <f aca="false">IF($A398="","",SUMIFS('Daily Entry'!$H$4:$H$2003,'Daily Entry'!$A$4:$A$2003,$A398))</f>
        <v/>
      </c>
      <c r="O398" s="10" t="str">
        <f aca="false">IF($A398="","",SUMIFS('Daily Entry'!$I$4:$I$2003,'Daily Entry'!$A$4:$A$2003,$A398))</f>
        <v/>
      </c>
      <c r="P398" s="10" t="str">
        <f aca="false">IF($A398="","",SUMPRODUCT(('Daily Entry'!$A$4:$A$2003=$A398)*('Daily Entry'!$M$4:$M$2003)*('Daily Entry'!$D$4:$D$2003)))</f>
        <v/>
      </c>
    </row>
    <row r="399" customFormat="false" ht="15" hidden="false" customHeight="false" outlineLevel="0" collapsed="false">
      <c r="A399" s="27"/>
      <c r="B399" s="10" t="str">
        <f aca="false">IF($A399="","",SUMIFS('Daily Entry'!$P$4:$P$2003,'Daily Entry'!$A$4:$A$2003,$A399))</f>
        <v/>
      </c>
      <c r="C399" s="9"/>
      <c r="D399" s="9"/>
      <c r="E399" s="9"/>
      <c r="F399" s="8"/>
      <c r="G399" s="9"/>
      <c r="H399" s="9"/>
      <c r="I399" s="8"/>
      <c r="J399" s="28" t="str">
        <f aca="false">IF($A399="","",$B399+$C399-$D399-$E399-$G399-$H399)</f>
        <v/>
      </c>
      <c r="K399" s="10" t="str">
        <f aca="false">IF($A399="","",SUMIFS('Daily Entry'!$Q$4:$Q$2003,'Daily Entry'!$A$4:$A$2003,$A399))</f>
        <v/>
      </c>
      <c r="L399" s="10" t="str">
        <f aca="false">IF($A399="","",$B399-$K399)</f>
        <v/>
      </c>
      <c r="M399" s="28" t="str">
        <f aca="false">IF($A399="","",$L399-$D399-$E399-$G399)</f>
        <v/>
      </c>
      <c r="N399" s="10" t="str">
        <f aca="false">IF($A399="","",SUMIFS('Daily Entry'!$H$4:$H$2003,'Daily Entry'!$A$4:$A$2003,$A399))</f>
        <v/>
      </c>
      <c r="O399" s="10" t="str">
        <f aca="false">IF($A399="","",SUMIFS('Daily Entry'!$I$4:$I$2003,'Daily Entry'!$A$4:$A$2003,$A399))</f>
        <v/>
      </c>
      <c r="P399" s="10" t="str">
        <f aca="false">IF($A399="","",SUMPRODUCT(('Daily Entry'!$A$4:$A$2003=$A399)*('Daily Entry'!$M$4:$M$2003)*('Daily Entry'!$D$4:$D$2003)))</f>
        <v/>
      </c>
    </row>
    <row r="400" customFormat="false" ht="15" hidden="false" customHeight="false" outlineLevel="0" collapsed="false">
      <c r="A400" s="27"/>
      <c r="B400" s="10" t="str">
        <f aca="false">IF($A400="","",SUMIFS('Daily Entry'!$P$4:$P$2003,'Daily Entry'!$A$4:$A$2003,$A400))</f>
        <v/>
      </c>
      <c r="C400" s="9"/>
      <c r="D400" s="9"/>
      <c r="E400" s="9"/>
      <c r="F400" s="8"/>
      <c r="G400" s="9"/>
      <c r="H400" s="9"/>
      <c r="I400" s="8"/>
      <c r="J400" s="28" t="str">
        <f aca="false">IF($A400="","",$B400+$C400-$D400-$E400-$G400-$H400)</f>
        <v/>
      </c>
      <c r="K400" s="10" t="str">
        <f aca="false">IF($A400="","",SUMIFS('Daily Entry'!$Q$4:$Q$2003,'Daily Entry'!$A$4:$A$2003,$A400))</f>
        <v/>
      </c>
      <c r="L400" s="10" t="str">
        <f aca="false">IF($A400="","",$B400-$K400)</f>
        <v/>
      </c>
      <c r="M400" s="28" t="str">
        <f aca="false">IF($A400="","",$L400-$D400-$E400-$G400)</f>
        <v/>
      </c>
      <c r="N400" s="10" t="str">
        <f aca="false">IF($A400="","",SUMIFS('Daily Entry'!$H$4:$H$2003,'Daily Entry'!$A$4:$A$2003,$A400))</f>
        <v/>
      </c>
      <c r="O400" s="10" t="str">
        <f aca="false">IF($A400="","",SUMIFS('Daily Entry'!$I$4:$I$2003,'Daily Entry'!$A$4:$A$2003,$A400))</f>
        <v/>
      </c>
      <c r="P400" s="10" t="str">
        <f aca="false">IF($A400="","",SUMPRODUCT(('Daily Entry'!$A$4:$A$2003=$A400)*('Daily Entry'!$M$4:$M$2003)*('Daily Entry'!$D$4:$D$2003)))</f>
        <v/>
      </c>
    </row>
    <row r="401" customFormat="false" ht="15" hidden="false" customHeight="false" outlineLevel="0" collapsed="false">
      <c r="A401" s="27"/>
      <c r="B401" s="10" t="str">
        <f aca="false">IF($A401="","",SUMIFS('Daily Entry'!$P$4:$P$2003,'Daily Entry'!$A$4:$A$2003,$A401))</f>
        <v/>
      </c>
      <c r="C401" s="9"/>
      <c r="D401" s="9"/>
      <c r="E401" s="9"/>
      <c r="F401" s="8"/>
      <c r="G401" s="9"/>
      <c r="H401" s="9"/>
      <c r="I401" s="8"/>
      <c r="J401" s="28" t="str">
        <f aca="false">IF($A401="","",$B401+$C401-$D401-$E401-$G401-$H401)</f>
        <v/>
      </c>
      <c r="K401" s="10" t="str">
        <f aca="false">IF($A401="","",SUMIFS('Daily Entry'!$Q$4:$Q$2003,'Daily Entry'!$A$4:$A$2003,$A401))</f>
        <v/>
      </c>
      <c r="L401" s="10" t="str">
        <f aca="false">IF($A401="","",$B401-$K401)</f>
        <v/>
      </c>
      <c r="M401" s="28" t="str">
        <f aca="false">IF($A401="","",$L401-$D401-$E401-$G401)</f>
        <v/>
      </c>
      <c r="N401" s="10" t="str">
        <f aca="false">IF($A401="","",SUMIFS('Daily Entry'!$H$4:$H$2003,'Daily Entry'!$A$4:$A$2003,$A401))</f>
        <v/>
      </c>
      <c r="O401" s="10" t="str">
        <f aca="false">IF($A401="","",SUMIFS('Daily Entry'!$I$4:$I$2003,'Daily Entry'!$A$4:$A$2003,$A401))</f>
        <v/>
      </c>
      <c r="P401" s="10" t="str">
        <f aca="false">IF($A401="","",SUMPRODUCT(('Daily Entry'!$A$4:$A$2003=$A401)*('Daily Entry'!$M$4:$M$2003)*('Daily Entry'!$D$4:$D$2003)))</f>
        <v/>
      </c>
    </row>
    <row r="402" customFormat="false" ht="15" hidden="false" customHeight="false" outlineLevel="0" collapsed="false">
      <c r="A402" s="27"/>
      <c r="B402" s="10" t="str">
        <f aca="false">IF($A402="","",SUMIFS('Daily Entry'!$P$4:$P$2003,'Daily Entry'!$A$4:$A$2003,$A402))</f>
        <v/>
      </c>
      <c r="C402" s="9"/>
      <c r="D402" s="9"/>
      <c r="E402" s="9"/>
      <c r="F402" s="8"/>
      <c r="G402" s="9"/>
      <c r="H402" s="9"/>
      <c r="I402" s="8"/>
      <c r="J402" s="28" t="str">
        <f aca="false">IF($A402="","",$B402+$C402-$D402-$E402-$G402-$H402)</f>
        <v/>
      </c>
      <c r="K402" s="10" t="str">
        <f aca="false">IF($A402="","",SUMIFS('Daily Entry'!$Q$4:$Q$2003,'Daily Entry'!$A$4:$A$2003,$A402))</f>
        <v/>
      </c>
      <c r="L402" s="10" t="str">
        <f aca="false">IF($A402="","",$B402-$K402)</f>
        <v/>
      </c>
      <c r="M402" s="28" t="str">
        <f aca="false">IF($A402="","",$L402-$D402-$E402-$G402)</f>
        <v/>
      </c>
      <c r="N402" s="10" t="str">
        <f aca="false">IF($A402="","",SUMIFS('Daily Entry'!$H$4:$H$2003,'Daily Entry'!$A$4:$A$2003,$A402))</f>
        <v/>
      </c>
      <c r="O402" s="10" t="str">
        <f aca="false">IF($A402="","",SUMIFS('Daily Entry'!$I$4:$I$2003,'Daily Entry'!$A$4:$A$2003,$A402))</f>
        <v/>
      </c>
      <c r="P402" s="10" t="str">
        <f aca="false">IF($A402="","",SUMPRODUCT(('Daily Entry'!$A$4:$A$2003=$A402)*('Daily Entry'!$M$4:$M$2003)*('Daily Entry'!$D$4:$D$2003)))</f>
        <v/>
      </c>
    </row>
    <row r="403" customFormat="false" ht="15" hidden="false" customHeight="false" outlineLevel="0" collapsed="false">
      <c r="A403" s="27"/>
      <c r="B403" s="10" t="str">
        <f aca="false">IF($A403="","",SUMIFS('Daily Entry'!$P$4:$P$2003,'Daily Entry'!$A$4:$A$2003,$A403))</f>
        <v/>
      </c>
      <c r="C403" s="9"/>
      <c r="D403" s="9"/>
      <c r="E403" s="9"/>
      <c r="F403" s="8"/>
      <c r="G403" s="9"/>
      <c r="H403" s="9"/>
      <c r="I403" s="8"/>
      <c r="J403" s="28" t="str">
        <f aca="false">IF($A403="","",$B403+$C403-$D403-$E403-$G403-$H403)</f>
        <v/>
      </c>
      <c r="K403" s="10" t="str">
        <f aca="false">IF($A403="","",SUMIFS('Daily Entry'!$Q$4:$Q$2003,'Daily Entry'!$A$4:$A$2003,$A403))</f>
        <v/>
      </c>
      <c r="L403" s="10" t="str">
        <f aca="false">IF($A403="","",$B403-$K403)</f>
        <v/>
      </c>
      <c r="M403" s="28" t="str">
        <f aca="false">IF($A403="","",$L403-$D403-$E403-$G403)</f>
        <v/>
      </c>
      <c r="N403" s="10" t="str">
        <f aca="false">IF($A403="","",SUMIFS('Daily Entry'!$H$4:$H$2003,'Daily Entry'!$A$4:$A$2003,$A403))</f>
        <v/>
      </c>
      <c r="O403" s="10" t="str">
        <f aca="false">IF($A403="","",SUMIFS('Daily Entry'!$I$4:$I$2003,'Daily Entry'!$A$4:$A$2003,$A403))</f>
        <v/>
      </c>
      <c r="P403" s="10" t="str">
        <f aca="false">IF($A403="","",SUMPRODUCT(('Daily Entry'!$A$4:$A$2003=$A403)*('Daily Entry'!$M$4:$M$2003)*('Daily Entry'!$D$4:$D$2003)))</f>
        <v/>
      </c>
    </row>
  </sheetData>
  <autoFilter ref="A3:P403"/>
  <conditionalFormatting sqref="M4:M403">
    <cfRule type="cellIs" priority="2"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9"/>
    <col collapsed="false" customWidth="true" hidden="false" outlineLevel="0" max="6" min="4" style="0" width="11"/>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8"/>
    <col collapsed="false" customWidth="true" hidden="false" outlineLevel="0" max="12" min="11" style="0" width="9"/>
    <col collapsed="false" customWidth="true" hidden="false" outlineLevel="0" max="13" min="13" style="0" width="8"/>
    <col collapsed="false" customWidth="true" hidden="false" outlineLevel="0" max="15" min="14" style="0" width="12"/>
  </cols>
  <sheetData>
    <row r="1" customFormat="false" ht="16.15" hidden="false" customHeight="false" outlineLevel="0" collapsed="false">
      <c r="A1" s="29" t="s">
        <v>123</v>
      </c>
      <c r="D1" s="30" t="n">
        <v>46256</v>
      </c>
      <c r="G1" s="2" t="s">
        <v>124</v>
      </c>
    </row>
    <row r="3" customFormat="false" ht="15" hidden="false" customHeight="false" outlineLevel="0" collapsed="false">
      <c r="A3" s="31"/>
      <c r="B3" s="13" t="s">
        <v>125</v>
      </c>
      <c r="C3" s="13"/>
      <c r="D3" s="13"/>
      <c r="E3" s="13"/>
      <c r="F3" s="13"/>
      <c r="G3" s="13"/>
      <c r="H3" s="13" t="s">
        <v>126</v>
      </c>
      <c r="I3" s="13"/>
      <c r="J3" s="13" t="s">
        <v>127</v>
      </c>
      <c r="K3" s="13"/>
      <c r="L3" s="13" t="s">
        <v>128</v>
      </c>
      <c r="M3" s="13" t="s">
        <v>129</v>
      </c>
      <c r="N3" s="13"/>
      <c r="O3" s="13"/>
    </row>
    <row r="4" customFormat="false" ht="42" hidden="false" customHeight="true" outlineLevel="0" collapsed="false">
      <c r="A4" s="7" t="s">
        <v>10</v>
      </c>
      <c r="B4" s="7" t="s">
        <v>130</v>
      </c>
      <c r="C4" s="7" t="s">
        <v>131</v>
      </c>
      <c r="D4" s="7" t="s">
        <v>132</v>
      </c>
      <c r="E4" s="7" t="s">
        <v>133</v>
      </c>
      <c r="F4" s="7" t="s">
        <v>134</v>
      </c>
      <c r="G4" s="7" t="s">
        <v>135</v>
      </c>
      <c r="H4" s="7" t="s">
        <v>136</v>
      </c>
      <c r="I4" s="7" t="s">
        <v>137</v>
      </c>
      <c r="J4" s="7" t="s">
        <v>136</v>
      </c>
      <c r="K4" s="7" t="s">
        <v>138</v>
      </c>
      <c r="L4" s="7" t="s">
        <v>139</v>
      </c>
      <c r="M4" s="7" t="s">
        <v>136</v>
      </c>
      <c r="N4" s="7" t="s">
        <v>139</v>
      </c>
      <c r="O4" s="7" t="s">
        <v>116</v>
      </c>
    </row>
    <row r="5" customFormat="false" ht="15" hidden="false" customHeight="false" outlineLevel="0" collapsed="false">
      <c r="A5" s="32" t="str">
        <f aca="false">IF(Drinks!$A4="","",Drinks!$A4)</f>
        <v>Doppel</v>
      </c>
      <c r="B5" s="10" t="n">
        <f aca="false">IF($A5="","",IF(COUNTIFS('Daily Entry'!$A$4:$A$2003,$D$1,'Daily Entry'!$B$4:$B$2003,$A5)=0,"-",SUMIFS('Daily Entry'!$C$4:$C$2003,'Daily Entry'!$A$4:$A$2003,$D$1,'Daily Entry'!$B$4:$B$2003,$A5)))</f>
        <v>0</v>
      </c>
      <c r="C5" s="10" t="n">
        <f aca="false">IF($A5="","",IF(COUNTIFS('Daily Entry'!$A$4:$A$2003,$D$1,'Daily Entry'!$B$4:$B$2003,$A5)=0,"-",SUMIFS('Daily Entry'!$D$4:$D$2003,'Daily Entry'!$A$4:$A$2003,$D$1,'Daily Entry'!$B$4:$B$2003,$A5)))</f>
        <v>0</v>
      </c>
      <c r="D5" s="10" t="n">
        <f aca="false">IF($A5="","",IF(COUNTIFS('Daily Entry'!$A$4:$A$2003,$D$1,'Daily Entry'!$B$4:$B$2003,$A5)=0,"-",SUMIFS('Daily Entry'!$F$4:$F$2003,'Daily Entry'!$A$4:$A$2003,$D$1,'Daily Entry'!$B$4:$B$2003,$A5)))</f>
        <v>0</v>
      </c>
      <c r="E5" s="10" t="n">
        <f aca="false">IF($A5="","",IF(COUNTIFS('Daily Entry'!$A$4:$A$2003,$D$1,'Daily Entry'!$B$4:$B$2003,$A5)=0,"-",SUMIFS('Daily Entry'!$E$4:$E$2003,'Daily Entry'!$A$4:$A$2003,$D$1,'Daily Entry'!$B$4:$B$2003,$A5)))</f>
        <v>0</v>
      </c>
      <c r="F5" s="10" t="n">
        <f aca="false">IF($A5="","",IF(COUNTIFS('Daily Entry'!$A$4:$A$2003,$D$1,'Daily Entry'!$B$4:$B$2003,$A5)=0,"-",SUMIFS('Daily Entry'!$G$4:$G$2003,'Daily Entry'!$A$4:$A$2003,$D$1,'Daily Entry'!$B$4:$B$2003,$A5)))</f>
        <v>8500</v>
      </c>
      <c r="G5" s="10" t="n">
        <f aca="false">IF($A5="","",IF(COUNTIFS('Daily Entry'!$A$4:$A$2003,$D$1,'Daily Entry'!$B$4:$B$2003,$A5)=0,"-",SUMIFS('Daily Entry'!$I$4:$I$2003,'Daily Entry'!$A$4:$A$2003,$D$1,'Daily Entry'!$B$4:$B$2003,$A5)))</f>
        <v>0</v>
      </c>
      <c r="H5" s="10" t="n">
        <f aca="false">IF($A5="","",IF(COUNTIFS('Daily Entry'!$A$4:$A$2003,$D$1,'Daily Entry'!$B$4:$B$2003,$A5)=0,"-",SUMIFS('Daily Entry'!$J$4:$J$2003,'Daily Entry'!$A$4:$A$2003,$D$1,'Daily Entry'!$B$4:$B$2003,$A5)))</f>
        <v>7</v>
      </c>
      <c r="I5" s="10" t="n">
        <f aca="false">IF($A5="","",IF(COUNTIFS('Daily Entry'!$A$4:$A$2003,$D$1,'Daily Entry'!$B$4:$B$2003,$A5)=0,"-",SUMIFS('Daily Entry'!$K$4:$K$2003,'Daily Entry'!$A$4:$A$2003,$D$1,'Daily Entry'!$B$4:$B$2003,$A5)))</f>
        <v>0</v>
      </c>
      <c r="J5" s="10" t="n">
        <f aca="false">IF($A5="","",IF(COUNTIFS('Daily Entry'!$A$4:$A$2003,$D$1,'Daily Entry'!$B$4:$B$2003,$A5)=0,"-",SUMIFS('Daily Entry'!$L$4:$L$2003,'Daily Entry'!$A$4:$A$2003,$D$1,'Daily Entry'!$B$4:$B$2003,$A5)))</f>
        <v>7</v>
      </c>
      <c r="K5" s="10" t="n">
        <f aca="false">IF($A5="","",IF(COUNTIFS('Daily Entry'!$A$4:$A$2003,$D$1,'Daily Entry'!$B$4:$B$2003,$A5)=0,"-",SUMIFS('Daily Entry'!$M$4:$M$2003,'Daily Entry'!$A$4:$A$2003,$D$1,'Daily Entry'!$B$4:$B$2003,$A5)))</f>
        <v>1</v>
      </c>
      <c r="L5" s="10" t="n">
        <f aca="false">IF($A5="","",IF(COUNTIFS('Daily Entry'!$A$4:$A$2003,$D$1,'Daily Entry'!$B$4:$B$2003,$A5)=0,"-",SUMIFS('Daily Entry'!$O$4:$O$2003,'Daily Entry'!$A$4:$A$2003,$D$1,'Daily Entry'!$B$4:$B$2003,$A5)))</f>
        <v>1000</v>
      </c>
      <c r="M5" s="10" t="n">
        <f aca="false">IF($A5="","",IF(COUNTIFS('Daily Entry'!$A$4:$A$2003,$D$1,'Daily Entry'!$B$4:$B$2003,$A5)=0,"-",SUMIFS('Daily Entry'!$N$4:$N$2003,'Daily Entry'!$A$4:$A$2003,$D$1,'Daily Entry'!$B$4:$B$2003,$A5)))</f>
        <v>6</v>
      </c>
      <c r="N5" s="10" t="n">
        <f aca="false">IF($A5="","",IF(COUNTIFS('Daily Entry'!$A$4:$A$2003,$D$1,'Daily Entry'!$B$4:$B$2003,$A5)=0,"-",SUMIFS('Daily Entry'!$P$4:$P$2003,'Daily Entry'!$A$4:$A$2003,$D$1,'Daily Entry'!$B$4:$B$2003,$A5)))</f>
        <v>6000</v>
      </c>
      <c r="O5" s="10" t="n">
        <f aca="false">IF($A5="","",IF(COUNTIFS('Daily Entry'!$A$4:$A$2003,$D$1,'Daily Entry'!$B$4:$B$2003,$A5)=0,"-",SUMIFS('Daily Entry'!$R$4:$R$2003,'Daily Entry'!$A$4:$A$2003,$D$1,'Daily Entry'!$B$4:$B$2003,$A5)))</f>
        <v>1750</v>
      </c>
    </row>
    <row r="6" customFormat="false" ht="15" hidden="false" customHeight="false" outlineLevel="0" collapsed="false">
      <c r="A6" s="32" t="str">
        <f aca="false">IF(Drinks!$A5="","",Drinks!$A5)</f>
        <v>Mutzig</v>
      </c>
      <c r="B6" s="10" t="n">
        <f aca="false">IF($A6="","",IF(COUNTIFS('Daily Entry'!$A$4:$A$2003,$D$1,'Daily Entry'!$B$4:$B$2003,$A6)=0,"-",SUMIFS('Daily Entry'!$C$4:$C$2003,'Daily Entry'!$A$4:$A$2003,$D$1,'Daily Entry'!$B$4:$B$2003,$A6)))</f>
        <v>0</v>
      </c>
      <c r="C6" s="10" t="n">
        <f aca="false">IF($A6="","",IF(COUNTIFS('Daily Entry'!$A$4:$A$2003,$D$1,'Daily Entry'!$B$4:$B$2003,$A6)=0,"-",SUMIFS('Daily Entry'!$D$4:$D$2003,'Daily Entry'!$A$4:$A$2003,$D$1,'Daily Entry'!$B$4:$B$2003,$A6)))</f>
        <v>6</v>
      </c>
      <c r="D6" s="10" t="n">
        <f aca="false">IF($A6="","",IF(COUNTIFS('Daily Entry'!$A$4:$A$2003,$D$1,'Daily Entry'!$B$4:$B$2003,$A6)=0,"-",SUMIFS('Daily Entry'!$F$4:$F$2003,'Daily Entry'!$A$4:$A$2003,$D$1,'Daily Entry'!$B$4:$B$2003,$A6)))</f>
        <v>0</v>
      </c>
      <c r="E6" s="10" t="n">
        <f aca="false">IF($A6="","",IF(COUNTIFS('Daily Entry'!$A$4:$A$2003,$D$1,'Daily Entry'!$B$4:$B$2003,$A6)=0,"-",SUMIFS('Daily Entry'!$E$4:$E$2003,'Daily Entry'!$A$4:$A$2003,$D$1,'Daily Entry'!$B$4:$B$2003,$A6)))</f>
        <v>6</v>
      </c>
      <c r="F6" s="10" t="n">
        <f aca="false">IF($A6="","",IF(COUNTIFS('Daily Entry'!$A$4:$A$2003,$D$1,'Daily Entry'!$B$4:$B$2003,$A6)=0,"-",SUMIFS('Daily Entry'!$G$4:$G$2003,'Daily Entry'!$A$4:$A$2003,$D$1,'Daily Entry'!$B$4:$B$2003,$A6)))</f>
        <v>8500</v>
      </c>
      <c r="G6" s="10" t="n">
        <f aca="false">IF($A6="","",IF(COUNTIFS('Daily Entry'!$A$4:$A$2003,$D$1,'Daily Entry'!$B$4:$B$2003,$A6)=0,"-",SUMIFS('Daily Entry'!$I$4:$I$2003,'Daily Entry'!$A$4:$A$2003,$D$1,'Daily Entry'!$B$4:$B$2003,$A6)))</f>
        <v>0</v>
      </c>
      <c r="H6" s="10" t="n">
        <f aca="false">IF($A6="","",IF(COUNTIFS('Daily Entry'!$A$4:$A$2003,$D$1,'Daily Entry'!$B$4:$B$2003,$A6)=0,"-",SUMIFS('Daily Entry'!$J$4:$J$2003,'Daily Entry'!$A$4:$A$2003,$D$1,'Daily Entry'!$B$4:$B$2003,$A6)))</f>
        <v>16</v>
      </c>
      <c r="I6" s="10" t="n">
        <f aca="false">IF($A6="","",IF(COUNTIFS('Daily Entry'!$A$4:$A$2003,$D$1,'Daily Entry'!$B$4:$B$2003,$A6)=0,"-",SUMIFS('Daily Entry'!$K$4:$K$2003,'Daily Entry'!$A$4:$A$2003,$D$1,'Daily Entry'!$B$4:$B$2003,$A6)))</f>
        <v>72</v>
      </c>
      <c r="J6" s="10" t="n">
        <f aca="false">IF($A6="","",IF(COUNTIFS('Daily Entry'!$A$4:$A$2003,$D$1,'Daily Entry'!$B$4:$B$2003,$A6)=0,"-",SUMIFS('Daily Entry'!$L$4:$L$2003,'Daily Entry'!$A$4:$A$2003,$D$1,'Daily Entry'!$B$4:$B$2003,$A6)))</f>
        <v>88</v>
      </c>
      <c r="K6" s="10" t="n">
        <f aca="false">IF($A6="","",IF(COUNTIFS('Daily Entry'!$A$4:$A$2003,$D$1,'Daily Entry'!$B$4:$B$2003,$A6)=0,"-",SUMIFS('Daily Entry'!$M$4:$M$2003,'Daily Entry'!$A$4:$A$2003,$D$1,'Daily Entry'!$B$4:$B$2003,$A6)))</f>
        <v>73</v>
      </c>
      <c r="L6" s="10" t="n">
        <f aca="false">IF($A6="","",IF(COUNTIFS('Daily Entry'!$A$4:$A$2003,$D$1,'Daily Entry'!$B$4:$B$2003,$A6)=0,"-",SUMIFS('Daily Entry'!$O$4:$O$2003,'Daily Entry'!$A$4:$A$2003,$D$1,'Daily Entry'!$B$4:$B$2003,$A6)))</f>
        <v>1000</v>
      </c>
      <c r="M6" s="10" t="n">
        <f aca="false">IF($A6="","",IF(COUNTIFS('Daily Entry'!$A$4:$A$2003,$D$1,'Daily Entry'!$B$4:$B$2003,$A6)=0,"-",SUMIFS('Daily Entry'!$N$4:$N$2003,'Daily Entry'!$A$4:$A$2003,$D$1,'Daily Entry'!$B$4:$B$2003,$A6)))</f>
        <v>15</v>
      </c>
      <c r="N6" s="10" t="n">
        <f aca="false">IF($A6="","",IF(COUNTIFS('Daily Entry'!$A$4:$A$2003,$D$1,'Daily Entry'!$B$4:$B$2003,$A6)=0,"-",SUMIFS('Daily Entry'!$P$4:$P$2003,'Daily Entry'!$A$4:$A$2003,$D$1,'Daily Entry'!$B$4:$B$2003,$A6)))</f>
        <v>15000</v>
      </c>
      <c r="O6" s="10" t="n">
        <f aca="false">IF($A6="","",IF(COUNTIFS('Daily Entry'!$A$4:$A$2003,$D$1,'Daily Entry'!$B$4:$B$2003,$A6)=0,"-",SUMIFS('Daily Entry'!$R$4:$R$2003,'Daily Entry'!$A$4:$A$2003,$D$1,'Daily Entry'!$B$4:$B$2003,$A6)))</f>
        <v>4375</v>
      </c>
    </row>
    <row r="7" customFormat="false" ht="15" hidden="false" customHeight="false" outlineLevel="0" collapsed="false">
      <c r="A7" s="32" t="str">
        <f aca="false">IF(Drinks!$A6="","",Drinks!$A6)</f>
        <v>Export</v>
      </c>
      <c r="B7" s="10" t="n">
        <f aca="false">IF($A7="","",IF(COUNTIFS('Daily Entry'!$A$4:$A$2003,$D$1,'Daily Entry'!$B$4:$B$2003,$A7)=0,"-",SUMIFS('Daily Entry'!$C$4:$C$2003,'Daily Entry'!$A$4:$A$2003,$D$1,'Daily Entry'!$B$4:$B$2003,$A7)))</f>
        <v>5</v>
      </c>
      <c r="C7" s="10" t="n">
        <f aca="false">IF($A7="","",IF(COUNTIFS('Daily Entry'!$A$4:$A$2003,$D$1,'Daily Entry'!$B$4:$B$2003,$A7)=0,"-",SUMIFS('Daily Entry'!$D$4:$D$2003,'Daily Entry'!$A$4:$A$2003,$D$1,'Daily Entry'!$B$4:$B$2003,$A7)))</f>
        <v>0</v>
      </c>
      <c r="D7" s="10" t="n">
        <f aca="false">IF($A7="","",IF(COUNTIFS('Daily Entry'!$A$4:$A$2003,$D$1,'Daily Entry'!$B$4:$B$2003,$A7)=0,"-",SUMIFS('Daily Entry'!$F$4:$F$2003,'Daily Entry'!$A$4:$A$2003,$D$1,'Daily Entry'!$B$4:$B$2003,$A7)))</f>
        <v>0</v>
      </c>
      <c r="E7" s="10" t="n">
        <f aca="false">IF($A7="","",IF(COUNTIFS('Daily Entry'!$A$4:$A$2003,$D$1,'Daily Entry'!$B$4:$B$2003,$A7)=0,"-",SUMIFS('Daily Entry'!$E$4:$E$2003,'Daily Entry'!$A$4:$A$2003,$D$1,'Daily Entry'!$B$4:$B$2003,$A7)))</f>
        <v>5</v>
      </c>
      <c r="F7" s="10" t="n">
        <f aca="false">IF($A7="","",IF(COUNTIFS('Daily Entry'!$A$4:$A$2003,$D$1,'Daily Entry'!$B$4:$B$2003,$A7)=0,"-",SUMIFS('Daily Entry'!$G$4:$G$2003,'Daily Entry'!$A$4:$A$2003,$D$1,'Daily Entry'!$B$4:$B$2003,$A7)))</f>
        <v>8500</v>
      </c>
      <c r="G7" s="10" t="n">
        <f aca="false">IF($A7="","",IF(COUNTIFS('Daily Entry'!$A$4:$A$2003,$D$1,'Daily Entry'!$B$4:$B$2003,$A7)=0,"-",SUMIFS('Daily Entry'!$I$4:$I$2003,'Daily Entry'!$A$4:$A$2003,$D$1,'Daily Entry'!$B$4:$B$2003,$A7)))</f>
        <v>0</v>
      </c>
      <c r="H7" s="10" t="n">
        <f aca="false">IF($A7="","",IF(COUNTIFS('Daily Entry'!$A$4:$A$2003,$D$1,'Daily Entry'!$B$4:$B$2003,$A7)=0,"-",SUMIFS('Daily Entry'!$J$4:$J$2003,'Daily Entry'!$A$4:$A$2003,$D$1,'Daily Entry'!$B$4:$B$2003,$A7)))</f>
        <v>27</v>
      </c>
      <c r="I7" s="10" t="n">
        <f aca="false">IF($A7="","",IF(COUNTIFS('Daily Entry'!$A$4:$A$2003,$D$1,'Daily Entry'!$B$4:$B$2003,$A7)=0,"-",SUMIFS('Daily Entry'!$K$4:$K$2003,'Daily Entry'!$A$4:$A$2003,$D$1,'Daily Entry'!$B$4:$B$2003,$A7)))</f>
        <v>60</v>
      </c>
      <c r="J7" s="10" t="n">
        <f aca="false">IF($A7="","",IF(COUNTIFS('Daily Entry'!$A$4:$A$2003,$D$1,'Daily Entry'!$B$4:$B$2003,$A7)=0,"-",SUMIFS('Daily Entry'!$L$4:$L$2003,'Daily Entry'!$A$4:$A$2003,$D$1,'Daily Entry'!$B$4:$B$2003,$A7)))</f>
        <v>87</v>
      </c>
      <c r="K7" s="10" t="n">
        <f aca="false">IF($A7="","",IF(COUNTIFS('Daily Entry'!$A$4:$A$2003,$D$1,'Daily Entry'!$B$4:$B$2003,$A7)=0,"-",SUMIFS('Daily Entry'!$M$4:$M$2003,'Daily Entry'!$A$4:$A$2003,$D$1,'Daily Entry'!$B$4:$B$2003,$A7)))</f>
        <v>27</v>
      </c>
      <c r="L7" s="10" t="n">
        <f aca="false">IF($A7="","",IF(COUNTIFS('Daily Entry'!$A$4:$A$2003,$D$1,'Daily Entry'!$B$4:$B$2003,$A7)=0,"-",SUMIFS('Daily Entry'!$O$4:$O$2003,'Daily Entry'!$A$4:$A$2003,$D$1,'Daily Entry'!$B$4:$B$2003,$A7)))</f>
        <v>1000</v>
      </c>
      <c r="M7" s="10" t="n">
        <f aca="false">IF($A7="","",IF(COUNTIFS('Daily Entry'!$A$4:$A$2003,$D$1,'Daily Entry'!$B$4:$B$2003,$A7)=0,"-",SUMIFS('Daily Entry'!$N$4:$N$2003,'Daily Entry'!$A$4:$A$2003,$D$1,'Daily Entry'!$B$4:$B$2003,$A7)))</f>
        <v>60</v>
      </c>
      <c r="N7" s="10" t="n">
        <f aca="false">IF($A7="","",IF(COUNTIFS('Daily Entry'!$A$4:$A$2003,$D$1,'Daily Entry'!$B$4:$B$2003,$A7)=0,"-",SUMIFS('Daily Entry'!$P$4:$P$2003,'Daily Entry'!$A$4:$A$2003,$D$1,'Daily Entry'!$B$4:$B$2003,$A7)))</f>
        <v>60000</v>
      </c>
      <c r="O7" s="10" t="n">
        <f aca="false">IF($A7="","",IF(COUNTIFS('Daily Entry'!$A$4:$A$2003,$D$1,'Daily Entry'!$B$4:$B$2003,$A7)=0,"-",SUMIFS('Daily Entry'!$R$4:$R$2003,'Daily Entry'!$A$4:$A$2003,$D$1,'Daily Entry'!$B$4:$B$2003,$A7)))</f>
        <v>17500</v>
      </c>
    </row>
    <row r="8" customFormat="false" ht="15" hidden="false" customHeight="false" outlineLevel="0" collapsed="false">
      <c r="A8" s="32" t="str">
        <f aca="false">IF(Drinks!$A7="","",Drinks!$A7)</f>
        <v>Castel Beer</v>
      </c>
      <c r="B8" s="10" t="n">
        <f aca="false">IF($A8="","",IF(COUNTIFS('Daily Entry'!$A$4:$A$2003,$D$1,'Daily Entry'!$B$4:$B$2003,$A8)=0,"-",SUMIFS('Daily Entry'!$C$4:$C$2003,'Daily Entry'!$A$4:$A$2003,$D$1,'Daily Entry'!$B$4:$B$2003,$A8)))</f>
        <v>0</v>
      </c>
      <c r="C8" s="10" t="n">
        <f aca="false">IF($A8="","",IF(COUNTIFS('Daily Entry'!$A$4:$A$2003,$D$1,'Daily Entry'!$B$4:$B$2003,$A8)=0,"-",SUMIFS('Daily Entry'!$D$4:$D$2003,'Daily Entry'!$A$4:$A$2003,$D$1,'Daily Entry'!$B$4:$B$2003,$A8)))</f>
        <v>5</v>
      </c>
      <c r="D8" s="10" t="n">
        <f aca="false">IF($A8="","",IF(COUNTIFS('Daily Entry'!$A$4:$A$2003,$D$1,'Daily Entry'!$B$4:$B$2003,$A8)=0,"-",SUMIFS('Daily Entry'!$F$4:$F$2003,'Daily Entry'!$A$4:$A$2003,$D$1,'Daily Entry'!$B$4:$B$2003,$A8)))</f>
        <v>0</v>
      </c>
      <c r="E8" s="10" t="n">
        <f aca="false">IF($A8="","",IF(COUNTIFS('Daily Entry'!$A$4:$A$2003,$D$1,'Daily Entry'!$B$4:$B$2003,$A8)=0,"-",SUMIFS('Daily Entry'!$E$4:$E$2003,'Daily Entry'!$A$4:$A$2003,$D$1,'Daily Entry'!$B$4:$B$2003,$A8)))</f>
        <v>5</v>
      </c>
      <c r="F8" s="10" t="n">
        <f aca="false">IF($A8="","",IF(COUNTIFS('Daily Entry'!$A$4:$A$2003,$D$1,'Daily Entry'!$B$4:$B$2003,$A8)=0,"-",SUMIFS('Daily Entry'!$G$4:$G$2003,'Daily Entry'!$A$4:$A$2003,$D$1,'Daily Entry'!$B$4:$B$2003,$A8)))</f>
        <v>8500</v>
      </c>
      <c r="G8" s="10" t="n">
        <f aca="false">IF($A8="","",IF(COUNTIFS('Daily Entry'!$A$4:$A$2003,$D$1,'Daily Entry'!$B$4:$B$2003,$A8)=0,"-",SUMIFS('Daily Entry'!$I$4:$I$2003,'Daily Entry'!$A$4:$A$2003,$D$1,'Daily Entry'!$B$4:$B$2003,$A8)))</f>
        <v>0</v>
      </c>
      <c r="H8" s="10" t="n">
        <f aca="false">IF($A8="","",IF(COUNTIFS('Daily Entry'!$A$4:$A$2003,$D$1,'Daily Entry'!$B$4:$B$2003,$A8)=0,"-",SUMIFS('Daily Entry'!$J$4:$J$2003,'Daily Entry'!$A$4:$A$2003,$D$1,'Daily Entry'!$B$4:$B$2003,$A8)))</f>
        <v>16</v>
      </c>
      <c r="I8" s="10" t="n">
        <f aca="false">IF($A8="","",IF(COUNTIFS('Daily Entry'!$A$4:$A$2003,$D$1,'Daily Entry'!$B$4:$B$2003,$A8)=0,"-",SUMIFS('Daily Entry'!$K$4:$K$2003,'Daily Entry'!$A$4:$A$2003,$D$1,'Daily Entry'!$B$4:$B$2003,$A8)))</f>
        <v>60</v>
      </c>
      <c r="J8" s="10" t="n">
        <f aca="false">IF($A8="","",IF(COUNTIFS('Daily Entry'!$A$4:$A$2003,$D$1,'Daily Entry'!$B$4:$B$2003,$A8)=0,"-",SUMIFS('Daily Entry'!$L$4:$L$2003,'Daily Entry'!$A$4:$A$2003,$D$1,'Daily Entry'!$B$4:$B$2003,$A8)))</f>
        <v>76</v>
      </c>
      <c r="K8" s="10" t="n">
        <f aca="false">IF($A8="","",IF(COUNTIFS('Daily Entry'!$A$4:$A$2003,$D$1,'Daily Entry'!$B$4:$B$2003,$A8)=0,"-",SUMIFS('Daily Entry'!$M$4:$M$2003,'Daily Entry'!$A$4:$A$2003,$D$1,'Daily Entry'!$B$4:$B$2003,$A8)))</f>
        <v>57</v>
      </c>
      <c r="L8" s="10" t="n">
        <f aca="false">IF($A8="","",IF(COUNTIFS('Daily Entry'!$A$4:$A$2003,$D$1,'Daily Entry'!$B$4:$B$2003,$A8)=0,"-",SUMIFS('Daily Entry'!$O$4:$O$2003,'Daily Entry'!$A$4:$A$2003,$D$1,'Daily Entry'!$B$4:$B$2003,$A8)))</f>
        <v>1000</v>
      </c>
      <c r="M8" s="10" t="n">
        <f aca="false">IF($A8="","",IF(COUNTIFS('Daily Entry'!$A$4:$A$2003,$D$1,'Daily Entry'!$B$4:$B$2003,$A8)=0,"-",SUMIFS('Daily Entry'!$N$4:$N$2003,'Daily Entry'!$A$4:$A$2003,$D$1,'Daily Entry'!$B$4:$B$2003,$A8)))</f>
        <v>19</v>
      </c>
      <c r="N8" s="10" t="n">
        <f aca="false">IF($A8="","",IF(COUNTIFS('Daily Entry'!$A$4:$A$2003,$D$1,'Daily Entry'!$B$4:$B$2003,$A8)=0,"-",SUMIFS('Daily Entry'!$P$4:$P$2003,'Daily Entry'!$A$4:$A$2003,$D$1,'Daily Entry'!$B$4:$B$2003,$A8)))</f>
        <v>19000</v>
      </c>
      <c r="O8" s="10" t="n">
        <f aca="false">IF($A8="","",IF(COUNTIFS('Daily Entry'!$A$4:$A$2003,$D$1,'Daily Entry'!$B$4:$B$2003,$A8)=0,"-",SUMIFS('Daily Entry'!$R$4:$R$2003,'Daily Entry'!$A$4:$A$2003,$D$1,'Daily Entry'!$B$4:$B$2003,$A8)))</f>
        <v>5541.66666666667</v>
      </c>
    </row>
    <row r="9" customFormat="false" ht="15" hidden="false" customHeight="false" outlineLevel="0" collapsed="false">
      <c r="A9" s="32" t="str">
        <f aca="false">IF(Drinks!$A8="","",Drinks!$A8)</f>
        <v>Castel Milk</v>
      </c>
      <c r="B9" s="10" t="n">
        <f aca="false">IF($A9="","",IF(COUNTIFS('Daily Entry'!$A$4:$A$2003,$D$1,'Daily Entry'!$B$4:$B$2003,$A9)=0,"-",SUMIFS('Daily Entry'!$C$4:$C$2003,'Daily Entry'!$A$4:$A$2003,$D$1,'Daily Entry'!$B$4:$B$2003,$A9)))</f>
        <v>4</v>
      </c>
      <c r="C9" s="10" t="n">
        <f aca="false">IF($A9="","",IF(COUNTIFS('Daily Entry'!$A$4:$A$2003,$D$1,'Daily Entry'!$B$4:$B$2003,$A9)=0,"-",SUMIFS('Daily Entry'!$D$4:$D$2003,'Daily Entry'!$A$4:$A$2003,$D$1,'Daily Entry'!$B$4:$B$2003,$A9)))</f>
        <v>3</v>
      </c>
      <c r="D9" s="10" t="n">
        <f aca="false">IF($A9="","",IF(COUNTIFS('Daily Entry'!$A$4:$A$2003,$D$1,'Daily Entry'!$B$4:$B$2003,$A9)=0,"-",SUMIFS('Daily Entry'!$F$4:$F$2003,'Daily Entry'!$A$4:$A$2003,$D$1,'Daily Entry'!$B$4:$B$2003,$A9)))</f>
        <v>4</v>
      </c>
      <c r="E9" s="10" t="n">
        <f aca="false">IF($A9="","",IF(COUNTIFS('Daily Entry'!$A$4:$A$2003,$D$1,'Daily Entry'!$B$4:$B$2003,$A9)=0,"-",SUMIFS('Daily Entry'!$E$4:$E$2003,'Daily Entry'!$A$4:$A$2003,$D$1,'Daily Entry'!$B$4:$B$2003,$A9)))</f>
        <v>3</v>
      </c>
      <c r="F9" s="10" t="n">
        <f aca="false">IF($A9="","",IF(COUNTIFS('Daily Entry'!$A$4:$A$2003,$D$1,'Daily Entry'!$B$4:$B$2003,$A9)=0,"-",SUMIFS('Daily Entry'!$G$4:$G$2003,'Daily Entry'!$A$4:$A$2003,$D$1,'Daily Entry'!$B$4:$B$2003,$A9)))</f>
        <v>8500</v>
      </c>
      <c r="G9" s="10" t="n">
        <f aca="false">IF($A9="","",IF(COUNTIFS('Daily Entry'!$A$4:$A$2003,$D$1,'Daily Entry'!$B$4:$B$2003,$A9)=0,"-",SUMIFS('Daily Entry'!$I$4:$I$2003,'Daily Entry'!$A$4:$A$2003,$D$1,'Daily Entry'!$B$4:$B$2003,$A9)))</f>
        <v>34000</v>
      </c>
      <c r="H9" s="10" t="n">
        <f aca="false">IF($A9="","",IF(COUNTIFS('Daily Entry'!$A$4:$A$2003,$D$1,'Daily Entry'!$B$4:$B$2003,$A9)=0,"-",SUMIFS('Daily Entry'!$J$4:$J$2003,'Daily Entry'!$A$4:$A$2003,$D$1,'Daily Entry'!$B$4:$B$2003,$A9)))</f>
        <v>0</v>
      </c>
      <c r="I9" s="10" t="n">
        <f aca="false">IF($A9="","",IF(COUNTIFS('Daily Entry'!$A$4:$A$2003,$D$1,'Daily Entry'!$B$4:$B$2003,$A9)=0,"-",SUMIFS('Daily Entry'!$K$4:$K$2003,'Daily Entry'!$A$4:$A$2003,$D$1,'Daily Entry'!$B$4:$B$2003,$A9)))</f>
        <v>36</v>
      </c>
      <c r="J9" s="10" t="n">
        <f aca="false">IF($A9="","",IF(COUNTIFS('Daily Entry'!$A$4:$A$2003,$D$1,'Daily Entry'!$B$4:$B$2003,$A9)=0,"-",SUMIFS('Daily Entry'!$L$4:$L$2003,'Daily Entry'!$A$4:$A$2003,$D$1,'Daily Entry'!$B$4:$B$2003,$A9)))</f>
        <v>36</v>
      </c>
      <c r="K9" s="10" t="n">
        <f aca="false">IF($A9="","",IF(COUNTIFS('Daily Entry'!$A$4:$A$2003,$D$1,'Daily Entry'!$B$4:$B$2003,$A9)=0,"-",SUMIFS('Daily Entry'!$M$4:$M$2003,'Daily Entry'!$A$4:$A$2003,$D$1,'Daily Entry'!$B$4:$B$2003,$A9)))</f>
        <v>34</v>
      </c>
      <c r="L9" s="10" t="n">
        <f aca="false">IF($A9="","",IF(COUNTIFS('Daily Entry'!$A$4:$A$2003,$D$1,'Daily Entry'!$B$4:$B$2003,$A9)=0,"-",SUMIFS('Daily Entry'!$O$4:$O$2003,'Daily Entry'!$A$4:$A$2003,$D$1,'Daily Entry'!$B$4:$B$2003,$A9)))</f>
        <v>1000</v>
      </c>
      <c r="M9" s="10" t="n">
        <f aca="false">IF($A9="","",IF(COUNTIFS('Daily Entry'!$A$4:$A$2003,$D$1,'Daily Entry'!$B$4:$B$2003,$A9)=0,"-",SUMIFS('Daily Entry'!$N$4:$N$2003,'Daily Entry'!$A$4:$A$2003,$D$1,'Daily Entry'!$B$4:$B$2003,$A9)))</f>
        <v>2</v>
      </c>
      <c r="N9" s="10" t="n">
        <f aca="false">IF($A9="","",IF(COUNTIFS('Daily Entry'!$A$4:$A$2003,$D$1,'Daily Entry'!$B$4:$B$2003,$A9)=0,"-",SUMIFS('Daily Entry'!$P$4:$P$2003,'Daily Entry'!$A$4:$A$2003,$D$1,'Daily Entry'!$B$4:$B$2003,$A9)))</f>
        <v>2000</v>
      </c>
      <c r="O9" s="10" t="n">
        <f aca="false">IF($A9="","",IF(COUNTIFS('Daily Entry'!$A$4:$A$2003,$D$1,'Daily Entry'!$B$4:$B$2003,$A9)=0,"-",SUMIFS('Daily Entry'!$R$4:$R$2003,'Daily Entry'!$A$4:$A$2003,$D$1,'Daily Entry'!$B$4:$B$2003,$A9)))</f>
        <v>583.333333333333</v>
      </c>
    </row>
    <row r="10" customFormat="false" ht="15" hidden="false" customHeight="false" outlineLevel="0" collapsed="false">
      <c r="A10" s="32" t="str">
        <f aca="false">IF(Drinks!$A9="","",Drinks!$A9)</f>
        <v>Beaufort Light</v>
      </c>
      <c r="B10" s="10" t="n">
        <f aca="false">IF($A10="","",IF(COUNTIFS('Daily Entry'!$A$4:$A$2003,$D$1,'Daily Entry'!$B$4:$B$2003,$A10)=0,"-",SUMIFS('Daily Entry'!$C$4:$C$2003,'Daily Entry'!$A$4:$A$2003,$D$1,'Daily Entry'!$B$4:$B$2003,$A10)))</f>
        <v>1</v>
      </c>
      <c r="C10" s="10" t="n">
        <f aca="false">IF($A10="","",IF(COUNTIFS('Daily Entry'!$A$4:$A$2003,$D$1,'Daily Entry'!$B$4:$B$2003,$A10)=0,"-",SUMIFS('Daily Entry'!$D$4:$D$2003,'Daily Entry'!$A$4:$A$2003,$D$1,'Daily Entry'!$B$4:$B$2003,$A10)))</f>
        <v>0</v>
      </c>
      <c r="D10" s="10" t="n">
        <f aca="false">IF($A10="","",IF(COUNTIFS('Daily Entry'!$A$4:$A$2003,$D$1,'Daily Entry'!$B$4:$B$2003,$A10)=0,"-",SUMIFS('Daily Entry'!$F$4:$F$2003,'Daily Entry'!$A$4:$A$2003,$D$1,'Daily Entry'!$B$4:$B$2003,$A10)))</f>
        <v>1</v>
      </c>
      <c r="E10" s="10" t="n">
        <f aca="false">IF($A10="","",IF(COUNTIFS('Daily Entry'!$A$4:$A$2003,$D$1,'Daily Entry'!$B$4:$B$2003,$A10)=0,"-",SUMIFS('Daily Entry'!$E$4:$E$2003,'Daily Entry'!$A$4:$A$2003,$D$1,'Daily Entry'!$B$4:$B$2003,$A10)))</f>
        <v>0</v>
      </c>
      <c r="F10" s="10" t="n">
        <f aca="false">IF($A10="","",IF(COUNTIFS('Daily Entry'!$A$4:$A$2003,$D$1,'Daily Entry'!$B$4:$B$2003,$A10)=0,"-",SUMIFS('Daily Entry'!$G$4:$G$2003,'Daily Entry'!$A$4:$A$2003,$D$1,'Daily Entry'!$B$4:$B$2003,$A10)))</f>
        <v>8500</v>
      </c>
      <c r="G10" s="10" t="n">
        <f aca="false">IF($A10="","",IF(COUNTIFS('Daily Entry'!$A$4:$A$2003,$D$1,'Daily Entry'!$B$4:$B$2003,$A10)=0,"-",SUMIFS('Daily Entry'!$I$4:$I$2003,'Daily Entry'!$A$4:$A$2003,$D$1,'Daily Entry'!$B$4:$B$2003,$A10)))</f>
        <v>8500</v>
      </c>
      <c r="H10" s="10" t="n">
        <f aca="false">IF($A10="","",IF(COUNTIFS('Daily Entry'!$A$4:$A$2003,$D$1,'Daily Entry'!$B$4:$B$2003,$A10)=0,"-",SUMIFS('Daily Entry'!$J$4:$J$2003,'Daily Entry'!$A$4:$A$2003,$D$1,'Daily Entry'!$B$4:$B$2003,$A10)))</f>
        <v>13</v>
      </c>
      <c r="I10" s="10" t="n">
        <f aca="false">IF($A10="","",IF(COUNTIFS('Daily Entry'!$A$4:$A$2003,$D$1,'Daily Entry'!$B$4:$B$2003,$A10)=0,"-",SUMIFS('Daily Entry'!$K$4:$K$2003,'Daily Entry'!$A$4:$A$2003,$D$1,'Daily Entry'!$B$4:$B$2003,$A10)))</f>
        <v>0</v>
      </c>
      <c r="J10" s="10" t="n">
        <f aca="false">IF($A10="","",IF(COUNTIFS('Daily Entry'!$A$4:$A$2003,$D$1,'Daily Entry'!$B$4:$B$2003,$A10)=0,"-",SUMIFS('Daily Entry'!$L$4:$L$2003,'Daily Entry'!$A$4:$A$2003,$D$1,'Daily Entry'!$B$4:$B$2003,$A10)))</f>
        <v>13</v>
      </c>
      <c r="K10" s="10" t="n">
        <f aca="false">IF($A10="","",IF(COUNTIFS('Daily Entry'!$A$4:$A$2003,$D$1,'Daily Entry'!$B$4:$B$2003,$A10)=0,"-",SUMIFS('Daily Entry'!$M$4:$M$2003,'Daily Entry'!$A$4:$A$2003,$D$1,'Daily Entry'!$B$4:$B$2003,$A10)))</f>
        <v>5</v>
      </c>
      <c r="L10" s="10" t="n">
        <f aca="false">IF($A10="","",IF(COUNTIFS('Daily Entry'!$A$4:$A$2003,$D$1,'Daily Entry'!$B$4:$B$2003,$A10)=0,"-",SUMIFS('Daily Entry'!$O$4:$O$2003,'Daily Entry'!$A$4:$A$2003,$D$1,'Daily Entry'!$B$4:$B$2003,$A10)))</f>
        <v>1000</v>
      </c>
      <c r="M10" s="10" t="n">
        <f aca="false">IF($A10="","",IF(COUNTIFS('Daily Entry'!$A$4:$A$2003,$D$1,'Daily Entry'!$B$4:$B$2003,$A10)=0,"-",SUMIFS('Daily Entry'!$N$4:$N$2003,'Daily Entry'!$A$4:$A$2003,$D$1,'Daily Entry'!$B$4:$B$2003,$A10)))</f>
        <v>8</v>
      </c>
      <c r="N10" s="10" t="n">
        <f aca="false">IF($A10="","",IF(COUNTIFS('Daily Entry'!$A$4:$A$2003,$D$1,'Daily Entry'!$B$4:$B$2003,$A10)=0,"-",SUMIFS('Daily Entry'!$P$4:$P$2003,'Daily Entry'!$A$4:$A$2003,$D$1,'Daily Entry'!$B$4:$B$2003,$A10)))</f>
        <v>8000</v>
      </c>
      <c r="O10" s="10" t="n">
        <f aca="false">IF($A10="","",IF(COUNTIFS('Daily Entry'!$A$4:$A$2003,$D$1,'Daily Entry'!$B$4:$B$2003,$A10)=0,"-",SUMIFS('Daily Entry'!$R$4:$R$2003,'Daily Entry'!$A$4:$A$2003,$D$1,'Daily Entry'!$B$4:$B$2003,$A10)))</f>
        <v>2333.33333333333</v>
      </c>
    </row>
    <row r="11" customFormat="false" ht="15" hidden="false" customHeight="false" outlineLevel="0" collapsed="false">
      <c r="A11" s="32" t="str">
        <f aca="false">IF(Drinks!$A10="","",Drinks!$A10)</f>
        <v>Beaufort Lager</v>
      </c>
      <c r="B11" s="10" t="n">
        <f aca="false">IF($A11="","",IF(COUNTIFS('Daily Entry'!$A$4:$A$2003,$D$1,'Daily Entry'!$B$4:$B$2003,$A11)=0,"-",SUMIFS('Daily Entry'!$C$4:$C$2003,'Daily Entry'!$A$4:$A$2003,$D$1,'Daily Entry'!$B$4:$B$2003,$A11)))</f>
        <v>2</v>
      </c>
      <c r="C11" s="10" t="n">
        <f aca="false">IF($A11="","",IF(COUNTIFS('Daily Entry'!$A$4:$A$2003,$D$1,'Daily Entry'!$B$4:$B$2003,$A11)=0,"-",SUMIFS('Daily Entry'!$D$4:$D$2003,'Daily Entry'!$A$4:$A$2003,$D$1,'Daily Entry'!$B$4:$B$2003,$A11)))</f>
        <v>0</v>
      </c>
      <c r="D11" s="10" t="n">
        <f aca="false">IF($A11="","",IF(COUNTIFS('Daily Entry'!$A$4:$A$2003,$D$1,'Daily Entry'!$B$4:$B$2003,$A11)=0,"-",SUMIFS('Daily Entry'!$F$4:$F$2003,'Daily Entry'!$A$4:$A$2003,$D$1,'Daily Entry'!$B$4:$B$2003,$A11)))</f>
        <v>2</v>
      </c>
      <c r="E11" s="10" t="n">
        <f aca="false">IF($A11="","",IF(COUNTIFS('Daily Entry'!$A$4:$A$2003,$D$1,'Daily Entry'!$B$4:$B$2003,$A11)=0,"-",SUMIFS('Daily Entry'!$E$4:$E$2003,'Daily Entry'!$A$4:$A$2003,$D$1,'Daily Entry'!$B$4:$B$2003,$A11)))</f>
        <v>0</v>
      </c>
      <c r="F11" s="10" t="n">
        <f aca="false">IF($A11="","",IF(COUNTIFS('Daily Entry'!$A$4:$A$2003,$D$1,'Daily Entry'!$B$4:$B$2003,$A11)=0,"-",SUMIFS('Daily Entry'!$G$4:$G$2003,'Daily Entry'!$A$4:$A$2003,$D$1,'Daily Entry'!$B$4:$B$2003,$A11)))</f>
        <v>8500</v>
      </c>
      <c r="G11" s="10" t="n">
        <f aca="false">IF($A11="","",IF(COUNTIFS('Daily Entry'!$A$4:$A$2003,$D$1,'Daily Entry'!$B$4:$B$2003,$A11)=0,"-",SUMIFS('Daily Entry'!$I$4:$I$2003,'Daily Entry'!$A$4:$A$2003,$D$1,'Daily Entry'!$B$4:$B$2003,$A11)))</f>
        <v>17000</v>
      </c>
      <c r="H11" s="10" t="n">
        <f aca="false">IF($A11="","",IF(COUNTIFS('Daily Entry'!$A$4:$A$2003,$D$1,'Daily Entry'!$B$4:$B$2003,$A11)=0,"-",SUMIFS('Daily Entry'!$J$4:$J$2003,'Daily Entry'!$A$4:$A$2003,$D$1,'Daily Entry'!$B$4:$B$2003,$A11)))</f>
        <v>9</v>
      </c>
      <c r="I11" s="10" t="n">
        <f aca="false">IF($A11="","",IF(COUNTIFS('Daily Entry'!$A$4:$A$2003,$D$1,'Daily Entry'!$B$4:$B$2003,$A11)=0,"-",SUMIFS('Daily Entry'!$K$4:$K$2003,'Daily Entry'!$A$4:$A$2003,$D$1,'Daily Entry'!$B$4:$B$2003,$A11)))</f>
        <v>0</v>
      </c>
      <c r="J11" s="10" t="n">
        <f aca="false">IF($A11="","",IF(COUNTIFS('Daily Entry'!$A$4:$A$2003,$D$1,'Daily Entry'!$B$4:$B$2003,$A11)=0,"-",SUMIFS('Daily Entry'!$L$4:$L$2003,'Daily Entry'!$A$4:$A$2003,$D$1,'Daily Entry'!$B$4:$B$2003,$A11)))</f>
        <v>9</v>
      </c>
      <c r="K11" s="10" t="n">
        <f aca="false">IF($A11="","",IF(COUNTIFS('Daily Entry'!$A$4:$A$2003,$D$1,'Daily Entry'!$B$4:$B$2003,$A11)=0,"-",SUMIFS('Daily Entry'!$M$4:$M$2003,'Daily Entry'!$A$4:$A$2003,$D$1,'Daily Entry'!$B$4:$B$2003,$A11)))</f>
        <v>0</v>
      </c>
      <c r="L11" s="10" t="n">
        <f aca="false">IF($A11="","",IF(COUNTIFS('Daily Entry'!$A$4:$A$2003,$D$1,'Daily Entry'!$B$4:$B$2003,$A11)=0,"-",SUMIFS('Daily Entry'!$O$4:$O$2003,'Daily Entry'!$A$4:$A$2003,$D$1,'Daily Entry'!$B$4:$B$2003,$A11)))</f>
        <v>1000</v>
      </c>
      <c r="M11" s="10" t="n">
        <f aca="false">IF($A11="","",IF(COUNTIFS('Daily Entry'!$A$4:$A$2003,$D$1,'Daily Entry'!$B$4:$B$2003,$A11)=0,"-",SUMIFS('Daily Entry'!$N$4:$N$2003,'Daily Entry'!$A$4:$A$2003,$D$1,'Daily Entry'!$B$4:$B$2003,$A11)))</f>
        <v>9</v>
      </c>
      <c r="N11" s="10" t="n">
        <f aca="false">IF($A11="","",IF(COUNTIFS('Daily Entry'!$A$4:$A$2003,$D$1,'Daily Entry'!$B$4:$B$2003,$A11)=0,"-",SUMIFS('Daily Entry'!$P$4:$P$2003,'Daily Entry'!$A$4:$A$2003,$D$1,'Daily Entry'!$B$4:$B$2003,$A11)))</f>
        <v>9000</v>
      </c>
      <c r="O11" s="10" t="n">
        <f aca="false">IF($A11="","",IF(COUNTIFS('Daily Entry'!$A$4:$A$2003,$D$1,'Daily Entry'!$B$4:$B$2003,$A11)=0,"-",SUMIFS('Daily Entry'!$R$4:$R$2003,'Daily Entry'!$A$4:$A$2003,$D$1,'Daily Entry'!$B$4:$B$2003,$A11)))</f>
        <v>2625</v>
      </c>
    </row>
    <row r="12" customFormat="false" ht="15" hidden="false" customHeight="false" outlineLevel="0" collapsed="false">
      <c r="A12" s="32" t="str">
        <f aca="false">IF(Drinks!$A11="","",Drinks!$A11)</f>
        <v>World Cola</v>
      </c>
      <c r="B12" s="10" t="n">
        <f aca="false">IF($A12="","",IF(COUNTIFS('Daily Entry'!$A$4:$A$2003,$D$1,'Daily Entry'!$B$4:$B$2003,$A12)=0,"-",SUMIFS('Daily Entry'!$C$4:$C$2003,'Daily Entry'!$A$4:$A$2003,$D$1,'Daily Entry'!$B$4:$B$2003,$A12)))</f>
        <v>0</v>
      </c>
      <c r="C12" s="10" t="n">
        <f aca="false">IF($A12="","",IF(COUNTIFS('Daily Entry'!$A$4:$A$2003,$D$1,'Daily Entry'!$B$4:$B$2003,$A12)=0,"-",SUMIFS('Daily Entry'!$D$4:$D$2003,'Daily Entry'!$A$4:$A$2003,$D$1,'Daily Entry'!$B$4:$B$2003,$A12)))</f>
        <v>0</v>
      </c>
      <c r="D12" s="10" t="n">
        <f aca="false">IF($A12="","",IF(COUNTIFS('Daily Entry'!$A$4:$A$2003,$D$1,'Daily Entry'!$B$4:$B$2003,$A12)=0,"-",SUMIFS('Daily Entry'!$F$4:$F$2003,'Daily Entry'!$A$4:$A$2003,$D$1,'Daily Entry'!$B$4:$B$2003,$A12)))</f>
        <v>0</v>
      </c>
      <c r="E12" s="10" t="n">
        <f aca="false">IF($A12="","",IF(COUNTIFS('Daily Entry'!$A$4:$A$2003,$D$1,'Daily Entry'!$B$4:$B$2003,$A12)=0,"-",SUMIFS('Daily Entry'!$E$4:$E$2003,'Daily Entry'!$A$4:$A$2003,$D$1,'Daily Entry'!$B$4:$B$2003,$A12)))</f>
        <v>0</v>
      </c>
      <c r="F12" s="10" t="n">
        <f aca="false">IF($A12="","",IF(COUNTIFS('Daily Entry'!$A$4:$A$2003,$D$1,'Daily Entry'!$B$4:$B$2003,$A12)=0,"-",SUMIFS('Daily Entry'!$G$4:$G$2003,'Daily Entry'!$A$4:$A$2003,$D$1,'Daily Entry'!$B$4:$B$2003,$A12)))</f>
        <v>4000</v>
      </c>
      <c r="G12" s="10" t="n">
        <f aca="false">IF($A12="","",IF(COUNTIFS('Daily Entry'!$A$4:$A$2003,$D$1,'Daily Entry'!$B$4:$B$2003,$A12)=0,"-",SUMIFS('Daily Entry'!$I$4:$I$2003,'Daily Entry'!$A$4:$A$2003,$D$1,'Daily Entry'!$B$4:$B$2003,$A12)))</f>
        <v>0</v>
      </c>
      <c r="H12" s="10" t="n">
        <f aca="false">IF($A12="","",IF(COUNTIFS('Daily Entry'!$A$4:$A$2003,$D$1,'Daily Entry'!$B$4:$B$2003,$A12)=0,"-",SUMIFS('Daily Entry'!$J$4:$J$2003,'Daily Entry'!$A$4:$A$2003,$D$1,'Daily Entry'!$B$4:$B$2003,$A12)))</f>
        <v>1</v>
      </c>
      <c r="I12" s="10" t="n">
        <f aca="false">IF($A12="","",IF(COUNTIFS('Daily Entry'!$A$4:$A$2003,$D$1,'Daily Entry'!$B$4:$B$2003,$A12)=0,"-",SUMIFS('Daily Entry'!$K$4:$K$2003,'Daily Entry'!$A$4:$A$2003,$D$1,'Daily Entry'!$B$4:$B$2003,$A12)))</f>
        <v>0</v>
      </c>
      <c r="J12" s="10" t="n">
        <f aca="false">IF($A12="","",IF(COUNTIFS('Daily Entry'!$A$4:$A$2003,$D$1,'Daily Entry'!$B$4:$B$2003,$A12)=0,"-",SUMIFS('Daily Entry'!$L$4:$L$2003,'Daily Entry'!$A$4:$A$2003,$D$1,'Daily Entry'!$B$4:$B$2003,$A12)))</f>
        <v>1</v>
      </c>
      <c r="K12" s="10" t="n">
        <f aca="false">IF($A12="","",IF(COUNTIFS('Daily Entry'!$A$4:$A$2003,$D$1,'Daily Entry'!$B$4:$B$2003,$A12)=0,"-",SUMIFS('Daily Entry'!$M$4:$M$2003,'Daily Entry'!$A$4:$A$2003,$D$1,'Daily Entry'!$B$4:$B$2003,$A12)))</f>
        <v>1</v>
      </c>
      <c r="L12" s="10" t="n">
        <f aca="false">IF($A12="","",IF(COUNTIFS('Daily Entry'!$A$4:$A$2003,$D$1,'Daily Entry'!$B$4:$B$2003,$A12)=0,"-",SUMIFS('Daily Entry'!$O$4:$O$2003,'Daily Entry'!$A$4:$A$2003,$D$1,'Daily Entry'!$B$4:$B$2003,$A12)))</f>
        <v>1000</v>
      </c>
      <c r="M12" s="10" t="n">
        <f aca="false">IF($A12="","",IF(COUNTIFS('Daily Entry'!$A$4:$A$2003,$D$1,'Daily Entry'!$B$4:$B$2003,$A12)=0,"-",SUMIFS('Daily Entry'!$N$4:$N$2003,'Daily Entry'!$A$4:$A$2003,$D$1,'Daily Entry'!$B$4:$B$2003,$A12)))</f>
        <v>0</v>
      </c>
      <c r="N12" s="10" t="n">
        <f aca="false">IF($A12="","",IF(COUNTIFS('Daily Entry'!$A$4:$A$2003,$D$1,'Daily Entry'!$B$4:$B$2003,$A12)=0,"-",SUMIFS('Daily Entry'!$P$4:$P$2003,'Daily Entry'!$A$4:$A$2003,$D$1,'Daily Entry'!$B$4:$B$2003,$A12)))</f>
        <v>0</v>
      </c>
      <c r="O12" s="10" t="n">
        <f aca="false">IF($A12="","",IF(COUNTIFS('Daily Entry'!$A$4:$A$2003,$D$1,'Daily Entry'!$B$4:$B$2003,$A12)=0,"-",SUMIFS('Daily Entry'!$R$4:$R$2003,'Daily Entry'!$A$4:$A$2003,$D$1,'Daily Entry'!$B$4:$B$2003,$A12)))</f>
        <v>0</v>
      </c>
    </row>
    <row r="13" customFormat="false" ht="15" hidden="false" customHeight="false" outlineLevel="0" collapsed="false">
      <c r="A13" s="32" t="str">
        <f aca="false">IF(Drinks!$A12="","",Drinks!$A12)</f>
        <v>Sprite</v>
      </c>
      <c r="B13" s="10" t="n">
        <f aca="false">IF($A13="","",IF(COUNTIFS('Daily Entry'!$A$4:$A$2003,$D$1,'Daily Entry'!$B$4:$B$2003,$A13)=0,"-",SUMIFS('Daily Entry'!$C$4:$C$2003,'Daily Entry'!$A$4:$A$2003,$D$1,'Daily Entry'!$B$4:$B$2003,$A13)))</f>
        <v>1</v>
      </c>
      <c r="C13" s="10" t="n">
        <f aca="false">IF($A13="","",IF(COUNTIFS('Daily Entry'!$A$4:$A$2003,$D$1,'Daily Entry'!$B$4:$B$2003,$A13)=0,"-",SUMIFS('Daily Entry'!$D$4:$D$2003,'Daily Entry'!$A$4:$A$2003,$D$1,'Daily Entry'!$B$4:$B$2003,$A13)))</f>
        <v>0</v>
      </c>
      <c r="D13" s="10" t="n">
        <f aca="false">IF($A13="","",IF(COUNTIFS('Daily Entry'!$A$4:$A$2003,$D$1,'Daily Entry'!$B$4:$B$2003,$A13)=0,"-",SUMIFS('Daily Entry'!$F$4:$F$2003,'Daily Entry'!$A$4:$A$2003,$D$1,'Daily Entry'!$B$4:$B$2003,$A13)))</f>
        <v>1</v>
      </c>
      <c r="E13" s="10" t="n">
        <f aca="false">IF($A13="","",IF(COUNTIFS('Daily Entry'!$A$4:$A$2003,$D$1,'Daily Entry'!$B$4:$B$2003,$A13)=0,"-",SUMIFS('Daily Entry'!$E$4:$E$2003,'Daily Entry'!$A$4:$A$2003,$D$1,'Daily Entry'!$B$4:$B$2003,$A13)))</f>
        <v>0</v>
      </c>
      <c r="F13" s="10" t="n">
        <f aca="false">IF($A13="","",IF(COUNTIFS('Daily Entry'!$A$4:$A$2003,$D$1,'Daily Entry'!$B$4:$B$2003,$A13)=0,"-",SUMIFS('Daily Entry'!$G$4:$G$2003,'Daily Entry'!$A$4:$A$2003,$D$1,'Daily Entry'!$B$4:$B$2003,$A13)))</f>
        <v>4000</v>
      </c>
      <c r="G13" s="10" t="n">
        <f aca="false">IF($A13="","",IF(COUNTIFS('Daily Entry'!$A$4:$A$2003,$D$1,'Daily Entry'!$B$4:$B$2003,$A13)=0,"-",SUMIFS('Daily Entry'!$I$4:$I$2003,'Daily Entry'!$A$4:$A$2003,$D$1,'Daily Entry'!$B$4:$B$2003,$A13)))</f>
        <v>4000</v>
      </c>
      <c r="H13" s="10" t="n">
        <f aca="false">IF($A13="","",IF(COUNTIFS('Daily Entry'!$A$4:$A$2003,$D$1,'Daily Entry'!$B$4:$B$2003,$A13)=0,"-",SUMIFS('Daily Entry'!$J$4:$J$2003,'Daily Entry'!$A$4:$A$2003,$D$1,'Daily Entry'!$B$4:$B$2003,$A13)))</f>
        <v>5</v>
      </c>
      <c r="I13" s="10" t="n">
        <f aca="false">IF($A13="","",IF(COUNTIFS('Daily Entry'!$A$4:$A$2003,$D$1,'Daily Entry'!$B$4:$B$2003,$A13)=0,"-",SUMIFS('Daily Entry'!$K$4:$K$2003,'Daily Entry'!$A$4:$A$2003,$D$1,'Daily Entry'!$B$4:$B$2003,$A13)))</f>
        <v>0</v>
      </c>
      <c r="J13" s="10" t="n">
        <f aca="false">IF($A13="","",IF(COUNTIFS('Daily Entry'!$A$4:$A$2003,$D$1,'Daily Entry'!$B$4:$B$2003,$A13)=0,"-",SUMIFS('Daily Entry'!$L$4:$L$2003,'Daily Entry'!$A$4:$A$2003,$D$1,'Daily Entry'!$B$4:$B$2003,$A13)))</f>
        <v>5</v>
      </c>
      <c r="K13" s="10" t="n">
        <f aca="false">IF($A13="","",IF(COUNTIFS('Daily Entry'!$A$4:$A$2003,$D$1,'Daily Entry'!$B$4:$B$2003,$A13)=0,"-",SUMIFS('Daily Entry'!$M$4:$M$2003,'Daily Entry'!$A$4:$A$2003,$D$1,'Daily Entry'!$B$4:$B$2003,$A13)))</f>
        <v>5</v>
      </c>
      <c r="L13" s="10" t="n">
        <f aca="false">IF($A13="","",IF(COUNTIFS('Daily Entry'!$A$4:$A$2003,$D$1,'Daily Entry'!$B$4:$B$2003,$A13)=0,"-",SUMIFS('Daily Entry'!$O$4:$O$2003,'Daily Entry'!$A$4:$A$2003,$D$1,'Daily Entry'!$B$4:$B$2003,$A13)))</f>
        <v>1000</v>
      </c>
      <c r="M13" s="10" t="n">
        <f aca="false">IF($A13="","",IF(COUNTIFS('Daily Entry'!$A$4:$A$2003,$D$1,'Daily Entry'!$B$4:$B$2003,$A13)=0,"-",SUMIFS('Daily Entry'!$N$4:$N$2003,'Daily Entry'!$A$4:$A$2003,$D$1,'Daily Entry'!$B$4:$B$2003,$A13)))</f>
        <v>0</v>
      </c>
      <c r="N13" s="10" t="n">
        <f aca="false">IF($A13="","",IF(COUNTIFS('Daily Entry'!$A$4:$A$2003,$D$1,'Daily Entry'!$B$4:$B$2003,$A13)=0,"-",SUMIFS('Daily Entry'!$P$4:$P$2003,'Daily Entry'!$A$4:$A$2003,$D$1,'Daily Entry'!$B$4:$B$2003,$A13)))</f>
        <v>0</v>
      </c>
      <c r="O13" s="10" t="n">
        <f aca="false">IF($A13="","",IF(COUNTIFS('Daily Entry'!$A$4:$A$2003,$D$1,'Daily Entry'!$B$4:$B$2003,$A13)=0,"-",SUMIFS('Daily Entry'!$R$4:$R$2003,'Daily Entry'!$A$4:$A$2003,$D$1,'Daily Entry'!$B$4:$B$2003,$A13)))</f>
        <v>0</v>
      </c>
    </row>
    <row r="14" customFormat="false" ht="15" hidden="false" customHeight="false" outlineLevel="0" collapsed="false">
      <c r="A14" s="32" t="str">
        <f aca="false">IF(Drinks!$A13="","",Drinks!$A13)</f>
        <v>Isenbeck</v>
      </c>
      <c r="B14" s="10" t="n">
        <f aca="false">IF($A14="","",IF(COUNTIFS('Daily Entry'!$A$4:$A$2003,$D$1,'Daily Entry'!$B$4:$B$2003,$A14)=0,"-",SUMIFS('Daily Entry'!$C$4:$C$2003,'Daily Entry'!$A$4:$A$2003,$D$1,'Daily Entry'!$B$4:$B$2003,$A14)))</f>
        <v>0</v>
      </c>
      <c r="C14" s="10" t="n">
        <f aca="false">IF($A14="","",IF(COUNTIFS('Daily Entry'!$A$4:$A$2003,$D$1,'Daily Entry'!$B$4:$B$2003,$A14)=0,"-",SUMIFS('Daily Entry'!$D$4:$D$2003,'Daily Entry'!$A$4:$A$2003,$D$1,'Daily Entry'!$B$4:$B$2003,$A14)))</f>
        <v>5</v>
      </c>
      <c r="D14" s="10" t="n">
        <f aca="false">IF($A14="","",IF(COUNTIFS('Daily Entry'!$A$4:$A$2003,$D$1,'Daily Entry'!$B$4:$B$2003,$A14)=0,"-",SUMIFS('Daily Entry'!$F$4:$F$2003,'Daily Entry'!$A$4:$A$2003,$D$1,'Daily Entry'!$B$4:$B$2003,$A14)))</f>
        <v>0</v>
      </c>
      <c r="E14" s="10" t="n">
        <f aca="false">IF($A14="","",IF(COUNTIFS('Daily Entry'!$A$4:$A$2003,$D$1,'Daily Entry'!$B$4:$B$2003,$A14)=0,"-",SUMIFS('Daily Entry'!$E$4:$E$2003,'Daily Entry'!$A$4:$A$2003,$D$1,'Daily Entry'!$B$4:$B$2003,$A14)))</f>
        <v>5</v>
      </c>
      <c r="F14" s="10" t="n">
        <f aca="false">IF($A14="","",IF(COUNTIFS('Daily Entry'!$A$4:$A$2003,$D$1,'Daily Entry'!$B$4:$B$2003,$A14)=0,"-",SUMIFS('Daily Entry'!$G$4:$G$2003,'Daily Entry'!$A$4:$A$2003,$D$1,'Daily Entry'!$B$4:$B$2003,$A14)))</f>
        <v>9500</v>
      </c>
      <c r="G14" s="10" t="n">
        <f aca="false">IF($A14="","",IF(COUNTIFS('Daily Entry'!$A$4:$A$2003,$D$1,'Daily Entry'!$B$4:$B$2003,$A14)=0,"-",SUMIFS('Daily Entry'!$I$4:$I$2003,'Daily Entry'!$A$4:$A$2003,$D$1,'Daily Entry'!$B$4:$B$2003,$A14)))</f>
        <v>0</v>
      </c>
      <c r="H14" s="10" t="n">
        <f aca="false">IF($A14="","",IF(COUNTIFS('Daily Entry'!$A$4:$A$2003,$D$1,'Daily Entry'!$B$4:$B$2003,$A14)=0,"-",SUMIFS('Daily Entry'!$J$4:$J$2003,'Daily Entry'!$A$4:$A$2003,$D$1,'Daily Entry'!$B$4:$B$2003,$A14)))</f>
        <v>2</v>
      </c>
      <c r="I14" s="10" t="n">
        <f aca="false">IF($A14="","",IF(COUNTIFS('Daily Entry'!$A$4:$A$2003,$D$1,'Daily Entry'!$B$4:$B$2003,$A14)=0,"-",SUMIFS('Daily Entry'!$K$4:$K$2003,'Daily Entry'!$A$4:$A$2003,$D$1,'Daily Entry'!$B$4:$B$2003,$A14)))</f>
        <v>60</v>
      </c>
      <c r="J14" s="10" t="n">
        <f aca="false">IF($A14="","",IF(COUNTIFS('Daily Entry'!$A$4:$A$2003,$D$1,'Daily Entry'!$B$4:$B$2003,$A14)=0,"-",SUMIFS('Daily Entry'!$L$4:$L$2003,'Daily Entry'!$A$4:$A$2003,$D$1,'Daily Entry'!$B$4:$B$2003,$A14)))</f>
        <v>62</v>
      </c>
      <c r="K14" s="10" t="n">
        <f aca="false">IF($A14="","",IF(COUNTIFS('Daily Entry'!$A$4:$A$2003,$D$1,'Daily Entry'!$B$4:$B$2003,$A14)=0,"-",SUMIFS('Daily Entry'!$M$4:$M$2003,'Daily Entry'!$A$4:$A$2003,$D$1,'Daily Entry'!$B$4:$B$2003,$A14)))</f>
        <v>45</v>
      </c>
      <c r="L14" s="10" t="n">
        <f aca="false">IF($A14="","",IF(COUNTIFS('Daily Entry'!$A$4:$A$2003,$D$1,'Daily Entry'!$B$4:$B$2003,$A14)=0,"-",SUMIFS('Daily Entry'!$O$4:$O$2003,'Daily Entry'!$A$4:$A$2003,$D$1,'Daily Entry'!$B$4:$B$2003,$A14)))</f>
        <v>1000</v>
      </c>
      <c r="M14" s="10" t="n">
        <f aca="false">IF($A14="","",IF(COUNTIFS('Daily Entry'!$A$4:$A$2003,$D$1,'Daily Entry'!$B$4:$B$2003,$A14)=0,"-",SUMIFS('Daily Entry'!$N$4:$N$2003,'Daily Entry'!$A$4:$A$2003,$D$1,'Daily Entry'!$B$4:$B$2003,$A14)))</f>
        <v>17</v>
      </c>
      <c r="N14" s="10" t="n">
        <f aca="false">IF($A14="","",IF(COUNTIFS('Daily Entry'!$A$4:$A$2003,$D$1,'Daily Entry'!$B$4:$B$2003,$A14)=0,"-",SUMIFS('Daily Entry'!$P$4:$P$2003,'Daily Entry'!$A$4:$A$2003,$D$1,'Daily Entry'!$B$4:$B$2003,$A14)))</f>
        <v>17000</v>
      </c>
      <c r="O14" s="10" t="n">
        <f aca="false">IF($A14="","",IF(COUNTIFS('Daily Entry'!$A$4:$A$2003,$D$1,'Daily Entry'!$B$4:$B$2003,$A14)=0,"-",SUMIFS('Daily Entry'!$R$4:$R$2003,'Daily Entry'!$A$4:$A$2003,$D$1,'Daily Entry'!$B$4:$B$2003,$A14)))</f>
        <v>3541.66666666667</v>
      </c>
    </row>
    <row r="15" customFormat="false" ht="15" hidden="false" customHeight="false" outlineLevel="0" collapsed="false">
      <c r="A15" s="32" t="str">
        <f aca="false">IF(Drinks!$A14="","",Drinks!$A14)</f>
        <v>Booster Cola</v>
      </c>
      <c r="B15" s="10" t="str">
        <f aca="false">IF($A15="","",IF(COUNTIFS('Daily Entry'!$A$4:$A$2003,$D$1,'Daily Entry'!$B$4:$B$2003,$A15)=0,"-",SUMIFS('Daily Entry'!$C$4:$C$2003,'Daily Entry'!$A$4:$A$2003,$D$1,'Daily Entry'!$B$4:$B$2003,$A15)))</f>
        <v>-</v>
      </c>
      <c r="C15" s="10" t="str">
        <f aca="false">IF($A15="","",IF(COUNTIFS('Daily Entry'!$A$4:$A$2003,$D$1,'Daily Entry'!$B$4:$B$2003,$A15)=0,"-",SUMIFS('Daily Entry'!$D$4:$D$2003,'Daily Entry'!$A$4:$A$2003,$D$1,'Daily Entry'!$B$4:$B$2003,$A15)))</f>
        <v>-</v>
      </c>
      <c r="D15" s="10" t="str">
        <f aca="false">IF($A15="","",IF(COUNTIFS('Daily Entry'!$A$4:$A$2003,$D$1,'Daily Entry'!$B$4:$B$2003,$A15)=0,"-",SUMIFS('Daily Entry'!$F$4:$F$2003,'Daily Entry'!$A$4:$A$2003,$D$1,'Daily Entry'!$B$4:$B$2003,$A15)))</f>
        <v>-</v>
      </c>
      <c r="E15" s="10" t="str">
        <f aca="false">IF($A15="","",IF(COUNTIFS('Daily Entry'!$A$4:$A$2003,$D$1,'Daily Entry'!$B$4:$B$2003,$A15)=0,"-",SUMIFS('Daily Entry'!$E$4:$E$2003,'Daily Entry'!$A$4:$A$2003,$D$1,'Daily Entry'!$B$4:$B$2003,$A15)))</f>
        <v>-</v>
      </c>
      <c r="F15" s="10" t="str">
        <f aca="false">IF($A15="","",IF(COUNTIFS('Daily Entry'!$A$4:$A$2003,$D$1,'Daily Entry'!$B$4:$B$2003,$A15)=0,"-",SUMIFS('Daily Entry'!$G$4:$G$2003,'Daily Entry'!$A$4:$A$2003,$D$1,'Daily Entry'!$B$4:$B$2003,$A15)))</f>
        <v>-</v>
      </c>
      <c r="G15" s="10" t="str">
        <f aca="false">IF($A15="","",IF(COUNTIFS('Daily Entry'!$A$4:$A$2003,$D$1,'Daily Entry'!$B$4:$B$2003,$A15)=0,"-",SUMIFS('Daily Entry'!$I$4:$I$2003,'Daily Entry'!$A$4:$A$2003,$D$1,'Daily Entry'!$B$4:$B$2003,$A15)))</f>
        <v>-</v>
      </c>
      <c r="H15" s="10" t="str">
        <f aca="false">IF($A15="","",IF(COUNTIFS('Daily Entry'!$A$4:$A$2003,$D$1,'Daily Entry'!$B$4:$B$2003,$A15)=0,"-",SUMIFS('Daily Entry'!$J$4:$J$2003,'Daily Entry'!$A$4:$A$2003,$D$1,'Daily Entry'!$B$4:$B$2003,$A15)))</f>
        <v>-</v>
      </c>
      <c r="I15" s="10" t="str">
        <f aca="false">IF($A15="","",IF(COUNTIFS('Daily Entry'!$A$4:$A$2003,$D$1,'Daily Entry'!$B$4:$B$2003,$A15)=0,"-",SUMIFS('Daily Entry'!$K$4:$K$2003,'Daily Entry'!$A$4:$A$2003,$D$1,'Daily Entry'!$B$4:$B$2003,$A15)))</f>
        <v>-</v>
      </c>
      <c r="J15" s="10" t="str">
        <f aca="false">IF($A15="","",IF(COUNTIFS('Daily Entry'!$A$4:$A$2003,$D$1,'Daily Entry'!$B$4:$B$2003,$A15)=0,"-",SUMIFS('Daily Entry'!$L$4:$L$2003,'Daily Entry'!$A$4:$A$2003,$D$1,'Daily Entry'!$B$4:$B$2003,$A15)))</f>
        <v>-</v>
      </c>
      <c r="K15" s="10" t="str">
        <f aca="false">IF($A15="","",IF(COUNTIFS('Daily Entry'!$A$4:$A$2003,$D$1,'Daily Entry'!$B$4:$B$2003,$A15)=0,"-",SUMIFS('Daily Entry'!$M$4:$M$2003,'Daily Entry'!$A$4:$A$2003,$D$1,'Daily Entry'!$B$4:$B$2003,$A15)))</f>
        <v>-</v>
      </c>
      <c r="L15" s="10" t="str">
        <f aca="false">IF($A15="","",IF(COUNTIFS('Daily Entry'!$A$4:$A$2003,$D$1,'Daily Entry'!$B$4:$B$2003,$A15)=0,"-",SUMIFS('Daily Entry'!$O$4:$O$2003,'Daily Entry'!$A$4:$A$2003,$D$1,'Daily Entry'!$B$4:$B$2003,$A15)))</f>
        <v>-</v>
      </c>
      <c r="M15" s="10" t="str">
        <f aca="false">IF($A15="","",IF(COUNTIFS('Daily Entry'!$A$4:$A$2003,$D$1,'Daily Entry'!$B$4:$B$2003,$A15)=0,"-",SUMIFS('Daily Entry'!$N$4:$N$2003,'Daily Entry'!$A$4:$A$2003,$D$1,'Daily Entry'!$B$4:$B$2003,$A15)))</f>
        <v>-</v>
      </c>
      <c r="N15" s="10" t="str">
        <f aca="false">IF($A15="","",IF(COUNTIFS('Daily Entry'!$A$4:$A$2003,$D$1,'Daily Entry'!$B$4:$B$2003,$A15)=0,"-",SUMIFS('Daily Entry'!$P$4:$P$2003,'Daily Entry'!$A$4:$A$2003,$D$1,'Daily Entry'!$B$4:$B$2003,$A15)))</f>
        <v>-</v>
      </c>
      <c r="O15" s="10" t="str">
        <f aca="false">IF($A15="","",IF(COUNTIFS('Daily Entry'!$A$4:$A$2003,$D$1,'Daily Entry'!$B$4:$B$2003,$A15)=0,"-",SUMIFS('Daily Entry'!$R$4:$R$2003,'Daily Entry'!$A$4:$A$2003,$D$1,'Daily Entry'!$B$4:$B$2003,$A15)))</f>
        <v>-</v>
      </c>
    </row>
    <row r="16" customFormat="false" ht="15" hidden="false" customHeight="false" outlineLevel="0" collapsed="false">
      <c r="A16" s="32" t="str">
        <f aca="false">IF(Drinks!$A15="","",Drinks!$A15)</f>
        <v>Booster Gin</v>
      </c>
      <c r="B16" s="10" t="n">
        <f aca="false">IF($A16="","",IF(COUNTIFS('Daily Entry'!$A$4:$A$2003,$D$1,'Daily Entry'!$B$4:$B$2003,$A16)=0,"-",SUMIFS('Daily Entry'!$C$4:$C$2003,'Daily Entry'!$A$4:$A$2003,$D$1,'Daily Entry'!$B$4:$B$2003,$A16)))</f>
        <v>0</v>
      </c>
      <c r="C16" s="10" t="n">
        <f aca="false">IF($A16="","",IF(COUNTIFS('Daily Entry'!$A$4:$A$2003,$D$1,'Daily Entry'!$B$4:$B$2003,$A16)=0,"-",SUMIFS('Daily Entry'!$D$4:$D$2003,'Daily Entry'!$A$4:$A$2003,$D$1,'Daily Entry'!$B$4:$B$2003,$A16)))</f>
        <v>0</v>
      </c>
      <c r="D16" s="10" t="n">
        <f aca="false">IF($A16="","",IF(COUNTIFS('Daily Entry'!$A$4:$A$2003,$D$1,'Daily Entry'!$B$4:$B$2003,$A16)=0,"-",SUMIFS('Daily Entry'!$F$4:$F$2003,'Daily Entry'!$A$4:$A$2003,$D$1,'Daily Entry'!$B$4:$B$2003,$A16)))</f>
        <v>0</v>
      </c>
      <c r="E16" s="10" t="n">
        <f aca="false">IF($A16="","",IF(COUNTIFS('Daily Entry'!$A$4:$A$2003,$D$1,'Daily Entry'!$B$4:$B$2003,$A16)=0,"-",SUMIFS('Daily Entry'!$E$4:$E$2003,'Daily Entry'!$A$4:$A$2003,$D$1,'Daily Entry'!$B$4:$B$2003,$A16)))</f>
        <v>0</v>
      </c>
      <c r="F16" s="10" t="n">
        <f aca="false">IF($A16="","",IF(COUNTIFS('Daily Entry'!$A$4:$A$2003,$D$1,'Daily Entry'!$B$4:$B$2003,$A16)=0,"-",SUMIFS('Daily Entry'!$G$4:$G$2003,'Daily Entry'!$A$4:$A$2003,$D$1,'Daily Entry'!$B$4:$B$2003,$A16)))</f>
        <v>8500</v>
      </c>
      <c r="G16" s="10" t="n">
        <f aca="false">IF($A16="","",IF(COUNTIFS('Daily Entry'!$A$4:$A$2003,$D$1,'Daily Entry'!$B$4:$B$2003,$A16)=0,"-",SUMIFS('Daily Entry'!$I$4:$I$2003,'Daily Entry'!$A$4:$A$2003,$D$1,'Daily Entry'!$B$4:$B$2003,$A16)))</f>
        <v>0</v>
      </c>
      <c r="H16" s="10" t="n">
        <f aca="false">IF($A16="","",IF(COUNTIFS('Daily Entry'!$A$4:$A$2003,$D$1,'Daily Entry'!$B$4:$B$2003,$A16)=0,"-",SUMIFS('Daily Entry'!$J$4:$J$2003,'Daily Entry'!$A$4:$A$2003,$D$1,'Daily Entry'!$B$4:$B$2003,$A16)))</f>
        <v>5</v>
      </c>
      <c r="I16" s="10" t="n">
        <f aca="false">IF($A16="","",IF(COUNTIFS('Daily Entry'!$A$4:$A$2003,$D$1,'Daily Entry'!$B$4:$B$2003,$A16)=0,"-",SUMIFS('Daily Entry'!$K$4:$K$2003,'Daily Entry'!$A$4:$A$2003,$D$1,'Daily Entry'!$B$4:$B$2003,$A16)))</f>
        <v>0</v>
      </c>
      <c r="J16" s="10" t="n">
        <f aca="false">IF($A16="","",IF(COUNTIFS('Daily Entry'!$A$4:$A$2003,$D$1,'Daily Entry'!$B$4:$B$2003,$A16)=0,"-",SUMIFS('Daily Entry'!$L$4:$L$2003,'Daily Entry'!$A$4:$A$2003,$D$1,'Daily Entry'!$B$4:$B$2003,$A16)))</f>
        <v>5</v>
      </c>
      <c r="K16" s="10" t="n">
        <f aca="false">IF($A16="","",IF(COUNTIFS('Daily Entry'!$A$4:$A$2003,$D$1,'Daily Entry'!$B$4:$B$2003,$A16)=0,"-",SUMIFS('Daily Entry'!$M$4:$M$2003,'Daily Entry'!$A$4:$A$2003,$D$1,'Daily Entry'!$B$4:$B$2003,$A16)))</f>
        <v>0</v>
      </c>
      <c r="L16" s="10" t="n">
        <f aca="false">IF($A16="","",IF(COUNTIFS('Daily Entry'!$A$4:$A$2003,$D$1,'Daily Entry'!$B$4:$B$2003,$A16)=0,"-",SUMIFS('Daily Entry'!$O$4:$O$2003,'Daily Entry'!$A$4:$A$2003,$D$1,'Daily Entry'!$B$4:$B$2003,$A16)))</f>
        <v>1000</v>
      </c>
      <c r="M16" s="10" t="n">
        <f aca="false">IF($A16="","",IF(COUNTIFS('Daily Entry'!$A$4:$A$2003,$D$1,'Daily Entry'!$B$4:$B$2003,$A16)=0,"-",SUMIFS('Daily Entry'!$N$4:$N$2003,'Daily Entry'!$A$4:$A$2003,$D$1,'Daily Entry'!$B$4:$B$2003,$A16)))</f>
        <v>5</v>
      </c>
      <c r="N16" s="10" t="n">
        <f aca="false">IF($A16="","",IF(COUNTIFS('Daily Entry'!$A$4:$A$2003,$D$1,'Daily Entry'!$B$4:$B$2003,$A16)=0,"-",SUMIFS('Daily Entry'!$P$4:$P$2003,'Daily Entry'!$A$4:$A$2003,$D$1,'Daily Entry'!$B$4:$B$2003,$A16)))</f>
        <v>5000</v>
      </c>
      <c r="O16" s="10" t="n">
        <f aca="false">IF($A16="","",IF(COUNTIFS('Daily Entry'!$A$4:$A$2003,$D$1,'Daily Entry'!$B$4:$B$2003,$A16)=0,"-",SUMIFS('Daily Entry'!$R$4:$R$2003,'Daily Entry'!$A$4:$A$2003,$D$1,'Daily Entry'!$B$4:$B$2003,$A16)))</f>
        <v>1458.33333333333</v>
      </c>
    </row>
    <row r="17" customFormat="false" ht="15" hidden="false" customHeight="false" outlineLevel="0" collapsed="false">
      <c r="A17" s="32" t="str">
        <f aca="false">IF(Drinks!$A16="","",Drinks!$A16)</f>
        <v>Booster Mango</v>
      </c>
      <c r="B17" s="10" t="n">
        <f aca="false">IF($A17="","",IF(COUNTIFS('Daily Entry'!$A$4:$A$2003,$D$1,'Daily Entry'!$B$4:$B$2003,$A17)=0,"-",SUMIFS('Daily Entry'!$C$4:$C$2003,'Daily Entry'!$A$4:$A$2003,$D$1,'Daily Entry'!$B$4:$B$2003,$A17)))</f>
        <v>0</v>
      </c>
      <c r="C17" s="10" t="n">
        <f aca="false">IF($A17="","",IF(COUNTIFS('Daily Entry'!$A$4:$A$2003,$D$1,'Daily Entry'!$B$4:$B$2003,$A17)=0,"-",SUMIFS('Daily Entry'!$D$4:$D$2003,'Daily Entry'!$A$4:$A$2003,$D$1,'Daily Entry'!$B$4:$B$2003,$A17)))</f>
        <v>0</v>
      </c>
      <c r="D17" s="10" t="n">
        <f aca="false">IF($A17="","",IF(COUNTIFS('Daily Entry'!$A$4:$A$2003,$D$1,'Daily Entry'!$B$4:$B$2003,$A17)=0,"-",SUMIFS('Daily Entry'!$F$4:$F$2003,'Daily Entry'!$A$4:$A$2003,$D$1,'Daily Entry'!$B$4:$B$2003,$A17)))</f>
        <v>0</v>
      </c>
      <c r="E17" s="10" t="n">
        <f aca="false">IF($A17="","",IF(COUNTIFS('Daily Entry'!$A$4:$A$2003,$D$1,'Daily Entry'!$B$4:$B$2003,$A17)=0,"-",SUMIFS('Daily Entry'!$E$4:$E$2003,'Daily Entry'!$A$4:$A$2003,$D$1,'Daily Entry'!$B$4:$B$2003,$A17)))</f>
        <v>0</v>
      </c>
      <c r="F17" s="10" t="n">
        <f aca="false">IF($A17="","",IF(COUNTIFS('Daily Entry'!$A$4:$A$2003,$D$1,'Daily Entry'!$B$4:$B$2003,$A17)=0,"-",SUMIFS('Daily Entry'!$G$4:$G$2003,'Daily Entry'!$A$4:$A$2003,$D$1,'Daily Entry'!$B$4:$B$2003,$A17)))</f>
        <v>8500</v>
      </c>
      <c r="G17" s="10" t="n">
        <f aca="false">IF($A17="","",IF(COUNTIFS('Daily Entry'!$A$4:$A$2003,$D$1,'Daily Entry'!$B$4:$B$2003,$A17)=0,"-",SUMIFS('Daily Entry'!$I$4:$I$2003,'Daily Entry'!$A$4:$A$2003,$D$1,'Daily Entry'!$B$4:$B$2003,$A17)))</f>
        <v>0</v>
      </c>
      <c r="H17" s="10" t="n">
        <f aca="false">IF($A17="","",IF(COUNTIFS('Daily Entry'!$A$4:$A$2003,$D$1,'Daily Entry'!$B$4:$B$2003,$A17)=0,"-",SUMIFS('Daily Entry'!$J$4:$J$2003,'Daily Entry'!$A$4:$A$2003,$D$1,'Daily Entry'!$B$4:$B$2003,$A17)))</f>
        <v>25</v>
      </c>
      <c r="I17" s="10" t="n">
        <f aca="false">IF($A17="","",IF(COUNTIFS('Daily Entry'!$A$4:$A$2003,$D$1,'Daily Entry'!$B$4:$B$2003,$A17)=0,"-",SUMIFS('Daily Entry'!$K$4:$K$2003,'Daily Entry'!$A$4:$A$2003,$D$1,'Daily Entry'!$B$4:$B$2003,$A17)))</f>
        <v>0</v>
      </c>
      <c r="J17" s="10" t="n">
        <f aca="false">IF($A17="","",IF(COUNTIFS('Daily Entry'!$A$4:$A$2003,$D$1,'Daily Entry'!$B$4:$B$2003,$A17)=0,"-",SUMIFS('Daily Entry'!$L$4:$L$2003,'Daily Entry'!$A$4:$A$2003,$D$1,'Daily Entry'!$B$4:$B$2003,$A17)))</f>
        <v>25</v>
      </c>
      <c r="K17" s="10" t="n">
        <f aca="false">IF($A17="","",IF(COUNTIFS('Daily Entry'!$A$4:$A$2003,$D$1,'Daily Entry'!$B$4:$B$2003,$A17)=0,"-",SUMIFS('Daily Entry'!$M$4:$M$2003,'Daily Entry'!$A$4:$A$2003,$D$1,'Daily Entry'!$B$4:$B$2003,$A17)))</f>
        <v>2</v>
      </c>
      <c r="L17" s="10" t="n">
        <f aca="false">IF($A17="","",IF(COUNTIFS('Daily Entry'!$A$4:$A$2003,$D$1,'Daily Entry'!$B$4:$B$2003,$A17)=0,"-",SUMIFS('Daily Entry'!$O$4:$O$2003,'Daily Entry'!$A$4:$A$2003,$D$1,'Daily Entry'!$B$4:$B$2003,$A17)))</f>
        <v>1000</v>
      </c>
      <c r="M17" s="10" t="n">
        <f aca="false">IF($A17="","",IF(COUNTIFS('Daily Entry'!$A$4:$A$2003,$D$1,'Daily Entry'!$B$4:$B$2003,$A17)=0,"-",SUMIFS('Daily Entry'!$N$4:$N$2003,'Daily Entry'!$A$4:$A$2003,$D$1,'Daily Entry'!$B$4:$B$2003,$A17)))</f>
        <v>23</v>
      </c>
      <c r="N17" s="10" t="n">
        <f aca="false">IF($A17="","",IF(COUNTIFS('Daily Entry'!$A$4:$A$2003,$D$1,'Daily Entry'!$B$4:$B$2003,$A17)=0,"-",SUMIFS('Daily Entry'!$P$4:$P$2003,'Daily Entry'!$A$4:$A$2003,$D$1,'Daily Entry'!$B$4:$B$2003,$A17)))</f>
        <v>23000</v>
      </c>
      <c r="O17" s="10" t="n">
        <f aca="false">IF($A17="","",IF(COUNTIFS('Daily Entry'!$A$4:$A$2003,$D$1,'Daily Entry'!$B$4:$B$2003,$A17)=0,"-",SUMIFS('Daily Entry'!$R$4:$R$2003,'Daily Entry'!$A$4:$A$2003,$D$1,'Daily Entry'!$B$4:$B$2003,$A17)))</f>
        <v>6708.33333333333</v>
      </c>
    </row>
    <row r="18" customFormat="false" ht="15" hidden="false" customHeight="false" outlineLevel="0" collapsed="false">
      <c r="A18" s="32" t="str">
        <f aca="false">IF(Drinks!$A17="","",Drinks!$A17)</f>
        <v>Big Guinness</v>
      </c>
      <c r="B18" s="10" t="n">
        <f aca="false">IF($A18="","",IF(COUNTIFS('Daily Entry'!$A$4:$A$2003,$D$1,'Daily Entry'!$B$4:$B$2003,$A18)=0,"-",SUMIFS('Daily Entry'!$C$4:$C$2003,'Daily Entry'!$A$4:$A$2003,$D$1,'Daily Entry'!$B$4:$B$2003,$A18)))</f>
        <v>1</v>
      </c>
      <c r="C18" s="10" t="n">
        <f aca="false">IF($A18="","",IF(COUNTIFS('Daily Entry'!$A$4:$A$2003,$D$1,'Daily Entry'!$B$4:$B$2003,$A18)=0,"-",SUMIFS('Daily Entry'!$D$4:$D$2003,'Daily Entry'!$A$4:$A$2003,$D$1,'Daily Entry'!$B$4:$B$2003,$A18)))</f>
        <v>0</v>
      </c>
      <c r="D18" s="10" t="n">
        <f aca="false">IF($A18="","",IF(COUNTIFS('Daily Entry'!$A$4:$A$2003,$D$1,'Daily Entry'!$B$4:$B$2003,$A18)=0,"-",SUMIFS('Daily Entry'!$F$4:$F$2003,'Daily Entry'!$A$4:$A$2003,$D$1,'Daily Entry'!$B$4:$B$2003,$A18)))</f>
        <v>0</v>
      </c>
      <c r="E18" s="10" t="n">
        <f aca="false">IF($A18="","",IF(COUNTIFS('Daily Entry'!$A$4:$A$2003,$D$1,'Daily Entry'!$B$4:$B$2003,$A18)=0,"-",SUMIFS('Daily Entry'!$E$4:$E$2003,'Daily Entry'!$A$4:$A$2003,$D$1,'Daily Entry'!$B$4:$B$2003,$A18)))</f>
        <v>1</v>
      </c>
      <c r="F18" s="10" t="n">
        <f aca="false">IF($A18="","",IF(COUNTIFS('Daily Entry'!$A$4:$A$2003,$D$1,'Daily Entry'!$B$4:$B$2003,$A18)=0,"-",SUMIFS('Daily Entry'!$G$4:$G$2003,'Daily Entry'!$A$4:$A$2003,$D$1,'Daily Entry'!$B$4:$B$2003,$A18)))</f>
        <v>14000</v>
      </c>
      <c r="G18" s="10" t="n">
        <f aca="false">IF($A18="","",IF(COUNTIFS('Daily Entry'!$A$4:$A$2003,$D$1,'Daily Entry'!$B$4:$B$2003,$A18)=0,"-",SUMIFS('Daily Entry'!$I$4:$I$2003,'Daily Entry'!$A$4:$A$2003,$D$1,'Daily Entry'!$B$4:$B$2003,$A18)))</f>
        <v>0</v>
      </c>
      <c r="H18" s="10" t="n">
        <f aca="false">IF($A18="","",IF(COUNTIFS('Daily Entry'!$A$4:$A$2003,$D$1,'Daily Entry'!$B$4:$B$2003,$A18)=0,"-",SUMIFS('Daily Entry'!$J$4:$J$2003,'Daily Entry'!$A$4:$A$2003,$D$1,'Daily Entry'!$B$4:$B$2003,$A18)))</f>
        <v>12</v>
      </c>
      <c r="I18" s="10" t="n">
        <f aca="false">IF($A18="","",IF(COUNTIFS('Daily Entry'!$A$4:$A$2003,$D$1,'Daily Entry'!$B$4:$B$2003,$A18)=0,"-",SUMIFS('Daily Entry'!$K$4:$K$2003,'Daily Entry'!$A$4:$A$2003,$D$1,'Daily Entry'!$B$4:$B$2003,$A18)))</f>
        <v>12</v>
      </c>
      <c r="J18" s="10" t="n">
        <f aca="false">IF($A18="","",IF(COUNTIFS('Daily Entry'!$A$4:$A$2003,$D$1,'Daily Entry'!$B$4:$B$2003,$A18)=0,"-",SUMIFS('Daily Entry'!$L$4:$L$2003,'Daily Entry'!$A$4:$A$2003,$D$1,'Daily Entry'!$B$4:$B$2003,$A18)))</f>
        <v>24</v>
      </c>
      <c r="K18" s="10" t="n">
        <f aca="false">IF($A18="","",IF(COUNTIFS('Daily Entry'!$A$4:$A$2003,$D$1,'Daily Entry'!$B$4:$B$2003,$A18)=0,"-",SUMIFS('Daily Entry'!$M$4:$M$2003,'Daily Entry'!$A$4:$A$2003,$D$1,'Daily Entry'!$B$4:$B$2003,$A18)))</f>
        <v>11</v>
      </c>
      <c r="L18" s="10" t="n">
        <f aca="false">IF($A18="","",IF(COUNTIFS('Daily Entry'!$A$4:$A$2003,$D$1,'Daily Entry'!$B$4:$B$2003,$A18)=0,"-",SUMIFS('Daily Entry'!$O$4:$O$2003,'Daily Entry'!$A$4:$A$2003,$D$1,'Daily Entry'!$B$4:$B$2003,$A18)))</f>
        <v>1500</v>
      </c>
      <c r="M18" s="10" t="n">
        <f aca="false">IF($A18="","",IF(COUNTIFS('Daily Entry'!$A$4:$A$2003,$D$1,'Daily Entry'!$B$4:$B$2003,$A18)=0,"-",SUMIFS('Daily Entry'!$N$4:$N$2003,'Daily Entry'!$A$4:$A$2003,$D$1,'Daily Entry'!$B$4:$B$2003,$A18)))</f>
        <v>13</v>
      </c>
      <c r="N18" s="10" t="n">
        <f aca="false">IF($A18="","",IF(COUNTIFS('Daily Entry'!$A$4:$A$2003,$D$1,'Daily Entry'!$B$4:$B$2003,$A18)=0,"-",SUMIFS('Daily Entry'!$P$4:$P$2003,'Daily Entry'!$A$4:$A$2003,$D$1,'Daily Entry'!$B$4:$B$2003,$A18)))</f>
        <v>19500</v>
      </c>
      <c r="O18" s="10" t="n">
        <f aca="false">IF($A18="","",IF(COUNTIFS('Daily Entry'!$A$4:$A$2003,$D$1,'Daily Entry'!$B$4:$B$2003,$A18)=0,"-",SUMIFS('Daily Entry'!$R$4:$R$2003,'Daily Entry'!$A$4:$A$2003,$D$1,'Daily Entry'!$B$4:$B$2003,$A18)))</f>
        <v>4333.33333333333</v>
      </c>
    </row>
    <row r="19" customFormat="false" ht="15" hidden="false" customHeight="false" outlineLevel="0" collapsed="false">
      <c r="A19" s="32" t="str">
        <f aca="false">IF(Drinks!$A18="","",Drinks!$A18)</f>
        <v>Big Smooth</v>
      </c>
      <c r="B19" s="10" t="str">
        <f aca="false">IF($A19="","",IF(COUNTIFS('Daily Entry'!$A$4:$A$2003,$D$1,'Daily Entry'!$B$4:$B$2003,$A19)=0,"-",SUMIFS('Daily Entry'!$C$4:$C$2003,'Daily Entry'!$A$4:$A$2003,$D$1,'Daily Entry'!$B$4:$B$2003,$A19)))</f>
        <v>-</v>
      </c>
      <c r="C19" s="10" t="str">
        <f aca="false">IF($A19="","",IF(COUNTIFS('Daily Entry'!$A$4:$A$2003,$D$1,'Daily Entry'!$B$4:$B$2003,$A19)=0,"-",SUMIFS('Daily Entry'!$D$4:$D$2003,'Daily Entry'!$A$4:$A$2003,$D$1,'Daily Entry'!$B$4:$B$2003,$A19)))</f>
        <v>-</v>
      </c>
      <c r="D19" s="10" t="str">
        <f aca="false">IF($A19="","",IF(COUNTIFS('Daily Entry'!$A$4:$A$2003,$D$1,'Daily Entry'!$B$4:$B$2003,$A19)=0,"-",SUMIFS('Daily Entry'!$F$4:$F$2003,'Daily Entry'!$A$4:$A$2003,$D$1,'Daily Entry'!$B$4:$B$2003,$A19)))</f>
        <v>-</v>
      </c>
      <c r="E19" s="10" t="str">
        <f aca="false">IF($A19="","",IF(COUNTIFS('Daily Entry'!$A$4:$A$2003,$D$1,'Daily Entry'!$B$4:$B$2003,$A19)=0,"-",SUMIFS('Daily Entry'!$E$4:$E$2003,'Daily Entry'!$A$4:$A$2003,$D$1,'Daily Entry'!$B$4:$B$2003,$A19)))</f>
        <v>-</v>
      </c>
      <c r="F19" s="10" t="str">
        <f aca="false">IF($A19="","",IF(COUNTIFS('Daily Entry'!$A$4:$A$2003,$D$1,'Daily Entry'!$B$4:$B$2003,$A19)=0,"-",SUMIFS('Daily Entry'!$G$4:$G$2003,'Daily Entry'!$A$4:$A$2003,$D$1,'Daily Entry'!$B$4:$B$2003,$A19)))</f>
        <v>-</v>
      </c>
      <c r="G19" s="10" t="str">
        <f aca="false">IF($A19="","",IF(COUNTIFS('Daily Entry'!$A$4:$A$2003,$D$1,'Daily Entry'!$B$4:$B$2003,$A19)=0,"-",SUMIFS('Daily Entry'!$I$4:$I$2003,'Daily Entry'!$A$4:$A$2003,$D$1,'Daily Entry'!$B$4:$B$2003,$A19)))</f>
        <v>-</v>
      </c>
      <c r="H19" s="10" t="str">
        <f aca="false">IF($A19="","",IF(COUNTIFS('Daily Entry'!$A$4:$A$2003,$D$1,'Daily Entry'!$B$4:$B$2003,$A19)=0,"-",SUMIFS('Daily Entry'!$J$4:$J$2003,'Daily Entry'!$A$4:$A$2003,$D$1,'Daily Entry'!$B$4:$B$2003,$A19)))</f>
        <v>-</v>
      </c>
      <c r="I19" s="10" t="str">
        <f aca="false">IF($A19="","",IF(COUNTIFS('Daily Entry'!$A$4:$A$2003,$D$1,'Daily Entry'!$B$4:$B$2003,$A19)=0,"-",SUMIFS('Daily Entry'!$K$4:$K$2003,'Daily Entry'!$A$4:$A$2003,$D$1,'Daily Entry'!$B$4:$B$2003,$A19)))</f>
        <v>-</v>
      </c>
      <c r="J19" s="10" t="str">
        <f aca="false">IF($A19="","",IF(COUNTIFS('Daily Entry'!$A$4:$A$2003,$D$1,'Daily Entry'!$B$4:$B$2003,$A19)=0,"-",SUMIFS('Daily Entry'!$L$4:$L$2003,'Daily Entry'!$A$4:$A$2003,$D$1,'Daily Entry'!$B$4:$B$2003,$A19)))</f>
        <v>-</v>
      </c>
      <c r="K19" s="10" t="str">
        <f aca="false">IF($A19="","",IF(COUNTIFS('Daily Entry'!$A$4:$A$2003,$D$1,'Daily Entry'!$B$4:$B$2003,$A19)=0,"-",SUMIFS('Daily Entry'!$M$4:$M$2003,'Daily Entry'!$A$4:$A$2003,$D$1,'Daily Entry'!$B$4:$B$2003,$A19)))</f>
        <v>-</v>
      </c>
      <c r="L19" s="10" t="str">
        <f aca="false">IF($A19="","",IF(COUNTIFS('Daily Entry'!$A$4:$A$2003,$D$1,'Daily Entry'!$B$4:$B$2003,$A19)=0,"-",SUMIFS('Daily Entry'!$O$4:$O$2003,'Daily Entry'!$A$4:$A$2003,$D$1,'Daily Entry'!$B$4:$B$2003,$A19)))</f>
        <v>-</v>
      </c>
      <c r="M19" s="10" t="str">
        <f aca="false">IF($A19="","",IF(COUNTIFS('Daily Entry'!$A$4:$A$2003,$D$1,'Daily Entry'!$B$4:$B$2003,$A19)=0,"-",SUMIFS('Daily Entry'!$N$4:$N$2003,'Daily Entry'!$A$4:$A$2003,$D$1,'Daily Entry'!$B$4:$B$2003,$A19)))</f>
        <v>-</v>
      </c>
      <c r="N19" s="10" t="str">
        <f aca="false">IF($A19="","",IF(COUNTIFS('Daily Entry'!$A$4:$A$2003,$D$1,'Daily Entry'!$B$4:$B$2003,$A19)=0,"-",SUMIFS('Daily Entry'!$P$4:$P$2003,'Daily Entry'!$A$4:$A$2003,$D$1,'Daily Entry'!$B$4:$B$2003,$A19)))</f>
        <v>-</v>
      </c>
      <c r="O19" s="10" t="str">
        <f aca="false">IF($A19="","",IF(COUNTIFS('Daily Entry'!$A$4:$A$2003,$D$1,'Daily Entry'!$B$4:$B$2003,$A19)=0,"-",SUMIFS('Daily Entry'!$R$4:$R$2003,'Daily Entry'!$A$4:$A$2003,$D$1,'Daily Entry'!$B$4:$B$2003,$A19)))</f>
        <v>-</v>
      </c>
    </row>
    <row r="20" customFormat="false" ht="15" hidden="false" customHeight="false" outlineLevel="0" collapsed="false">
      <c r="A20" s="32" t="str">
        <f aca="false">IF(Drinks!$A19="","",Drinks!$A19)</f>
        <v>Small Smooth</v>
      </c>
      <c r="B20" s="10" t="n">
        <f aca="false">IF($A20="","",IF(COUNTIFS('Daily Entry'!$A$4:$A$2003,$D$1,'Daily Entry'!$B$4:$B$2003,$A20)=0,"-",SUMIFS('Daily Entry'!$C$4:$C$2003,'Daily Entry'!$A$4:$A$2003,$D$1,'Daily Entry'!$B$4:$B$2003,$A20)))</f>
        <v>1</v>
      </c>
      <c r="C20" s="10" t="n">
        <f aca="false">IF($A20="","",IF(COUNTIFS('Daily Entry'!$A$4:$A$2003,$D$1,'Daily Entry'!$B$4:$B$2003,$A20)=0,"-",SUMIFS('Daily Entry'!$D$4:$D$2003,'Daily Entry'!$A$4:$A$2003,$D$1,'Daily Entry'!$B$4:$B$2003,$A20)))</f>
        <v>0</v>
      </c>
      <c r="D20" s="10" t="n">
        <f aca="false">IF($A20="","",IF(COUNTIFS('Daily Entry'!$A$4:$A$2003,$D$1,'Daily Entry'!$B$4:$B$2003,$A20)=0,"-",SUMIFS('Daily Entry'!$F$4:$F$2003,'Daily Entry'!$A$4:$A$2003,$D$1,'Daily Entry'!$B$4:$B$2003,$A20)))</f>
        <v>1</v>
      </c>
      <c r="E20" s="10" t="n">
        <f aca="false">IF($A20="","",IF(COUNTIFS('Daily Entry'!$A$4:$A$2003,$D$1,'Daily Entry'!$B$4:$B$2003,$A20)=0,"-",SUMIFS('Daily Entry'!$E$4:$E$2003,'Daily Entry'!$A$4:$A$2003,$D$1,'Daily Entry'!$B$4:$B$2003,$A20)))</f>
        <v>0</v>
      </c>
      <c r="F20" s="10" t="n">
        <f aca="false">IF($A20="","",IF(COUNTIFS('Daily Entry'!$A$4:$A$2003,$D$1,'Daily Entry'!$B$4:$B$2003,$A20)=0,"-",SUMIFS('Daily Entry'!$G$4:$G$2003,'Daily Entry'!$A$4:$A$2003,$D$1,'Daily Entry'!$B$4:$B$2003,$A20)))</f>
        <v>13000</v>
      </c>
      <c r="G20" s="10" t="n">
        <f aca="false">IF($A20="","",IF(COUNTIFS('Daily Entry'!$A$4:$A$2003,$D$1,'Daily Entry'!$B$4:$B$2003,$A20)=0,"-",SUMIFS('Daily Entry'!$I$4:$I$2003,'Daily Entry'!$A$4:$A$2003,$D$1,'Daily Entry'!$B$4:$B$2003,$A20)))</f>
        <v>13000</v>
      </c>
      <c r="H20" s="10" t="n">
        <f aca="false">IF($A20="","",IF(COUNTIFS('Daily Entry'!$A$4:$A$2003,$D$1,'Daily Entry'!$B$4:$B$2003,$A20)=0,"-",SUMIFS('Daily Entry'!$J$4:$J$2003,'Daily Entry'!$A$4:$A$2003,$D$1,'Daily Entry'!$B$4:$B$2003,$A20)))</f>
        <v>24</v>
      </c>
      <c r="I20" s="10" t="n">
        <f aca="false">IF($A20="","",IF(COUNTIFS('Daily Entry'!$A$4:$A$2003,$D$1,'Daily Entry'!$B$4:$B$2003,$A20)=0,"-",SUMIFS('Daily Entry'!$K$4:$K$2003,'Daily Entry'!$A$4:$A$2003,$D$1,'Daily Entry'!$B$4:$B$2003,$A20)))</f>
        <v>0</v>
      </c>
      <c r="J20" s="10" t="n">
        <f aca="false">IF($A20="","",IF(COUNTIFS('Daily Entry'!$A$4:$A$2003,$D$1,'Daily Entry'!$B$4:$B$2003,$A20)=0,"-",SUMIFS('Daily Entry'!$L$4:$L$2003,'Daily Entry'!$A$4:$A$2003,$D$1,'Daily Entry'!$B$4:$B$2003,$A20)))</f>
        <v>24</v>
      </c>
      <c r="K20" s="10" t="n">
        <f aca="false">IF($A20="","",IF(COUNTIFS('Daily Entry'!$A$4:$A$2003,$D$1,'Daily Entry'!$B$4:$B$2003,$A20)=0,"-",SUMIFS('Daily Entry'!$M$4:$M$2003,'Daily Entry'!$A$4:$A$2003,$D$1,'Daily Entry'!$B$4:$B$2003,$A20)))</f>
        <v>11</v>
      </c>
      <c r="L20" s="10" t="n">
        <f aca="false">IF($A20="","",IF(COUNTIFS('Daily Entry'!$A$4:$A$2003,$D$1,'Daily Entry'!$B$4:$B$2003,$A20)=0,"-",SUMIFS('Daily Entry'!$O$4:$O$2003,'Daily Entry'!$A$4:$A$2003,$D$1,'Daily Entry'!$B$4:$B$2003,$A20)))</f>
        <v>1000</v>
      </c>
      <c r="M20" s="10" t="n">
        <f aca="false">IF($A20="","",IF(COUNTIFS('Daily Entry'!$A$4:$A$2003,$D$1,'Daily Entry'!$B$4:$B$2003,$A20)=0,"-",SUMIFS('Daily Entry'!$N$4:$N$2003,'Daily Entry'!$A$4:$A$2003,$D$1,'Daily Entry'!$B$4:$B$2003,$A20)))</f>
        <v>13</v>
      </c>
      <c r="N20" s="10" t="n">
        <f aca="false">IF($A20="","",IF(COUNTIFS('Daily Entry'!$A$4:$A$2003,$D$1,'Daily Entry'!$B$4:$B$2003,$A20)=0,"-",SUMIFS('Daily Entry'!$P$4:$P$2003,'Daily Entry'!$A$4:$A$2003,$D$1,'Daily Entry'!$B$4:$B$2003,$A20)))</f>
        <v>13000</v>
      </c>
      <c r="O20" s="10" t="n">
        <f aca="false">IF($A20="","",IF(COUNTIFS('Daily Entry'!$A$4:$A$2003,$D$1,'Daily Entry'!$B$4:$B$2003,$A20)=0,"-",SUMIFS('Daily Entry'!$R$4:$R$2003,'Daily Entry'!$A$4:$A$2003,$D$1,'Daily Entry'!$B$4:$B$2003,$A20)))</f>
        <v>1733.33333333333</v>
      </c>
    </row>
    <row r="21" customFormat="false" ht="15" hidden="false" customHeight="false" outlineLevel="0" collapsed="false">
      <c r="A21" s="32" t="str">
        <f aca="false">IF(Drinks!$A20="","",Drinks!$A20)</f>
        <v>Small Guinness</v>
      </c>
      <c r="B21" s="10" t="n">
        <f aca="false">IF($A21="","",IF(COUNTIFS('Daily Entry'!$A$4:$A$2003,$D$1,'Daily Entry'!$B$4:$B$2003,$A21)=0,"-",SUMIFS('Daily Entry'!$C$4:$C$2003,'Daily Entry'!$A$4:$A$2003,$D$1,'Daily Entry'!$B$4:$B$2003,$A21)))</f>
        <v>2</v>
      </c>
      <c r="C21" s="10" t="n">
        <f aca="false">IF($A21="","",IF(COUNTIFS('Daily Entry'!$A$4:$A$2003,$D$1,'Daily Entry'!$B$4:$B$2003,$A21)=0,"-",SUMIFS('Daily Entry'!$D$4:$D$2003,'Daily Entry'!$A$4:$A$2003,$D$1,'Daily Entry'!$B$4:$B$2003,$A21)))</f>
        <v>0</v>
      </c>
      <c r="D21" s="10" t="n">
        <f aca="false">IF($A21="","",IF(COUNTIFS('Daily Entry'!$A$4:$A$2003,$D$1,'Daily Entry'!$B$4:$B$2003,$A21)=0,"-",SUMIFS('Daily Entry'!$F$4:$F$2003,'Daily Entry'!$A$4:$A$2003,$D$1,'Daily Entry'!$B$4:$B$2003,$A21)))</f>
        <v>2</v>
      </c>
      <c r="E21" s="10" t="n">
        <f aca="false">IF($A21="","",IF(COUNTIFS('Daily Entry'!$A$4:$A$2003,$D$1,'Daily Entry'!$B$4:$B$2003,$A21)=0,"-",SUMIFS('Daily Entry'!$E$4:$E$2003,'Daily Entry'!$A$4:$A$2003,$D$1,'Daily Entry'!$B$4:$B$2003,$A21)))</f>
        <v>0</v>
      </c>
      <c r="F21" s="10" t="n">
        <f aca="false">IF($A21="","",IF(COUNTIFS('Daily Entry'!$A$4:$A$2003,$D$1,'Daily Entry'!$B$4:$B$2003,$A21)=0,"-",SUMIFS('Daily Entry'!$G$4:$G$2003,'Daily Entry'!$A$4:$A$2003,$D$1,'Daily Entry'!$B$4:$B$2003,$A21)))</f>
        <v>17000</v>
      </c>
      <c r="G21" s="10" t="n">
        <f aca="false">IF($A21="","",IF(COUNTIFS('Daily Entry'!$A$4:$A$2003,$D$1,'Daily Entry'!$B$4:$B$2003,$A21)=0,"-",SUMIFS('Daily Entry'!$I$4:$I$2003,'Daily Entry'!$A$4:$A$2003,$D$1,'Daily Entry'!$B$4:$B$2003,$A21)))</f>
        <v>34000</v>
      </c>
      <c r="H21" s="10" t="n">
        <f aca="false">IF($A21="","",IF(COUNTIFS('Daily Entry'!$A$4:$A$2003,$D$1,'Daily Entry'!$B$4:$B$2003,$A21)=0,"-",SUMIFS('Daily Entry'!$J$4:$J$2003,'Daily Entry'!$A$4:$A$2003,$D$1,'Daily Entry'!$B$4:$B$2003,$A21)))</f>
        <v>64</v>
      </c>
      <c r="I21" s="10" t="n">
        <f aca="false">IF($A21="","",IF(COUNTIFS('Daily Entry'!$A$4:$A$2003,$D$1,'Daily Entry'!$B$4:$B$2003,$A21)=0,"-",SUMIFS('Daily Entry'!$K$4:$K$2003,'Daily Entry'!$A$4:$A$2003,$D$1,'Daily Entry'!$B$4:$B$2003,$A21)))</f>
        <v>0</v>
      </c>
      <c r="J21" s="10" t="n">
        <f aca="false">IF($A21="","",IF(COUNTIFS('Daily Entry'!$A$4:$A$2003,$D$1,'Daily Entry'!$B$4:$B$2003,$A21)=0,"-",SUMIFS('Daily Entry'!$L$4:$L$2003,'Daily Entry'!$A$4:$A$2003,$D$1,'Daily Entry'!$B$4:$B$2003,$A21)))</f>
        <v>64</v>
      </c>
      <c r="K21" s="10" t="n">
        <f aca="false">IF($A21="","",IF(COUNTIFS('Daily Entry'!$A$4:$A$2003,$D$1,'Daily Entry'!$B$4:$B$2003,$A21)=0,"-",SUMIFS('Daily Entry'!$M$4:$M$2003,'Daily Entry'!$A$4:$A$2003,$D$1,'Daily Entry'!$B$4:$B$2003,$A21)))</f>
        <v>24</v>
      </c>
      <c r="L21" s="10" t="n">
        <f aca="false">IF($A21="","",IF(COUNTIFS('Daily Entry'!$A$4:$A$2003,$D$1,'Daily Entry'!$B$4:$B$2003,$A21)=0,"-",SUMIFS('Daily Entry'!$O$4:$O$2003,'Daily Entry'!$A$4:$A$2003,$D$1,'Daily Entry'!$B$4:$B$2003,$A21)))</f>
        <v>1000</v>
      </c>
      <c r="M21" s="10" t="n">
        <f aca="false">IF($A21="","",IF(COUNTIFS('Daily Entry'!$A$4:$A$2003,$D$1,'Daily Entry'!$B$4:$B$2003,$A21)=0,"-",SUMIFS('Daily Entry'!$N$4:$N$2003,'Daily Entry'!$A$4:$A$2003,$D$1,'Daily Entry'!$B$4:$B$2003,$A21)))</f>
        <v>40</v>
      </c>
      <c r="N21" s="10" t="n">
        <f aca="false">IF($A21="","",IF(COUNTIFS('Daily Entry'!$A$4:$A$2003,$D$1,'Daily Entry'!$B$4:$B$2003,$A21)=0,"-",SUMIFS('Daily Entry'!$P$4:$P$2003,'Daily Entry'!$A$4:$A$2003,$D$1,'Daily Entry'!$B$4:$B$2003,$A21)))</f>
        <v>40000</v>
      </c>
      <c r="O21" s="10" t="n">
        <f aca="false">IF($A21="","",IF(COUNTIFS('Daily Entry'!$A$4:$A$2003,$D$1,'Daily Entry'!$B$4:$B$2003,$A21)=0,"-",SUMIFS('Daily Entry'!$R$4:$R$2003,'Daily Entry'!$A$4:$A$2003,$D$1,'Daily Entry'!$B$4:$B$2003,$A21)))</f>
        <v>11666.6666666667</v>
      </c>
    </row>
    <row r="22" customFormat="false" ht="15" hidden="false" customHeight="false" outlineLevel="0" collapsed="false">
      <c r="A22" s="32" t="str">
        <f aca="false">IF(Drinks!$A21="","",Drinks!$A21)</f>
        <v>Smirnoff Ice</v>
      </c>
      <c r="B22" s="10" t="str">
        <f aca="false">IF($A22="","",IF(COUNTIFS('Daily Entry'!$A$4:$A$2003,$D$1,'Daily Entry'!$B$4:$B$2003,$A22)=0,"-",SUMIFS('Daily Entry'!$C$4:$C$2003,'Daily Entry'!$A$4:$A$2003,$D$1,'Daily Entry'!$B$4:$B$2003,$A22)))</f>
        <v>-</v>
      </c>
      <c r="C22" s="10" t="str">
        <f aca="false">IF($A22="","",IF(COUNTIFS('Daily Entry'!$A$4:$A$2003,$D$1,'Daily Entry'!$B$4:$B$2003,$A22)=0,"-",SUMIFS('Daily Entry'!$D$4:$D$2003,'Daily Entry'!$A$4:$A$2003,$D$1,'Daily Entry'!$B$4:$B$2003,$A22)))</f>
        <v>-</v>
      </c>
      <c r="D22" s="10" t="str">
        <f aca="false">IF($A22="","",IF(COUNTIFS('Daily Entry'!$A$4:$A$2003,$D$1,'Daily Entry'!$B$4:$B$2003,$A22)=0,"-",SUMIFS('Daily Entry'!$F$4:$F$2003,'Daily Entry'!$A$4:$A$2003,$D$1,'Daily Entry'!$B$4:$B$2003,$A22)))</f>
        <v>-</v>
      </c>
      <c r="E22" s="10" t="str">
        <f aca="false">IF($A22="","",IF(COUNTIFS('Daily Entry'!$A$4:$A$2003,$D$1,'Daily Entry'!$B$4:$B$2003,$A22)=0,"-",SUMIFS('Daily Entry'!$E$4:$E$2003,'Daily Entry'!$A$4:$A$2003,$D$1,'Daily Entry'!$B$4:$B$2003,$A22)))</f>
        <v>-</v>
      </c>
      <c r="F22" s="10" t="str">
        <f aca="false">IF($A22="","",IF(COUNTIFS('Daily Entry'!$A$4:$A$2003,$D$1,'Daily Entry'!$B$4:$B$2003,$A22)=0,"-",SUMIFS('Daily Entry'!$G$4:$G$2003,'Daily Entry'!$A$4:$A$2003,$D$1,'Daily Entry'!$B$4:$B$2003,$A22)))</f>
        <v>-</v>
      </c>
      <c r="G22" s="10" t="str">
        <f aca="false">IF($A22="","",IF(COUNTIFS('Daily Entry'!$A$4:$A$2003,$D$1,'Daily Entry'!$B$4:$B$2003,$A22)=0,"-",SUMIFS('Daily Entry'!$I$4:$I$2003,'Daily Entry'!$A$4:$A$2003,$D$1,'Daily Entry'!$B$4:$B$2003,$A22)))</f>
        <v>-</v>
      </c>
      <c r="H22" s="10" t="str">
        <f aca="false">IF($A22="","",IF(COUNTIFS('Daily Entry'!$A$4:$A$2003,$D$1,'Daily Entry'!$B$4:$B$2003,$A22)=0,"-",SUMIFS('Daily Entry'!$J$4:$J$2003,'Daily Entry'!$A$4:$A$2003,$D$1,'Daily Entry'!$B$4:$B$2003,$A22)))</f>
        <v>-</v>
      </c>
      <c r="I22" s="10" t="str">
        <f aca="false">IF($A22="","",IF(COUNTIFS('Daily Entry'!$A$4:$A$2003,$D$1,'Daily Entry'!$B$4:$B$2003,$A22)=0,"-",SUMIFS('Daily Entry'!$K$4:$K$2003,'Daily Entry'!$A$4:$A$2003,$D$1,'Daily Entry'!$B$4:$B$2003,$A22)))</f>
        <v>-</v>
      </c>
      <c r="J22" s="10" t="str">
        <f aca="false">IF($A22="","",IF(COUNTIFS('Daily Entry'!$A$4:$A$2003,$D$1,'Daily Entry'!$B$4:$B$2003,$A22)=0,"-",SUMIFS('Daily Entry'!$L$4:$L$2003,'Daily Entry'!$A$4:$A$2003,$D$1,'Daily Entry'!$B$4:$B$2003,$A22)))</f>
        <v>-</v>
      </c>
      <c r="K22" s="10" t="str">
        <f aca="false">IF($A22="","",IF(COUNTIFS('Daily Entry'!$A$4:$A$2003,$D$1,'Daily Entry'!$B$4:$B$2003,$A22)=0,"-",SUMIFS('Daily Entry'!$M$4:$M$2003,'Daily Entry'!$A$4:$A$2003,$D$1,'Daily Entry'!$B$4:$B$2003,$A22)))</f>
        <v>-</v>
      </c>
      <c r="L22" s="10" t="str">
        <f aca="false">IF($A22="","",IF(COUNTIFS('Daily Entry'!$A$4:$A$2003,$D$1,'Daily Entry'!$B$4:$B$2003,$A22)=0,"-",SUMIFS('Daily Entry'!$O$4:$O$2003,'Daily Entry'!$A$4:$A$2003,$D$1,'Daily Entry'!$B$4:$B$2003,$A22)))</f>
        <v>-</v>
      </c>
      <c r="M22" s="10" t="str">
        <f aca="false">IF($A22="","",IF(COUNTIFS('Daily Entry'!$A$4:$A$2003,$D$1,'Daily Entry'!$B$4:$B$2003,$A22)=0,"-",SUMIFS('Daily Entry'!$N$4:$N$2003,'Daily Entry'!$A$4:$A$2003,$D$1,'Daily Entry'!$B$4:$B$2003,$A22)))</f>
        <v>-</v>
      </c>
      <c r="N22" s="10" t="str">
        <f aca="false">IF($A22="","",IF(COUNTIFS('Daily Entry'!$A$4:$A$2003,$D$1,'Daily Entry'!$B$4:$B$2003,$A22)=0,"-",SUMIFS('Daily Entry'!$P$4:$P$2003,'Daily Entry'!$A$4:$A$2003,$D$1,'Daily Entry'!$B$4:$B$2003,$A22)))</f>
        <v>-</v>
      </c>
      <c r="O22" s="10" t="str">
        <f aca="false">IF($A22="","",IF(COUNTIFS('Daily Entry'!$A$4:$A$2003,$D$1,'Daily Entry'!$B$4:$B$2003,$A22)=0,"-",SUMIFS('Daily Entry'!$R$4:$R$2003,'Daily Entry'!$A$4:$A$2003,$D$1,'Daily Entry'!$B$4:$B$2003,$A22)))</f>
        <v>-</v>
      </c>
    </row>
    <row r="23" customFormat="false" ht="15" hidden="false" customHeight="false" outlineLevel="0" collapsed="false">
      <c r="A23" s="32" t="str">
        <f aca="false">IF(Drinks!$A22="","",Drinks!$A22)</f>
        <v>Malta Guinness</v>
      </c>
      <c r="B23" s="10" t="str">
        <f aca="false">IF($A23="","",IF(COUNTIFS('Daily Entry'!$A$4:$A$2003,$D$1,'Daily Entry'!$B$4:$B$2003,$A23)=0,"-",SUMIFS('Daily Entry'!$C$4:$C$2003,'Daily Entry'!$A$4:$A$2003,$D$1,'Daily Entry'!$B$4:$B$2003,$A23)))</f>
        <v>-</v>
      </c>
      <c r="C23" s="10" t="str">
        <f aca="false">IF($A23="","",IF(COUNTIFS('Daily Entry'!$A$4:$A$2003,$D$1,'Daily Entry'!$B$4:$B$2003,$A23)=0,"-",SUMIFS('Daily Entry'!$D$4:$D$2003,'Daily Entry'!$A$4:$A$2003,$D$1,'Daily Entry'!$B$4:$B$2003,$A23)))</f>
        <v>-</v>
      </c>
      <c r="D23" s="10" t="str">
        <f aca="false">IF($A23="","",IF(COUNTIFS('Daily Entry'!$A$4:$A$2003,$D$1,'Daily Entry'!$B$4:$B$2003,$A23)=0,"-",SUMIFS('Daily Entry'!$F$4:$F$2003,'Daily Entry'!$A$4:$A$2003,$D$1,'Daily Entry'!$B$4:$B$2003,$A23)))</f>
        <v>-</v>
      </c>
      <c r="E23" s="10" t="str">
        <f aca="false">IF($A23="","",IF(COUNTIFS('Daily Entry'!$A$4:$A$2003,$D$1,'Daily Entry'!$B$4:$B$2003,$A23)=0,"-",SUMIFS('Daily Entry'!$E$4:$E$2003,'Daily Entry'!$A$4:$A$2003,$D$1,'Daily Entry'!$B$4:$B$2003,$A23)))</f>
        <v>-</v>
      </c>
      <c r="F23" s="10" t="str">
        <f aca="false">IF($A23="","",IF(COUNTIFS('Daily Entry'!$A$4:$A$2003,$D$1,'Daily Entry'!$B$4:$B$2003,$A23)=0,"-",SUMIFS('Daily Entry'!$G$4:$G$2003,'Daily Entry'!$A$4:$A$2003,$D$1,'Daily Entry'!$B$4:$B$2003,$A23)))</f>
        <v>-</v>
      </c>
      <c r="G23" s="10" t="str">
        <f aca="false">IF($A23="","",IF(COUNTIFS('Daily Entry'!$A$4:$A$2003,$D$1,'Daily Entry'!$B$4:$B$2003,$A23)=0,"-",SUMIFS('Daily Entry'!$I$4:$I$2003,'Daily Entry'!$A$4:$A$2003,$D$1,'Daily Entry'!$B$4:$B$2003,$A23)))</f>
        <v>-</v>
      </c>
      <c r="H23" s="10" t="str">
        <f aca="false">IF($A23="","",IF(COUNTIFS('Daily Entry'!$A$4:$A$2003,$D$1,'Daily Entry'!$B$4:$B$2003,$A23)=0,"-",SUMIFS('Daily Entry'!$J$4:$J$2003,'Daily Entry'!$A$4:$A$2003,$D$1,'Daily Entry'!$B$4:$B$2003,$A23)))</f>
        <v>-</v>
      </c>
      <c r="I23" s="10" t="str">
        <f aca="false">IF($A23="","",IF(COUNTIFS('Daily Entry'!$A$4:$A$2003,$D$1,'Daily Entry'!$B$4:$B$2003,$A23)=0,"-",SUMIFS('Daily Entry'!$K$4:$K$2003,'Daily Entry'!$A$4:$A$2003,$D$1,'Daily Entry'!$B$4:$B$2003,$A23)))</f>
        <v>-</v>
      </c>
      <c r="J23" s="10" t="str">
        <f aca="false">IF($A23="","",IF(COUNTIFS('Daily Entry'!$A$4:$A$2003,$D$1,'Daily Entry'!$B$4:$B$2003,$A23)=0,"-",SUMIFS('Daily Entry'!$L$4:$L$2003,'Daily Entry'!$A$4:$A$2003,$D$1,'Daily Entry'!$B$4:$B$2003,$A23)))</f>
        <v>-</v>
      </c>
      <c r="K23" s="10" t="str">
        <f aca="false">IF($A23="","",IF(COUNTIFS('Daily Entry'!$A$4:$A$2003,$D$1,'Daily Entry'!$B$4:$B$2003,$A23)=0,"-",SUMIFS('Daily Entry'!$M$4:$M$2003,'Daily Entry'!$A$4:$A$2003,$D$1,'Daily Entry'!$B$4:$B$2003,$A23)))</f>
        <v>-</v>
      </c>
      <c r="L23" s="10" t="str">
        <f aca="false">IF($A23="","",IF(COUNTIFS('Daily Entry'!$A$4:$A$2003,$D$1,'Daily Entry'!$B$4:$B$2003,$A23)=0,"-",SUMIFS('Daily Entry'!$O$4:$O$2003,'Daily Entry'!$A$4:$A$2003,$D$1,'Daily Entry'!$B$4:$B$2003,$A23)))</f>
        <v>-</v>
      </c>
      <c r="M23" s="10" t="str">
        <f aca="false">IF($A23="","",IF(COUNTIFS('Daily Entry'!$A$4:$A$2003,$D$1,'Daily Entry'!$B$4:$B$2003,$A23)=0,"-",SUMIFS('Daily Entry'!$N$4:$N$2003,'Daily Entry'!$A$4:$A$2003,$D$1,'Daily Entry'!$B$4:$B$2003,$A23)))</f>
        <v>-</v>
      </c>
      <c r="N23" s="10" t="str">
        <f aca="false">IF($A23="","",IF(COUNTIFS('Daily Entry'!$A$4:$A$2003,$D$1,'Daily Entry'!$B$4:$B$2003,$A23)=0,"-",SUMIFS('Daily Entry'!$P$4:$P$2003,'Daily Entry'!$A$4:$A$2003,$D$1,'Daily Entry'!$B$4:$B$2003,$A23)))</f>
        <v>-</v>
      </c>
      <c r="O23" s="10" t="str">
        <f aca="false">IF($A23="","",IF(COUNTIFS('Daily Entry'!$A$4:$A$2003,$D$1,'Daily Entry'!$B$4:$B$2003,$A23)=0,"-",SUMIFS('Daily Entry'!$R$4:$R$2003,'Daily Entry'!$A$4:$A$2003,$D$1,'Daily Entry'!$B$4:$B$2003,$A23)))</f>
        <v>-</v>
      </c>
    </row>
    <row r="24" customFormat="false" ht="15" hidden="false" customHeight="false" outlineLevel="0" collapsed="false">
      <c r="A24" s="32" t="str">
        <f aca="false">IF(Drinks!$A23="","",Drinks!$A23)</f>
        <v>Top Tonic</v>
      </c>
      <c r="B24" s="10" t="str">
        <f aca="false">IF($A24="","",IF(COUNTIFS('Daily Entry'!$A$4:$A$2003,$D$1,'Daily Entry'!$B$4:$B$2003,$A24)=0,"-",SUMIFS('Daily Entry'!$C$4:$C$2003,'Daily Entry'!$A$4:$A$2003,$D$1,'Daily Entry'!$B$4:$B$2003,$A24)))</f>
        <v>-</v>
      </c>
      <c r="C24" s="10" t="str">
        <f aca="false">IF($A24="","",IF(COUNTIFS('Daily Entry'!$A$4:$A$2003,$D$1,'Daily Entry'!$B$4:$B$2003,$A24)=0,"-",SUMIFS('Daily Entry'!$D$4:$D$2003,'Daily Entry'!$A$4:$A$2003,$D$1,'Daily Entry'!$B$4:$B$2003,$A24)))</f>
        <v>-</v>
      </c>
      <c r="D24" s="10" t="str">
        <f aca="false">IF($A24="","",IF(COUNTIFS('Daily Entry'!$A$4:$A$2003,$D$1,'Daily Entry'!$B$4:$B$2003,$A24)=0,"-",SUMIFS('Daily Entry'!$F$4:$F$2003,'Daily Entry'!$A$4:$A$2003,$D$1,'Daily Entry'!$B$4:$B$2003,$A24)))</f>
        <v>-</v>
      </c>
      <c r="E24" s="10" t="str">
        <f aca="false">IF($A24="","",IF(COUNTIFS('Daily Entry'!$A$4:$A$2003,$D$1,'Daily Entry'!$B$4:$B$2003,$A24)=0,"-",SUMIFS('Daily Entry'!$E$4:$E$2003,'Daily Entry'!$A$4:$A$2003,$D$1,'Daily Entry'!$B$4:$B$2003,$A24)))</f>
        <v>-</v>
      </c>
      <c r="F24" s="10" t="str">
        <f aca="false">IF($A24="","",IF(COUNTIFS('Daily Entry'!$A$4:$A$2003,$D$1,'Daily Entry'!$B$4:$B$2003,$A24)=0,"-",SUMIFS('Daily Entry'!$G$4:$G$2003,'Daily Entry'!$A$4:$A$2003,$D$1,'Daily Entry'!$B$4:$B$2003,$A24)))</f>
        <v>-</v>
      </c>
      <c r="G24" s="10" t="str">
        <f aca="false">IF($A24="","",IF(COUNTIFS('Daily Entry'!$A$4:$A$2003,$D$1,'Daily Entry'!$B$4:$B$2003,$A24)=0,"-",SUMIFS('Daily Entry'!$I$4:$I$2003,'Daily Entry'!$A$4:$A$2003,$D$1,'Daily Entry'!$B$4:$B$2003,$A24)))</f>
        <v>-</v>
      </c>
      <c r="H24" s="10" t="str">
        <f aca="false">IF($A24="","",IF(COUNTIFS('Daily Entry'!$A$4:$A$2003,$D$1,'Daily Entry'!$B$4:$B$2003,$A24)=0,"-",SUMIFS('Daily Entry'!$J$4:$J$2003,'Daily Entry'!$A$4:$A$2003,$D$1,'Daily Entry'!$B$4:$B$2003,$A24)))</f>
        <v>-</v>
      </c>
      <c r="I24" s="10" t="str">
        <f aca="false">IF($A24="","",IF(COUNTIFS('Daily Entry'!$A$4:$A$2003,$D$1,'Daily Entry'!$B$4:$B$2003,$A24)=0,"-",SUMIFS('Daily Entry'!$K$4:$K$2003,'Daily Entry'!$A$4:$A$2003,$D$1,'Daily Entry'!$B$4:$B$2003,$A24)))</f>
        <v>-</v>
      </c>
      <c r="J24" s="10" t="str">
        <f aca="false">IF($A24="","",IF(COUNTIFS('Daily Entry'!$A$4:$A$2003,$D$1,'Daily Entry'!$B$4:$B$2003,$A24)=0,"-",SUMIFS('Daily Entry'!$L$4:$L$2003,'Daily Entry'!$A$4:$A$2003,$D$1,'Daily Entry'!$B$4:$B$2003,$A24)))</f>
        <v>-</v>
      </c>
      <c r="K24" s="10" t="str">
        <f aca="false">IF($A24="","",IF(COUNTIFS('Daily Entry'!$A$4:$A$2003,$D$1,'Daily Entry'!$B$4:$B$2003,$A24)=0,"-",SUMIFS('Daily Entry'!$M$4:$M$2003,'Daily Entry'!$A$4:$A$2003,$D$1,'Daily Entry'!$B$4:$B$2003,$A24)))</f>
        <v>-</v>
      </c>
      <c r="L24" s="10" t="str">
        <f aca="false">IF($A24="","",IF(COUNTIFS('Daily Entry'!$A$4:$A$2003,$D$1,'Daily Entry'!$B$4:$B$2003,$A24)=0,"-",SUMIFS('Daily Entry'!$O$4:$O$2003,'Daily Entry'!$A$4:$A$2003,$D$1,'Daily Entry'!$B$4:$B$2003,$A24)))</f>
        <v>-</v>
      </c>
      <c r="M24" s="10" t="str">
        <f aca="false">IF($A24="","",IF(COUNTIFS('Daily Entry'!$A$4:$A$2003,$D$1,'Daily Entry'!$B$4:$B$2003,$A24)=0,"-",SUMIFS('Daily Entry'!$N$4:$N$2003,'Daily Entry'!$A$4:$A$2003,$D$1,'Daily Entry'!$B$4:$B$2003,$A24)))</f>
        <v>-</v>
      </c>
      <c r="N24" s="10" t="str">
        <f aca="false">IF($A24="","",IF(COUNTIFS('Daily Entry'!$A$4:$A$2003,$D$1,'Daily Entry'!$B$4:$B$2003,$A24)=0,"-",SUMIFS('Daily Entry'!$P$4:$P$2003,'Daily Entry'!$A$4:$A$2003,$D$1,'Daily Entry'!$B$4:$B$2003,$A24)))</f>
        <v>-</v>
      </c>
      <c r="O24" s="10" t="str">
        <f aca="false">IF($A24="","",IF(COUNTIFS('Daily Entry'!$A$4:$A$2003,$D$1,'Daily Entry'!$B$4:$B$2003,$A24)=0,"-",SUMIFS('Daily Entry'!$R$4:$R$2003,'Daily Entry'!$A$4:$A$2003,$D$1,'Daily Entry'!$B$4:$B$2003,$A24)))</f>
        <v>-</v>
      </c>
    </row>
    <row r="25" customFormat="false" ht="15" hidden="false" customHeight="false" outlineLevel="0" collapsed="false">
      <c r="A25" s="32" t="str">
        <f aca="false">IF(Drinks!$A24="","",Drinks!$A24)</f>
        <v>Chill</v>
      </c>
      <c r="B25" s="10" t="n">
        <f aca="false">IF($A25="","",IF(COUNTIFS('Daily Entry'!$A$4:$A$2003,$D$1,'Daily Entry'!$B$4:$B$2003,$A25)=0,"-",SUMIFS('Daily Entry'!$C$4:$C$2003,'Daily Entry'!$A$4:$A$2003,$D$1,'Daily Entry'!$B$4:$B$2003,$A25)))</f>
        <v>0</v>
      </c>
      <c r="C25" s="10" t="n">
        <f aca="false">IF($A25="","",IF(COUNTIFS('Daily Entry'!$A$4:$A$2003,$D$1,'Daily Entry'!$B$4:$B$2003,$A25)=0,"-",SUMIFS('Daily Entry'!$D$4:$D$2003,'Daily Entry'!$A$4:$A$2003,$D$1,'Daily Entry'!$B$4:$B$2003,$A25)))</f>
        <v>0</v>
      </c>
      <c r="D25" s="10" t="n">
        <f aca="false">IF($A25="","",IF(COUNTIFS('Daily Entry'!$A$4:$A$2003,$D$1,'Daily Entry'!$B$4:$B$2003,$A25)=0,"-",SUMIFS('Daily Entry'!$F$4:$F$2003,'Daily Entry'!$A$4:$A$2003,$D$1,'Daily Entry'!$B$4:$B$2003,$A25)))</f>
        <v>0</v>
      </c>
      <c r="E25" s="10" t="n">
        <f aca="false">IF($A25="","",IF(COUNTIFS('Daily Entry'!$A$4:$A$2003,$D$1,'Daily Entry'!$B$4:$B$2003,$A25)=0,"-",SUMIFS('Daily Entry'!$E$4:$E$2003,'Daily Entry'!$A$4:$A$2003,$D$1,'Daily Entry'!$B$4:$B$2003,$A25)))</f>
        <v>0</v>
      </c>
      <c r="F25" s="10" t="n">
        <f aca="false">IF($A25="","",IF(COUNTIFS('Daily Entry'!$A$4:$A$2003,$D$1,'Daily Entry'!$B$4:$B$2003,$A25)=0,"-",SUMIFS('Daily Entry'!$G$4:$G$2003,'Daily Entry'!$A$4:$A$2003,$D$1,'Daily Entry'!$B$4:$B$2003,$A25)))</f>
        <v>8500</v>
      </c>
      <c r="G25" s="10" t="n">
        <f aca="false">IF($A25="","",IF(COUNTIFS('Daily Entry'!$A$4:$A$2003,$D$1,'Daily Entry'!$B$4:$B$2003,$A25)=0,"-",SUMIFS('Daily Entry'!$I$4:$I$2003,'Daily Entry'!$A$4:$A$2003,$D$1,'Daily Entry'!$B$4:$B$2003,$A25)))</f>
        <v>0</v>
      </c>
      <c r="H25" s="10" t="n">
        <f aca="false">IF($A25="","",IF(COUNTIFS('Daily Entry'!$A$4:$A$2003,$D$1,'Daily Entry'!$B$4:$B$2003,$A25)=0,"-",SUMIFS('Daily Entry'!$J$4:$J$2003,'Daily Entry'!$A$4:$A$2003,$D$1,'Daily Entry'!$B$4:$B$2003,$A25)))</f>
        <v>23</v>
      </c>
      <c r="I25" s="10" t="n">
        <f aca="false">IF($A25="","",IF(COUNTIFS('Daily Entry'!$A$4:$A$2003,$D$1,'Daily Entry'!$B$4:$B$2003,$A25)=0,"-",SUMIFS('Daily Entry'!$K$4:$K$2003,'Daily Entry'!$A$4:$A$2003,$D$1,'Daily Entry'!$B$4:$B$2003,$A25)))</f>
        <v>0</v>
      </c>
      <c r="J25" s="10" t="n">
        <f aca="false">IF($A25="","",IF(COUNTIFS('Daily Entry'!$A$4:$A$2003,$D$1,'Daily Entry'!$B$4:$B$2003,$A25)=0,"-",SUMIFS('Daily Entry'!$L$4:$L$2003,'Daily Entry'!$A$4:$A$2003,$D$1,'Daily Entry'!$B$4:$B$2003,$A25)))</f>
        <v>23</v>
      </c>
      <c r="K25" s="10" t="n">
        <f aca="false">IF($A25="","",IF(COUNTIFS('Daily Entry'!$A$4:$A$2003,$D$1,'Daily Entry'!$B$4:$B$2003,$A25)=0,"-",SUMIFS('Daily Entry'!$M$4:$M$2003,'Daily Entry'!$A$4:$A$2003,$D$1,'Daily Entry'!$B$4:$B$2003,$A25)))</f>
        <v>23</v>
      </c>
      <c r="L25" s="10" t="n">
        <f aca="false">IF($A25="","",IF(COUNTIFS('Daily Entry'!$A$4:$A$2003,$D$1,'Daily Entry'!$B$4:$B$2003,$A25)=0,"-",SUMIFS('Daily Entry'!$O$4:$O$2003,'Daily Entry'!$A$4:$A$2003,$D$1,'Daily Entry'!$B$4:$B$2003,$A25)))</f>
        <v>1000</v>
      </c>
      <c r="M25" s="10" t="n">
        <f aca="false">IF($A25="","",IF(COUNTIFS('Daily Entry'!$A$4:$A$2003,$D$1,'Daily Entry'!$B$4:$B$2003,$A25)=0,"-",SUMIFS('Daily Entry'!$N$4:$N$2003,'Daily Entry'!$A$4:$A$2003,$D$1,'Daily Entry'!$B$4:$B$2003,$A25)))</f>
        <v>0</v>
      </c>
      <c r="N25" s="10" t="n">
        <f aca="false">IF($A25="","",IF(COUNTIFS('Daily Entry'!$A$4:$A$2003,$D$1,'Daily Entry'!$B$4:$B$2003,$A25)=0,"-",SUMIFS('Daily Entry'!$P$4:$P$2003,'Daily Entry'!$A$4:$A$2003,$D$1,'Daily Entry'!$B$4:$B$2003,$A25)))</f>
        <v>0</v>
      </c>
      <c r="O25" s="10" t="n">
        <f aca="false">IF($A25="","",IF(COUNTIFS('Daily Entry'!$A$4:$A$2003,$D$1,'Daily Entry'!$B$4:$B$2003,$A25)=0,"-",SUMIFS('Daily Entry'!$R$4:$R$2003,'Daily Entry'!$A$4:$A$2003,$D$1,'Daily Entry'!$B$4:$B$2003,$A25)))</f>
        <v>0</v>
      </c>
    </row>
    <row r="26" customFormat="false" ht="15" hidden="false" customHeight="false" outlineLevel="0" collapsed="false">
      <c r="A26" s="32" t="str">
        <f aca="false">IF(Drinks!$A25="","",Drinks!$A25)</f>
        <v>Van Pur</v>
      </c>
      <c r="B26" s="10" t="n">
        <f aca="false">IF($A26="","",IF(COUNTIFS('Daily Entry'!$A$4:$A$2003,$D$1,'Daily Entry'!$B$4:$B$2003,$A26)=0,"-",SUMIFS('Daily Entry'!$C$4:$C$2003,'Daily Entry'!$A$4:$A$2003,$D$1,'Daily Entry'!$B$4:$B$2003,$A26)))</f>
        <v>0</v>
      </c>
      <c r="C26" s="10" t="n">
        <f aca="false">IF($A26="","",IF(COUNTIFS('Daily Entry'!$A$4:$A$2003,$D$1,'Daily Entry'!$B$4:$B$2003,$A26)=0,"-",SUMIFS('Daily Entry'!$D$4:$D$2003,'Daily Entry'!$A$4:$A$2003,$D$1,'Daily Entry'!$B$4:$B$2003,$A26)))</f>
        <v>0</v>
      </c>
      <c r="D26" s="10" t="n">
        <f aca="false">IF($A26="","",IF(COUNTIFS('Daily Entry'!$A$4:$A$2003,$D$1,'Daily Entry'!$B$4:$B$2003,$A26)=0,"-",SUMIFS('Daily Entry'!$F$4:$F$2003,'Daily Entry'!$A$4:$A$2003,$D$1,'Daily Entry'!$B$4:$B$2003,$A26)))</f>
        <v>0</v>
      </c>
      <c r="E26" s="10" t="n">
        <f aca="false">IF($A26="","",IF(COUNTIFS('Daily Entry'!$A$4:$A$2003,$D$1,'Daily Entry'!$B$4:$B$2003,$A26)=0,"-",SUMIFS('Daily Entry'!$E$4:$E$2003,'Daily Entry'!$A$4:$A$2003,$D$1,'Daily Entry'!$B$4:$B$2003,$A26)))</f>
        <v>0</v>
      </c>
      <c r="F26" s="10" t="n">
        <f aca="false">IF($A26="","",IF(COUNTIFS('Daily Entry'!$A$4:$A$2003,$D$1,'Daily Entry'!$B$4:$B$2003,$A26)=0,"-",SUMIFS('Daily Entry'!$G$4:$G$2003,'Daily Entry'!$A$4:$A$2003,$D$1,'Daily Entry'!$B$4:$B$2003,$A26)))</f>
        <v>17000</v>
      </c>
      <c r="G26" s="10" t="n">
        <f aca="false">IF($A26="","",IF(COUNTIFS('Daily Entry'!$A$4:$A$2003,$D$1,'Daily Entry'!$B$4:$B$2003,$A26)=0,"-",SUMIFS('Daily Entry'!$I$4:$I$2003,'Daily Entry'!$A$4:$A$2003,$D$1,'Daily Entry'!$B$4:$B$2003,$A26)))</f>
        <v>0</v>
      </c>
      <c r="H26" s="10" t="n">
        <f aca="false">IF($A26="","",IF(COUNTIFS('Daily Entry'!$A$4:$A$2003,$D$1,'Daily Entry'!$B$4:$B$2003,$A26)=0,"-",SUMIFS('Daily Entry'!$J$4:$J$2003,'Daily Entry'!$A$4:$A$2003,$D$1,'Daily Entry'!$B$4:$B$2003,$A26)))</f>
        <v>9</v>
      </c>
      <c r="I26" s="10" t="n">
        <f aca="false">IF($A26="","",IF(COUNTIFS('Daily Entry'!$A$4:$A$2003,$D$1,'Daily Entry'!$B$4:$B$2003,$A26)=0,"-",SUMIFS('Daily Entry'!$K$4:$K$2003,'Daily Entry'!$A$4:$A$2003,$D$1,'Daily Entry'!$B$4:$B$2003,$A26)))</f>
        <v>0</v>
      </c>
      <c r="J26" s="10" t="n">
        <f aca="false">IF($A26="","",IF(COUNTIFS('Daily Entry'!$A$4:$A$2003,$D$1,'Daily Entry'!$B$4:$B$2003,$A26)=0,"-",SUMIFS('Daily Entry'!$L$4:$L$2003,'Daily Entry'!$A$4:$A$2003,$D$1,'Daily Entry'!$B$4:$B$2003,$A26)))</f>
        <v>9</v>
      </c>
      <c r="K26" s="10" t="n">
        <f aca="false">IF($A26="","",IF(COUNTIFS('Daily Entry'!$A$4:$A$2003,$D$1,'Daily Entry'!$B$4:$B$2003,$A26)=0,"-",SUMIFS('Daily Entry'!$M$4:$M$2003,'Daily Entry'!$A$4:$A$2003,$D$1,'Daily Entry'!$B$4:$B$2003,$A26)))</f>
        <v>0</v>
      </c>
      <c r="L26" s="10" t="n">
        <f aca="false">IF($A26="","",IF(COUNTIFS('Daily Entry'!$A$4:$A$2003,$D$1,'Daily Entry'!$B$4:$B$2003,$A26)=0,"-",SUMIFS('Daily Entry'!$O$4:$O$2003,'Daily Entry'!$A$4:$A$2003,$D$1,'Daily Entry'!$B$4:$B$2003,$A26)))</f>
        <v>1000</v>
      </c>
      <c r="M26" s="10" t="n">
        <f aca="false">IF($A26="","",IF(COUNTIFS('Daily Entry'!$A$4:$A$2003,$D$1,'Daily Entry'!$B$4:$B$2003,$A26)=0,"-",SUMIFS('Daily Entry'!$N$4:$N$2003,'Daily Entry'!$A$4:$A$2003,$D$1,'Daily Entry'!$B$4:$B$2003,$A26)))</f>
        <v>9</v>
      </c>
      <c r="N26" s="10" t="n">
        <f aca="false">IF($A26="","",IF(COUNTIFS('Daily Entry'!$A$4:$A$2003,$D$1,'Daily Entry'!$B$4:$B$2003,$A26)=0,"-",SUMIFS('Daily Entry'!$P$4:$P$2003,'Daily Entry'!$A$4:$A$2003,$D$1,'Daily Entry'!$B$4:$B$2003,$A26)))</f>
        <v>9000</v>
      </c>
      <c r="O26" s="10" t="n">
        <f aca="false">IF($A26="","",IF(COUNTIFS('Daily Entry'!$A$4:$A$2003,$D$1,'Daily Entry'!$B$4:$B$2003,$A26)=0,"-",SUMIFS('Daily Entry'!$R$4:$R$2003,'Daily Entry'!$A$4:$A$2003,$D$1,'Daily Entry'!$B$4:$B$2003,$A26)))</f>
        <v>2625</v>
      </c>
    </row>
    <row r="27" customFormat="false" ht="15" hidden="false" customHeight="false" outlineLevel="0" collapsed="false">
      <c r="A27" s="32" t="str">
        <f aca="false">IF(Drinks!$A26="","",Drinks!$A26)</f>
        <v>Bavaria</v>
      </c>
      <c r="B27" s="10" t="n">
        <f aca="false">IF($A27="","",IF(COUNTIFS('Daily Entry'!$A$4:$A$2003,$D$1,'Daily Entry'!$B$4:$B$2003,$A27)=0,"-",SUMIFS('Daily Entry'!$C$4:$C$2003,'Daily Entry'!$A$4:$A$2003,$D$1,'Daily Entry'!$B$4:$B$2003,$A27)))</f>
        <v>0</v>
      </c>
      <c r="C27" s="10" t="n">
        <f aca="false">IF($A27="","",IF(COUNTIFS('Daily Entry'!$A$4:$A$2003,$D$1,'Daily Entry'!$B$4:$B$2003,$A27)=0,"-",SUMIFS('Daily Entry'!$D$4:$D$2003,'Daily Entry'!$A$4:$A$2003,$D$1,'Daily Entry'!$B$4:$B$2003,$A27)))</f>
        <v>0</v>
      </c>
      <c r="D27" s="10" t="n">
        <f aca="false">IF($A27="","",IF(COUNTIFS('Daily Entry'!$A$4:$A$2003,$D$1,'Daily Entry'!$B$4:$B$2003,$A27)=0,"-",SUMIFS('Daily Entry'!$F$4:$F$2003,'Daily Entry'!$A$4:$A$2003,$D$1,'Daily Entry'!$B$4:$B$2003,$A27)))</f>
        <v>0</v>
      </c>
      <c r="E27" s="10" t="n">
        <f aca="false">IF($A27="","",IF(COUNTIFS('Daily Entry'!$A$4:$A$2003,$D$1,'Daily Entry'!$B$4:$B$2003,$A27)=0,"-",SUMIFS('Daily Entry'!$E$4:$E$2003,'Daily Entry'!$A$4:$A$2003,$D$1,'Daily Entry'!$B$4:$B$2003,$A27)))</f>
        <v>0</v>
      </c>
      <c r="F27" s="10" t="n">
        <f aca="false">IF($A27="","",IF(COUNTIFS('Daily Entry'!$A$4:$A$2003,$D$1,'Daily Entry'!$B$4:$B$2003,$A27)=0,"-",SUMIFS('Daily Entry'!$G$4:$G$2003,'Daily Entry'!$A$4:$A$2003,$D$1,'Daily Entry'!$B$4:$B$2003,$A27)))</f>
        <v>19000</v>
      </c>
      <c r="G27" s="10" t="n">
        <f aca="false">IF($A27="","",IF(COUNTIFS('Daily Entry'!$A$4:$A$2003,$D$1,'Daily Entry'!$B$4:$B$2003,$A27)=0,"-",SUMIFS('Daily Entry'!$I$4:$I$2003,'Daily Entry'!$A$4:$A$2003,$D$1,'Daily Entry'!$B$4:$B$2003,$A27)))</f>
        <v>0</v>
      </c>
      <c r="H27" s="10" t="n">
        <f aca="false">IF($A27="","",IF(COUNTIFS('Daily Entry'!$A$4:$A$2003,$D$1,'Daily Entry'!$B$4:$B$2003,$A27)=0,"-",SUMIFS('Daily Entry'!$J$4:$J$2003,'Daily Entry'!$A$4:$A$2003,$D$1,'Daily Entry'!$B$4:$B$2003,$A27)))</f>
        <v>21</v>
      </c>
      <c r="I27" s="10" t="n">
        <f aca="false">IF($A27="","",IF(COUNTIFS('Daily Entry'!$A$4:$A$2003,$D$1,'Daily Entry'!$B$4:$B$2003,$A27)=0,"-",SUMIFS('Daily Entry'!$K$4:$K$2003,'Daily Entry'!$A$4:$A$2003,$D$1,'Daily Entry'!$B$4:$B$2003,$A27)))</f>
        <v>0</v>
      </c>
      <c r="J27" s="10" t="n">
        <f aca="false">IF($A27="","",IF(COUNTIFS('Daily Entry'!$A$4:$A$2003,$D$1,'Daily Entry'!$B$4:$B$2003,$A27)=0,"-",SUMIFS('Daily Entry'!$L$4:$L$2003,'Daily Entry'!$A$4:$A$2003,$D$1,'Daily Entry'!$B$4:$B$2003,$A27)))</f>
        <v>21</v>
      </c>
      <c r="K27" s="10" t="n">
        <f aca="false">IF($A27="","",IF(COUNTIFS('Daily Entry'!$A$4:$A$2003,$D$1,'Daily Entry'!$B$4:$B$2003,$A27)=0,"-",SUMIFS('Daily Entry'!$M$4:$M$2003,'Daily Entry'!$A$4:$A$2003,$D$1,'Daily Entry'!$B$4:$B$2003,$A27)))</f>
        <v>18</v>
      </c>
      <c r="L27" s="10" t="n">
        <f aca="false">IF($A27="","",IF(COUNTIFS('Daily Entry'!$A$4:$A$2003,$D$1,'Daily Entry'!$B$4:$B$2003,$A27)=0,"-",SUMIFS('Daily Entry'!$O$4:$O$2003,'Daily Entry'!$A$4:$A$2003,$D$1,'Daily Entry'!$B$4:$B$2003,$A27)))</f>
        <v>1000</v>
      </c>
      <c r="M27" s="10" t="n">
        <f aca="false">IF($A27="","",IF(COUNTIFS('Daily Entry'!$A$4:$A$2003,$D$1,'Daily Entry'!$B$4:$B$2003,$A27)=0,"-",SUMIFS('Daily Entry'!$N$4:$N$2003,'Daily Entry'!$A$4:$A$2003,$D$1,'Daily Entry'!$B$4:$B$2003,$A27)))</f>
        <v>3</v>
      </c>
      <c r="N27" s="10" t="n">
        <f aca="false">IF($A27="","",IF(COUNTIFS('Daily Entry'!$A$4:$A$2003,$D$1,'Daily Entry'!$B$4:$B$2003,$A27)=0,"-",SUMIFS('Daily Entry'!$P$4:$P$2003,'Daily Entry'!$A$4:$A$2003,$D$1,'Daily Entry'!$B$4:$B$2003,$A27)))</f>
        <v>3000</v>
      </c>
      <c r="O27" s="10" t="n">
        <f aca="false">IF($A27="","",IF(COUNTIFS('Daily Entry'!$A$4:$A$2003,$D$1,'Daily Entry'!$B$4:$B$2003,$A27)=0,"-",SUMIFS('Daily Entry'!$R$4:$R$2003,'Daily Entry'!$A$4:$A$2003,$D$1,'Daily Entry'!$B$4:$B$2003,$A27)))</f>
        <v>625</v>
      </c>
    </row>
    <row r="28" customFormat="false" ht="15" hidden="false" customHeight="false" outlineLevel="0" collapsed="false">
      <c r="A28" s="32" t="str">
        <f aca="false">IF(Drinks!$A27="","",Drinks!$A27)</f>
        <v>Power Malta</v>
      </c>
      <c r="B28" s="10" t="str">
        <f aca="false">IF($A28="","",IF(COUNTIFS('Daily Entry'!$A$4:$A$2003,$D$1,'Daily Entry'!$B$4:$B$2003,$A28)=0,"-",SUMIFS('Daily Entry'!$C$4:$C$2003,'Daily Entry'!$A$4:$A$2003,$D$1,'Daily Entry'!$B$4:$B$2003,$A28)))</f>
        <v>-</v>
      </c>
      <c r="C28" s="10" t="str">
        <f aca="false">IF($A28="","",IF(COUNTIFS('Daily Entry'!$A$4:$A$2003,$D$1,'Daily Entry'!$B$4:$B$2003,$A28)=0,"-",SUMIFS('Daily Entry'!$D$4:$D$2003,'Daily Entry'!$A$4:$A$2003,$D$1,'Daily Entry'!$B$4:$B$2003,$A28)))</f>
        <v>-</v>
      </c>
      <c r="D28" s="10" t="str">
        <f aca="false">IF($A28="","",IF(COUNTIFS('Daily Entry'!$A$4:$A$2003,$D$1,'Daily Entry'!$B$4:$B$2003,$A28)=0,"-",SUMIFS('Daily Entry'!$F$4:$F$2003,'Daily Entry'!$A$4:$A$2003,$D$1,'Daily Entry'!$B$4:$B$2003,$A28)))</f>
        <v>-</v>
      </c>
      <c r="E28" s="10" t="str">
        <f aca="false">IF($A28="","",IF(COUNTIFS('Daily Entry'!$A$4:$A$2003,$D$1,'Daily Entry'!$B$4:$B$2003,$A28)=0,"-",SUMIFS('Daily Entry'!$E$4:$E$2003,'Daily Entry'!$A$4:$A$2003,$D$1,'Daily Entry'!$B$4:$B$2003,$A28)))</f>
        <v>-</v>
      </c>
      <c r="F28" s="10" t="str">
        <f aca="false">IF($A28="","",IF(COUNTIFS('Daily Entry'!$A$4:$A$2003,$D$1,'Daily Entry'!$B$4:$B$2003,$A28)=0,"-",SUMIFS('Daily Entry'!$G$4:$G$2003,'Daily Entry'!$A$4:$A$2003,$D$1,'Daily Entry'!$B$4:$B$2003,$A28)))</f>
        <v>-</v>
      </c>
      <c r="G28" s="10" t="str">
        <f aca="false">IF($A28="","",IF(COUNTIFS('Daily Entry'!$A$4:$A$2003,$D$1,'Daily Entry'!$B$4:$B$2003,$A28)=0,"-",SUMIFS('Daily Entry'!$I$4:$I$2003,'Daily Entry'!$A$4:$A$2003,$D$1,'Daily Entry'!$B$4:$B$2003,$A28)))</f>
        <v>-</v>
      </c>
      <c r="H28" s="10" t="str">
        <f aca="false">IF($A28="","",IF(COUNTIFS('Daily Entry'!$A$4:$A$2003,$D$1,'Daily Entry'!$B$4:$B$2003,$A28)=0,"-",SUMIFS('Daily Entry'!$J$4:$J$2003,'Daily Entry'!$A$4:$A$2003,$D$1,'Daily Entry'!$B$4:$B$2003,$A28)))</f>
        <v>-</v>
      </c>
      <c r="I28" s="10" t="str">
        <f aca="false">IF($A28="","",IF(COUNTIFS('Daily Entry'!$A$4:$A$2003,$D$1,'Daily Entry'!$B$4:$B$2003,$A28)=0,"-",SUMIFS('Daily Entry'!$K$4:$K$2003,'Daily Entry'!$A$4:$A$2003,$D$1,'Daily Entry'!$B$4:$B$2003,$A28)))</f>
        <v>-</v>
      </c>
      <c r="J28" s="10" t="str">
        <f aca="false">IF($A28="","",IF(COUNTIFS('Daily Entry'!$A$4:$A$2003,$D$1,'Daily Entry'!$B$4:$B$2003,$A28)=0,"-",SUMIFS('Daily Entry'!$L$4:$L$2003,'Daily Entry'!$A$4:$A$2003,$D$1,'Daily Entry'!$B$4:$B$2003,$A28)))</f>
        <v>-</v>
      </c>
      <c r="K28" s="10" t="str">
        <f aca="false">IF($A28="","",IF(COUNTIFS('Daily Entry'!$A$4:$A$2003,$D$1,'Daily Entry'!$B$4:$B$2003,$A28)=0,"-",SUMIFS('Daily Entry'!$M$4:$M$2003,'Daily Entry'!$A$4:$A$2003,$D$1,'Daily Entry'!$B$4:$B$2003,$A28)))</f>
        <v>-</v>
      </c>
      <c r="L28" s="10" t="str">
        <f aca="false">IF($A28="","",IF(COUNTIFS('Daily Entry'!$A$4:$A$2003,$D$1,'Daily Entry'!$B$4:$B$2003,$A28)=0,"-",SUMIFS('Daily Entry'!$O$4:$O$2003,'Daily Entry'!$A$4:$A$2003,$D$1,'Daily Entry'!$B$4:$B$2003,$A28)))</f>
        <v>-</v>
      </c>
      <c r="M28" s="10" t="str">
        <f aca="false">IF($A28="","",IF(COUNTIFS('Daily Entry'!$A$4:$A$2003,$D$1,'Daily Entry'!$B$4:$B$2003,$A28)=0,"-",SUMIFS('Daily Entry'!$N$4:$N$2003,'Daily Entry'!$A$4:$A$2003,$D$1,'Daily Entry'!$B$4:$B$2003,$A28)))</f>
        <v>-</v>
      </c>
      <c r="N28" s="10" t="str">
        <f aca="false">IF($A28="","",IF(COUNTIFS('Daily Entry'!$A$4:$A$2003,$D$1,'Daily Entry'!$B$4:$B$2003,$A28)=0,"-",SUMIFS('Daily Entry'!$P$4:$P$2003,'Daily Entry'!$A$4:$A$2003,$D$1,'Daily Entry'!$B$4:$B$2003,$A28)))</f>
        <v>-</v>
      </c>
      <c r="O28" s="10" t="str">
        <f aca="false">IF($A28="","",IF(COUNTIFS('Daily Entry'!$A$4:$A$2003,$D$1,'Daily Entry'!$B$4:$B$2003,$A28)=0,"-",SUMIFS('Daily Entry'!$R$4:$R$2003,'Daily Entry'!$A$4:$A$2003,$D$1,'Daily Entry'!$B$4:$B$2003,$A28)))</f>
        <v>-</v>
      </c>
    </row>
    <row r="29" customFormat="false" ht="15" hidden="false" customHeight="false" outlineLevel="0" collapsed="false">
      <c r="A29" s="32" t="str">
        <f aca="false">IF(Drinks!$A28="","",Drinks!$A28)</f>
        <v>Heineken</v>
      </c>
      <c r="B29" s="10" t="str">
        <f aca="false">IF($A29="","",IF(COUNTIFS('Daily Entry'!$A$4:$A$2003,$D$1,'Daily Entry'!$B$4:$B$2003,$A29)=0,"-",SUMIFS('Daily Entry'!$C$4:$C$2003,'Daily Entry'!$A$4:$A$2003,$D$1,'Daily Entry'!$B$4:$B$2003,$A29)))</f>
        <v>-</v>
      </c>
      <c r="C29" s="10" t="str">
        <f aca="false">IF($A29="","",IF(COUNTIFS('Daily Entry'!$A$4:$A$2003,$D$1,'Daily Entry'!$B$4:$B$2003,$A29)=0,"-",SUMIFS('Daily Entry'!$D$4:$D$2003,'Daily Entry'!$A$4:$A$2003,$D$1,'Daily Entry'!$B$4:$B$2003,$A29)))</f>
        <v>-</v>
      </c>
      <c r="D29" s="10" t="str">
        <f aca="false">IF($A29="","",IF(COUNTIFS('Daily Entry'!$A$4:$A$2003,$D$1,'Daily Entry'!$B$4:$B$2003,$A29)=0,"-",SUMIFS('Daily Entry'!$F$4:$F$2003,'Daily Entry'!$A$4:$A$2003,$D$1,'Daily Entry'!$B$4:$B$2003,$A29)))</f>
        <v>-</v>
      </c>
      <c r="E29" s="10" t="str">
        <f aca="false">IF($A29="","",IF(COUNTIFS('Daily Entry'!$A$4:$A$2003,$D$1,'Daily Entry'!$B$4:$B$2003,$A29)=0,"-",SUMIFS('Daily Entry'!$E$4:$E$2003,'Daily Entry'!$A$4:$A$2003,$D$1,'Daily Entry'!$B$4:$B$2003,$A29)))</f>
        <v>-</v>
      </c>
      <c r="F29" s="10" t="str">
        <f aca="false">IF($A29="","",IF(COUNTIFS('Daily Entry'!$A$4:$A$2003,$D$1,'Daily Entry'!$B$4:$B$2003,$A29)=0,"-",SUMIFS('Daily Entry'!$G$4:$G$2003,'Daily Entry'!$A$4:$A$2003,$D$1,'Daily Entry'!$B$4:$B$2003,$A29)))</f>
        <v>-</v>
      </c>
      <c r="G29" s="10" t="str">
        <f aca="false">IF($A29="","",IF(COUNTIFS('Daily Entry'!$A$4:$A$2003,$D$1,'Daily Entry'!$B$4:$B$2003,$A29)=0,"-",SUMIFS('Daily Entry'!$I$4:$I$2003,'Daily Entry'!$A$4:$A$2003,$D$1,'Daily Entry'!$B$4:$B$2003,$A29)))</f>
        <v>-</v>
      </c>
      <c r="H29" s="10" t="str">
        <f aca="false">IF($A29="","",IF(COUNTIFS('Daily Entry'!$A$4:$A$2003,$D$1,'Daily Entry'!$B$4:$B$2003,$A29)=0,"-",SUMIFS('Daily Entry'!$J$4:$J$2003,'Daily Entry'!$A$4:$A$2003,$D$1,'Daily Entry'!$B$4:$B$2003,$A29)))</f>
        <v>-</v>
      </c>
      <c r="I29" s="10" t="str">
        <f aca="false">IF($A29="","",IF(COUNTIFS('Daily Entry'!$A$4:$A$2003,$D$1,'Daily Entry'!$B$4:$B$2003,$A29)=0,"-",SUMIFS('Daily Entry'!$K$4:$K$2003,'Daily Entry'!$A$4:$A$2003,$D$1,'Daily Entry'!$B$4:$B$2003,$A29)))</f>
        <v>-</v>
      </c>
      <c r="J29" s="10" t="str">
        <f aca="false">IF($A29="","",IF(COUNTIFS('Daily Entry'!$A$4:$A$2003,$D$1,'Daily Entry'!$B$4:$B$2003,$A29)=0,"-",SUMIFS('Daily Entry'!$L$4:$L$2003,'Daily Entry'!$A$4:$A$2003,$D$1,'Daily Entry'!$B$4:$B$2003,$A29)))</f>
        <v>-</v>
      </c>
      <c r="K29" s="10" t="str">
        <f aca="false">IF($A29="","",IF(COUNTIFS('Daily Entry'!$A$4:$A$2003,$D$1,'Daily Entry'!$B$4:$B$2003,$A29)=0,"-",SUMIFS('Daily Entry'!$M$4:$M$2003,'Daily Entry'!$A$4:$A$2003,$D$1,'Daily Entry'!$B$4:$B$2003,$A29)))</f>
        <v>-</v>
      </c>
      <c r="L29" s="10" t="str">
        <f aca="false">IF($A29="","",IF(COUNTIFS('Daily Entry'!$A$4:$A$2003,$D$1,'Daily Entry'!$B$4:$B$2003,$A29)=0,"-",SUMIFS('Daily Entry'!$O$4:$O$2003,'Daily Entry'!$A$4:$A$2003,$D$1,'Daily Entry'!$B$4:$B$2003,$A29)))</f>
        <v>-</v>
      </c>
      <c r="M29" s="10" t="str">
        <f aca="false">IF($A29="","",IF(COUNTIFS('Daily Entry'!$A$4:$A$2003,$D$1,'Daily Entry'!$B$4:$B$2003,$A29)=0,"-",SUMIFS('Daily Entry'!$N$4:$N$2003,'Daily Entry'!$A$4:$A$2003,$D$1,'Daily Entry'!$B$4:$B$2003,$A29)))</f>
        <v>-</v>
      </c>
      <c r="N29" s="10" t="str">
        <f aca="false">IF($A29="","",IF(COUNTIFS('Daily Entry'!$A$4:$A$2003,$D$1,'Daily Entry'!$B$4:$B$2003,$A29)=0,"-",SUMIFS('Daily Entry'!$P$4:$P$2003,'Daily Entry'!$A$4:$A$2003,$D$1,'Daily Entry'!$B$4:$B$2003,$A29)))</f>
        <v>-</v>
      </c>
      <c r="O29" s="10" t="str">
        <f aca="false">IF($A29="","",IF(COUNTIFS('Daily Entry'!$A$4:$A$2003,$D$1,'Daily Entry'!$B$4:$B$2003,$A29)=0,"-",SUMIFS('Daily Entry'!$R$4:$R$2003,'Daily Entry'!$A$4:$A$2003,$D$1,'Daily Entry'!$B$4:$B$2003,$A29)))</f>
        <v>-</v>
      </c>
    </row>
    <row r="30" customFormat="false" ht="15" hidden="false" customHeight="false" outlineLevel="0" collapsed="false">
      <c r="A30" s="32" t="str">
        <f aca="false">IF(Drinks!$A29="","",Drinks!$A29)</f>
        <v>Orangina</v>
      </c>
      <c r="B30" s="10" t="n">
        <f aca="false">IF($A30="","",IF(COUNTIFS('Daily Entry'!$A$4:$A$2003,$D$1,'Daily Entry'!$B$4:$B$2003,$A30)=0,"-",SUMIFS('Daily Entry'!$C$4:$C$2003,'Daily Entry'!$A$4:$A$2003,$D$1,'Daily Entry'!$B$4:$B$2003,$A30)))</f>
        <v>5</v>
      </c>
      <c r="C30" s="10" t="n">
        <f aca="false">IF($A30="","",IF(COUNTIFS('Daily Entry'!$A$4:$A$2003,$D$1,'Daily Entry'!$B$4:$B$2003,$A30)=0,"-",SUMIFS('Daily Entry'!$D$4:$D$2003,'Daily Entry'!$A$4:$A$2003,$D$1,'Daily Entry'!$B$4:$B$2003,$A30)))</f>
        <v>0</v>
      </c>
      <c r="D30" s="10" t="n">
        <f aca="false">IF($A30="","",IF(COUNTIFS('Daily Entry'!$A$4:$A$2003,$D$1,'Daily Entry'!$B$4:$B$2003,$A30)=0,"-",SUMIFS('Daily Entry'!$F$4:$F$2003,'Daily Entry'!$A$4:$A$2003,$D$1,'Daily Entry'!$B$4:$B$2003,$A30)))</f>
        <v>5</v>
      </c>
      <c r="E30" s="10" t="n">
        <f aca="false">IF($A30="","",IF(COUNTIFS('Daily Entry'!$A$4:$A$2003,$D$1,'Daily Entry'!$B$4:$B$2003,$A30)=0,"-",SUMIFS('Daily Entry'!$E$4:$E$2003,'Daily Entry'!$A$4:$A$2003,$D$1,'Daily Entry'!$B$4:$B$2003,$A30)))</f>
        <v>0</v>
      </c>
      <c r="F30" s="10" t="n">
        <f aca="false">IF($A30="","",IF(COUNTIFS('Daily Entry'!$A$4:$A$2003,$D$1,'Daily Entry'!$B$4:$B$2003,$A30)=0,"-",SUMIFS('Daily Entry'!$G$4:$G$2003,'Daily Entry'!$A$4:$A$2003,$D$1,'Daily Entry'!$B$4:$B$2003,$A30)))</f>
        <v>4500</v>
      </c>
      <c r="G30" s="10" t="n">
        <f aca="false">IF($A30="","",IF(COUNTIFS('Daily Entry'!$A$4:$A$2003,$D$1,'Daily Entry'!$B$4:$B$2003,$A30)=0,"-",SUMIFS('Daily Entry'!$I$4:$I$2003,'Daily Entry'!$A$4:$A$2003,$D$1,'Daily Entry'!$B$4:$B$2003,$A30)))</f>
        <v>22500</v>
      </c>
      <c r="H30" s="10" t="n">
        <f aca="false">IF($A30="","",IF(COUNTIFS('Daily Entry'!$A$4:$A$2003,$D$1,'Daily Entry'!$B$4:$B$2003,$A30)=0,"-",SUMIFS('Daily Entry'!$J$4:$J$2003,'Daily Entry'!$A$4:$A$2003,$D$1,'Daily Entry'!$B$4:$B$2003,$A30)))</f>
        <v>13</v>
      </c>
      <c r="I30" s="10" t="n">
        <f aca="false">IF($A30="","",IF(COUNTIFS('Daily Entry'!$A$4:$A$2003,$D$1,'Daily Entry'!$B$4:$B$2003,$A30)=0,"-",SUMIFS('Daily Entry'!$K$4:$K$2003,'Daily Entry'!$A$4:$A$2003,$D$1,'Daily Entry'!$B$4:$B$2003,$A30)))</f>
        <v>0</v>
      </c>
      <c r="J30" s="10" t="n">
        <f aca="false">IF($A30="","",IF(COUNTIFS('Daily Entry'!$A$4:$A$2003,$D$1,'Daily Entry'!$B$4:$B$2003,$A30)=0,"-",SUMIFS('Daily Entry'!$L$4:$L$2003,'Daily Entry'!$A$4:$A$2003,$D$1,'Daily Entry'!$B$4:$B$2003,$A30)))</f>
        <v>13</v>
      </c>
      <c r="K30" s="10" t="n">
        <f aca="false">IF($A30="","",IF(COUNTIFS('Daily Entry'!$A$4:$A$2003,$D$1,'Daily Entry'!$B$4:$B$2003,$A30)=0,"-",SUMIFS('Daily Entry'!$M$4:$M$2003,'Daily Entry'!$A$4:$A$2003,$D$1,'Daily Entry'!$B$4:$B$2003,$A30)))</f>
        <v>12</v>
      </c>
      <c r="L30" s="10" t="n">
        <f aca="false">IF($A30="","",IF(COUNTIFS('Daily Entry'!$A$4:$A$2003,$D$1,'Daily Entry'!$B$4:$B$2003,$A30)=0,"-",SUMIFS('Daily Entry'!$O$4:$O$2003,'Daily Entry'!$A$4:$A$2003,$D$1,'Daily Entry'!$B$4:$B$2003,$A30)))</f>
        <v>1000</v>
      </c>
      <c r="M30" s="10" t="n">
        <f aca="false">IF($A30="","",IF(COUNTIFS('Daily Entry'!$A$4:$A$2003,$D$1,'Daily Entry'!$B$4:$B$2003,$A30)=0,"-",SUMIFS('Daily Entry'!$N$4:$N$2003,'Daily Entry'!$A$4:$A$2003,$D$1,'Daily Entry'!$B$4:$B$2003,$A30)))</f>
        <v>1</v>
      </c>
      <c r="N30" s="10" t="n">
        <f aca="false">IF($A30="","",IF(COUNTIFS('Daily Entry'!$A$4:$A$2003,$D$1,'Daily Entry'!$B$4:$B$2003,$A30)=0,"-",SUMIFS('Daily Entry'!$P$4:$P$2003,'Daily Entry'!$A$4:$A$2003,$D$1,'Daily Entry'!$B$4:$B$2003,$A30)))</f>
        <v>1000</v>
      </c>
      <c r="O30" s="10" t="n">
        <f aca="false">IF($A30="","",IF(COUNTIFS('Daily Entry'!$A$4:$A$2003,$D$1,'Daily Entry'!$B$4:$B$2003,$A30)=0,"-",SUMIFS('Daily Entry'!$R$4:$R$2003,'Daily Entry'!$A$4:$A$2003,$D$1,'Daily Entry'!$B$4:$B$2003,$A30)))</f>
        <v>250</v>
      </c>
    </row>
    <row r="31" customFormat="false" ht="15" hidden="false" customHeight="false" outlineLevel="0" collapsed="false">
      <c r="A31" s="32" t="str">
        <f aca="false">IF(Drinks!$A30="","",Drinks!$A30)</f>
        <v>D'jino</v>
      </c>
      <c r="B31" s="10" t="n">
        <f aca="false">IF($A31="","",IF(COUNTIFS('Daily Entry'!$A$4:$A$2003,$D$1,'Daily Entry'!$B$4:$B$2003,$A31)=0,"-",SUMIFS('Daily Entry'!$C$4:$C$2003,'Daily Entry'!$A$4:$A$2003,$D$1,'Daily Entry'!$B$4:$B$2003,$A31)))</f>
        <v>1</v>
      </c>
      <c r="C31" s="10" t="n">
        <f aca="false">IF($A31="","",IF(COUNTIFS('Daily Entry'!$A$4:$A$2003,$D$1,'Daily Entry'!$B$4:$B$2003,$A31)=0,"-",SUMIFS('Daily Entry'!$D$4:$D$2003,'Daily Entry'!$A$4:$A$2003,$D$1,'Daily Entry'!$B$4:$B$2003,$A31)))</f>
        <v>0</v>
      </c>
      <c r="D31" s="10" t="n">
        <f aca="false">IF($A31="","",IF(COUNTIFS('Daily Entry'!$A$4:$A$2003,$D$1,'Daily Entry'!$B$4:$B$2003,$A31)=0,"-",SUMIFS('Daily Entry'!$F$4:$F$2003,'Daily Entry'!$A$4:$A$2003,$D$1,'Daily Entry'!$B$4:$B$2003,$A31)))</f>
        <v>1</v>
      </c>
      <c r="E31" s="10" t="n">
        <f aca="false">IF($A31="","",IF(COUNTIFS('Daily Entry'!$A$4:$A$2003,$D$1,'Daily Entry'!$B$4:$B$2003,$A31)=0,"-",SUMIFS('Daily Entry'!$E$4:$E$2003,'Daily Entry'!$A$4:$A$2003,$D$1,'Daily Entry'!$B$4:$B$2003,$A31)))</f>
        <v>0</v>
      </c>
      <c r="F31" s="10" t="n">
        <f aca="false">IF($A31="","",IF(COUNTIFS('Daily Entry'!$A$4:$A$2003,$D$1,'Daily Entry'!$B$4:$B$2003,$A31)=0,"-",SUMIFS('Daily Entry'!$G$4:$G$2003,'Daily Entry'!$A$4:$A$2003,$D$1,'Daily Entry'!$B$4:$B$2003,$A31)))</f>
        <v>4500</v>
      </c>
      <c r="G31" s="10" t="n">
        <f aca="false">IF($A31="","",IF(COUNTIFS('Daily Entry'!$A$4:$A$2003,$D$1,'Daily Entry'!$B$4:$B$2003,$A31)=0,"-",SUMIFS('Daily Entry'!$I$4:$I$2003,'Daily Entry'!$A$4:$A$2003,$D$1,'Daily Entry'!$B$4:$B$2003,$A31)))</f>
        <v>4500</v>
      </c>
      <c r="H31" s="10" t="n">
        <f aca="false">IF($A31="","",IF(COUNTIFS('Daily Entry'!$A$4:$A$2003,$D$1,'Daily Entry'!$B$4:$B$2003,$A31)=0,"-",SUMIFS('Daily Entry'!$J$4:$J$2003,'Daily Entry'!$A$4:$A$2003,$D$1,'Daily Entry'!$B$4:$B$2003,$A31)))</f>
        <v>5</v>
      </c>
      <c r="I31" s="10" t="n">
        <f aca="false">IF($A31="","",IF(COUNTIFS('Daily Entry'!$A$4:$A$2003,$D$1,'Daily Entry'!$B$4:$B$2003,$A31)=0,"-",SUMIFS('Daily Entry'!$K$4:$K$2003,'Daily Entry'!$A$4:$A$2003,$D$1,'Daily Entry'!$B$4:$B$2003,$A31)))</f>
        <v>0</v>
      </c>
      <c r="J31" s="10" t="n">
        <f aca="false">IF($A31="","",IF(COUNTIFS('Daily Entry'!$A$4:$A$2003,$D$1,'Daily Entry'!$B$4:$B$2003,$A31)=0,"-",SUMIFS('Daily Entry'!$L$4:$L$2003,'Daily Entry'!$A$4:$A$2003,$D$1,'Daily Entry'!$B$4:$B$2003,$A31)))</f>
        <v>5</v>
      </c>
      <c r="K31" s="10" t="n">
        <f aca="false">IF($A31="","",IF(COUNTIFS('Daily Entry'!$A$4:$A$2003,$D$1,'Daily Entry'!$B$4:$B$2003,$A31)=0,"-",SUMIFS('Daily Entry'!$M$4:$M$2003,'Daily Entry'!$A$4:$A$2003,$D$1,'Daily Entry'!$B$4:$B$2003,$A31)))</f>
        <v>2</v>
      </c>
      <c r="L31" s="10" t="n">
        <f aca="false">IF($A31="","",IF(COUNTIFS('Daily Entry'!$A$4:$A$2003,$D$1,'Daily Entry'!$B$4:$B$2003,$A31)=0,"-",SUMIFS('Daily Entry'!$O$4:$O$2003,'Daily Entry'!$A$4:$A$2003,$D$1,'Daily Entry'!$B$4:$B$2003,$A31)))</f>
        <v>1000</v>
      </c>
      <c r="M31" s="10" t="n">
        <f aca="false">IF($A31="","",IF(COUNTIFS('Daily Entry'!$A$4:$A$2003,$D$1,'Daily Entry'!$B$4:$B$2003,$A31)=0,"-",SUMIFS('Daily Entry'!$N$4:$N$2003,'Daily Entry'!$A$4:$A$2003,$D$1,'Daily Entry'!$B$4:$B$2003,$A31)))</f>
        <v>3</v>
      </c>
      <c r="N31" s="10" t="n">
        <f aca="false">IF($A31="","",IF(COUNTIFS('Daily Entry'!$A$4:$A$2003,$D$1,'Daily Entry'!$B$4:$B$2003,$A31)=0,"-",SUMIFS('Daily Entry'!$P$4:$P$2003,'Daily Entry'!$A$4:$A$2003,$D$1,'Daily Entry'!$B$4:$B$2003,$A31)))</f>
        <v>3000</v>
      </c>
      <c r="O31" s="10" t="n">
        <f aca="false">IF($A31="","",IF(COUNTIFS('Daily Entry'!$A$4:$A$2003,$D$1,'Daily Entry'!$B$4:$B$2003,$A31)=0,"-",SUMIFS('Daily Entry'!$R$4:$R$2003,'Daily Entry'!$A$4:$A$2003,$D$1,'Daily Entry'!$B$4:$B$2003,$A31)))</f>
        <v>750</v>
      </c>
    </row>
    <row r="32" customFormat="false" ht="15" hidden="false" customHeight="false" outlineLevel="0" collapsed="false">
      <c r="A32" s="32" t="str">
        <f aca="false">IF(Drinks!$A31="","",Drinks!$A31)</f>
        <v>Vimto</v>
      </c>
      <c r="B32" s="10" t="n">
        <f aca="false">IF($A32="","",IF(COUNTIFS('Daily Entry'!$A$4:$A$2003,$D$1,'Daily Entry'!$B$4:$B$2003,$A32)=0,"-",SUMIFS('Daily Entry'!$C$4:$C$2003,'Daily Entry'!$A$4:$A$2003,$D$1,'Daily Entry'!$B$4:$B$2003,$A32)))</f>
        <v>2</v>
      </c>
      <c r="C32" s="10" t="n">
        <f aca="false">IF($A32="","",IF(COUNTIFS('Daily Entry'!$A$4:$A$2003,$D$1,'Daily Entry'!$B$4:$B$2003,$A32)=0,"-",SUMIFS('Daily Entry'!$D$4:$D$2003,'Daily Entry'!$A$4:$A$2003,$D$1,'Daily Entry'!$B$4:$B$2003,$A32)))</f>
        <v>5</v>
      </c>
      <c r="D32" s="10" t="n">
        <f aca="false">IF($A32="","",IF(COUNTIFS('Daily Entry'!$A$4:$A$2003,$D$1,'Daily Entry'!$B$4:$B$2003,$A32)=0,"-",SUMIFS('Daily Entry'!$F$4:$F$2003,'Daily Entry'!$A$4:$A$2003,$D$1,'Daily Entry'!$B$4:$B$2003,$A32)))</f>
        <v>7</v>
      </c>
      <c r="E32" s="10" t="n">
        <f aca="false">IF($A32="","",IF(COUNTIFS('Daily Entry'!$A$4:$A$2003,$D$1,'Daily Entry'!$B$4:$B$2003,$A32)=0,"-",SUMIFS('Daily Entry'!$E$4:$E$2003,'Daily Entry'!$A$4:$A$2003,$D$1,'Daily Entry'!$B$4:$B$2003,$A32)))</f>
        <v>0</v>
      </c>
      <c r="F32" s="10" t="n">
        <f aca="false">IF($A32="","",IF(COUNTIFS('Daily Entry'!$A$4:$A$2003,$D$1,'Daily Entry'!$B$4:$B$2003,$A32)=0,"-",SUMIFS('Daily Entry'!$G$4:$G$2003,'Daily Entry'!$A$4:$A$2003,$D$1,'Daily Entry'!$B$4:$B$2003,$A32)))</f>
        <v>4500</v>
      </c>
      <c r="G32" s="10" t="n">
        <f aca="false">IF($A32="","",IF(COUNTIFS('Daily Entry'!$A$4:$A$2003,$D$1,'Daily Entry'!$B$4:$B$2003,$A32)=0,"-",SUMIFS('Daily Entry'!$I$4:$I$2003,'Daily Entry'!$A$4:$A$2003,$D$1,'Daily Entry'!$B$4:$B$2003,$A32)))</f>
        <v>31500</v>
      </c>
      <c r="H32" s="10" t="n">
        <f aca="false">IF($A32="","",IF(COUNTIFS('Daily Entry'!$A$4:$A$2003,$D$1,'Daily Entry'!$B$4:$B$2003,$A32)=0,"-",SUMIFS('Daily Entry'!$J$4:$J$2003,'Daily Entry'!$A$4:$A$2003,$D$1,'Daily Entry'!$B$4:$B$2003,$A32)))</f>
        <v>14</v>
      </c>
      <c r="I32" s="10" t="n">
        <f aca="false">IF($A32="","",IF(COUNTIFS('Daily Entry'!$A$4:$A$2003,$D$1,'Daily Entry'!$B$4:$B$2003,$A32)=0,"-",SUMIFS('Daily Entry'!$K$4:$K$2003,'Daily Entry'!$A$4:$A$2003,$D$1,'Daily Entry'!$B$4:$B$2003,$A32)))</f>
        <v>0</v>
      </c>
      <c r="J32" s="10" t="n">
        <f aca="false">IF($A32="","",IF(COUNTIFS('Daily Entry'!$A$4:$A$2003,$D$1,'Daily Entry'!$B$4:$B$2003,$A32)=0,"-",SUMIFS('Daily Entry'!$L$4:$L$2003,'Daily Entry'!$A$4:$A$2003,$D$1,'Daily Entry'!$B$4:$B$2003,$A32)))</f>
        <v>14</v>
      </c>
      <c r="K32" s="10" t="n">
        <f aca="false">IF($A32="","",IF(COUNTIFS('Daily Entry'!$A$4:$A$2003,$D$1,'Daily Entry'!$B$4:$B$2003,$A32)=0,"-",SUMIFS('Daily Entry'!$M$4:$M$2003,'Daily Entry'!$A$4:$A$2003,$D$1,'Daily Entry'!$B$4:$B$2003,$A32)))</f>
        <v>8</v>
      </c>
      <c r="L32" s="10" t="n">
        <f aca="false">IF($A32="","",IF(COUNTIFS('Daily Entry'!$A$4:$A$2003,$D$1,'Daily Entry'!$B$4:$B$2003,$A32)=0,"-",SUMIFS('Daily Entry'!$O$4:$O$2003,'Daily Entry'!$A$4:$A$2003,$D$1,'Daily Entry'!$B$4:$B$2003,$A32)))</f>
        <v>1000</v>
      </c>
      <c r="M32" s="10" t="n">
        <f aca="false">IF($A32="","",IF(COUNTIFS('Daily Entry'!$A$4:$A$2003,$D$1,'Daily Entry'!$B$4:$B$2003,$A32)=0,"-",SUMIFS('Daily Entry'!$N$4:$N$2003,'Daily Entry'!$A$4:$A$2003,$D$1,'Daily Entry'!$B$4:$B$2003,$A32)))</f>
        <v>6</v>
      </c>
      <c r="N32" s="10" t="n">
        <f aca="false">IF($A32="","",IF(COUNTIFS('Daily Entry'!$A$4:$A$2003,$D$1,'Daily Entry'!$B$4:$B$2003,$A32)=0,"-",SUMIFS('Daily Entry'!$P$4:$P$2003,'Daily Entry'!$A$4:$A$2003,$D$1,'Daily Entry'!$B$4:$B$2003,$A32)))</f>
        <v>6000</v>
      </c>
      <c r="O32" s="10" t="n">
        <f aca="false">IF($A32="","",IF(COUNTIFS('Daily Entry'!$A$4:$A$2003,$D$1,'Daily Entry'!$B$4:$B$2003,$A32)=0,"-",SUMIFS('Daily Entry'!$R$4:$R$2003,'Daily Entry'!$A$4:$A$2003,$D$1,'Daily Entry'!$B$4:$B$2003,$A32)))</f>
        <v>1500</v>
      </c>
    </row>
    <row r="33" customFormat="false" ht="15" hidden="false" customHeight="false" outlineLevel="0" collapsed="false">
      <c r="A33" s="32" t="str">
        <f aca="false">IF(Drinks!$A32="","",Drinks!$A32)</f>
        <v>Top</v>
      </c>
      <c r="B33" s="10" t="n">
        <f aca="false">IF($A33="","",IF(COUNTIFS('Daily Entry'!$A$4:$A$2003,$D$1,'Daily Entry'!$B$4:$B$2003,$A33)=0,"-",SUMIFS('Daily Entry'!$C$4:$C$2003,'Daily Entry'!$A$4:$A$2003,$D$1,'Daily Entry'!$B$4:$B$2003,$A33)))</f>
        <v>0</v>
      </c>
      <c r="C33" s="10" t="n">
        <f aca="false">IF($A33="","",IF(COUNTIFS('Daily Entry'!$A$4:$A$2003,$D$1,'Daily Entry'!$B$4:$B$2003,$A33)=0,"-",SUMIFS('Daily Entry'!$D$4:$D$2003,'Daily Entry'!$A$4:$A$2003,$D$1,'Daily Entry'!$B$4:$B$2003,$A33)))</f>
        <v>0</v>
      </c>
      <c r="D33" s="10" t="n">
        <f aca="false">IF($A33="","",IF(COUNTIFS('Daily Entry'!$A$4:$A$2003,$D$1,'Daily Entry'!$B$4:$B$2003,$A33)=0,"-",SUMIFS('Daily Entry'!$F$4:$F$2003,'Daily Entry'!$A$4:$A$2003,$D$1,'Daily Entry'!$B$4:$B$2003,$A33)))</f>
        <v>0</v>
      </c>
      <c r="E33" s="10" t="n">
        <f aca="false">IF($A33="","",IF(COUNTIFS('Daily Entry'!$A$4:$A$2003,$D$1,'Daily Entry'!$B$4:$B$2003,$A33)=0,"-",SUMIFS('Daily Entry'!$E$4:$E$2003,'Daily Entry'!$A$4:$A$2003,$D$1,'Daily Entry'!$B$4:$B$2003,$A33)))</f>
        <v>0</v>
      </c>
      <c r="F33" s="10" t="n">
        <f aca="false">IF($A33="","",IF(COUNTIFS('Daily Entry'!$A$4:$A$2003,$D$1,'Daily Entry'!$B$4:$B$2003,$A33)=0,"-",SUMIFS('Daily Entry'!$G$4:$G$2003,'Daily Entry'!$A$4:$A$2003,$D$1,'Daily Entry'!$B$4:$B$2003,$A33)))</f>
        <v>3000</v>
      </c>
      <c r="G33" s="10" t="n">
        <f aca="false">IF($A33="","",IF(COUNTIFS('Daily Entry'!$A$4:$A$2003,$D$1,'Daily Entry'!$B$4:$B$2003,$A33)=0,"-",SUMIFS('Daily Entry'!$I$4:$I$2003,'Daily Entry'!$A$4:$A$2003,$D$1,'Daily Entry'!$B$4:$B$2003,$A33)))</f>
        <v>0</v>
      </c>
      <c r="H33" s="10" t="n">
        <f aca="false">IF($A33="","",IF(COUNTIFS('Daily Entry'!$A$4:$A$2003,$D$1,'Daily Entry'!$B$4:$B$2003,$A33)=0,"-",SUMIFS('Daily Entry'!$J$4:$J$2003,'Daily Entry'!$A$4:$A$2003,$D$1,'Daily Entry'!$B$4:$B$2003,$A33)))</f>
        <v>9</v>
      </c>
      <c r="I33" s="10" t="n">
        <f aca="false">IF($A33="","",IF(COUNTIFS('Daily Entry'!$A$4:$A$2003,$D$1,'Daily Entry'!$B$4:$B$2003,$A33)=0,"-",SUMIFS('Daily Entry'!$K$4:$K$2003,'Daily Entry'!$A$4:$A$2003,$D$1,'Daily Entry'!$B$4:$B$2003,$A33)))</f>
        <v>0</v>
      </c>
      <c r="J33" s="10" t="n">
        <f aca="false">IF($A33="","",IF(COUNTIFS('Daily Entry'!$A$4:$A$2003,$D$1,'Daily Entry'!$B$4:$B$2003,$A33)=0,"-",SUMIFS('Daily Entry'!$L$4:$L$2003,'Daily Entry'!$A$4:$A$2003,$D$1,'Daily Entry'!$B$4:$B$2003,$A33)))</f>
        <v>9</v>
      </c>
      <c r="K33" s="10" t="n">
        <f aca="false">IF($A33="","",IF(COUNTIFS('Daily Entry'!$A$4:$A$2003,$D$1,'Daily Entry'!$B$4:$B$2003,$A33)=0,"-",SUMIFS('Daily Entry'!$M$4:$M$2003,'Daily Entry'!$A$4:$A$2003,$D$1,'Daily Entry'!$B$4:$B$2003,$A33)))</f>
        <v>0</v>
      </c>
      <c r="L33" s="10" t="n">
        <f aca="false">IF($A33="","",IF(COUNTIFS('Daily Entry'!$A$4:$A$2003,$D$1,'Daily Entry'!$B$4:$B$2003,$A33)=0,"-",SUMIFS('Daily Entry'!$O$4:$O$2003,'Daily Entry'!$A$4:$A$2003,$D$1,'Daily Entry'!$B$4:$B$2003,$A33)))</f>
        <v>1000</v>
      </c>
      <c r="M33" s="10" t="n">
        <f aca="false">IF($A33="","",IF(COUNTIFS('Daily Entry'!$A$4:$A$2003,$D$1,'Daily Entry'!$B$4:$B$2003,$A33)=0,"-",SUMIFS('Daily Entry'!$N$4:$N$2003,'Daily Entry'!$A$4:$A$2003,$D$1,'Daily Entry'!$B$4:$B$2003,$A33)))</f>
        <v>9</v>
      </c>
      <c r="N33" s="10" t="n">
        <f aca="false">IF($A33="","",IF(COUNTIFS('Daily Entry'!$A$4:$A$2003,$D$1,'Daily Entry'!$B$4:$B$2003,$A33)=0,"-",SUMIFS('Daily Entry'!$P$4:$P$2003,'Daily Entry'!$A$4:$A$2003,$D$1,'Daily Entry'!$B$4:$B$2003,$A33)))</f>
        <v>9000</v>
      </c>
      <c r="O33" s="10" t="n">
        <f aca="false">IF($A33="","",IF(COUNTIFS('Daily Entry'!$A$4:$A$2003,$D$1,'Daily Entry'!$B$4:$B$2003,$A33)=0,"-",SUMIFS('Daily Entry'!$R$4:$R$2003,'Daily Entry'!$A$4:$A$2003,$D$1,'Daily Entry'!$B$4:$B$2003,$A33)))</f>
        <v>4500</v>
      </c>
    </row>
    <row r="34" customFormat="false" ht="15" hidden="false" customHeight="false" outlineLevel="0" collapsed="false">
      <c r="A34" s="32" t="str">
        <f aca="false">IF(Drinks!$A33="","",Drinks!$A33)</f>
        <v>Supper Mount</v>
      </c>
      <c r="B34" s="10" t="n">
        <f aca="false">IF($A34="","",IF(COUNTIFS('Daily Entry'!$A$4:$A$2003,$D$1,'Daily Entry'!$B$4:$B$2003,$A34)=0,"-",SUMIFS('Daily Entry'!$C$4:$C$2003,'Daily Entry'!$A$4:$A$2003,$D$1,'Daily Entry'!$B$4:$B$2003,$A34)))</f>
        <v>8</v>
      </c>
      <c r="C34" s="10" t="n">
        <f aca="false">IF($A34="","",IF(COUNTIFS('Daily Entry'!$A$4:$A$2003,$D$1,'Daily Entry'!$B$4:$B$2003,$A34)=0,"-",SUMIFS('Daily Entry'!$D$4:$D$2003,'Daily Entry'!$A$4:$A$2003,$D$1,'Daily Entry'!$B$4:$B$2003,$A34)))</f>
        <v>0</v>
      </c>
      <c r="D34" s="10" t="n">
        <f aca="false">IF($A34="","",IF(COUNTIFS('Daily Entry'!$A$4:$A$2003,$D$1,'Daily Entry'!$B$4:$B$2003,$A34)=0,"-",SUMIFS('Daily Entry'!$F$4:$F$2003,'Daily Entry'!$A$4:$A$2003,$D$1,'Daily Entry'!$B$4:$B$2003,$A34)))</f>
        <v>8</v>
      </c>
      <c r="E34" s="10" t="n">
        <f aca="false">IF($A34="","",IF(COUNTIFS('Daily Entry'!$A$4:$A$2003,$D$1,'Daily Entry'!$B$4:$B$2003,$A34)=0,"-",SUMIFS('Daily Entry'!$E$4:$E$2003,'Daily Entry'!$A$4:$A$2003,$D$1,'Daily Entry'!$B$4:$B$2003,$A34)))</f>
        <v>0</v>
      </c>
      <c r="F34" s="10" t="n">
        <f aca="false">IF($A34="","",IF(COUNTIFS('Daily Entry'!$A$4:$A$2003,$D$1,'Daily Entry'!$B$4:$B$2003,$A34)=0,"-",SUMIFS('Daily Entry'!$G$4:$G$2003,'Daily Entry'!$A$4:$A$2003,$D$1,'Daily Entry'!$B$4:$B$2003,$A34)))</f>
        <v>1450</v>
      </c>
      <c r="G34" s="10" t="n">
        <f aca="false">IF($A34="","",IF(COUNTIFS('Daily Entry'!$A$4:$A$2003,$D$1,'Daily Entry'!$B$4:$B$2003,$A34)=0,"-",SUMIFS('Daily Entry'!$I$4:$I$2003,'Daily Entry'!$A$4:$A$2003,$D$1,'Daily Entry'!$B$4:$B$2003,$A34)))</f>
        <v>11600</v>
      </c>
      <c r="H34" s="10" t="n">
        <f aca="false">IF($A34="","",IF(COUNTIFS('Daily Entry'!$A$4:$A$2003,$D$1,'Daily Entry'!$B$4:$B$2003,$A34)=0,"-",SUMIFS('Daily Entry'!$J$4:$J$2003,'Daily Entry'!$A$4:$A$2003,$D$1,'Daily Entry'!$B$4:$B$2003,$A34)))</f>
        <v>15</v>
      </c>
      <c r="I34" s="10" t="n">
        <f aca="false">IF($A34="","",IF(COUNTIFS('Daily Entry'!$A$4:$A$2003,$D$1,'Daily Entry'!$B$4:$B$2003,$A34)=0,"-",SUMIFS('Daily Entry'!$K$4:$K$2003,'Daily Entry'!$A$4:$A$2003,$D$1,'Daily Entry'!$B$4:$B$2003,$A34)))</f>
        <v>0</v>
      </c>
      <c r="J34" s="10" t="n">
        <f aca="false">IF($A34="","",IF(COUNTIFS('Daily Entry'!$A$4:$A$2003,$D$1,'Daily Entry'!$B$4:$B$2003,$A34)=0,"-",SUMIFS('Daily Entry'!$L$4:$L$2003,'Daily Entry'!$A$4:$A$2003,$D$1,'Daily Entry'!$B$4:$B$2003,$A34)))</f>
        <v>15</v>
      </c>
      <c r="K34" s="10" t="n">
        <f aca="false">IF($A34="","",IF(COUNTIFS('Daily Entry'!$A$4:$A$2003,$D$1,'Daily Entry'!$B$4:$B$2003,$A34)=0,"-",SUMIFS('Daily Entry'!$M$4:$M$2003,'Daily Entry'!$A$4:$A$2003,$D$1,'Daily Entry'!$B$4:$B$2003,$A34)))</f>
        <v>11</v>
      </c>
      <c r="L34" s="10" t="n">
        <f aca="false">IF($A34="","",IF(COUNTIFS('Daily Entry'!$A$4:$A$2003,$D$1,'Daily Entry'!$B$4:$B$2003,$A34)=0,"-",SUMIFS('Daily Entry'!$O$4:$O$2003,'Daily Entry'!$A$4:$A$2003,$D$1,'Daily Entry'!$B$4:$B$2003,$A34)))</f>
        <v>500</v>
      </c>
      <c r="M34" s="10" t="n">
        <f aca="false">IF($A34="","",IF(COUNTIFS('Daily Entry'!$A$4:$A$2003,$D$1,'Daily Entry'!$B$4:$B$2003,$A34)=0,"-",SUMIFS('Daily Entry'!$N$4:$N$2003,'Daily Entry'!$A$4:$A$2003,$D$1,'Daily Entry'!$B$4:$B$2003,$A34)))</f>
        <v>4</v>
      </c>
      <c r="N34" s="10" t="n">
        <f aca="false">IF($A34="","",IF(COUNTIFS('Daily Entry'!$A$4:$A$2003,$D$1,'Daily Entry'!$B$4:$B$2003,$A34)=0,"-",SUMIFS('Daily Entry'!$P$4:$P$2003,'Daily Entry'!$A$4:$A$2003,$D$1,'Daily Entry'!$B$4:$B$2003,$A34)))</f>
        <v>2000</v>
      </c>
      <c r="O34" s="10" t="n">
        <f aca="false">IF($A34="","",IF(COUNTIFS('Daily Entry'!$A$4:$A$2003,$D$1,'Daily Entry'!$B$4:$B$2003,$A34)=0,"-",SUMIFS('Daily Entry'!$R$4:$R$2003,'Daily Entry'!$A$4:$A$2003,$D$1,'Daily Entry'!$B$4:$B$2003,$A34)))</f>
        <v>1033.33333333333</v>
      </c>
    </row>
    <row r="35" customFormat="false" ht="15" hidden="false" customHeight="false" outlineLevel="0" collapsed="false">
      <c r="A35" s="32" t="str">
        <f aca="false">IF(Drinks!$A34="","",Drinks!$A34)</f>
        <v>Reaktor</v>
      </c>
      <c r="B35" s="10" t="n">
        <f aca="false">IF($A35="","",IF(COUNTIFS('Daily Entry'!$A$4:$A$2003,$D$1,'Daily Entry'!$B$4:$B$2003,$A35)=0,"-",SUMIFS('Daily Entry'!$C$4:$C$2003,'Daily Entry'!$A$4:$A$2003,$D$1,'Daily Entry'!$B$4:$B$2003,$A35)))</f>
        <v>0</v>
      </c>
      <c r="C35" s="10" t="n">
        <f aca="false">IF($A35="","",IF(COUNTIFS('Daily Entry'!$A$4:$A$2003,$D$1,'Daily Entry'!$B$4:$B$2003,$A35)=0,"-",SUMIFS('Daily Entry'!$D$4:$D$2003,'Daily Entry'!$A$4:$A$2003,$D$1,'Daily Entry'!$B$4:$B$2003,$A35)))</f>
        <v>5</v>
      </c>
      <c r="D35" s="10" t="n">
        <f aca="false">IF($A35="","",IF(COUNTIFS('Daily Entry'!$A$4:$A$2003,$D$1,'Daily Entry'!$B$4:$B$2003,$A35)=0,"-",SUMIFS('Daily Entry'!$F$4:$F$2003,'Daily Entry'!$A$4:$A$2003,$D$1,'Daily Entry'!$B$4:$B$2003,$A35)))</f>
        <v>2</v>
      </c>
      <c r="E35" s="10" t="n">
        <f aca="false">IF($A35="","",IF(COUNTIFS('Daily Entry'!$A$4:$A$2003,$D$1,'Daily Entry'!$B$4:$B$2003,$A35)=0,"-",SUMIFS('Daily Entry'!$E$4:$E$2003,'Daily Entry'!$A$4:$A$2003,$D$1,'Daily Entry'!$B$4:$B$2003,$A35)))</f>
        <v>3</v>
      </c>
      <c r="F35" s="10" t="n">
        <f aca="false">IF($A35="","",IF(COUNTIFS('Daily Entry'!$A$4:$A$2003,$D$1,'Daily Entry'!$B$4:$B$2003,$A35)=0,"-",SUMIFS('Daily Entry'!$G$4:$G$2003,'Daily Entry'!$A$4:$A$2003,$D$1,'Daily Entry'!$B$4:$B$2003,$A35)))</f>
        <v>4300</v>
      </c>
      <c r="G35" s="10" t="n">
        <f aca="false">IF($A35="","",IF(COUNTIFS('Daily Entry'!$A$4:$A$2003,$D$1,'Daily Entry'!$B$4:$B$2003,$A35)=0,"-",SUMIFS('Daily Entry'!$I$4:$I$2003,'Daily Entry'!$A$4:$A$2003,$D$1,'Daily Entry'!$B$4:$B$2003,$A35)))</f>
        <v>8600</v>
      </c>
      <c r="H35" s="10" t="n">
        <f aca="false">IF($A35="","",IF(COUNTIFS('Daily Entry'!$A$4:$A$2003,$D$1,'Daily Entry'!$B$4:$B$2003,$A35)=0,"-",SUMIFS('Daily Entry'!$J$4:$J$2003,'Daily Entry'!$A$4:$A$2003,$D$1,'Daily Entry'!$B$4:$B$2003,$A35)))</f>
        <v>0</v>
      </c>
      <c r="I35" s="10" t="n">
        <f aca="false">IF($A35="","",IF(COUNTIFS('Daily Entry'!$A$4:$A$2003,$D$1,'Daily Entry'!$B$4:$B$2003,$A35)=0,"-",SUMIFS('Daily Entry'!$K$4:$K$2003,'Daily Entry'!$A$4:$A$2003,$D$1,'Daily Entry'!$B$4:$B$2003,$A35)))</f>
        <v>36</v>
      </c>
      <c r="J35" s="10" t="n">
        <f aca="false">IF($A35="","",IF(COUNTIFS('Daily Entry'!$A$4:$A$2003,$D$1,'Daily Entry'!$B$4:$B$2003,$A35)=0,"-",SUMIFS('Daily Entry'!$L$4:$L$2003,'Daily Entry'!$A$4:$A$2003,$D$1,'Daily Entry'!$B$4:$B$2003,$A35)))</f>
        <v>36</v>
      </c>
      <c r="K35" s="10" t="n">
        <f aca="false">IF($A35="","",IF(COUNTIFS('Daily Entry'!$A$4:$A$2003,$D$1,'Daily Entry'!$B$4:$B$2003,$A35)=0,"-",SUMIFS('Daily Entry'!$M$4:$M$2003,'Daily Entry'!$A$4:$A$2003,$D$1,'Daily Entry'!$B$4:$B$2003,$A35)))</f>
        <v>30</v>
      </c>
      <c r="L35" s="10" t="n">
        <f aca="false">IF($A35="","",IF(COUNTIFS('Daily Entry'!$A$4:$A$2003,$D$1,'Daily Entry'!$B$4:$B$2003,$A35)=0,"-",SUMIFS('Daily Entry'!$O$4:$O$2003,'Daily Entry'!$A$4:$A$2003,$D$1,'Daily Entry'!$B$4:$B$2003,$A35)))</f>
        <v>500</v>
      </c>
      <c r="M35" s="10" t="n">
        <f aca="false">IF($A35="","",IF(COUNTIFS('Daily Entry'!$A$4:$A$2003,$D$1,'Daily Entry'!$B$4:$B$2003,$A35)=0,"-",SUMIFS('Daily Entry'!$N$4:$N$2003,'Daily Entry'!$A$4:$A$2003,$D$1,'Daily Entry'!$B$4:$B$2003,$A35)))</f>
        <v>6</v>
      </c>
      <c r="N35" s="10" t="n">
        <f aca="false">IF($A35="","",IF(COUNTIFS('Daily Entry'!$A$4:$A$2003,$D$1,'Daily Entry'!$B$4:$B$2003,$A35)=0,"-",SUMIFS('Daily Entry'!$P$4:$P$2003,'Daily Entry'!$A$4:$A$2003,$D$1,'Daily Entry'!$B$4:$B$2003,$A35)))</f>
        <v>3000</v>
      </c>
      <c r="O35" s="10" t="n">
        <f aca="false">IF($A35="","",IF(COUNTIFS('Daily Entry'!$A$4:$A$2003,$D$1,'Daily Entry'!$B$4:$B$2003,$A35)=0,"-",SUMIFS('Daily Entry'!$R$4:$R$2003,'Daily Entry'!$A$4:$A$2003,$D$1,'Daily Entry'!$B$4:$B$2003,$A35)))</f>
        <v>850</v>
      </c>
    </row>
    <row r="36" customFormat="false" ht="15" hidden="false" customHeight="false" outlineLevel="0" collapsed="false">
      <c r="A36" s="33" t="s">
        <v>140</v>
      </c>
      <c r="B36" s="34" t="n">
        <f aca="false">SUMIF(B5:B35,"&lt;&gt;-")</f>
        <v>33</v>
      </c>
      <c r="C36" s="34" t="n">
        <f aca="false">SUMIF(C5:C35,"&lt;&gt;-")</f>
        <v>29</v>
      </c>
      <c r="D36" s="34" t="n">
        <f aca="false">SUMIF(D5:D35,"&lt;&gt;-")</f>
        <v>34</v>
      </c>
      <c r="E36" s="34" t="n">
        <f aca="false">SUMIF(E5:E35,"&lt;&gt;-")</f>
        <v>28</v>
      </c>
      <c r="F36" s="35"/>
      <c r="G36" s="34" t="n">
        <f aca="false">SUMIF(G5:G35,"&lt;&gt;-")</f>
        <v>189200</v>
      </c>
      <c r="H36" s="35"/>
      <c r="I36" s="34" t="n">
        <f aca="false">SUMIF(I5:I35,"&lt;&gt;-")</f>
        <v>336</v>
      </c>
      <c r="J36" s="34" t="n">
        <f aca="false">SUMIF(J5:J35,"&lt;&gt;-")</f>
        <v>671</v>
      </c>
      <c r="K36" s="34" t="n">
        <f aca="false">SUMIF(K5:K35,"&lt;&gt;-")</f>
        <v>400</v>
      </c>
      <c r="L36" s="35"/>
      <c r="M36" s="34" t="n">
        <f aca="false">SUMIF(M5:M35,"&lt;&gt;-")</f>
        <v>271</v>
      </c>
      <c r="N36" s="34" t="n">
        <f aca="false">SUMIF(N5:N35,"&lt;&gt;-")</f>
        <v>272500</v>
      </c>
      <c r="O36" s="34" t="n">
        <f aca="false">SUMIF(O5:O35,"&lt;&gt;-")</f>
        <v>76283.3333333333</v>
      </c>
    </row>
    <row r="38" customFormat="false" ht="15" hidden="false" customHeight="false" outlineLevel="0" collapsed="false">
      <c r="A38" s="36" t="s">
        <v>141</v>
      </c>
    </row>
    <row r="39" customFormat="false" ht="15" hidden="false" customHeight="false" outlineLevel="0" collapsed="false">
      <c r="A39" s="31"/>
      <c r="B39" s="37" t="s">
        <v>135</v>
      </c>
      <c r="D39" s="37" t="s">
        <v>142</v>
      </c>
      <c r="F39" s="37" t="s">
        <v>143</v>
      </c>
      <c r="I39" s="38" t="s">
        <v>144</v>
      </c>
    </row>
    <row r="40" customFormat="false" ht="15" hidden="false" customHeight="false" outlineLevel="0" collapsed="false">
      <c r="A40" s="39" t="s">
        <v>129</v>
      </c>
      <c r="B40" s="10" t="n">
        <f aca="false">SUMIFS('Daily Cash'!$B$4:$B$403,'Daily Cash'!$A$4:$A$403,$D$1)</f>
        <v>272500</v>
      </c>
      <c r="D40" s="40"/>
      <c r="F40" s="10" t="n">
        <f aca="false">SUMIFS('Daily Cash'!$B$4:$B$403,'Daily Cash'!$A$4:$A$403,$D$1)</f>
        <v>272500</v>
      </c>
    </row>
    <row r="41" customFormat="false" ht="15" hidden="false" customHeight="false" outlineLevel="0" collapsed="false">
      <c r="A41" s="39" t="s">
        <v>145</v>
      </c>
      <c r="B41" s="10" t="n">
        <f aca="false">SUMIFS('Daily Cash'!$C$4:$C$403,'Daily Cash'!$A$4:$A$403,$D$1)</f>
        <v>0</v>
      </c>
      <c r="D41" s="40"/>
      <c r="F41" s="10" t="n">
        <f aca="false">F40+B41</f>
        <v>272500</v>
      </c>
      <c r="I41" s="41" t="s">
        <v>146</v>
      </c>
    </row>
    <row r="42" customFormat="false" ht="15" hidden="false" customHeight="false" outlineLevel="0" collapsed="false">
      <c r="A42" s="39" t="s">
        <v>147</v>
      </c>
      <c r="B42" s="10" t="n">
        <f aca="false">SUMIFS('Daily Cash'!$D$4:$D$403,'Daily Cash'!$A$4:$A$403,$D$1)</f>
        <v>0</v>
      </c>
      <c r="D42" s="40"/>
      <c r="F42" s="10" t="n">
        <f aca="false">F41-B42</f>
        <v>272500</v>
      </c>
      <c r="I42" s="5" t="s">
        <v>148</v>
      </c>
    </row>
    <row r="43" customFormat="false" ht="15" hidden="false" customHeight="false" outlineLevel="0" collapsed="false">
      <c r="A43" s="39" t="s">
        <v>149</v>
      </c>
      <c r="B43" s="10" t="n">
        <f aca="false">SUMIFS('Daily Cash'!$E$4:$E$403,'Daily Cash'!$A$4:$A$403,$D$1)</f>
        <v>500</v>
      </c>
      <c r="D43" s="42" t="str">
        <f aca="false">IFERROR(INDEX('Daily Cash'!$F$4:$F$403,MATCH($D$1,'Daily Cash'!$A$4:$A$403,0)),"-")</f>
        <v>Photocopy</v>
      </c>
      <c r="F43" s="10" t="n">
        <f aca="false">F42-B43</f>
        <v>272000</v>
      </c>
    </row>
    <row r="44" customFormat="false" ht="15" hidden="false" customHeight="false" outlineLevel="0" collapsed="false">
      <c r="A44" s="39" t="s">
        <v>150</v>
      </c>
      <c r="B44" s="10" t="n">
        <f aca="false">SUMIFS('Daily Cash'!$G$4:$G$403,'Daily Cash'!$A$4:$A$403,$D$1)</f>
        <v>0</v>
      </c>
      <c r="D44" s="40"/>
      <c r="F44" s="10" t="n">
        <f aca="false">F43-B44</f>
        <v>272000</v>
      </c>
      <c r="I44" s="41" t="s">
        <v>146</v>
      </c>
    </row>
    <row r="45" customFormat="false" ht="15" hidden="false" customHeight="false" outlineLevel="0" collapsed="false">
      <c r="A45" s="39" t="s">
        <v>151</v>
      </c>
      <c r="B45" s="10" t="n">
        <f aca="false">SUMIFS('Daily Cash'!$H$4:$H$403,'Daily Cash'!$A$4:$A$403,$D$1)</f>
        <v>11000</v>
      </c>
      <c r="D45" s="42" t="str">
        <f aca="false">IFERROR(INDEX('Daily Cash'!$I$4:$I$403,MATCH($D$1,'Daily Cash'!$A$4:$A$403,0)),"-")</f>
        <v>Staff</v>
      </c>
      <c r="F45" s="10" t="n">
        <f aca="false">F44-B45</f>
        <v>261000</v>
      </c>
      <c r="I45" s="5" t="s">
        <v>152</v>
      </c>
    </row>
    <row r="46" customFormat="false" ht="15" hidden="false" customHeight="false" outlineLevel="0" collapsed="false">
      <c r="A46" s="43" t="s">
        <v>153</v>
      </c>
      <c r="B46" s="28" t="n">
        <f aca="false">SUMIFS('Daily Cash'!$J$4:$J$403,'Daily Cash'!$A$4:$A$403,$D$1)</f>
        <v>261000</v>
      </c>
      <c r="D46" s="40"/>
      <c r="F46" s="28" t="n">
        <f aca="false">SUMIFS('Daily Cash'!$J$4:$J$403,'Daily Cash'!$A$4:$A$403,$D$1)</f>
        <v>261000</v>
      </c>
    </row>
    <row r="47" customFormat="false" ht="15" hidden="false" customHeight="false" outlineLevel="0" collapsed="false">
      <c r="A47" s="39"/>
      <c r="B47" s="40"/>
      <c r="D47" s="40"/>
      <c r="F47" s="40"/>
      <c r="I47" s="41" t="s">
        <v>146</v>
      </c>
    </row>
    <row r="48" customFormat="false" ht="15" hidden="false" customHeight="false" outlineLevel="0" collapsed="false">
      <c r="A48" s="39" t="s">
        <v>154</v>
      </c>
      <c r="B48" s="10" t="n">
        <f aca="false">SUMIFS('Daily Cash'!$L$4:$L$403,'Daily Cash'!$A$4:$A$403,$D$1)</f>
        <v>76283.3333333333</v>
      </c>
      <c r="D48" s="40"/>
      <c r="F48" s="40"/>
      <c r="I48" s="5" t="s">
        <v>155</v>
      </c>
    </row>
    <row r="49" customFormat="false" ht="15" hidden="false" customHeight="false" outlineLevel="0" collapsed="false">
      <c r="A49" s="43" t="s">
        <v>117</v>
      </c>
      <c r="B49" s="28" t="n">
        <f aca="false">SUMIFS('Daily Cash'!$M$4:$M$403,'Daily Cash'!$A$4:$A$403,$D$1)</f>
        <v>75783.3333333333</v>
      </c>
      <c r="D49" s="40"/>
      <c r="F49" s="43"/>
    </row>
    <row r="50" customFormat="false" ht="15" hidden="false" customHeight="false" outlineLevel="0" collapsed="false">
      <c r="A50" s="39" t="s">
        <v>156</v>
      </c>
      <c r="B50" s="10" t="n">
        <f aca="false">SUMIFS('Daily Cash'!$N$4:$N$403,'Daily Cash'!$A$4:$A$403,$D$1)</f>
        <v>210500</v>
      </c>
      <c r="D50" s="40"/>
      <c r="F50" s="40"/>
    </row>
  </sheetData>
  <mergeCells count="4">
    <mergeCell ref="B3:G3"/>
    <mergeCell ref="H3:I3"/>
    <mergeCell ref="J3:K3"/>
    <mergeCell ref="M3:O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5" min="3" style="0" width="16"/>
    <col collapsed="false" customWidth="true" hidden="false" outlineLevel="0" max="6" min="6" style="0" width="14"/>
  </cols>
  <sheetData>
    <row r="1" customFormat="false" ht="17.35" hidden="false" customHeight="false" outlineLevel="0" collapsed="false">
      <c r="A1" s="1" t="s">
        <v>157</v>
      </c>
    </row>
    <row r="2" customFormat="false" ht="15" hidden="false" customHeight="false" outlineLevel="0" collapsed="false">
      <c r="A2" s="2" t="s">
        <v>158</v>
      </c>
    </row>
    <row r="4" customFormat="false" ht="15" hidden="false" customHeight="false" outlineLevel="0" collapsed="false">
      <c r="A4" s="5" t="s">
        <v>159</v>
      </c>
      <c r="B4" s="44" t="n">
        <v>46235</v>
      </c>
    </row>
    <row r="5" customFormat="false" ht="15" hidden="false" customHeight="false" outlineLevel="0" collapsed="false">
      <c r="A5" s="5" t="s">
        <v>160</v>
      </c>
      <c r="B5" s="44" t="n">
        <v>46256</v>
      </c>
    </row>
    <row r="7" customFormat="false" ht="15" hidden="false" customHeight="false" outlineLevel="0" collapsed="false">
      <c r="A7" s="45" t="s">
        <v>161</v>
      </c>
      <c r="B7" s="31"/>
    </row>
    <row r="8" customFormat="false" ht="15" hidden="false" customHeight="false" outlineLevel="0" collapsed="false">
      <c r="A8" s="46" t="s">
        <v>106</v>
      </c>
      <c r="B8" s="10" t="n">
        <f aca="false">SUMIFS('Daily Cash'!$B$4:$B$403,'Daily Cash'!$A$4:$A$403,"&gt;="&amp;$B$4,'Daily Cash'!$A$4:$A$403,"&lt;="&amp;$B$5)</f>
        <v>272500</v>
      </c>
    </row>
    <row r="9" customFormat="false" ht="15" hidden="false" customHeight="false" outlineLevel="0" collapsed="false">
      <c r="A9" s="46" t="s">
        <v>115</v>
      </c>
      <c r="B9" s="10" t="n">
        <f aca="false">SUMIFS('Daily Cash'!$K$4:$K$403,'Daily Cash'!$A$4:$A$403,"&gt;="&amp;$B$4,'Daily Cash'!$A$4:$A$403,"&lt;="&amp;$B$5)</f>
        <v>196216.666666667</v>
      </c>
    </row>
    <row r="10" customFormat="false" ht="15" hidden="false" customHeight="false" outlineLevel="0" collapsed="false">
      <c r="A10" s="46" t="s">
        <v>116</v>
      </c>
      <c r="B10" s="10" t="n">
        <f aca="false">SUMIFS('Daily Cash'!$L$4:$L$403,'Daily Cash'!$A$4:$A$403,"&gt;="&amp;$B$4,'Daily Cash'!$A$4:$A$403,"&lt;="&amp;$B$5)</f>
        <v>76283.3333333333</v>
      </c>
    </row>
    <row r="11" customFormat="false" ht="15" hidden="false" customHeight="false" outlineLevel="0" collapsed="false">
      <c r="A11" s="46" t="s">
        <v>162</v>
      </c>
      <c r="B11" s="11" t="n">
        <f aca="false">IF(B8=0,0,B10/B8)</f>
        <v>0.279938837920489</v>
      </c>
    </row>
    <row r="13" customFormat="false" ht="15" hidden="false" customHeight="false" outlineLevel="0" collapsed="false">
      <c r="A13" s="45" t="s">
        <v>163</v>
      </c>
      <c r="B13" s="31"/>
    </row>
    <row r="14" customFormat="false" ht="15" hidden="false" customHeight="false" outlineLevel="0" collapsed="false">
      <c r="A14" s="46" t="s">
        <v>108</v>
      </c>
      <c r="B14" s="10" t="n">
        <f aca="false">SUMIFS('Daily Cash'!$D$4:$D$403,'Daily Cash'!$A$4:$A$403,"&gt;="&amp;$B$4,'Daily Cash'!$A$4:$A$403,"&lt;="&amp;$B$5)</f>
        <v>0</v>
      </c>
    </row>
    <row r="15" customFormat="false" ht="15" hidden="false" customHeight="false" outlineLevel="0" collapsed="false">
      <c r="A15" s="46" t="s">
        <v>109</v>
      </c>
      <c r="B15" s="10" t="n">
        <f aca="false">SUMIFS('Daily Cash'!$E$4:$E$403,'Daily Cash'!$A$4:$A$403,"&gt;="&amp;$B$4,'Daily Cash'!$A$4:$A$403,"&lt;="&amp;$B$5)</f>
        <v>500</v>
      </c>
    </row>
    <row r="16" customFormat="false" ht="15" hidden="false" customHeight="false" outlineLevel="0" collapsed="false">
      <c r="A16" s="46" t="s">
        <v>111</v>
      </c>
      <c r="B16" s="10" t="n">
        <f aca="false">SUMIFS('Daily Cash'!$G$4:$G$403,'Daily Cash'!$A$4:$A$403,"&gt;="&amp;$B$4,'Daily Cash'!$A$4:$A$403,"&lt;="&amp;$B$5)</f>
        <v>0</v>
      </c>
    </row>
    <row r="17" customFormat="false" ht="15" hidden="false" customHeight="false" outlineLevel="0" collapsed="false">
      <c r="A17" s="46" t="s">
        <v>164</v>
      </c>
      <c r="B17" s="10" t="n">
        <f aca="false">SUMIFS('Daily Cash'!$H$4:$H$403,'Daily Cash'!$A$4:$A$403,"&gt;="&amp;$B$4,'Daily Cash'!$A$4:$A$403,"&lt;="&amp;$B$5)</f>
        <v>11000</v>
      </c>
    </row>
    <row r="18" customFormat="false" ht="15" hidden="false" customHeight="false" outlineLevel="0" collapsed="false">
      <c r="A18" s="46" t="s">
        <v>107</v>
      </c>
      <c r="B18" s="10" t="n">
        <f aca="false">SUMIFS('Daily Cash'!$C$4:$C$403,'Daily Cash'!$A$4:$A$403,"&gt;="&amp;$B$4,'Daily Cash'!$A$4:$A$403,"&lt;="&amp;$B$5)</f>
        <v>0</v>
      </c>
    </row>
    <row r="20" customFormat="false" ht="15" hidden="false" customHeight="false" outlineLevel="0" collapsed="false">
      <c r="A20" s="45" t="s">
        <v>165</v>
      </c>
      <c r="B20" s="31"/>
    </row>
    <row r="21" customFormat="false" ht="15" hidden="false" customHeight="false" outlineLevel="0" collapsed="false">
      <c r="A21" s="47" t="s">
        <v>117</v>
      </c>
      <c r="B21" s="28" t="n">
        <f aca="false">SUMIFS('Daily Cash'!$M$4:$M$403,'Daily Cash'!$A$4:$A$403,"&gt;="&amp;$B$4,'Daily Cash'!$A$4:$A$403,"&lt;="&amp;$B$5)</f>
        <v>75783.3333333333</v>
      </c>
    </row>
    <row r="22" customFormat="false" ht="15" hidden="false" customHeight="false" outlineLevel="0" collapsed="false">
      <c r="A22" s="46" t="s">
        <v>166</v>
      </c>
      <c r="B22" s="10" t="n">
        <f aca="false">SUMIFS('Daily Cash'!$J$4:$J$403,'Daily Cash'!$A$4:$A$403,"&gt;="&amp;$B$4,'Daily Cash'!$A$4:$A$403,"&lt;="&amp;$B$5)</f>
        <v>261000</v>
      </c>
    </row>
    <row r="23" customFormat="false" ht="15" hidden="false" customHeight="false" outlineLevel="0" collapsed="false">
      <c r="A23" s="46" t="s">
        <v>118</v>
      </c>
      <c r="B23" s="10" t="n">
        <f aca="false">SUMIFS('Daily Cash'!$N$4:$N$403,'Daily Cash'!$A$4:$A$403,"&gt;="&amp;$B$4,'Daily Cash'!$A$4:$A$403,"&lt;="&amp;$B$5)</f>
        <v>210500</v>
      </c>
    </row>
    <row r="25" customFormat="false" ht="15" hidden="false" customHeight="false" outlineLevel="0" collapsed="false">
      <c r="A25" s="45" t="s">
        <v>167</v>
      </c>
      <c r="B25" s="31"/>
    </row>
    <row r="26" customFormat="false" ht="15" hidden="false" customHeight="false" outlineLevel="0" collapsed="false">
      <c r="A26" s="46" t="s">
        <v>168</v>
      </c>
      <c r="B26" s="10" t="n">
        <f aca="false">IFERROR(INDEX('Daily Cash'!$O$4:$O$403,MATCH($B$5,'Daily Cash'!$A$4:$A$403,0)),0)</f>
        <v>189200</v>
      </c>
    </row>
    <row r="27" customFormat="false" ht="15" hidden="false" customHeight="false" outlineLevel="0" collapsed="false">
      <c r="A27" s="46" t="s">
        <v>169</v>
      </c>
      <c r="B27" s="48" t="n">
        <f aca="false">IFERROR(INDEX('Daily Cash'!$P$4:$P$403,MATCH($B$5,'Daily Cash'!$A$4:$A$403,0)),0)</f>
        <v>1240</v>
      </c>
    </row>
    <row r="29" customFormat="false" ht="15" hidden="false" customHeight="false" outlineLevel="0" collapsed="false">
      <c r="A29" s="36" t="s">
        <v>170</v>
      </c>
    </row>
    <row r="30" customFormat="false" ht="33.75" hidden="false" customHeight="true" outlineLevel="0" collapsed="false">
      <c r="A30" s="7" t="s">
        <v>60</v>
      </c>
      <c r="B30" s="7" t="s">
        <v>171</v>
      </c>
      <c r="C30" s="7" t="s">
        <v>106</v>
      </c>
      <c r="D30" s="7" t="s">
        <v>115</v>
      </c>
      <c r="E30" s="7" t="s">
        <v>116</v>
      </c>
      <c r="F30" s="7" t="s">
        <v>172</v>
      </c>
    </row>
    <row r="31" customFormat="false" ht="15" hidden="false" customHeight="false" outlineLevel="0" collapsed="false">
      <c r="A31" s="32" t="str">
        <f aca="false">IF(Drinks!$A4="","",Drinks!$A4)</f>
        <v>Doppel</v>
      </c>
      <c r="B31" s="10" t="n">
        <f aca="false">IF($A31="","",SUMIFS('Daily Entry'!$N$4:$N$2003,'Daily Entry'!$A$4:$A$2003,"&gt;="&amp;$B$4,'Daily Entry'!$A$4:$A$2003,"&lt;="&amp;$B$5,'Daily Entry'!$B$4:$B$2003,$A31))</f>
        <v>6</v>
      </c>
      <c r="C31" s="10" t="n">
        <f aca="false">IF($A31="","",SUMIFS('Daily Entry'!$P$4:$P$2003,'Daily Entry'!$A$4:$A$2003,"&gt;="&amp;$B$4,'Daily Entry'!$A$4:$A$2003,"&lt;="&amp;$B$5,'Daily Entry'!$B$4:$B$2003,$A31))</f>
        <v>6000</v>
      </c>
      <c r="D31" s="10" t="n">
        <f aca="false">IF($A31="","",SUMIFS('Daily Entry'!$Q$4:$Q$2003,'Daily Entry'!$A$4:$A$2003,"&gt;="&amp;$B$4,'Daily Entry'!$A$4:$A$2003,"&lt;="&amp;$B$5,'Daily Entry'!$B$4:$B$2003,$A31))</f>
        <v>4250</v>
      </c>
      <c r="E31" s="10" t="n">
        <f aca="false">IF($A31="","",SUMIFS('Daily Entry'!$R$4:$R$2003,'Daily Entry'!$A$4:$A$2003,"&gt;="&amp;$B$4,'Daily Entry'!$A$4:$A$2003,"&lt;="&amp;$B$5,'Daily Entry'!$B$4:$B$2003,$A31))</f>
        <v>1750</v>
      </c>
      <c r="F31" s="11" t="n">
        <f aca="false">IF(OR($A31="",$B$8=0),"",$C31/$B$8)</f>
        <v>0.0220183486238532</v>
      </c>
    </row>
    <row r="32" customFormat="false" ht="15" hidden="false" customHeight="false" outlineLevel="0" collapsed="false">
      <c r="A32" s="32" t="str">
        <f aca="false">IF(Drinks!$A5="","",Drinks!$A5)</f>
        <v>Mutzig</v>
      </c>
      <c r="B32" s="10" t="n">
        <f aca="false">IF($A32="","",SUMIFS('Daily Entry'!$N$4:$N$2003,'Daily Entry'!$A$4:$A$2003,"&gt;="&amp;$B$4,'Daily Entry'!$A$4:$A$2003,"&lt;="&amp;$B$5,'Daily Entry'!$B$4:$B$2003,$A32))</f>
        <v>15</v>
      </c>
      <c r="C32" s="10" t="n">
        <f aca="false">IF($A32="","",SUMIFS('Daily Entry'!$P$4:$P$2003,'Daily Entry'!$A$4:$A$2003,"&gt;="&amp;$B$4,'Daily Entry'!$A$4:$A$2003,"&lt;="&amp;$B$5,'Daily Entry'!$B$4:$B$2003,$A32))</f>
        <v>15000</v>
      </c>
      <c r="D32" s="10" t="n">
        <f aca="false">IF($A32="","",SUMIFS('Daily Entry'!$Q$4:$Q$2003,'Daily Entry'!$A$4:$A$2003,"&gt;="&amp;$B$4,'Daily Entry'!$A$4:$A$2003,"&lt;="&amp;$B$5,'Daily Entry'!$B$4:$B$2003,$A32))</f>
        <v>10625</v>
      </c>
      <c r="E32" s="10" t="n">
        <f aca="false">IF($A32="","",SUMIFS('Daily Entry'!$R$4:$R$2003,'Daily Entry'!$A$4:$A$2003,"&gt;="&amp;$B$4,'Daily Entry'!$A$4:$A$2003,"&lt;="&amp;$B$5,'Daily Entry'!$B$4:$B$2003,$A32))</f>
        <v>4375</v>
      </c>
      <c r="F32" s="11" t="n">
        <f aca="false">IF(OR($A32="",$B$8=0),"",$C32/$B$8)</f>
        <v>0.055045871559633</v>
      </c>
    </row>
    <row r="33" customFormat="false" ht="15" hidden="false" customHeight="false" outlineLevel="0" collapsed="false">
      <c r="A33" s="32" t="str">
        <f aca="false">IF(Drinks!$A6="","",Drinks!$A6)</f>
        <v>Export</v>
      </c>
      <c r="B33" s="10" t="n">
        <f aca="false">IF($A33="","",SUMIFS('Daily Entry'!$N$4:$N$2003,'Daily Entry'!$A$4:$A$2003,"&gt;="&amp;$B$4,'Daily Entry'!$A$4:$A$2003,"&lt;="&amp;$B$5,'Daily Entry'!$B$4:$B$2003,$A33))</f>
        <v>60</v>
      </c>
      <c r="C33" s="10" t="n">
        <f aca="false">IF($A33="","",SUMIFS('Daily Entry'!$P$4:$P$2003,'Daily Entry'!$A$4:$A$2003,"&gt;="&amp;$B$4,'Daily Entry'!$A$4:$A$2003,"&lt;="&amp;$B$5,'Daily Entry'!$B$4:$B$2003,$A33))</f>
        <v>60000</v>
      </c>
      <c r="D33" s="10" t="n">
        <f aca="false">IF($A33="","",SUMIFS('Daily Entry'!$Q$4:$Q$2003,'Daily Entry'!$A$4:$A$2003,"&gt;="&amp;$B$4,'Daily Entry'!$A$4:$A$2003,"&lt;="&amp;$B$5,'Daily Entry'!$B$4:$B$2003,$A33))</f>
        <v>42500</v>
      </c>
      <c r="E33" s="10" t="n">
        <f aca="false">IF($A33="","",SUMIFS('Daily Entry'!$R$4:$R$2003,'Daily Entry'!$A$4:$A$2003,"&gt;="&amp;$B$4,'Daily Entry'!$A$4:$A$2003,"&lt;="&amp;$B$5,'Daily Entry'!$B$4:$B$2003,$A33))</f>
        <v>17500</v>
      </c>
      <c r="F33" s="11" t="n">
        <f aca="false">IF(OR($A33="",$B$8=0),"",$C33/$B$8)</f>
        <v>0.220183486238532</v>
      </c>
    </row>
    <row r="34" customFormat="false" ht="15" hidden="false" customHeight="false" outlineLevel="0" collapsed="false">
      <c r="A34" s="32" t="str">
        <f aca="false">IF(Drinks!$A7="","",Drinks!$A7)</f>
        <v>Castel Beer</v>
      </c>
      <c r="B34" s="10" t="n">
        <f aca="false">IF($A34="","",SUMIFS('Daily Entry'!$N$4:$N$2003,'Daily Entry'!$A$4:$A$2003,"&gt;="&amp;$B$4,'Daily Entry'!$A$4:$A$2003,"&lt;="&amp;$B$5,'Daily Entry'!$B$4:$B$2003,$A34))</f>
        <v>19</v>
      </c>
      <c r="C34" s="10" t="n">
        <f aca="false">IF($A34="","",SUMIFS('Daily Entry'!$P$4:$P$2003,'Daily Entry'!$A$4:$A$2003,"&gt;="&amp;$B$4,'Daily Entry'!$A$4:$A$2003,"&lt;="&amp;$B$5,'Daily Entry'!$B$4:$B$2003,$A34))</f>
        <v>19000</v>
      </c>
      <c r="D34" s="10" t="n">
        <f aca="false">IF($A34="","",SUMIFS('Daily Entry'!$Q$4:$Q$2003,'Daily Entry'!$A$4:$A$2003,"&gt;="&amp;$B$4,'Daily Entry'!$A$4:$A$2003,"&lt;="&amp;$B$5,'Daily Entry'!$B$4:$B$2003,$A34))</f>
        <v>13458.3333333333</v>
      </c>
      <c r="E34" s="10" t="n">
        <f aca="false">IF($A34="","",SUMIFS('Daily Entry'!$R$4:$R$2003,'Daily Entry'!$A$4:$A$2003,"&gt;="&amp;$B$4,'Daily Entry'!$A$4:$A$2003,"&lt;="&amp;$B$5,'Daily Entry'!$B$4:$B$2003,$A34))</f>
        <v>5541.66666666667</v>
      </c>
      <c r="F34" s="11" t="n">
        <f aca="false">IF(OR($A34="",$B$8=0),"",$C34/$B$8)</f>
        <v>0.0697247706422018</v>
      </c>
    </row>
    <row r="35" customFormat="false" ht="15" hidden="false" customHeight="false" outlineLevel="0" collapsed="false">
      <c r="A35" s="32" t="str">
        <f aca="false">IF(Drinks!$A8="","",Drinks!$A8)</f>
        <v>Castel Milk</v>
      </c>
      <c r="B35" s="10" t="n">
        <f aca="false">IF($A35="","",SUMIFS('Daily Entry'!$N$4:$N$2003,'Daily Entry'!$A$4:$A$2003,"&gt;="&amp;$B$4,'Daily Entry'!$A$4:$A$2003,"&lt;="&amp;$B$5,'Daily Entry'!$B$4:$B$2003,$A35))</f>
        <v>2</v>
      </c>
      <c r="C35" s="10" t="n">
        <f aca="false">IF($A35="","",SUMIFS('Daily Entry'!$P$4:$P$2003,'Daily Entry'!$A$4:$A$2003,"&gt;="&amp;$B$4,'Daily Entry'!$A$4:$A$2003,"&lt;="&amp;$B$5,'Daily Entry'!$B$4:$B$2003,$A35))</f>
        <v>2000</v>
      </c>
      <c r="D35" s="10" t="n">
        <f aca="false">IF($A35="","",SUMIFS('Daily Entry'!$Q$4:$Q$2003,'Daily Entry'!$A$4:$A$2003,"&gt;="&amp;$B$4,'Daily Entry'!$A$4:$A$2003,"&lt;="&amp;$B$5,'Daily Entry'!$B$4:$B$2003,$A35))</f>
        <v>1416.66666666667</v>
      </c>
      <c r="E35" s="10" t="n">
        <f aca="false">IF($A35="","",SUMIFS('Daily Entry'!$R$4:$R$2003,'Daily Entry'!$A$4:$A$2003,"&gt;="&amp;$B$4,'Daily Entry'!$A$4:$A$2003,"&lt;="&amp;$B$5,'Daily Entry'!$B$4:$B$2003,$A35))</f>
        <v>583.333333333333</v>
      </c>
      <c r="F35" s="11" t="n">
        <f aca="false">IF(OR($A35="",$B$8=0),"",$C35/$B$8)</f>
        <v>0.0073394495412844</v>
      </c>
    </row>
    <row r="36" customFormat="false" ht="15" hidden="false" customHeight="false" outlineLevel="0" collapsed="false">
      <c r="A36" s="32" t="str">
        <f aca="false">IF(Drinks!$A9="","",Drinks!$A9)</f>
        <v>Beaufort Light</v>
      </c>
      <c r="B36" s="10" t="n">
        <f aca="false">IF($A36="","",SUMIFS('Daily Entry'!$N$4:$N$2003,'Daily Entry'!$A$4:$A$2003,"&gt;="&amp;$B$4,'Daily Entry'!$A$4:$A$2003,"&lt;="&amp;$B$5,'Daily Entry'!$B$4:$B$2003,$A36))</f>
        <v>8</v>
      </c>
      <c r="C36" s="10" t="n">
        <f aca="false">IF($A36="","",SUMIFS('Daily Entry'!$P$4:$P$2003,'Daily Entry'!$A$4:$A$2003,"&gt;="&amp;$B$4,'Daily Entry'!$A$4:$A$2003,"&lt;="&amp;$B$5,'Daily Entry'!$B$4:$B$2003,$A36))</f>
        <v>8000</v>
      </c>
      <c r="D36" s="10" t="n">
        <f aca="false">IF($A36="","",SUMIFS('Daily Entry'!$Q$4:$Q$2003,'Daily Entry'!$A$4:$A$2003,"&gt;="&amp;$B$4,'Daily Entry'!$A$4:$A$2003,"&lt;="&amp;$B$5,'Daily Entry'!$B$4:$B$2003,$A36))</f>
        <v>5666.66666666667</v>
      </c>
      <c r="E36" s="10" t="n">
        <f aca="false">IF($A36="","",SUMIFS('Daily Entry'!$R$4:$R$2003,'Daily Entry'!$A$4:$A$2003,"&gt;="&amp;$B$4,'Daily Entry'!$A$4:$A$2003,"&lt;="&amp;$B$5,'Daily Entry'!$B$4:$B$2003,$A36))</f>
        <v>2333.33333333333</v>
      </c>
      <c r="F36" s="11" t="n">
        <f aca="false">IF(OR($A36="",$B$8=0),"",$C36/$B$8)</f>
        <v>0.0293577981651376</v>
      </c>
    </row>
    <row r="37" customFormat="false" ht="15" hidden="false" customHeight="false" outlineLevel="0" collapsed="false">
      <c r="A37" s="32" t="str">
        <f aca="false">IF(Drinks!$A10="","",Drinks!$A10)</f>
        <v>Beaufort Lager</v>
      </c>
      <c r="B37" s="10" t="n">
        <f aca="false">IF($A37="","",SUMIFS('Daily Entry'!$N$4:$N$2003,'Daily Entry'!$A$4:$A$2003,"&gt;="&amp;$B$4,'Daily Entry'!$A$4:$A$2003,"&lt;="&amp;$B$5,'Daily Entry'!$B$4:$B$2003,$A37))</f>
        <v>9</v>
      </c>
      <c r="C37" s="10" t="n">
        <f aca="false">IF($A37="","",SUMIFS('Daily Entry'!$P$4:$P$2003,'Daily Entry'!$A$4:$A$2003,"&gt;="&amp;$B$4,'Daily Entry'!$A$4:$A$2003,"&lt;="&amp;$B$5,'Daily Entry'!$B$4:$B$2003,$A37))</f>
        <v>9000</v>
      </c>
      <c r="D37" s="10" t="n">
        <f aca="false">IF($A37="","",SUMIFS('Daily Entry'!$Q$4:$Q$2003,'Daily Entry'!$A$4:$A$2003,"&gt;="&amp;$B$4,'Daily Entry'!$A$4:$A$2003,"&lt;="&amp;$B$5,'Daily Entry'!$B$4:$B$2003,$A37))</f>
        <v>6375</v>
      </c>
      <c r="E37" s="10" t="n">
        <f aca="false">IF($A37="","",SUMIFS('Daily Entry'!$R$4:$R$2003,'Daily Entry'!$A$4:$A$2003,"&gt;="&amp;$B$4,'Daily Entry'!$A$4:$A$2003,"&lt;="&amp;$B$5,'Daily Entry'!$B$4:$B$2003,$A37))</f>
        <v>2625</v>
      </c>
      <c r="F37" s="11" t="n">
        <f aca="false">IF(OR($A37="",$B$8=0),"",$C37/$B$8)</f>
        <v>0.0330275229357798</v>
      </c>
    </row>
    <row r="38" customFormat="false" ht="15" hidden="false" customHeight="false" outlineLevel="0" collapsed="false">
      <c r="A38" s="32" t="str">
        <f aca="false">IF(Drinks!$A11="","",Drinks!$A11)</f>
        <v>World Cola</v>
      </c>
      <c r="B38" s="10" t="n">
        <f aca="false">IF($A38="","",SUMIFS('Daily Entry'!$N$4:$N$2003,'Daily Entry'!$A$4:$A$2003,"&gt;="&amp;$B$4,'Daily Entry'!$A$4:$A$2003,"&lt;="&amp;$B$5,'Daily Entry'!$B$4:$B$2003,$A38))</f>
        <v>0</v>
      </c>
      <c r="C38" s="10" t="n">
        <f aca="false">IF($A38="","",SUMIFS('Daily Entry'!$P$4:$P$2003,'Daily Entry'!$A$4:$A$2003,"&gt;="&amp;$B$4,'Daily Entry'!$A$4:$A$2003,"&lt;="&amp;$B$5,'Daily Entry'!$B$4:$B$2003,$A38))</f>
        <v>0</v>
      </c>
      <c r="D38" s="10" t="n">
        <f aca="false">IF($A38="","",SUMIFS('Daily Entry'!$Q$4:$Q$2003,'Daily Entry'!$A$4:$A$2003,"&gt;="&amp;$B$4,'Daily Entry'!$A$4:$A$2003,"&lt;="&amp;$B$5,'Daily Entry'!$B$4:$B$2003,$A38))</f>
        <v>0</v>
      </c>
      <c r="E38" s="10" t="n">
        <f aca="false">IF($A38="","",SUMIFS('Daily Entry'!$R$4:$R$2003,'Daily Entry'!$A$4:$A$2003,"&gt;="&amp;$B$4,'Daily Entry'!$A$4:$A$2003,"&lt;="&amp;$B$5,'Daily Entry'!$B$4:$B$2003,$A38))</f>
        <v>0</v>
      </c>
      <c r="F38" s="11" t="n">
        <f aca="false">IF(OR($A38="",$B$8=0),"",$C38/$B$8)</f>
        <v>0</v>
      </c>
    </row>
    <row r="39" customFormat="false" ht="15" hidden="false" customHeight="false" outlineLevel="0" collapsed="false">
      <c r="A39" s="32" t="str">
        <f aca="false">IF(Drinks!$A12="","",Drinks!$A12)</f>
        <v>Sprite</v>
      </c>
      <c r="B39" s="10" t="n">
        <f aca="false">IF($A39="","",SUMIFS('Daily Entry'!$N$4:$N$2003,'Daily Entry'!$A$4:$A$2003,"&gt;="&amp;$B$4,'Daily Entry'!$A$4:$A$2003,"&lt;="&amp;$B$5,'Daily Entry'!$B$4:$B$2003,$A39))</f>
        <v>0</v>
      </c>
      <c r="C39" s="10" t="n">
        <f aca="false">IF($A39="","",SUMIFS('Daily Entry'!$P$4:$P$2003,'Daily Entry'!$A$4:$A$2003,"&gt;="&amp;$B$4,'Daily Entry'!$A$4:$A$2003,"&lt;="&amp;$B$5,'Daily Entry'!$B$4:$B$2003,$A39))</f>
        <v>0</v>
      </c>
      <c r="D39" s="10" t="n">
        <f aca="false">IF($A39="","",SUMIFS('Daily Entry'!$Q$4:$Q$2003,'Daily Entry'!$A$4:$A$2003,"&gt;="&amp;$B$4,'Daily Entry'!$A$4:$A$2003,"&lt;="&amp;$B$5,'Daily Entry'!$B$4:$B$2003,$A39))</f>
        <v>0</v>
      </c>
      <c r="E39" s="10" t="n">
        <f aca="false">IF($A39="","",SUMIFS('Daily Entry'!$R$4:$R$2003,'Daily Entry'!$A$4:$A$2003,"&gt;="&amp;$B$4,'Daily Entry'!$A$4:$A$2003,"&lt;="&amp;$B$5,'Daily Entry'!$B$4:$B$2003,$A39))</f>
        <v>0</v>
      </c>
      <c r="F39" s="11" t="n">
        <f aca="false">IF(OR($A39="",$B$8=0),"",$C39/$B$8)</f>
        <v>0</v>
      </c>
    </row>
    <row r="40" customFormat="false" ht="15" hidden="false" customHeight="false" outlineLevel="0" collapsed="false">
      <c r="A40" s="32" t="str">
        <f aca="false">IF(Drinks!$A13="","",Drinks!$A13)</f>
        <v>Isenbeck</v>
      </c>
      <c r="B40" s="10" t="n">
        <f aca="false">IF($A40="","",SUMIFS('Daily Entry'!$N$4:$N$2003,'Daily Entry'!$A$4:$A$2003,"&gt;="&amp;$B$4,'Daily Entry'!$A$4:$A$2003,"&lt;="&amp;$B$5,'Daily Entry'!$B$4:$B$2003,$A40))</f>
        <v>17</v>
      </c>
      <c r="C40" s="10" t="n">
        <f aca="false">IF($A40="","",SUMIFS('Daily Entry'!$P$4:$P$2003,'Daily Entry'!$A$4:$A$2003,"&gt;="&amp;$B$4,'Daily Entry'!$A$4:$A$2003,"&lt;="&amp;$B$5,'Daily Entry'!$B$4:$B$2003,$A40))</f>
        <v>17000</v>
      </c>
      <c r="D40" s="10" t="n">
        <f aca="false">IF($A40="","",SUMIFS('Daily Entry'!$Q$4:$Q$2003,'Daily Entry'!$A$4:$A$2003,"&gt;="&amp;$B$4,'Daily Entry'!$A$4:$A$2003,"&lt;="&amp;$B$5,'Daily Entry'!$B$4:$B$2003,$A40))</f>
        <v>13458.3333333333</v>
      </c>
      <c r="E40" s="10" t="n">
        <f aca="false">IF($A40="","",SUMIFS('Daily Entry'!$R$4:$R$2003,'Daily Entry'!$A$4:$A$2003,"&gt;="&amp;$B$4,'Daily Entry'!$A$4:$A$2003,"&lt;="&amp;$B$5,'Daily Entry'!$B$4:$B$2003,$A40))</f>
        <v>3541.66666666667</v>
      </c>
      <c r="F40" s="11" t="n">
        <f aca="false">IF(OR($A40="",$B$8=0),"",$C40/$B$8)</f>
        <v>0.0623853211009174</v>
      </c>
    </row>
    <row r="41" customFormat="false" ht="15" hidden="false" customHeight="false" outlineLevel="0" collapsed="false">
      <c r="A41" s="32" t="str">
        <f aca="false">IF(Drinks!$A14="","",Drinks!$A14)</f>
        <v>Booster Cola</v>
      </c>
      <c r="B41" s="10" t="n">
        <f aca="false">IF($A41="","",SUMIFS('Daily Entry'!$N$4:$N$2003,'Daily Entry'!$A$4:$A$2003,"&gt;="&amp;$B$4,'Daily Entry'!$A$4:$A$2003,"&lt;="&amp;$B$5,'Daily Entry'!$B$4:$B$2003,$A41))</f>
        <v>0</v>
      </c>
      <c r="C41" s="10" t="n">
        <f aca="false">IF($A41="","",SUMIFS('Daily Entry'!$P$4:$P$2003,'Daily Entry'!$A$4:$A$2003,"&gt;="&amp;$B$4,'Daily Entry'!$A$4:$A$2003,"&lt;="&amp;$B$5,'Daily Entry'!$B$4:$B$2003,$A41))</f>
        <v>0</v>
      </c>
      <c r="D41" s="10" t="n">
        <f aca="false">IF($A41="","",SUMIFS('Daily Entry'!$Q$4:$Q$2003,'Daily Entry'!$A$4:$A$2003,"&gt;="&amp;$B$4,'Daily Entry'!$A$4:$A$2003,"&lt;="&amp;$B$5,'Daily Entry'!$B$4:$B$2003,$A41))</f>
        <v>0</v>
      </c>
      <c r="E41" s="10" t="n">
        <f aca="false">IF($A41="","",SUMIFS('Daily Entry'!$R$4:$R$2003,'Daily Entry'!$A$4:$A$2003,"&gt;="&amp;$B$4,'Daily Entry'!$A$4:$A$2003,"&lt;="&amp;$B$5,'Daily Entry'!$B$4:$B$2003,$A41))</f>
        <v>0</v>
      </c>
      <c r="F41" s="11" t="n">
        <f aca="false">IF(OR($A41="",$B$8=0),"",$C41/$B$8)</f>
        <v>0</v>
      </c>
    </row>
    <row r="42" customFormat="false" ht="15" hidden="false" customHeight="false" outlineLevel="0" collapsed="false">
      <c r="A42" s="32" t="str">
        <f aca="false">IF(Drinks!$A15="","",Drinks!$A15)</f>
        <v>Booster Gin</v>
      </c>
      <c r="B42" s="10" t="n">
        <f aca="false">IF($A42="","",SUMIFS('Daily Entry'!$N$4:$N$2003,'Daily Entry'!$A$4:$A$2003,"&gt;="&amp;$B$4,'Daily Entry'!$A$4:$A$2003,"&lt;="&amp;$B$5,'Daily Entry'!$B$4:$B$2003,$A42))</f>
        <v>5</v>
      </c>
      <c r="C42" s="10" t="n">
        <f aca="false">IF($A42="","",SUMIFS('Daily Entry'!$P$4:$P$2003,'Daily Entry'!$A$4:$A$2003,"&gt;="&amp;$B$4,'Daily Entry'!$A$4:$A$2003,"&lt;="&amp;$B$5,'Daily Entry'!$B$4:$B$2003,$A42))</f>
        <v>5000</v>
      </c>
      <c r="D42" s="10" t="n">
        <f aca="false">IF($A42="","",SUMIFS('Daily Entry'!$Q$4:$Q$2003,'Daily Entry'!$A$4:$A$2003,"&gt;="&amp;$B$4,'Daily Entry'!$A$4:$A$2003,"&lt;="&amp;$B$5,'Daily Entry'!$B$4:$B$2003,$A42))</f>
        <v>3541.66666666667</v>
      </c>
      <c r="E42" s="10" t="n">
        <f aca="false">IF($A42="","",SUMIFS('Daily Entry'!$R$4:$R$2003,'Daily Entry'!$A$4:$A$2003,"&gt;="&amp;$B$4,'Daily Entry'!$A$4:$A$2003,"&lt;="&amp;$B$5,'Daily Entry'!$B$4:$B$2003,$A42))</f>
        <v>1458.33333333333</v>
      </c>
      <c r="F42" s="11" t="n">
        <f aca="false">IF(OR($A42="",$B$8=0),"",$C42/$B$8)</f>
        <v>0.018348623853211</v>
      </c>
    </row>
    <row r="43" customFormat="false" ht="15" hidden="false" customHeight="false" outlineLevel="0" collapsed="false">
      <c r="A43" s="32" t="str">
        <f aca="false">IF(Drinks!$A16="","",Drinks!$A16)</f>
        <v>Booster Mango</v>
      </c>
      <c r="B43" s="10" t="n">
        <f aca="false">IF($A43="","",SUMIFS('Daily Entry'!$N$4:$N$2003,'Daily Entry'!$A$4:$A$2003,"&gt;="&amp;$B$4,'Daily Entry'!$A$4:$A$2003,"&lt;="&amp;$B$5,'Daily Entry'!$B$4:$B$2003,$A43))</f>
        <v>23</v>
      </c>
      <c r="C43" s="10" t="n">
        <f aca="false">IF($A43="","",SUMIFS('Daily Entry'!$P$4:$P$2003,'Daily Entry'!$A$4:$A$2003,"&gt;="&amp;$B$4,'Daily Entry'!$A$4:$A$2003,"&lt;="&amp;$B$5,'Daily Entry'!$B$4:$B$2003,$A43))</f>
        <v>23000</v>
      </c>
      <c r="D43" s="10" t="n">
        <f aca="false">IF($A43="","",SUMIFS('Daily Entry'!$Q$4:$Q$2003,'Daily Entry'!$A$4:$A$2003,"&gt;="&amp;$B$4,'Daily Entry'!$A$4:$A$2003,"&lt;="&amp;$B$5,'Daily Entry'!$B$4:$B$2003,$A43))</f>
        <v>16291.6666666667</v>
      </c>
      <c r="E43" s="10" t="n">
        <f aca="false">IF($A43="","",SUMIFS('Daily Entry'!$R$4:$R$2003,'Daily Entry'!$A$4:$A$2003,"&gt;="&amp;$B$4,'Daily Entry'!$A$4:$A$2003,"&lt;="&amp;$B$5,'Daily Entry'!$B$4:$B$2003,$A43))</f>
        <v>6708.33333333333</v>
      </c>
      <c r="F43" s="11" t="n">
        <f aca="false">IF(OR($A43="",$B$8=0),"",$C43/$B$8)</f>
        <v>0.0844036697247707</v>
      </c>
    </row>
    <row r="44" customFormat="false" ht="15" hidden="false" customHeight="false" outlineLevel="0" collapsed="false">
      <c r="A44" s="32" t="str">
        <f aca="false">IF(Drinks!$A17="","",Drinks!$A17)</f>
        <v>Big Guinness</v>
      </c>
      <c r="B44" s="10" t="n">
        <f aca="false">IF($A44="","",SUMIFS('Daily Entry'!$N$4:$N$2003,'Daily Entry'!$A$4:$A$2003,"&gt;="&amp;$B$4,'Daily Entry'!$A$4:$A$2003,"&lt;="&amp;$B$5,'Daily Entry'!$B$4:$B$2003,$A44))</f>
        <v>13</v>
      </c>
      <c r="C44" s="10" t="n">
        <f aca="false">IF($A44="","",SUMIFS('Daily Entry'!$P$4:$P$2003,'Daily Entry'!$A$4:$A$2003,"&gt;="&amp;$B$4,'Daily Entry'!$A$4:$A$2003,"&lt;="&amp;$B$5,'Daily Entry'!$B$4:$B$2003,$A44))</f>
        <v>19500</v>
      </c>
      <c r="D44" s="10" t="n">
        <f aca="false">IF($A44="","",SUMIFS('Daily Entry'!$Q$4:$Q$2003,'Daily Entry'!$A$4:$A$2003,"&gt;="&amp;$B$4,'Daily Entry'!$A$4:$A$2003,"&lt;="&amp;$B$5,'Daily Entry'!$B$4:$B$2003,$A44))</f>
        <v>15166.6666666667</v>
      </c>
      <c r="E44" s="10" t="n">
        <f aca="false">IF($A44="","",SUMIFS('Daily Entry'!$R$4:$R$2003,'Daily Entry'!$A$4:$A$2003,"&gt;="&amp;$B$4,'Daily Entry'!$A$4:$A$2003,"&lt;="&amp;$B$5,'Daily Entry'!$B$4:$B$2003,$A44))</f>
        <v>4333.33333333333</v>
      </c>
      <c r="F44" s="11" t="n">
        <f aca="false">IF(OR($A44="",$B$8=0),"",$C44/$B$8)</f>
        <v>0.0715596330275229</v>
      </c>
    </row>
    <row r="45" customFormat="false" ht="15" hidden="false" customHeight="false" outlineLevel="0" collapsed="false">
      <c r="A45" s="32" t="str">
        <f aca="false">IF(Drinks!$A18="","",Drinks!$A18)</f>
        <v>Big Smooth</v>
      </c>
      <c r="B45" s="10" t="n">
        <f aca="false">IF($A45="","",SUMIFS('Daily Entry'!$N$4:$N$2003,'Daily Entry'!$A$4:$A$2003,"&gt;="&amp;$B$4,'Daily Entry'!$A$4:$A$2003,"&lt;="&amp;$B$5,'Daily Entry'!$B$4:$B$2003,$A45))</f>
        <v>0</v>
      </c>
      <c r="C45" s="10" t="n">
        <f aca="false">IF($A45="","",SUMIFS('Daily Entry'!$P$4:$P$2003,'Daily Entry'!$A$4:$A$2003,"&gt;="&amp;$B$4,'Daily Entry'!$A$4:$A$2003,"&lt;="&amp;$B$5,'Daily Entry'!$B$4:$B$2003,$A45))</f>
        <v>0</v>
      </c>
      <c r="D45" s="10" t="n">
        <f aca="false">IF($A45="","",SUMIFS('Daily Entry'!$Q$4:$Q$2003,'Daily Entry'!$A$4:$A$2003,"&gt;="&amp;$B$4,'Daily Entry'!$A$4:$A$2003,"&lt;="&amp;$B$5,'Daily Entry'!$B$4:$B$2003,$A45))</f>
        <v>0</v>
      </c>
      <c r="E45" s="10" t="n">
        <f aca="false">IF($A45="","",SUMIFS('Daily Entry'!$R$4:$R$2003,'Daily Entry'!$A$4:$A$2003,"&gt;="&amp;$B$4,'Daily Entry'!$A$4:$A$2003,"&lt;="&amp;$B$5,'Daily Entry'!$B$4:$B$2003,$A45))</f>
        <v>0</v>
      </c>
      <c r="F45" s="11" t="n">
        <f aca="false">IF(OR($A45="",$B$8=0),"",$C45/$B$8)</f>
        <v>0</v>
      </c>
    </row>
    <row r="46" customFormat="false" ht="15" hidden="false" customHeight="false" outlineLevel="0" collapsed="false">
      <c r="A46" s="32" t="str">
        <f aca="false">IF(Drinks!$A19="","",Drinks!$A19)</f>
        <v>Small Smooth</v>
      </c>
      <c r="B46" s="10" t="n">
        <f aca="false">IF($A46="","",SUMIFS('Daily Entry'!$N$4:$N$2003,'Daily Entry'!$A$4:$A$2003,"&gt;="&amp;$B$4,'Daily Entry'!$A$4:$A$2003,"&lt;="&amp;$B$5,'Daily Entry'!$B$4:$B$2003,$A46))</f>
        <v>13</v>
      </c>
      <c r="C46" s="10" t="n">
        <f aca="false">IF($A46="","",SUMIFS('Daily Entry'!$P$4:$P$2003,'Daily Entry'!$A$4:$A$2003,"&gt;="&amp;$B$4,'Daily Entry'!$A$4:$A$2003,"&lt;="&amp;$B$5,'Daily Entry'!$B$4:$B$2003,$A46))</f>
        <v>13000</v>
      </c>
      <c r="D46" s="10" t="n">
        <f aca="false">IF($A46="","",SUMIFS('Daily Entry'!$Q$4:$Q$2003,'Daily Entry'!$A$4:$A$2003,"&gt;="&amp;$B$4,'Daily Entry'!$A$4:$A$2003,"&lt;="&amp;$B$5,'Daily Entry'!$B$4:$B$2003,$A46))</f>
        <v>11266.6666666667</v>
      </c>
      <c r="E46" s="10" t="n">
        <f aca="false">IF($A46="","",SUMIFS('Daily Entry'!$R$4:$R$2003,'Daily Entry'!$A$4:$A$2003,"&gt;="&amp;$B$4,'Daily Entry'!$A$4:$A$2003,"&lt;="&amp;$B$5,'Daily Entry'!$B$4:$B$2003,$A46))</f>
        <v>1733.33333333333</v>
      </c>
      <c r="F46" s="11" t="n">
        <f aca="false">IF(OR($A46="",$B$8=0),"",$C46/$B$8)</f>
        <v>0.0477064220183486</v>
      </c>
    </row>
    <row r="47" customFormat="false" ht="15" hidden="false" customHeight="false" outlineLevel="0" collapsed="false">
      <c r="A47" s="32" t="str">
        <f aca="false">IF(Drinks!$A20="","",Drinks!$A20)</f>
        <v>Small Guinness</v>
      </c>
      <c r="B47" s="10" t="n">
        <f aca="false">IF($A47="","",SUMIFS('Daily Entry'!$N$4:$N$2003,'Daily Entry'!$A$4:$A$2003,"&gt;="&amp;$B$4,'Daily Entry'!$A$4:$A$2003,"&lt;="&amp;$B$5,'Daily Entry'!$B$4:$B$2003,$A47))</f>
        <v>40</v>
      </c>
      <c r="C47" s="10" t="n">
        <f aca="false">IF($A47="","",SUMIFS('Daily Entry'!$P$4:$P$2003,'Daily Entry'!$A$4:$A$2003,"&gt;="&amp;$B$4,'Daily Entry'!$A$4:$A$2003,"&lt;="&amp;$B$5,'Daily Entry'!$B$4:$B$2003,$A47))</f>
        <v>40000</v>
      </c>
      <c r="D47" s="10" t="n">
        <f aca="false">IF($A47="","",SUMIFS('Daily Entry'!$Q$4:$Q$2003,'Daily Entry'!$A$4:$A$2003,"&gt;="&amp;$B$4,'Daily Entry'!$A$4:$A$2003,"&lt;="&amp;$B$5,'Daily Entry'!$B$4:$B$2003,$A47))</f>
        <v>28333.3333333333</v>
      </c>
      <c r="E47" s="10" t="n">
        <f aca="false">IF($A47="","",SUMIFS('Daily Entry'!$R$4:$R$2003,'Daily Entry'!$A$4:$A$2003,"&gt;="&amp;$B$4,'Daily Entry'!$A$4:$A$2003,"&lt;="&amp;$B$5,'Daily Entry'!$B$4:$B$2003,$A47))</f>
        <v>11666.6666666667</v>
      </c>
      <c r="F47" s="11" t="n">
        <f aca="false">IF(OR($A47="",$B$8=0),"",$C47/$B$8)</f>
        <v>0.146788990825688</v>
      </c>
    </row>
    <row r="48" customFormat="false" ht="15" hidden="false" customHeight="false" outlineLevel="0" collapsed="false">
      <c r="A48" s="32" t="str">
        <f aca="false">IF(Drinks!$A21="","",Drinks!$A21)</f>
        <v>Smirnoff Ice</v>
      </c>
      <c r="B48" s="10" t="n">
        <f aca="false">IF($A48="","",SUMIFS('Daily Entry'!$N$4:$N$2003,'Daily Entry'!$A$4:$A$2003,"&gt;="&amp;$B$4,'Daily Entry'!$A$4:$A$2003,"&lt;="&amp;$B$5,'Daily Entry'!$B$4:$B$2003,$A48))</f>
        <v>0</v>
      </c>
      <c r="C48" s="10" t="n">
        <f aca="false">IF($A48="","",SUMIFS('Daily Entry'!$P$4:$P$2003,'Daily Entry'!$A$4:$A$2003,"&gt;="&amp;$B$4,'Daily Entry'!$A$4:$A$2003,"&lt;="&amp;$B$5,'Daily Entry'!$B$4:$B$2003,$A48))</f>
        <v>0</v>
      </c>
      <c r="D48" s="10" t="n">
        <f aca="false">IF($A48="","",SUMIFS('Daily Entry'!$Q$4:$Q$2003,'Daily Entry'!$A$4:$A$2003,"&gt;="&amp;$B$4,'Daily Entry'!$A$4:$A$2003,"&lt;="&amp;$B$5,'Daily Entry'!$B$4:$B$2003,$A48))</f>
        <v>0</v>
      </c>
      <c r="E48" s="10" t="n">
        <f aca="false">IF($A48="","",SUMIFS('Daily Entry'!$R$4:$R$2003,'Daily Entry'!$A$4:$A$2003,"&gt;="&amp;$B$4,'Daily Entry'!$A$4:$A$2003,"&lt;="&amp;$B$5,'Daily Entry'!$B$4:$B$2003,$A48))</f>
        <v>0</v>
      </c>
      <c r="F48" s="11" t="n">
        <f aca="false">IF(OR($A48="",$B$8=0),"",$C48/$B$8)</f>
        <v>0</v>
      </c>
    </row>
    <row r="49" customFormat="false" ht="15" hidden="false" customHeight="false" outlineLevel="0" collapsed="false">
      <c r="A49" s="32" t="str">
        <f aca="false">IF(Drinks!$A22="","",Drinks!$A22)</f>
        <v>Malta Guinness</v>
      </c>
      <c r="B49" s="10" t="n">
        <f aca="false">IF($A49="","",SUMIFS('Daily Entry'!$N$4:$N$2003,'Daily Entry'!$A$4:$A$2003,"&gt;="&amp;$B$4,'Daily Entry'!$A$4:$A$2003,"&lt;="&amp;$B$5,'Daily Entry'!$B$4:$B$2003,$A49))</f>
        <v>0</v>
      </c>
      <c r="C49" s="10" t="n">
        <f aca="false">IF($A49="","",SUMIFS('Daily Entry'!$P$4:$P$2003,'Daily Entry'!$A$4:$A$2003,"&gt;="&amp;$B$4,'Daily Entry'!$A$4:$A$2003,"&lt;="&amp;$B$5,'Daily Entry'!$B$4:$B$2003,$A49))</f>
        <v>0</v>
      </c>
      <c r="D49" s="10" t="n">
        <f aca="false">IF($A49="","",SUMIFS('Daily Entry'!$Q$4:$Q$2003,'Daily Entry'!$A$4:$A$2003,"&gt;="&amp;$B$4,'Daily Entry'!$A$4:$A$2003,"&lt;="&amp;$B$5,'Daily Entry'!$B$4:$B$2003,$A49))</f>
        <v>0</v>
      </c>
      <c r="E49" s="10" t="n">
        <f aca="false">IF($A49="","",SUMIFS('Daily Entry'!$R$4:$R$2003,'Daily Entry'!$A$4:$A$2003,"&gt;="&amp;$B$4,'Daily Entry'!$A$4:$A$2003,"&lt;="&amp;$B$5,'Daily Entry'!$B$4:$B$2003,$A49))</f>
        <v>0</v>
      </c>
      <c r="F49" s="11" t="n">
        <f aca="false">IF(OR($A49="",$B$8=0),"",$C49/$B$8)</f>
        <v>0</v>
      </c>
    </row>
    <row r="50" customFormat="false" ht="15" hidden="false" customHeight="false" outlineLevel="0" collapsed="false">
      <c r="A50" s="32" t="str">
        <f aca="false">IF(Drinks!$A23="","",Drinks!$A23)</f>
        <v>Top Tonic</v>
      </c>
      <c r="B50" s="10" t="n">
        <f aca="false">IF($A50="","",SUMIFS('Daily Entry'!$N$4:$N$2003,'Daily Entry'!$A$4:$A$2003,"&gt;="&amp;$B$4,'Daily Entry'!$A$4:$A$2003,"&lt;="&amp;$B$5,'Daily Entry'!$B$4:$B$2003,$A50))</f>
        <v>0</v>
      </c>
      <c r="C50" s="10" t="n">
        <f aca="false">IF($A50="","",SUMIFS('Daily Entry'!$P$4:$P$2003,'Daily Entry'!$A$4:$A$2003,"&gt;="&amp;$B$4,'Daily Entry'!$A$4:$A$2003,"&lt;="&amp;$B$5,'Daily Entry'!$B$4:$B$2003,$A50))</f>
        <v>0</v>
      </c>
      <c r="D50" s="10" t="n">
        <f aca="false">IF($A50="","",SUMIFS('Daily Entry'!$Q$4:$Q$2003,'Daily Entry'!$A$4:$A$2003,"&gt;="&amp;$B$4,'Daily Entry'!$A$4:$A$2003,"&lt;="&amp;$B$5,'Daily Entry'!$B$4:$B$2003,$A50))</f>
        <v>0</v>
      </c>
      <c r="E50" s="10" t="n">
        <f aca="false">IF($A50="","",SUMIFS('Daily Entry'!$R$4:$R$2003,'Daily Entry'!$A$4:$A$2003,"&gt;="&amp;$B$4,'Daily Entry'!$A$4:$A$2003,"&lt;="&amp;$B$5,'Daily Entry'!$B$4:$B$2003,$A50))</f>
        <v>0</v>
      </c>
      <c r="F50" s="11" t="n">
        <f aca="false">IF(OR($A50="",$B$8=0),"",$C50/$B$8)</f>
        <v>0</v>
      </c>
    </row>
    <row r="51" customFormat="false" ht="15" hidden="false" customHeight="false" outlineLevel="0" collapsed="false">
      <c r="A51" s="32" t="str">
        <f aca="false">IF(Drinks!$A24="","",Drinks!$A24)</f>
        <v>Chill</v>
      </c>
      <c r="B51" s="10" t="n">
        <f aca="false">IF($A51="","",SUMIFS('Daily Entry'!$N$4:$N$2003,'Daily Entry'!$A$4:$A$2003,"&gt;="&amp;$B$4,'Daily Entry'!$A$4:$A$2003,"&lt;="&amp;$B$5,'Daily Entry'!$B$4:$B$2003,$A51))</f>
        <v>0</v>
      </c>
      <c r="C51" s="10" t="n">
        <f aca="false">IF($A51="","",SUMIFS('Daily Entry'!$P$4:$P$2003,'Daily Entry'!$A$4:$A$2003,"&gt;="&amp;$B$4,'Daily Entry'!$A$4:$A$2003,"&lt;="&amp;$B$5,'Daily Entry'!$B$4:$B$2003,$A51))</f>
        <v>0</v>
      </c>
      <c r="D51" s="10" t="n">
        <f aca="false">IF($A51="","",SUMIFS('Daily Entry'!$Q$4:$Q$2003,'Daily Entry'!$A$4:$A$2003,"&gt;="&amp;$B$4,'Daily Entry'!$A$4:$A$2003,"&lt;="&amp;$B$5,'Daily Entry'!$B$4:$B$2003,$A51))</f>
        <v>0</v>
      </c>
      <c r="E51" s="10" t="n">
        <f aca="false">IF($A51="","",SUMIFS('Daily Entry'!$R$4:$R$2003,'Daily Entry'!$A$4:$A$2003,"&gt;="&amp;$B$4,'Daily Entry'!$A$4:$A$2003,"&lt;="&amp;$B$5,'Daily Entry'!$B$4:$B$2003,$A51))</f>
        <v>0</v>
      </c>
      <c r="F51" s="11" t="n">
        <f aca="false">IF(OR($A51="",$B$8=0),"",$C51/$B$8)</f>
        <v>0</v>
      </c>
    </row>
    <row r="52" customFormat="false" ht="15" hidden="false" customHeight="false" outlineLevel="0" collapsed="false">
      <c r="A52" s="32" t="str">
        <f aca="false">IF(Drinks!$A25="","",Drinks!$A25)</f>
        <v>Van Pur</v>
      </c>
      <c r="B52" s="10" t="n">
        <f aca="false">IF($A52="","",SUMIFS('Daily Entry'!$N$4:$N$2003,'Daily Entry'!$A$4:$A$2003,"&gt;="&amp;$B$4,'Daily Entry'!$A$4:$A$2003,"&lt;="&amp;$B$5,'Daily Entry'!$B$4:$B$2003,$A52))</f>
        <v>9</v>
      </c>
      <c r="C52" s="10" t="n">
        <f aca="false">IF($A52="","",SUMIFS('Daily Entry'!$P$4:$P$2003,'Daily Entry'!$A$4:$A$2003,"&gt;="&amp;$B$4,'Daily Entry'!$A$4:$A$2003,"&lt;="&amp;$B$5,'Daily Entry'!$B$4:$B$2003,$A52))</f>
        <v>9000</v>
      </c>
      <c r="D52" s="10" t="n">
        <f aca="false">IF($A52="","",SUMIFS('Daily Entry'!$Q$4:$Q$2003,'Daily Entry'!$A$4:$A$2003,"&gt;="&amp;$B$4,'Daily Entry'!$A$4:$A$2003,"&lt;="&amp;$B$5,'Daily Entry'!$B$4:$B$2003,$A52))</f>
        <v>6375</v>
      </c>
      <c r="E52" s="10" t="n">
        <f aca="false">IF($A52="","",SUMIFS('Daily Entry'!$R$4:$R$2003,'Daily Entry'!$A$4:$A$2003,"&gt;="&amp;$B$4,'Daily Entry'!$A$4:$A$2003,"&lt;="&amp;$B$5,'Daily Entry'!$B$4:$B$2003,$A52))</f>
        <v>2625</v>
      </c>
      <c r="F52" s="11" t="n">
        <f aca="false">IF(OR($A52="",$B$8=0),"",$C52/$B$8)</f>
        <v>0.0330275229357798</v>
      </c>
    </row>
    <row r="53" customFormat="false" ht="15" hidden="false" customHeight="false" outlineLevel="0" collapsed="false">
      <c r="A53" s="32" t="str">
        <f aca="false">IF(Drinks!$A26="","",Drinks!$A26)</f>
        <v>Bavaria</v>
      </c>
      <c r="B53" s="10" t="n">
        <f aca="false">IF($A53="","",SUMIFS('Daily Entry'!$N$4:$N$2003,'Daily Entry'!$A$4:$A$2003,"&gt;="&amp;$B$4,'Daily Entry'!$A$4:$A$2003,"&lt;="&amp;$B$5,'Daily Entry'!$B$4:$B$2003,$A53))</f>
        <v>3</v>
      </c>
      <c r="C53" s="10" t="n">
        <f aca="false">IF($A53="","",SUMIFS('Daily Entry'!$P$4:$P$2003,'Daily Entry'!$A$4:$A$2003,"&gt;="&amp;$B$4,'Daily Entry'!$A$4:$A$2003,"&lt;="&amp;$B$5,'Daily Entry'!$B$4:$B$2003,$A53))</f>
        <v>3000</v>
      </c>
      <c r="D53" s="10" t="n">
        <f aca="false">IF($A53="","",SUMIFS('Daily Entry'!$Q$4:$Q$2003,'Daily Entry'!$A$4:$A$2003,"&gt;="&amp;$B$4,'Daily Entry'!$A$4:$A$2003,"&lt;="&amp;$B$5,'Daily Entry'!$B$4:$B$2003,$A53))</f>
        <v>2375</v>
      </c>
      <c r="E53" s="10" t="n">
        <f aca="false">IF($A53="","",SUMIFS('Daily Entry'!$R$4:$R$2003,'Daily Entry'!$A$4:$A$2003,"&gt;="&amp;$B$4,'Daily Entry'!$A$4:$A$2003,"&lt;="&amp;$B$5,'Daily Entry'!$B$4:$B$2003,$A53))</f>
        <v>625</v>
      </c>
      <c r="F53" s="11" t="n">
        <f aca="false">IF(OR($A53="",$B$8=0),"",$C53/$B$8)</f>
        <v>0.0110091743119266</v>
      </c>
    </row>
    <row r="54" customFormat="false" ht="15" hidden="false" customHeight="false" outlineLevel="0" collapsed="false">
      <c r="A54" s="32" t="str">
        <f aca="false">IF(Drinks!$A27="","",Drinks!$A27)</f>
        <v>Power Malta</v>
      </c>
      <c r="B54" s="10" t="n">
        <f aca="false">IF($A54="","",SUMIFS('Daily Entry'!$N$4:$N$2003,'Daily Entry'!$A$4:$A$2003,"&gt;="&amp;$B$4,'Daily Entry'!$A$4:$A$2003,"&lt;="&amp;$B$5,'Daily Entry'!$B$4:$B$2003,$A54))</f>
        <v>0</v>
      </c>
      <c r="C54" s="10" t="n">
        <f aca="false">IF($A54="","",SUMIFS('Daily Entry'!$P$4:$P$2003,'Daily Entry'!$A$4:$A$2003,"&gt;="&amp;$B$4,'Daily Entry'!$A$4:$A$2003,"&lt;="&amp;$B$5,'Daily Entry'!$B$4:$B$2003,$A54))</f>
        <v>0</v>
      </c>
      <c r="D54" s="10" t="n">
        <f aca="false">IF($A54="","",SUMIFS('Daily Entry'!$Q$4:$Q$2003,'Daily Entry'!$A$4:$A$2003,"&gt;="&amp;$B$4,'Daily Entry'!$A$4:$A$2003,"&lt;="&amp;$B$5,'Daily Entry'!$B$4:$B$2003,$A54))</f>
        <v>0</v>
      </c>
      <c r="E54" s="10" t="n">
        <f aca="false">IF($A54="","",SUMIFS('Daily Entry'!$R$4:$R$2003,'Daily Entry'!$A$4:$A$2003,"&gt;="&amp;$B$4,'Daily Entry'!$A$4:$A$2003,"&lt;="&amp;$B$5,'Daily Entry'!$B$4:$B$2003,$A54))</f>
        <v>0</v>
      </c>
      <c r="F54" s="11" t="n">
        <f aca="false">IF(OR($A54="",$B$8=0),"",$C54/$B$8)</f>
        <v>0</v>
      </c>
    </row>
    <row r="55" customFormat="false" ht="15" hidden="false" customHeight="false" outlineLevel="0" collapsed="false">
      <c r="A55" s="32" t="str">
        <f aca="false">IF(Drinks!$A28="","",Drinks!$A28)</f>
        <v>Heineken</v>
      </c>
      <c r="B55" s="10" t="n">
        <f aca="false">IF($A55="","",SUMIFS('Daily Entry'!$N$4:$N$2003,'Daily Entry'!$A$4:$A$2003,"&gt;="&amp;$B$4,'Daily Entry'!$A$4:$A$2003,"&lt;="&amp;$B$5,'Daily Entry'!$B$4:$B$2003,$A55))</f>
        <v>0</v>
      </c>
      <c r="C55" s="10" t="n">
        <f aca="false">IF($A55="","",SUMIFS('Daily Entry'!$P$4:$P$2003,'Daily Entry'!$A$4:$A$2003,"&gt;="&amp;$B$4,'Daily Entry'!$A$4:$A$2003,"&lt;="&amp;$B$5,'Daily Entry'!$B$4:$B$2003,$A55))</f>
        <v>0</v>
      </c>
      <c r="D55" s="10" t="n">
        <f aca="false">IF($A55="","",SUMIFS('Daily Entry'!$Q$4:$Q$2003,'Daily Entry'!$A$4:$A$2003,"&gt;="&amp;$B$4,'Daily Entry'!$A$4:$A$2003,"&lt;="&amp;$B$5,'Daily Entry'!$B$4:$B$2003,$A55))</f>
        <v>0</v>
      </c>
      <c r="E55" s="10" t="n">
        <f aca="false">IF($A55="","",SUMIFS('Daily Entry'!$R$4:$R$2003,'Daily Entry'!$A$4:$A$2003,"&gt;="&amp;$B$4,'Daily Entry'!$A$4:$A$2003,"&lt;="&amp;$B$5,'Daily Entry'!$B$4:$B$2003,$A55))</f>
        <v>0</v>
      </c>
      <c r="F55" s="11" t="n">
        <f aca="false">IF(OR($A55="",$B$8=0),"",$C55/$B$8)</f>
        <v>0</v>
      </c>
    </row>
    <row r="56" customFormat="false" ht="15" hidden="false" customHeight="false" outlineLevel="0" collapsed="false">
      <c r="A56" s="32" t="str">
        <f aca="false">IF(Drinks!$A29="","",Drinks!$A29)</f>
        <v>Orangina</v>
      </c>
      <c r="B56" s="10" t="n">
        <f aca="false">IF($A56="","",SUMIFS('Daily Entry'!$N$4:$N$2003,'Daily Entry'!$A$4:$A$2003,"&gt;="&amp;$B$4,'Daily Entry'!$A$4:$A$2003,"&lt;="&amp;$B$5,'Daily Entry'!$B$4:$B$2003,$A56))</f>
        <v>1</v>
      </c>
      <c r="C56" s="10" t="n">
        <f aca="false">IF($A56="","",SUMIFS('Daily Entry'!$P$4:$P$2003,'Daily Entry'!$A$4:$A$2003,"&gt;="&amp;$B$4,'Daily Entry'!$A$4:$A$2003,"&lt;="&amp;$B$5,'Daily Entry'!$B$4:$B$2003,$A56))</f>
        <v>1000</v>
      </c>
      <c r="D56" s="10" t="n">
        <f aca="false">IF($A56="","",SUMIFS('Daily Entry'!$Q$4:$Q$2003,'Daily Entry'!$A$4:$A$2003,"&gt;="&amp;$B$4,'Daily Entry'!$A$4:$A$2003,"&lt;="&amp;$B$5,'Daily Entry'!$B$4:$B$2003,$A56))</f>
        <v>750</v>
      </c>
      <c r="E56" s="10" t="n">
        <f aca="false">IF($A56="","",SUMIFS('Daily Entry'!$R$4:$R$2003,'Daily Entry'!$A$4:$A$2003,"&gt;="&amp;$B$4,'Daily Entry'!$A$4:$A$2003,"&lt;="&amp;$B$5,'Daily Entry'!$B$4:$B$2003,$A56))</f>
        <v>250</v>
      </c>
      <c r="F56" s="11" t="n">
        <f aca="false">IF(OR($A56="",$B$8=0),"",$C56/$B$8)</f>
        <v>0.0036697247706422</v>
      </c>
    </row>
    <row r="57" customFormat="false" ht="15" hidden="false" customHeight="false" outlineLevel="0" collapsed="false">
      <c r="A57" s="32" t="str">
        <f aca="false">IF(Drinks!$A30="","",Drinks!$A30)</f>
        <v>D'jino</v>
      </c>
      <c r="B57" s="10" t="n">
        <f aca="false">IF($A57="","",SUMIFS('Daily Entry'!$N$4:$N$2003,'Daily Entry'!$A$4:$A$2003,"&gt;="&amp;$B$4,'Daily Entry'!$A$4:$A$2003,"&lt;="&amp;$B$5,'Daily Entry'!$B$4:$B$2003,$A57))</f>
        <v>3</v>
      </c>
      <c r="C57" s="10" t="n">
        <f aca="false">IF($A57="","",SUMIFS('Daily Entry'!$P$4:$P$2003,'Daily Entry'!$A$4:$A$2003,"&gt;="&amp;$B$4,'Daily Entry'!$A$4:$A$2003,"&lt;="&amp;$B$5,'Daily Entry'!$B$4:$B$2003,$A57))</f>
        <v>3000</v>
      </c>
      <c r="D57" s="10" t="n">
        <f aca="false">IF($A57="","",SUMIFS('Daily Entry'!$Q$4:$Q$2003,'Daily Entry'!$A$4:$A$2003,"&gt;="&amp;$B$4,'Daily Entry'!$A$4:$A$2003,"&lt;="&amp;$B$5,'Daily Entry'!$B$4:$B$2003,$A57))</f>
        <v>2250</v>
      </c>
      <c r="E57" s="10" t="n">
        <f aca="false">IF($A57="","",SUMIFS('Daily Entry'!$R$4:$R$2003,'Daily Entry'!$A$4:$A$2003,"&gt;="&amp;$B$4,'Daily Entry'!$A$4:$A$2003,"&lt;="&amp;$B$5,'Daily Entry'!$B$4:$B$2003,$A57))</f>
        <v>750</v>
      </c>
      <c r="F57" s="11" t="n">
        <f aca="false">IF(OR($A57="",$B$8=0),"",$C57/$B$8)</f>
        <v>0.0110091743119266</v>
      </c>
    </row>
    <row r="58" customFormat="false" ht="15" hidden="false" customHeight="false" outlineLevel="0" collapsed="false">
      <c r="A58" s="32" t="str">
        <f aca="false">IF(Drinks!$A31="","",Drinks!$A31)</f>
        <v>Vimto</v>
      </c>
      <c r="B58" s="10" t="n">
        <f aca="false">IF($A58="","",SUMIFS('Daily Entry'!$N$4:$N$2003,'Daily Entry'!$A$4:$A$2003,"&gt;="&amp;$B$4,'Daily Entry'!$A$4:$A$2003,"&lt;="&amp;$B$5,'Daily Entry'!$B$4:$B$2003,$A58))</f>
        <v>6</v>
      </c>
      <c r="C58" s="10" t="n">
        <f aca="false">IF($A58="","",SUMIFS('Daily Entry'!$P$4:$P$2003,'Daily Entry'!$A$4:$A$2003,"&gt;="&amp;$B$4,'Daily Entry'!$A$4:$A$2003,"&lt;="&amp;$B$5,'Daily Entry'!$B$4:$B$2003,$A58))</f>
        <v>6000</v>
      </c>
      <c r="D58" s="10" t="n">
        <f aca="false">IF($A58="","",SUMIFS('Daily Entry'!$Q$4:$Q$2003,'Daily Entry'!$A$4:$A$2003,"&gt;="&amp;$B$4,'Daily Entry'!$A$4:$A$2003,"&lt;="&amp;$B$5,'Daily Entry'!$B$4:$B$2003,$A58))</f>
        <v>4500</v>
      </c>
      <c r="E58" s="10" t="n">
        <f aca="false">IF($A58="","",SUMIFS('Daily Entry'!$R$4:$R$2003,'Daily Entry'!$A$4:$A$2003,"&gt;="&amp;$B$4,'Daily Entry'!$A$4:$A$2003,"&lt;="&amp;$B$5,'Daily Entry'!$B$4:$B$2003,$A58))</f>
        <v>1500</v>
      </c>
      <c r="F58" s="11" t="n">
        <f aca="false">IF(OR($A58="",$B$8=0),"",$C58/$B$8)</f>
        <v>0.0220183486238532</v>
      </c>
    </row>
    <row r="59" customFormat="false" ht="15" hidden="false" customHeight="false" outlineLevel="0" collapsed="false">
      <c r="A59" s="32" t="str">
        <f aca="false">IF(Drinks!$A32="","",Drinks!$A32)</f>
        <v>Top</v>
      </c>
      <c r="B59" s="10" t="n">
        <f aca="false">IF($A59="","",SUMIFS('Daily Entry'!$N$4:$N$2003,'Daily Entry'!$A$4:$A$2003,"&gt;="&amp;$B$4,'Daily Entry'!$A$4:$A$2003,"&lt;="&amp;$B$5,'Daily Entry'!$B$4:$B$2003,$A59))</f>
        <v>9</v>
      </c>
      <c r="C59" s="10" t="n">
        <f aca="false">IF($A59="","",SUMIFS('Daily Entry'!$P$4:$P$2003,'Daily Entry'!$A$4:$A$2003,"&gt;="&amp;$B$4,'Daily Entry'!$A$4:$A$2003,"&lt;="&amp;$B$5,'Daily Entry'!$B$4:$B$2003,$A59))</f>
        <v>9000</v>
      </c>
      <c r="D59" s="10" t="n">
        <f aca="false">IF($A59="","",SUMIFS('Daily Entry'!$Q$4:$Q$2003,'Daily Entry'!$A$4:$A$2003,"&gt;="&amp;$B$4,'Daily Entry'!$A$4:$A$2003,"&lt;="&amp;$B$5,'Daily Entry'!$B$4:$B$2003,$A59))</f>
        <v>4500</v>
      </c>
      <c r="E59" s="10" t="n">
        <f aca="false">IF($A59="","",SUMIFS('Daily Entry'!$R$4:$R$2003,'Daily Entry'!$A$4:$A$2003,"&gt;="&amp;$B$4,'Daily Entry'!$A$4:$A$2003,"&lt;="&amp;$B$5,'Daily Entry'!$B$4:$B$2003,$A59))</f>
        <v>4500</v>
      </c>
      <c r="F59" s="11" t="n">
        <f aca="false">IF(OR($A59="",$B$8=0),"",$C59/$B$8)</f>
        <v>0.0330275229357798</v>
      </c>
    </row>
    <row r="60" customFormat="false" ht="15" hidden="false" customHeight="false" outlineLevel="0" collapsed="false">
      <c r="A60" s="32" t="str">
        <f aca="false">IF(Drinks!$A33="","",Drinks!$A33)</f>
        <v>Supper Mount</v>
      </c>
      <c r="B60" s="10" t="n">
        <f aca="false">IF($A60="","",SUMIFS('Daily Entry'!$N$4:$N$2003,'Daily Entry'!$A$4:$A$2003,"&gt;="&amp;$B$4,'Daily Entry'!$A$4:$A$2003,"&lt;="&amp;$B$5,'Daily Entry'!$B$4:$B$2003,$A60))</f>
        <v>4</v>
      </c>
      <c r="C60" s="10" t="n">
        <f aca="false">IF($A60="","",SUMIFS('Daily Entry'!$P$4:$P$2003,'Daily Entry'!$A$4:$A$2003,"&gt;="&amp;$B$4,'Daily Entry'!$A$4:$A$2003,"&lt;="&amp;$B$5,'Daily Entry'!$B$4:$B$2003,$A60))</f>
        <v>2000</v>
      </c>
      <c r="D60" s="10" t="n">
        <f aca="false">IF($A60="","",SUMIFS('Daily Entry'!$Q$4:$Q$2003,'Daily Entry'!$A$4:$A$2003,"&gt;="&amp;$B$4,'Daily Entry'!$A$4:$A$2003,"&lt;="&amp;$B$5,'Daily Entry'!$B$4:$B$2003,$A60))</f>
        <v>966.666666666667</v>
      </c>
      <c r="E60" s="10" t="n">
        <f aca="false">IF($A60="","",SUMIFS('Daily Entry'!$R$4:$R$2003,'Daily Entry'!$A$4:$A$2003,"&gt;="&amp;$B$4,'Daily Entry'!$A$4:$A$2003,"&lt;="&amp;$B$5,'Daily Entry'!$B$4:$B$2003,$A60))</f>
        <v>1033.33333333333</v>
      </c>
      <c r="F60" s="11" t="n">
        <f aca="false">IF(OR($A60="",$B$8=0),"",$C60/$B$8)</f>
        <v>0.0073394495412844</v>
      </c>
    </row>
    <row r="61" customFormat="false" ht="15" hidden="false" customHeight="false" outlineLevel="0" collapsed="false">
      <c r="A61" s="32" t="str">
        <f aca="false">IF(Drinks!$A34="","",Drinks!$A34)</f>
        <v>Reaktor</v>
      </c>
      <c r="B61" s="10" t="n">
        <f aca="false">IF($A61="","",SUMIFS('Daily Entry'!$N$4:$N$2003,'Daily Entry'!$A$4:$A$2003,"&gt;="&amp;$B$4,'Daily Entry'!$A$4:$A$2003,"&lt;="&amp;$B$5,'Daily Entry'!$B$4:$B$2003,$A61))</f>
        <v>6</v>
      </c>
      <c r="C61" s="10" t="n">
        <f aca="false">IF($A61="","",SUMIFS('Daily Entry'!$P$4:$P$2003,'Daily Entry'!$A$4:$A$2003,"&gt;="&amp;$B$4,'Daily Entry'!$A$4:$A$2003,"&lt;="&amp;$B$5,'Daily Entry'!$B$4:$B$2003,$A61))</f>
        <v>3000</v>
      </c>
      <c r="D61" s="10" t="n">
        <f aca="false">IF($A61="","",SUMIFS('Daily Entry'!$Q$4:$Q$2003,'Daily Entry'!$A$4:$A$2003,"&gt;="&amp;$B$4,'Daily Entry'!$A$4:$A$2003,"&lt;="&amp;$B$5,'Daily Entry'!$B$4:$B$2003,$A61))</f>
        <v>2150</v>
      </c>
      <c r="E61" s="10" t="n">
        <f aca="false">IF($A61="","",SUMIFS('Daily Entry'!$R$4:$R$2003,'Daily Entry'!$A$4:$A$2003,"&gt;="&amp;$B$4,'Daily Entry'!$A$4:$A$2003,"&lt;="&amp;$B$5,'Daily Entry'!$B$4:$B$2003,$A61))</f>
        <v>850</v>
      </c>
      <c r="F61" s="11" t="n">
        <f aca="false">IF(OR($A61="",$B$8=0),"",$C61/$B$8)</f>
        <v>0.0110091743119266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2026-08-27T14:48:06Z</dcterms:created>
  <dc:creator>openpyxl</dc:creator>
  <dc:description/>
  <dc:language>en-US</dc:language>
  <cp:lastModifiedBy/>
  <dcterms:modified xsi:type="dcterms:W3CDTF">2026-08-27T14:48:07Z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